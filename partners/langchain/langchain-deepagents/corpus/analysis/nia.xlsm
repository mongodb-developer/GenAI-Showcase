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_Home Appliances\Air Cleaners\2022_DFR\_Analysis\NIA\"/>
    </mc:Choice>
  </mc:AlternateContent>
  <xr:revisionPtr revIDLastSave="0" documentId="13_ncr:1_{67221355-8831-4461-A864-2BF2EE5AE69B}" xr6:coauthVersionLast="36" xr6:coauthVersionMax="47" xr10:uidLastSave="{00000000-0000-0000-0000-000000000000}"/>
  <bookViews>
    <workbookView xWindow="0" yWindow="0" windowWidth="25600" windowHeight="10240" tabRatio="759" firstSheet="1" activeTab="1" xr2:uid="{00000000-000D-0000-FFFF-FFFF00000000}"/>
  </bookViews>
  <sheets>
    <sheet name="All Scenarios" sheetId="16" state="hidden" r:id="rId1"/>
    <sheet name="Summary" sheetId="15" r:id="rId2"/>
    <sheet name="CADR 10-99" sheetId="14" r:id="rId3"/>
    <sheet name="CADR 100-149" sheetId="13" r:id="rId4"/>
    <sheet name="CADR 150+" sheetId="12" r:id="rId5"/>
    <sheet name="PC Inputs" sheetId="11" r:id="rId6"/>
    <sheet name="Shipments" sheetId="10" r:id="rId7"/>
    <sheet name="Shipments w Elasticity" sheetId="17" state="hidden" r:id="rId8"/>
    <sheet name="Price Indices" sheetId="9" r:id="rId9"/>
    <sheet name="Lifetime" sheetId="8" r:id="rId10"/>
    <sheet name="Energy Price" sheetId="7" r:id="rId11"/>
    <sheet name="Energy Factors" sheetId="6" r:id="rId12"/>
    <sheet name="Tables" sheetId="2" state="hidden" r:id="rId13"/>
  </sheets>
  <definedNames>
    <definedName name="_base">{0,0,0}</definedName>
    <definedName name="_doName">Tables!$C$4:$G$6</definedName>
    <definedName name="_doShort">Tables!$C$8:$G$10</definedName>
    <definedName name="_effDistrib">"Trend"</definedName>
    <definedName name="_el" localSheetId="3">{0;1;2;3;4}</definedName>
    <definedName name="_el" localSheetId="2">{0;1;2;3;4}</definedName>
    <definedName name="_el" localSheetId="4">{0;1;2;3;4}</definedName>
    <definedName name="_Energy">{"Site","Primary","FFC"}</definedName>
    <definedName name="_fuel">{"Electricity"}</definedName>
    <definedName name="_i">Lifetime!$D$5:$W$5</definedName>
    <definedName name="_iL">_yL-INDEX(_yL,1)+1</definedName>
    <definedName name="_iS">_yS-INDEX(_yS,1)+1</definedName>
    <definedName name="_maxLT">20</definedName>
    <definedName name="_mDO">5</definedName>
    <definedName name="_nDO1">INDEX(nDO,1)</definedName>
    <definedName name="_nDO2">INDEX(nDO,2)</definedName>
    <definedName name="_nDO3">INDEX(nDO,3)</definedName>
    <definedName name="_nL">COUNT(_yL)</definedName>
    <definedName name="_nPC">3</definedName>
    <definedName name="_nS">COUNT(_yS)</definedName>
    <definedName name="_nUnit">1000000</definedName>
    <definedName name="_pcName">Tables!$B$4:$B$6</definedName>
    <definedName name="_pcShort">Tables!$B$8:$B$10</definedName>
    <definedName name="_PIdx">Tables!$C$29:$E$29</definedName>
    <definedName name="_prcElast">Tables!$C$48:$AL$48</definedName>
    <definedName name="_Sector">Tables!$C$13:$D$14</definedName>
    <definedName name="_segDolFuelPC">"AllPC"</definedName>
    <definedName name="_segDynMSP">"mspPCDO"</definedName>
    <definedName name="_segPSurvPC">"AllPC"</definedName>
    <definedName name="_SScen">{"AEO Reference","AEO Low","AEO High"}</definedName>
    <definedName name="_t">{1,2,3,4,5,6,7,8,9,10,11,12,13,14,15,16,17,18,19,20}</definedName>
    <definedName name="_TSL">OFFSET(_tslMap1,-1,0,1)</definedName>
    <definedName name="_tslMap1">Tables!$C$17:$G$19</definedName>
    <definedName name="_tslMap2">Tables!$C$21:$G$23</definedName>
    <definedName name="_year1">2024</definedName>
    <definedName name="_year1x">2030</definedName>
    <definedName name="_yearD">2022</definedName>
    <definedName name="_yearDol">2021</definedName>
    <definedName name="_yearL">2053</definedName>
    <definedName name="_yearLx">2059</definedName>
    <definedName name="_yearM">INDEX(_yM,1)</definedName>
    <definedName name="_yL">{2024,2025,2026,2027,2028,2029,2030,2031,2032,2033,2034,2035,2036,2037,2038,2039,2040,2041,2042,2043,2044,2045,2046,2047,2048,2049,2050,2051,2052,2053,2054,2055,2056,2057,2058,2059,2060,2061,2062,2063,2064,2065,2066,2067,2068,2069,2070,2071,2072,2073,2074,2075,2076,2077,2078}</definedName>
    <definedName name="_yM">{2017,2018,2019,2020,2021,2022,2023}</definedName>
    <definedName name="_yS">{2024,2025,2026,2027,2028,2029,2030,2031,2032,2033,2034,2035,2036,2037,2038,2039,2040,2041,2042,2043,2044,2045,2046,2047,2048,2049,2050,2051,2052,2053,2054,2055,2056,2057,2058,2059}</definedName>
    <definedName name="adjShpStdlrg_Com" localSheetId="6">Shipments!zElastlrg_Com</definedName>
    <definedName name="adjShpStdlrg_Res" localSheetId="6">Shipments!zElastlrg_Res</definedName>
    <definedName name="adjShpStdmed_Com" localSheetId="6">Shipments!zElastmed_Com</definedName>
    <definedName name="adjShpStdmed_Res" localSheetId="6">Shipments!zElastmed_Res</definedName>
    <definedName name="adjShpStdsml_Com" localSheetId="6">Shipments!zElastsml_Com</definedName>
    <definedName name="adjShpStdsml_Res" localSheetId="6">Shipments!zElastsml_Res</definedName>
    <definedName name="anlPer">"allPC"</definedName>
    <definedName name="baseCSL" localSheetId="3">INDEX(_base,2)</definedName>
    <definedName name="baseCSL" localSheetId="2">INDEX(_base,1)</definedName>
    <definedName name="baseCSL" localSheetId="4">INDEX(_base,3)</definedName>
    <definedName name="bAutoFit">Tables!$C$44</definedName>
    <definedName name="bBaseline">FALSE</definedName>
    <definedName name="bcCons" localSheetId="3">'CADR 100-149'!bcCons_Res+'CADR 100-149'!bcCons_Com</definedName>
    <definedName name="bcCons" localSheetId="2">'CADR 10-99'!bcCons_Res+'CADR 10-99'!bcCons_Com</definedName>
    <definedName name="bcCons" localSheetId="4">'CADR 150+'!bcCons_Res+'CADR 150+'!bcCons_Com</definedName>
    <definedName name="bcCons_Com" localSheetId="3">OFFSET('CADR 100-149'!tlccFmElecBC_Com,0,yShift,1,nPer)*OFFSET(IF(bStdShipm,tShpmedStd_Com,tShpmedBC_Com),0,yShift,1,nPer)</definedName>
    <definedName name="bcCons_Com" localSheetId="2">OFFSET('CADR 10-99'!tlccFmElecBC_Com,0,yShift,1,nPer)*OFFSET(IF(bStdShipm,tShpsmlStd_Com,tShpsmlBC_Com),0,yShift,1,nPer)</definedName>
    <definedName name="bcCons_Com" localSheetId="4">OFFSET('CADR 150+'!tlccFmElecBC_Com,0,yShift,1,nPer)*OFFSET(IF(bStdShipm,tShplrgStd_Com,tShplrgBC_Com),0,yShift,1,nPer)</definedName>
    <definedName name="bcCons_Res" localSheetId="3">OFFSET('CADR 100-149'!tlccFmElecBC_Res,0,yShift,1,nPer)*OFFSET(IF(bStdShipm,tShpmedStd_Res,tShpmedBC_Res),0,yShift,1,nPer)</definedName>
    <definedName name="bcCons_Res" localSheetId="2">OFFSET('CADR 10-99'!tlccFmElecBC_Res,0,yShift,1,nPer)*OFFSET(IF(bStdShipm,tShpsmlStd_Res,tShpsmlBC_Res),0,yShift,1,nPer)</definedName>
    <definedName name="bcCons_Res" localSheetId="4">OFFSET('CADR 150+'!tlccFmElecBC_Res,0,yShift,1,nPer)*OFFSET(IF(bStdShipm,tShplrgStd_Res,tShplrgBC_Res),0,yShift,1,nPer)</definedName>
    <definedName name="bcEff_Com" localSheetId="3">'CADR 100-149'!$E$113:$AN$117</definedName>
    <definedName name="bcEff_Com" localSheetId="2">'CADR 10-99'!$E$113:$AN$117</definedName>
    <definedName name="bcEff_Com" localSheetId="4">'CADR 150+'!$E$113:$AN$117</definedName>
    <definedName name="bcEff_Res" localSheetId="3">'CADR 100-149'!$E$57:$AN$61</definedName>
    <definedName name="bcEff_Res" localSheetId="2">'CADR 10-99'!$E$57:$AN$61</definedName>
    <definedName name="bcEff_Res" localSheetId="4">'CADR 150+'!$E$57:$AN$61</definedName>
    <definedName name="bcEfflrg_Com">'CADR 150+'!$E$113:$AN$117</definedName>
    <definedName name="bcEfflrg_Res">'CADR 150+'!$E$57:$AN$61</definedName>
    <definedName name="bcEffmed_Com">'CADR 100-149'!$E$113:$AN$117</definedName>
    <definedName name="bcEffmed_Res">'CADR 100-149'!$E$57:$AN$61</definedName>
    <definedName name="bcEffsml_Com">'CADR 10-99'!$E$113:$AN$117</definedName>
    <definedName name="bcEffsml_Res">'CADR 10-99'!$E$57:$AN$61</definedName>
    <definedName name="bclrg_Com">'PC Inputs'!$O$30:$S$30</definedName>
    <definedName name="bclrg_Res">'PC Inputs'!$E$30:$I$30</definedName>
    <definedName name="bcmed_Com">'PC Inputs'!$O$21:$S$21</definedName>
    <definedName name="bcmed_Res">'PC Inputs'!$E$21:$I$21</definedName>
    <definedName name="bcsml_Com">'PC Inputs'!$O$12:$S$12</definedName>
    <definedName name="bcsml_Res">'PC Inputs'!$E$12:$I$12</definedName>
    <definedName name="bDelay">FALSE</definedName>
    <definedName name="bEffTables">FALSE</definedName>
    <definedName name="bElast">sElast="Yes"</definedName>
    <definedName name="bElastTIC">sElastCost="TIC"</definedName>
    <definedName name="bElec">TRUE</definedName>
    <definedName name="bIs2Tier">TRUE</definedName>
    <definedName name="bRepair">FALSE</definedName>
    <definedName name="bRetail">TRUE</definedName>
    <definedName name="bShipmPol">TRUE</definedName>
    <definedName name="bStdShipm">IF(sStdShipm="Auto",bElast,sStdShipm)</definedName>
    <definedName name="bSwitch">FALSE</definedName>
    <definedName name="BuilderVersion">"myGen v2022-6q.xlsm"</definedName>
    <definedName name="BuildingDate">"Nov, 03 2022 03:34:39 PM"</definedName>
    <definedName name="bVAdAll">FALSE</definedName>
    <definedName name="bVarComp">TRUE</definedName>
    <definedName name="csl1lrg">INDEX(_tslMap1,3,iTSL)</definedName>
    <definedName name="csl1med">INDEX(_tslMap1,2,iTSL)</definedName>
    <definedName name="csl1sml">INDEX(_tslMap1,1,iTSL)</definedName>
    <definedName name="csl2lrg">INDEX(_tslMap2,3,iTSL)</definedName>
    <definedName name="csl2med">INDEX(_tslMap2,2,iTSL)</definedName>
    <definedName name="csl2sml">INDEX(_tslMap2,1,iTSL)</definedName>
    <definedName name="csllrg">IF(TRANSPOSE(_yS)&lt;yearC,0,IF(TRANSPOSE(_yS)&lt;yearC2,csl1lrg,csl2lrg))</definedName>
    <definedName name="cslmed">IF(TRANSPOSE(_yS)&lt;yearC,0,IF(TRANSPOSE(_yS)&lt;yearC2,csl1med,csl2med))</definedName>
    <definedName name="cslsml">IF(TRANSPOSE(_yS)&lt;yearC,0,IF(TRANSPOSE(_yS)&lt;yearC2,csl1sml,csl2sml))</definedName>
    <definedName name="dFactor">Tables!$C$27:$V$27</definedName>
    <definedName name="doEff" localSheetId="3">'CADR 100-149'!$E$156:$E$160</definedName>
    <definedName name="doEff" localSheetId="2">'CADR 10-99'!$E$156:$E$160</definedName>
    <definedName name="doEff" localSheetId="4">'CADR 150+'!$E$156:$E$160</definedName>
    <definedName name="dRate">Summary!$D$4</definedName>
    <definedName name="dynMR">"Dynamic"</definedName>
    <definedName name="ecs_Com" localSheetId="3">OFFSET('CADR 100-149'!tecs_Com,0,yShift,1,nPer)</definedName>
    <definedName name="ecs_Com" localSheetId="2">OFFSET('CADR 10-99'!tecs_Com,0,yShift,1,nPer)</definedName>
    <definedName name="ecs_Com" localSheetId="4">OFFSET('CADR 150+'!tecs_Com,0,yShift,1,nPer)</definedName>
    <definedName name="ecs_Res" localSheetId="3">OFFSET('CADR 100-149'!tecs_Res,0,yShift,1,nPer)</definedName>
    <definedName name="ecs_Res" localSheetId="2">OFFSET('CADR 10-99'!tecs_Res,0,yShift,1,nPer)</definedName>
    <definedName name="ecs_Res" localSheetId="4">OFFSET('CADR 150+'!tecs_Res,0,yShift,1,nPer)</definedName>
    <definedName name="eff0BC_Com" localSheetId="3">INDEX('CADR 100-149'!bcEff_Com,,COLUMN('CADR 100-149'!pushBC_Com)-(COLUMN('CADR 100-149'!bcEff_Com)-1)-1)</definedName>
    <definedName name="eff0BC_Com" localSheetId="2">INDEX('CADR 10-99'!bcEff_Com,,COLUMN('CADR 10-99'!pushBC_Com)-(COLUMN('CADR 10-99'!bcEff_Com)-1)-1)</definedName>
    <definedName name="eff0BC_Com" localSheetId="4">INDEX('CADR 150+'!bcEff_Com,,COLUMN('CADR 150+'!pushBC_Com)-(COLUMN('CADR 150+'!bcEff_Com)-1)-1)</definedName>
    <definedName name="eff0BC_Res" localSheetId="3">INDEX('CADR 100-149'!bcEff_Res,,COLUMN('CADR 100-149'!pushBC_Res)-(COLUMN('CADR 100-149'!bcEff_Res)-1)-1)</definedName>
    <definedName name="eff0BC_Res" localSheetId="2">INDEX('CADR 10-99'!bcEff_Res,,COLUMN('CADR 10-99'!pushBC_Res)-(COLUMN('CADR 10-99'!bcEff_Res)-1)-1)</definedName>
    <definedName name="eff0BC_Res" localSheetId="4">INDEX('CADR 150+'!bcEff_Res,,COLUMN('CADR 150+'!pushBC_Res)-(COLUMN('CADR 150+'!bcEff_Res)-1)-1)</definedName>
    <definedName name="eff0Pol_Com" localSheetId="3">INDEX('CADR 100-149'!polEff_Com,,COLUMN('CADR 100-149'!pushPol_Com)-(COLUMN('CADR 100-149'!polEff_Com)-1)-1)</definedName>
    <definedName name="eff0Pol_Com" localSheetId="2">INDEX('CADR 10-99'!polEff_Com,,COLUMN('CADR 10-99'!pushPol_Com)-(COLUMN('CADR 10-99'!polEff_Com)-1)-1)</definedName>
    <definedName name="eff0Pol_Com" localSheetId="4">INDEX('CADR 150+'!polEff_Com,,COLUMN('CADR 150+'!pushPol_Com)-(COLUMN('CADR 150+'!polEff_Com)-1)-1)</definedName>
    <definedName name="eff0Pol_Res" localSheetId="3">INDEX('CADR 100-149'!polEff_Res,,COLUMN('CADR 100-149'!pushPol_Res)-(COLUMN('CADR 100-149'!polEff_Res)-1)-1)</definedName>
    <definedName name="eff0Pol_Res" localSheetId="2">INDEX('CADR 10-99'!polEff_Res,,COLUMN('CADR 10-99'!pushPol_Res)-(COLUMN('CADR 10-99'!polEff_Res)-1)-1)</definedName>
    <definedName name="eff0Pol_Res" localSheetId="4">INDEX('CADR 150+'!polEff_Res,,COLUMN('CADR 150+'!pushPol_Res)-(COLUMN('CADR 150+'!polEff_Res)-1)-1)</definedName>
    <definedName name="effGoalBC_Com" localSheetId="3">'CADR 100-149'!effMkt1BC_Com*'CADR 100-149'!trendEffBCnorm_Com</definedName>
    <definedName name="effGoalBC_Com" localSheetId="2">'CADR 10-99'!effMkt1BC_Com*'CADR 10-99'!trendEffBCnorm_Com</definedName>
    <definedName name="effGoalBC_Com" localSheetId="4">'CADR 150+'!effMkt1BC_Com*'CADR 150+'!trendEffBCnorm_Com</definedName>
    <definedName name="effGoalBC_Res" localSheetId="3">'CADR 100-149'!effMkt1BC_Res*'CADR 100-149'!trendEffBCnorm_Res</definedName>
    <definedName name="effGoalBC_Res" localSheetId="2">'CADR 10-99'!effMkt1BC_Res*'CADR 10-99'!trendEffBCnorm_Res</definedName>
    <definedName name="effGoalBC_Res" localSheetId="4">'CADR 150+'!effMkt1BC_Res*'CADR 150+'!trendEffBCnorm_Res</definedName>
    <definedName name="effGoalPol_Com" localSheetId="3">'CADR 100-149'!effMkt1Pol_Com*'CADR 100-149'!trendEffPolnorm_Com</definedName>
    <definedName name="effGoalPol_Com" localSheetId="2">'CADR 10-99'!effMkt1Pol_Com*'CADR 10-99'!trendEffPolnorm_Com</definedName>
    <definedName name="effGoalPol_Com" localSheetId="4">'CADR 150+'!effMkt1Pol_Com*'CADR 150+'!trendEffPolnorm_Com</definedName>
    <definedName name="effGoalPol_Res" localSheetId="3">'CADR 100-149'!effMkt1Pol_Res*'CADR 100-149'!trendEffPolnorm_Res</definedName>
    <definedName name="effGoalPol_Res" localSheetId="2">'CADR 10-99'!effMkt1Pol_Res*'CADR 10-99'!trendEffPolnorm_Res</definedName>
    <definedName name="effGoalPol_Res" localSheetId="4">'CADR 150+'!effMkt1Pol_Res*'CADR 150+'!trendEffPolnorm_Res</definedName>
    <definedName name="efflrg">'PC Inputs'!$E$28:$I$28</definedName>
    <definedName name="effmed">'PC Inputs'!$E$19:$I$19</definedName>
    <definedName name="effMkt1BC_Com" localSheetId="3">SUMPRODUCT('CADR 100-149'!doEff,INDEX('CADR 100-149'!bcEff_Com,,1))</definedName>
    <definedName name="effMkt1BC_Com" localSheetId="2">SUMPRODUCT('CADR 10-99'!doEff,INDEX('CADR 10-99'!bcEff_Com,,1))</definedName>
    <definedName name="effMkt1BC_Com" localSheetId="4">SUMPRODUCT('CADR 150+'!doEff,INDEX('CADR 150+'!bcEff_Com,,1))</definedName>
    <definedName name="effMkt1BC_Res" localSheetId="3">SUMPRODUCT('CADR 100-149'!doEff,INDEX('CADR 100-149'!bcEff_Res,,1))</definedName>
    <definedName name="effMkt1BC_Res" localSheetId="2">SUMPRODUCT('CADR 10-99'!doEff,INDEX('CADR 10-99'!bcEff_Res,,1))</definedName>
    <definedName name="effMkt1BC_Res" localSheetId="4">SUMPRODUCT('CADR 150+'!doEff,INDEX('CADR 150+'!bcEff_Res,,1))</definedName>
    <definedName name="effMkt1Pol_Com" localSheetId="3">SUMPRODUCT('CADR 100-149'!doEff,INDEX('CADR 100-149'!polEff_Com,,1))</definedName>
    <definedName name="effMkt1Pol_Com" localSheetId="2">SUMPRODUCT('CADR 10-99'!doEff,INDEX('CADR 10-99'!polEff_Com,,1))</definedName>
    <definedName name="effMkt1Pol_Com" localSheetId="4">SUMPRODUCT('CADR 150+'!doEff,INDEX('CADR 150+'!polEff_Com,,1))</definedName>
    <definedName name="effMkt1Pol_Res" localSheetId="3">SUMPRODUCT('CADR 100-149'!doEff,INDEX('CADR 100-149'!polEff_Res,,1))</definedName>
    <definedName name="effMkt1Pol_Res" localSheetId="2">SUMPRODUCT('CADR 10-99'!doEff,INDEX('CADR 10-99'!polEff_Res,,1))</definedName>
    <definedName name="effMkt1Pol_Res" localSheetId="4">SUMPRODUCT('CADR 150+'!doEff,INDEX('CADR 150+'!polEff_Res,,1))</definedName>
    <definedName name="effsml">'PC Inputs'!$E$10:$I$10</definedName>
    <definedName name="effTrend">Tables!$C$35</definedName>
    <definedName name="effTrendG">N(effTrend="Geometric")</definedName>
    <definedName name="effTrendL">N(effTrend="Linear")</definedName>
    <definedName name="eleclrg_Com">'PC Inputs'!$O$29:$S$29</definedName>
    <definedName name="eleclrg_Res">'PC Inputs'!$E$29:$I$29</definedName>
    <definedName name="elecmed_Com">'PC Inputs'!$O$20:$S$20</definedName>
    <definedName name="elecmed_Res">'PC Inputs'!$E$20:$I$20</definedName>
    <definedName name="elecsml_Com">'PC Inputs'!$O$11:$S$11</definedName>
    <definedName name="elecsml_Res">'PC Inputs'!$E$11:$I$11</definedName>
    <definedName name="elIsAbove" localSheetId="3">N(OFFSET(_i,0,0,1,'CADR 100-149'!nEL)-1&gt;'CADR 100-149'!stdCSL)</definedName>
    <definedName name="elIsAbove" localSheetId="2">N(OFFSET(_i,0,0,1,'CADR 10-99'!nEL)-1&gt;'CADR 10-99'!stdCSL)</definedName>
    <definedName name="elIsAbove" localSheetId="4">N(OFFSET(_i,0,0,1,'CADR 150+'!nEL)-1&gt;'CADR 150+'!stdCSL)</definedName>
    <definedName name="elIsBelow" localSheetId="3">N(OFFSET(_i,0,0,1,'CADR 100-149'!nEL)-1&lt;'CADR 100-149'!stdCSL)</definedName>
    <definedName name="elIsBelow" localSheetId="2">N(OFFSET(_i,0,0,1,'CADR 10-99'!nEL)-1&lt;'CADR 10-99'!stdCSL)</definedName>
    <definedName name="elIsBelow" localSheetId="4">N(OFFSET(_i,0,0,1,'CADR 150+'!nEL)-1&lt;'CADR 150+'!stdCSL)</definedName>
    <definedName name="elIsStd" localSheetId="3">N(OFFSET(_i,0,0,1,'CADR 100-149'!nEL)-1='CADR 100-149'!stdCSL)</definedName>
    <definedName name="elIsStd" localSheetId="2">N(OFFSET(_i,0,0,1,'CADR 10-99'!nEL)-1='CADR 10-99'!stdCSL)</definedName>
    <definedName name="elIsStd" localSheetId="4">N(OFFSET(_i,0,0,1,'CADR 150+'!nEL)-1='CADR 150+'!stdCSL)</definedName>
    <definedName name="elShpStd_Com" localSheetId="3">N(bElast)*'CADR 100-149'!bcEff_Com*(tShpmedBC_Com*(1-TRANSPOSE(N('CADR 100-149'!elIsBelow))*-Shipments!adjShpStdmed_Com))</definedName>
    <definedName name="elShpStd_Com" localSheetId="2">N(bElast)*'CADR 10-99'!bcEff_Com*(tShpsmlBC_Com*(1-TRANSPOSE(N('CADR 10-99'!elIsBelow))*-Shipments!adjShpStdsml_Com))</definedName>
    <definedName name="elShpStd_Com" localSheetId="4">N(bElast)*'CADR 150+'!bcEff_Com*(tShplrgBC_Com*(1-TRANSPOSE(N('CADR 150+'!elIsBelow))*-Shipments!adjShpStdlrg_Com))</definedName>
    <definedName name="elShpStd_Res" localSheetId="3">N(bElast)*'CADR 100-149'!bcEff_Res*(tShpmedBC_Res*(1-TRANSPOSE(N('CADR 100-149'!elIsBelow))*-Shipments!adjShpStdmed_Res))</definedName>
    <definedName name="elShpStd_Res" localSheetId="2">N(bElast)*'CADR 10-99'!bcEff_Res*(tShpsmlBC_Res*(1-TRANSPOSE(N('CADR 10-99'!elIsBelow))*-Shipments!adjShpStdsml_Res))</definedName>
    <definedName name="elShpStd_Res" localSheetId="4">N(bElast)*'CADR 150+'!bcEff_Res*(tShplrgBC_Res*(1-TRANSPOSE(N('CADR 150+'!elIsBelow))*-Shipments!adjShpStdlrg_Res))</definedName>
    <definedName name="hasAgg">FALSE</definedName>
    <definedName name="hasEIdx">FALSE</definedName>
    <definedName name="hasElast">TRUE</definedName>
    <definedName name="hasElastScen">FALSE</definedName>
    <definedName name="hasIIdx">FALSE</definedName>
    <definedName name="hasPIdx">TRUE</definedName>
    <definedName name="hasRebound">FALSE</definedName>
    <definedName name="hasSegm">TRUE</definedName>
    <definedName name="hasShpTables">FALSE</definedName>
    <definedName name="hasSScen">TRUE</definedName>
    <definedName name="hasSwitch">FALSE</definedName>
    <definedName name="iAEO">MATCH(sAEO,{"Reference","Low","High"},0)</definedName>
    <definedName name="iec_Com" localSheetId="3">OFFSET('CADR 100-149'!tiec_Com,0,yShift,1,nPer)</definedName>
    <definedName name="iec_Com" localSheetId="2">OFFSET('CADR 10-99'!tiec_Com,0,yShift,1,nPer)</definedName>
    <definedName name="iec_Com" localSheetId="4">OFFSET('CADR 150+'!tiec_Com,0,yShift,1,nPer)</definedName>
    <definedName name="iec_Res" localSheetId="3">OFFSET('CADR 100-149'!tiec_Res,0,yShift,1,nPer)</definedName>
    <definedName name="iec_Res" localSheetId="2">OFFSET('CADR 10-99'!tiec_Res,0,yShift,1,nPer)</definedName>
    <definedName name="iec_Res" localSheetId="4">OFFSET('CADR 150+'!tiec_Res,0,yShift,1,nPer)</definedName>
    <definedName name="iEnergy">MATCH(sEnergy,_Energy,0)</definedName>
    <definedName name="iFuelPC">{1,0,0,0,0;1,0,0,0,0;1,0,0,0,0}</definedName>
    <definedName name="instlrg">'PC Inputs'!$E$26:$I$26</definedName>
    <definedName name="instmed">'PC Inputs'!$E$17:$I$17</definedName>
    <definedName name="instsml">'PC Inputs'!$E$8:$I$8</definedName>
    <definedName name="iPC" localSheetId="3">2</definedName>
    <definedName name="iPC" localSheetId="2">1</definedName>
    <definedName name="iPC" localSheetId="4">3</definedName>
    <definedName name="iPIdx">MATCH(sPIdx,_PIdx,0)</definedName>
    <definedName name="isNCNORpl">FALSE</definedName>
    <definedName name="iSScen">MATCH(sSScen,_SScen,0)</definedName>
    <definedName name="iTSL">MATCH(sTSL,_TSL,0)</definedName>
    <definedName name="kdoEff0" localSheetId="3">'CADR 100-149'!$E$156</definedName>
    <definedName name="kdoEff0" localSheetId="2">'CADR 10-99'!$E$156</definedName>
    <definedName name="kdoEff0" localSheetId="4">'CADR 150+'!$E$156</definedName>
    <definedName name="kdoEff1" localSheetId="3">'CADR 100-149'!$E$157</definedName>
    <definedName name="kdoEff1" localSheetId="2">'CADR 10-99'!$E$157</definedName>
    <definedName name="kdoEff1" localSheetId="4">'CADR 150+'!$E$157</definedName>
    <definedName name="kdoEff2" localSheetId="3">'CADR 100-149'!$E$158</definedName>
    <definedName name="kdoEff2" localSheetId="2">'CADR 10-99'!$E$158</definedName>
    <definedName name="kdoEff2" localSheetId="4">'CADR 150+'!$E$158</definedName>
    <definedName name="kdoEff3" localSheetId="3">'CADR 100-149'!$E$159</definedName>
    <definedName name="kdoEff3" localSheetId="2">'CADR 10-99'!$E$159</definedName>
    <definedName name="kdoEff3" localSheetId="4">'CADR 150+'!$E$159</definedName>
    <definedName name="kdoEff4" localSheetId="3">'CADR 100-149'!$E$160</definedName>
    <definedName name="kdoEff4" localSheetId="2">'CADR 10-99'!$E$160</definedName>
    <definedName name="kdoEff4" localSheetId="4">'CADR 150+'!$E$160</definedName>
    <definedName name="kFuel">{"Elec"}</definedName>
    <definedName name="kPC">{"sml","med","lrg"}</definedName>
    <definedName name="lccTables">"SimpleLCC"</definedName>
    <definedName name="maxEff" localSheetId="3">INDEX('CADR 100-149'!doEff,COUNT('CADR 100-149'!doEff))</definedName>
    <definedName name="maxEff" localSheetId="2">INDEX('CADR 10-99'!doEff,COUNT('CADR 10-99'!doEff))</definedName>
    <definedName name="maxEff" localSheetId="4">INDEX('CADR 150+'!doEff,COUNT('CADR 150+'!doEff))</definedName>
    <definedName name="mRoll1_Com" localSheetId="3">IF({0,1,2,3,4}&lt;'CADR 100-149'!stdCSL1,IF({0;1;2;3;4}='CADR 100-149'!stdCSL1,'CADR 100-149'!polRoll_Com,IF({0,1,2,3,4}={0;1;2;3;4},1-'CADR 100-149'!polRoll_Com,0)),IF({0,1,2,3,4}={0;1;2;3;4},1,0))</definedName>
    <definedName name="mRoll1_Com" localSheetId="2">IF({0,1,2,3,4}&lt;'CADR 10-99'!stdCSL1,IF({0;1;2;3;4}='CADR 10-99'!stdCSL1,'CADR 10-99'!polRoll_Com,IF({0,1,2,3,4}={0;1;2;3;4},1-'CADR 10-99'!polRoll_Com,0)),IF({0,1,2,3,4}={0;1;2;3;4},1,0))</definedName>
    <definedName name="mRoll1_Com" localSheetId="4">IF({0,1,2,3,4}&lt;'CADR 150+'!stdCSL1,IF({0;1;2;3;4}='CADR 150+'!stdCSL1,'CADR 150+'!polRoll_Com,IF({0,1,2,3,4}={0;1;2;3;4},1-'CADR 150+'!polRoll_Com,0)),IF({0,1,2,3,4}={0;1;2;3;4},1,0))</definedName>
    <definedName name="mRoll1_Res" localSheetId="3">IF({0,1,2,3,4}&lt;'CADR 100-149'!stdCSL1,IF({0;1;2;3;4}='CADR 100-149'!stdCSL1,'CADR 100-149'!polRoll_Res,IF({0,1,2,3,4}={0;1;2;3;4},1-'CADR 100-149'!polRoll_Res,0)),IF({0,1,2,3,4}={0;1;2;3;4},1,0))</definedName>
    <definedName name="mRoll1_Res" localSheetId="2">IF({0,1,2,3,4}&lt;'CADR 10-99'!stdCSL1,IF({0;1;2;3;4}='CADR 10-99'!stdCSL1,'CADR 10-99'!polRoll_Res,IF({0,1,2,3,4}={0;1;2;3;4},1-'CADR 10-99'!polRoll_Res,0)),IF({0,1,2,3,4}={0;1;2;3;4},1,0))</definedName>
    <definedName name="mRoll1_Res" localSheetId="4">IF({0,1,2,3,4}&lt;'CADR 150+'!stdCSL1,IF({0;1;2;3;4}='CADR 150+'!stdCSL1,'CADR 150+'!polRoll_Res,IF({0,1,2,3,4}={0;1;2;3;4},1-'CADR 150+'!polRoll_Res,0)),IF({0,1,2,3,4}={0;1;2;3;4},1,0))</definedName>
    <definedName name="mRoll2_Com" localSheetId="3">IF({0,1,2,3,4}&lt;'CADR 100-149'!stdCSL2,IF({0;1;2;3;4}='CADR 100-149'!stdCSL2,'CADR 100-149'!polRoll_Com,IF({0,1,2,3,4}={0;1;2;3;4},1-'CADR 100-149'!polRoll_Com,0)),IF({0,1,2,3,4}={0;1;2;3;4},1,0))</definedName>
    <definedName name="mRoll2_Com" localSheetId="2">IF({0,1,2,3,4}&lt;'CADR 10-99'!stdCSL2,IF({0;1;2;3;4}='CADR 10-99'!stdCSL2,'CADR 10-99'!polRoll_Com,IF({0,1,2,3,4}={0;1;2;3;4},1-'CADR 10-99'!polRoll_Com,0)),IF({0,1,2,3,4}={0;1;2;3;4},1,0))</definedName>
    <definedName name="mRoll2_Com" localSheetId="4">IF({0,1,2,3,4}&lt;'CADR 150+'!stdCSL2,IF({0;1;2;3;4}='CADR 150+'!stdCSL2,'CADR 150+'!polRoll_Com,IF({0,1,2,3,4}={0;1;2;3;4},1-'CADR 150+'!polRoll_Com,0)),IF({0,1,2,3,4}={0;1;2;3;4},1,0))</definedName>
    <definedName name="mRoll2_Res" localSheetId="3">IF({0,1,2,3,4}&lt;'CADR 100-149'!stdCSL2,IF({0;1;2;3;4}='CADR 100-149'!stdCSL2,'CADR 100-149'!polRoll_Res,IF({0,1,2,3,4}={0;1;2;3;4},1-'CADR 100-149'!polRoll_Res,0)),IF({0,1,2,3,4}={0;1;2;3;4},1,0))</definedName>
    <definedName name="mRoll2_Res" localSheetId="2">IF({0,1,2,3,4}&lt;'CADR 10-99'!stdCSL2,IF({0;1;2;3;4}='CADR 10-99'!stdCSL2,'CADR 10-99'!polRoll_Res,IF({0,1,2,3,4}={0;1;2;3;4},1-'CADR 10-99'!polRoll_Res,0)),IF({0,1,2,3,4}={0;1;2;3;4},1,0))</definedName>
    <definedName name="mRoll2_Res" localSheetId="4">IF({0,1,2,3,4}&lt;'CADR 150+'!stdCSL2,IF({0;1;2;3;4}='CADR 150+'!stdCSL2,'CADR 150+'!polRoll_Res,IF({0,1,2,3,4}={0;1;2;3;4},1-'CADR 150+'!polRoll_Res,0)),IF({0,1,2,3,4}={0;1;2;3;4},1,0))</definedName>
    <definedName name="msplrg_Com">'PC Inputs'!$O$25:$S$25</definedName>
    <definedName name="msplrg_Res">'PC Inputs'!$E$25:$I$25</definedName>
    <definedName name="mspmed_Com">'PC Inputs'!$O$16:$S$16</definedName>
    <definedName name="mspmed_Res">'PC Inputs'!$E$16:$I$16</definedName>
    <definedName name="mspsml_Com">'PC Inputs'!$O$7:$S$7</definedName>
    <definedName name="mspsml_Res">'PC Inputs'!$E$7:$I$7</definedName>
    <definedName name="nDO">{5,5,5}</definedName>
    <definedName name="nEL" localSheetId="3">COUNT('CADR 100-149'!_el)</definedName>
    <definedName name="nEL" localSheetId="2">COUNT('CADR 10-99'!_el)</definedName>
    <definedName name="nEL" localSheetId="4">COUNT('CADR 150+'!_el)</definedName>
    <definedName name="nPer">CHOOSE(MATCH(sPer,{"Full","Short"},0),IFERROR(INDEX(tslNYears,iTSL),30),9)</definedName>
    <definedName name="outElastEIA">Tables!$D$42</definedName>
    <definedName name="outElastMIA">Tables!$E$42</definedName>
    <definedName name="outElastNIAplus">Tables!$C$42</definedName>
    <definedName name="polEff_Com" localSheetId="3">'CADR 100-149'!$E$101:$AN$105</definedName>
    <definedName name="polEff_Com" localSheetId="2">'CADR 10-99'!$E$101:$AN$105</definedName>
    <definedName name="polEff_Com" localSheetId="4">'CADR 150+'!$E$101:$AN$105</definedName>
    <definedName name="polEff_Res" localSheetId="3">'CADR 100-149'!$E$45:$AN$49</definedName>
    <definedName name="polEff_Res" localSheetId="2">'CADR 10-99'!$E$45:$AN$49</definedName>
    <definedName name="polEff_Res" localSheetId="4">'CADR 150+'!$E$45:$AN$49</definedName>
    <definedName name="polEfflrg_Com">'CADR 150+'!$E$101:$AN$105</definedName>
    <definedName name="polEfflrg_Res">'CADR 150+'!$E$45:$AN$49</definedName>
    <definedName name="polEffmed_Com">'CADR 100-149'!$E$101:$AN$105</definedName>
    <definedName name="polEffmed_Res">'CADR 100-149'!$E$45:$AN$49</definedName>
    <definedName name="polEffsml_Com">'CADR 10-99'!$E$101:$AN$105</definedName>
    <definedName name="polEffsml_Res">'CADR 10-99'!$E$45:$AN$49</definedName>
    <definedName name="polRoll_Com" localSheetId="3">1</definedName>
    <definedName name="polRoll_Com" localSheetId="2">1</definedName>
    <definedName name="polRoll_Com" localSheetId="4">1</definedName>
    <definedName name="polRoll_Res" localSheetId="3">1</definedName>
    <definedName name="polRoll_Res" localSheetId="2">1</definedName>
    <definedName name="polRoll_Res" localSheetId="4">1</definedName>
    <definedName name="pullBC_Com" localSheetId="3">OFFSET('CADR 100-149'!pushBC_Com,-1,0)</definedName>
    <definedName name="pullBC_Com" localSheetId="2">OFFSET('CADR 10-99'!pushBC_Com,-1,0)</definedName>
    <definedName name="pullBC_Com" localSheetId="4">OFFSET('CADR 150+'!pushBC_Com,-1,0)</definedName>
    <definedName name="pullBC_Res" localSheetId="3">OFFSET('CADR 100-149'!pushBC_Res,-1,0)</definedName>
    <definedName name="pullBC_Res" localSheetId="2">OFFSET('CADR 10-99'!pushBC_Res,-1,0)</definedName>
    <definedName name="pullBC_Res" localSheetId="4">OFFSET('CADR 150+'!pushBC_Res,-1,0)</definedName>
    <definedName name="pullPol_Com" localSheetId="3">OFFSET('CADR 100-149'!pushPol_Com,-1,0)</definedName>
    <definedName name="pullPol_Com" localSheetId="2">OFFSET('CADR 10-99'!pushPol_Com,-1,0)</definedName>
    <definedName name="pullPol_Com" localSheetId="4">OFFSET('CADR 150+'!pushPol_Com,-1,0)</definedName>
    <definedName name="pullPol_Res" localSheetId="3">OFFSET('CADR 100-149'!pushPol_Res,-1,0)</definedName>
    <definedName name="pullPol_Res" localSheetId="2">OFFSET('CADR 10-99'!pushPol_Res,-1,0)</definedName>
    <definedName name="pullPol_Res" localSheetId="4">OFFSET('CADR 150+'!pushPol_Res,-1,0)</definedName>
    <definedName name="pushBC_Com" localSheetId="3">'CADR 100-149'!A$142:A$146</definedName>
    <definedName name="pushBC_Com" localSheetId="2">'CADR 10-99'!A$142:A$146</definedName>
    <definedName name="pushBC_Com" localSheetId="4">'CADR 150+'!A$142:A$146</definedName>
    <definedName name="pushBC_Res" localSheetId="3">'CADR 100-149'!A$86:A$90</definedName>
    <definedName name="pushBC_Res" localSheetId="2">'CADR 10-99'!A$86:A$90</definedName>
    <definedName name="pushBC_Res" localSheetId="4">'CADR 150+'!A$86:A$90</definedName>
    <definedName name="pushPol_Com" localSheetId="3">'CADR 100-149'!A$127:A$131</definedName>
    <definedName name="pushPol_Com" localSheetId="2">'CADR 10-99'!A$127:A$131</definedName>
    <definedName name="pushPol_Com" localSheetId="4">'CADR 150+'!A$127:A$131</definedName>
    <definedName name="pushPol_Res" localSheetId="3">'CADR 100-149'!A$71:A$75</definedName>
    <definedName name="pushPol_Res" localSheetId="2">'CADR 10-99'!A$71:A$75</definedName>
    <definedName name="pushPol_Res" localSheetId="4">'CADR 150+'!A$71:A$75</definedName>
    <definedName name="refCSL" localSheetId="3">('CADR 100-149'!stdCSL&gt;'CADR 100-149'!baseCSL)*'CADR 100-149'!baseCSL</definedName>
    <definedName name="refCSL" localSheetId="2">('CADR 10-99'!stdCSL&gt;'CADR 10-99'!baseCSL)*'CADR 10-99'!baseCSL</definedName>
    <definedName name="refCSL" localSheetId="4">('CADR 150+'!stdCSL&gt;'CADR 150+'!baseCSL)*'CADR 150+'!baseCSL</definedName>
    <definedName name="refEff_Com" localSheetId="3">'CADR 100-149'!$E$107:$AN$111</definedName>
    <definedName name="refEff_Com" localSheetId="2">'CADR 10-99'!$E$107:$AN$111</definedName>
    <definedName name="refEff_Com" localSheetId="4">'CADR 150+'!$E$107:$AN$111</definedName>
    <definedName name="refEff_Res" localSheetId="3">'CADR 100-149'!$E$51:$AN$55</definedName>
    <definedName name="refEff_Res" localSheetId="2">'CADR 10-99'!$E$51:$AN$55</definedName>
    <definedName name="refEff_Res" localSheetId="4">'CADR 150+'!$E$51:$AN$55</definedName>
    <definedName name="repairELlrg_Com" localSheetId="4">-rprELlrg_Com+TRANSPOSE('CADR 150+'!elIsStd)*(deltaHStklrg-MMULT(OFFSET(_i,0,0,1,_nDO3)/OFFSET(_i,0,0,1,_nDO3),-rprELlrg_Com))</definedName>
    <definedName name="repairELlrg_Res" localSheetId="4">-rprELlrg_Res+TRANSPOSE('CADR 150+'!elIsStd)*(deltaHStklrg-MMULT(OFFSET(_i,0,0,1,_nDO3)/OFFSET(_i,0,0,1,_nDO3),-rprELlrg_Res))</definedName>
    <definedName name="repairELmed_Com" localSheetId="3">-rprELmed_Com+TRANSPOSE('CADR 100-149'!elIsStd)*(deltaHStkmed-MMULT(OFFSET(_i,0,0,1,_nDO2)/OFFSET(_i,0,0,1,_nDO2),-rprELmed_Com))</definedName>
    <definedName name="repairELmed_Res" localSheetId="3">-rprELmed_Res+TRANSPOSE('CADR 100-149'!elIsStd)*(deltaHStkmed-MMULT(OFFSET(_i,0,0,1,_nDO2)/OFFSET(_i,0,0,1,_nDO2),-rprELmed_Res))</definedName>
    <definedName name="repairELsml_Com" localSheetId="2">-rprELsml_Com+TRANSPOSE('CADR 10-99'!elIsStd)*(deltaHStksml-MMULT(OFFSET(_i,0,0,1,_nDO1)/OFFSET(_i,0,0,1,_nDO1),-rprELsml_Com))</definedName>
    <definedName name="repairELsml_Res" localSheetId="2">-rprELsml_Res+TRANSPOSE('CADR 10-99'!elIsStd)*(deltaHStksml-MMULT(OFFSET(_i,0,0,1,_nDO1)/OFFSET(_i,0,0,1,_nDO1),-rprELsml_Res))</definedName>
    <definedName name="runEIA">"User215: 1/3/23 10:24:21 AM"</definedName>
    <definedName name="runMIA">"Evan Neill: 12/5/2022 3:08:09 PM"</definedName>
    <definedName name="runNIAp">"Evan Neill: 12/8/2022 11:12:27 AM"</definedName>
    <definedName name="sAEO">Summary!$D$3</definedName>
    <definedName name="savElec_Com" localSheetId="3">OFFSET('CADR 100-149'!tsavElec_Com,0,yShift,1,nPer)</definedName>
    <definedName name="savElec_Com" localSheetId="2">OFFSET('CADR 10-99'!tsavElec_Com,0,yShift,1,nPer)</definedName>
    <definedName name="savElec_Com" localSheetId="4">OFFSET('CADR 150+'!tsavElec_Com,0,yShift,1,nPer)</definedName>
    <definedName name="savElec_Res" localSheetId="3">OFFSET('CADR 100-149'!tsavElec_Res,0,yShift,1,nPer)</definedName>
    <definedName name="savElec_Res" localSheetId="2">OFFSET('CADR 10-99'!tsavElec_Res,0,yShift,1,nPer)</definedName>
    <definedName name="savElec_Res" localSheetId="4">OFFSET('CADR 150+'!tsavElec_Res,0,yShift,1,nPer)</definedName>
    <definedName name="segmName">Tables!$B$12</definedName>
    <definedName name="sElast">Summary!$D$9</definedName>
    <definedName name="sElastCost">Tables!$C$37</definedName>
    <definedName name="sEnergy">Summary!$D$6</definedName>
    <definedName name="sFuelPC">{"Elec","","","","";"Elec","","","","";"Elec","","","",""}</definedName>
    <definedName name="sgmEff">TRUE</definedName>
    <definedName name="sgmEIdx">FALSE</definedName>
    <definedName name="sgmEnrg">TRUE</definedName>
    <definedName name="sgmFuel">TRUE</definedName>
    <definedName name="sgmInst">FALSE</definedName>
    <definedName name="sgmMR">TRUE</definedName>
    <definedName name="sgmMSP">TRUE</definedName>
    <definedName name="sgmPIdx">FALSE</definedName>
    <definedName name="sgmPSurv">TRUE</definedName>
    <definedName name="sgmShipm">TRUE</definedName>
    <definedName name="sgmVAd">FALSE</definedName>
    <definedName name="shipmScen">"AEO"</definedName>
    <definedName name="shpUnit" localSheetId="6">"mi units"</definedName>
    <definedName name="sPer">Summary!$D$5</definedName>
    <definedName name="sPIdx">Summary!$D$8</definedName>
    <definedName name="sPIdxHigh">Tables!$C$33</definedName>
    <definedName name="sPIdxLow">Tables!$C$32</definedName>
    <definedName name="sPIdxRef">Tables!$C$31</definedName>
    <definedName name="sSScen">"AEO "&amp;sAEO</definedName>
    <definedName name="sSScenHigh">"AEO High"</definedName>
    <definedName name="sSScenLow">"AEO Low"</definedName>
    <definedName name="sSScenRef">"AEO Reference"</definedName>
    <definedName name="sStdShipm">Tables!$C$39</definedName>
    <definedName name="stdCSL" localSheetId="3">IF(TRANSPOSE(_yS)&lt;yearC,0,IF(TRANSPOSE(_yS)&lt;yearC2,csl1med,csl2med))</definedName>
    <definedName name="stdCSL" localSheetId="2">IF(TRANSPOSE(_yS)&lt;yearC,0,IF(TRANSPOSE(_yS)&lt;yearC2,csl1sml,csl2sml))</definedName>
    <definedName name="stdCSL" localSheetId="4">IF(TRANSPOSE(_yS)&lt;yearC,0,IF(TRANSPOSE(_yS)&lt;yearC2,csl1lrg,csl2lrg))</definedName>
    <definedName name="stdCSL1" localSheetId="3">csl1med</definedName>
    <definedName name="stdCSL1" localSheetId="2">csl1sml</definedName>
    <definedName name="stdCSL1" localSheetId="4">csl1lrg</definedName>
    <definedName name="stdCSL2" localSheetId="3">csl2med</definedName>
    <definedName name="stdCSL2" localSheetId="2">csl2sml</definedName>
    <definedName name="stdCSL2" localSheetId="4">csl2lrg</definedName>
    <definedName name="sTSL">Summary!$D$11</definedName>
    <definedName name="Summ">Summary!$H$4:$J$8</definedName>
    <definedName name="Summ_Com">Summary!$H$24:$J$28</definedName>
    <definedName name="Summ_Res">Summary!$H$14:$J$18</definedName>
    <definedName name="summSens">0</definedName>
    <definedName name="t">'PC Inputs'!$E$10:$I$10</definedName>
    <definedName name="tBaseElec_Com" localSheetId="10">'Energy Price'!$E$41</definedName>
    <definedName name="tBaseElec_Res" localSheetId="10">'Energy Price'!$E$18</definedName>
    <definedName name="tbcEff0_Com" localSheetId="3">'CADR 100-149'!$E$113</definedName>
    <definedName name="tbcEff0_Com" localSheetId="2">'CADR 10-99'!$E$113</definedName>
    <definedName name="tbcEff0_Com" localSheetId="4">'CADR 150+'!$E$113</definedName>
    <definedName name="tbcEff0_Res" localSheetId="3">'CADR 100-149'!$E$57</definedName>
    <definedName name="tbcEff0_Res" localSheetId="2">'CADR 10-99'!$E$57</definedName>
    <definedName name="tbcEff0_Res" localSheetId="4">'CADR 150+'!$E$57</definedName>
    <definedName name="tbcEff1_Com" localSheetId="3">'CADR 100-149'!$E$114</definedName>
    <definedName name="tbcEff1_Com" localSheetId="2">'CADR 10-99'!$E$114</definedName>
    <definedName name="tbcEff1_Com" localSheetId="4">'CADR 150+'!$E$114</definedName>
    <definedName name="tbcEff1_Res" localSheetId="3">'CADR 100-149'!$E$58</definedName>
    <definedName name="tbcEff1_Res" localSheetId="2">'CADR 10-99'!$E$58</definedName>
    <definedName name="tbcEff1_Res" localSheetId="4">'CADR 150+'!$E$58</definedName>
    <definedName name="tbcEff2_Com" localSheetId="3">'CADR 100-149'!$E$115</definedName>
    <definedName name="tbcEff2_Com" localSheetId="2">'CADR 10-99'!$E$115</definedName>
    <definedName name="tbcEff2_Com" localSheetId="4">'CADR 150+'!$E$115</definedName>
    <definedName name="tbcEff2_Res" localSheetId="3">'CADR 100-149'!$E$59</definedName>
    <definedName name="tbcEff2_Res" localSheetId="2">'CADR 10-99'!$E$59</definedName>
    <definedName name="tbcEff2_Res" localSheetId="4">'CADR 150+'!$E$59</definedName>
    <definedName name="tbcEff3_Com" localSheetId="3">'CADR 100-149'!$E$116</definedName>
    <definedName name="tbcEff3_Com" localSheetId="2">'CADR 10-99'!$E$116</definedName>
    <definedName name="tbcEff3_Com" localSheetId="4">'CADR 150+'!$E$116</definedName>
    <definedName name="tbcEff3_Res" localSheetId="3">'CADR 100-149'!$E$60</definedName>
    <definedName name="tbcEff3_Res" localSheetId="2">'CADR 10-99'!$E$60</definedName>
    <definedName name="tbcEff3_Res" localSheetId="4">'CADR 150+'!$E$60</definedName>
    <definedName name="tbcEff4_Com" localSheetId="3">'CADR 100-149'!$E$117</definedName>
    <definedName name="tbcEff4_Com" localSheetId="2">'CADR 10-99'!$E$117</definedName>
    <definedName name="tbcEff4_Com" localSheetId="4">'CADR 150+'!$E$117</definedName>
    <definedName name="tbcEff4_Res" localSheetId="3">'CADR 100-149'!$E$61</definedName>
    <definedName name="tbcEff4_Res" localSheetId="2">'CADR 10-99'!$E$61</definedName>
    <definedName name="tbcEff4_Res" localSheetId="4">'CADR 150+'!$E$61</definedName>
    <definedName name="tConvElec_Com">'Energy Factors'!$E$7:$BG$7</definedName>
    <definedName name="tConvElec_Res">'Energy Factors'!$E$6:$BG$6</definedName>
    <definedName name="tecs" localSheetId="3">'CADR 100-149'!$E$11:$AN$11</definedName>
    <definedName name="tecs" localSheetId="2">'CADR 10-99'!$E$11:$AN$11</definedName>
    <definedName name="tecs" localSheetId="4">'CADR 150+'!$E$11:$AN$11</definedName>
    <definedName name="tecs_Com" localSheetId="3">'CADR 100-149'!$E$13:$AN$13</definedName>
    <definedName name="tecs_Com" localSheetId="2">'CADR 10-99'!$E$13:$AN$13</definedName>
    <definedName name="tecs_Com" localSheetId="4">'CADR 150+'!$E$13:$AN$13</definedName>
    <definedName name="tecs_Res" localSheetId="3">'CADR 100-149'!$E$12:$AN$12</definedName>
    <definedName name="tecs_Res" localSheetId="2">'CADR 10-99'!$E$12:$AN$12</definedName>
    <definedName name="tecs_Res" localSheetId="4">'CADR 150+'!$E$12:$AN$12</definedName>
    <definedName name="teffPercBC_Com" localSheetId="3">'CADR 100-149'!$E$142:$AN$146</definedName>
    <definedName name="teffPercBC_Com" localSheetId="2">'CADR 10-99'!$E$142:$AN$146</definedName>
    <definedName name="teffPercBC_Com" localSheetId="4">'CADR 150+'!$E$142:$AN$146</definedName>
    <definedName name="teffPercBC_Res" localSheetId="3">'CADR 100-149'!$E$86:$AN$90</definedName>
    <definedName name="teffPercBC_Res" localSheetId="2">'CADR 10-99'!$E$86:$AN$90</definedName>
    <definedName name="teffPercBC_Res" localSheetId="4">'CADR 150+'!$E$86:$AN$90</definedName>
    <definedName name="teffPercBC0_Com" localSheetId="3">'CADR 100-149'!$E$142:$AN$142</definedName>
    <definedName name="teffPercBC0_Com" localSheetId="2">'CADR 10-99'!$E$142:$AN$142</definedName>
    <definedName name="teffPercBC0_Com" localSheetId="4">'CADR 150+'!$E$142:$AN$142</definedName>
    <definedName name="teffPercBC0_Res" localSheetId="3">'CADR 100-149'!$E$86:$AN$86</definedName>
    <definedName name="teffPercBC0_Res" localSheetId="2">'CADR 10-99'!$E$86:$AN$86</definedName>
    <definedName name="teffPercBC0_Res" localSheetId="4">'CADR 150+'!$E$86:$AN$86</definedName>
    <definedName name="teffPercBC1_Com" localSheetId="3">'CADR 100-149'!$E$143:$AN$143</definedName>
    <definedName name="teffPercBC1_Com" localSheetId="2">'CADR 10-99'!$E$143:$AN$143</definedName>
    <definedName name="teffPercBC1_Com" localSheetId="4">'CADR 150+'!$E$143:$AN$143</definedName>
    <definedName name="teffPercBC1_Res" localSheetId="3">'CADR 100-149'!$E$87:$AN$87</definedName>
    <definedName name="teffPercBC1_Res" localSheetId="2">'CADR 10-99'!$E$87:$AN$87</definedName>
    <definedName name="teffPercBC1_Res" localSheetId="4">'CADR 150+'!$E$87:$AN$87</definedName>
    <definedName name="teffPercBC2_Com" localSheetId="3">'CADR 100-149'!$E$144:$AN$144</definedName>
    <definedName name="teffPercBC2_Com" localSheetId="2">'CADR 10-99'!$E$144:$AN$144</definedName>
    <definedName name="teffPercBC2_Com" localSheetId="4">'CADR 150+'!$E$144:$AN$144</definedName>
    <definedName name="teffPercBC2_Res" localSheetId="3">'CADR 100-149'!$E$88:$AN$88</definedName>
    <definedName name="teffPercBC2_Res" localSheetId="2">'CADR 10-99'!$E$88:$AN$88</definedName>
    <definedName name="teffPercBC2_Res" localSheetId="4">'CADR 150+'!$E$88:$AN$88</definedName>
    <definedName name="teffPercBC3_Com" localSheetId="3">'CADR 100-149'!$E$145:$AN$145</definedName>
    <definedName name="teffPercBC3_Com" localSheetId="2">'CADR 10-99'!$E$145:$AN$145</definedName>
    <definedName name="teffPercBC3_Com" localSheetId="4">'CADR 150+'!$E$145:$AN$145</definedName>
    <definedName name="teffPercBC3_Res" localSheetId="3">'CADR 100-149'!$E$89:$AN$89</definedName>
    <definedName name="teffPercBC3_Res" localSheetId="2">'CADR 10-99'!$E$89:$AN$89</definedName>
    <definedName name="teffPercBC3_Res" localSheetId="4">'CADR 150+'!$E$89:$AN$89</definedName>
    <definedName name="teffPercBC4_Com" localSheetId="3">'CADR 100-149'!$E$146:$AN$146</definedName>
    <definedName name="teffPercBC4_Com" localSheetId="2">'CADR 10-99'!$E$146:$AN$146</definedName>
    <definedName name="teffPercBC4_Com" localSheetId="4">'CADR 150+'!$E$146:$AN$146</definedName>
    <definedName name="teffPercBC4_Res" localSheetId="3">'CADR 100-149'!$E$90:$AN$90</definedName>
    <definedName name="teffPercBC4_Res" localSheetId="2">'CADR 10-99'!$E$90:$AN$90</definedName>
    <definedName name="teffPercBC4_Res" localSheetId="4">'CADR 150+'!$E$90:$AN$90</definedName>
    <definedName name="teffPercPol_Com" localSheetId="3">'CADR 100-149'!$E$127:$AN$131</definedName>
    <definedName name="teffPercPol_Com" localSheetId="2">'CADR 10-99'!$E$127:$AN$131</definedName>
    <definedName name="teffPercPol_Com" localSheetId="4">'CADR 150+'!$E$127:$AN$131</definedName>
    <definedName name="teffPercPol_Res" localSheetId="3">'CADR 100-149'!$E$71:$AN$75</definedName>
    <definedName name="teffPercPol_Res" localSheetId="2">'CADR 10-99'!$E$71:$AN$75</definedName>
    <definedName name="teffPercPol_Res" localSheetId="4">'CADR 150+'!$E$71:$AN$75</definedName>
    <definedName name="teffPercPol0_Com" localSheetId="3">'CADR 100-149'!$E$127:$AN$127</definedName>
    <definedName name="teffPercPol0_Com" localSheetId="2">'CADR 10-99'!$E$127:$AN$127</definedName>
    <definedName name="teffPercPol0_Com" localSheetId="4">'CADR 150+'!$E$127:$AN$127</definedName>
    <definedName name="teffPercPol0_Res" localSheetId="3">'CADR 100-149'!$E$71:$AN$71</definedName>
    <definedName name="teffPercPol0_Res" localSheetId="2">'CADR 10-99'!$E$71:$AN$71</definedName>
    <definedName name="teffPercPol0_Res" localSheetId="4">'CADR 150+'!$E$71:$AN$71</definedName>
    <definedName name="teffPercPol1_Com" localSheetId="3">'CADR 100-149'!$E$128:$AN$128</definedName>
    <definedName name="teffPercPol1_Com" localSheetId="2">'CADR 10-99'!$E$128:$AN$128</definedName>
    <definedName name="teffPercPol1_Com" localSheetId="4">'CADR 150+'!$E$128:$AN$128</definedName>
    <definedName name="teffPercPol1_Res" localSheetId="3">'CADR 100-149'!$E$72:$AN$72</definedName>
    <definedName name="teffPercPol1_Res" localSheetId="2">'CADR 10-99'!$E$72:$AN$72</definedName>
    <definedName name="teffPercPol1_Res" localSheetId="4">'CADR 150+'!$E$72:$AN$72</definedName>
    <definedName name="teffPercPol2_Com" localSheetId="3">'CADR 100-149'!$E$129:$AN$129</definedName>
    <definedName name="teffPercPol2_Com" localSheetId="2">'CADR 10-99'!$E$129:$AN$129</definedName>
    <definedName name="teffPercPol2_Com" localSheetId="4">'CADR 150+'!$E$129:$AN$129</definedName>
    <definedName name="teffPercPol2_Res" localSheetId="3">'CADR 100-149'!$E$73:$AN$73</definedName>
    <definedName name="teffPercPol2_Res" localSheetId="2">'CADR 10-99'!$E$73:$AN$73</definedName>
    <definedName name="teffPercPol2_Res" localSheetId="4">'CADR 150+'!$E$73:$AN$73</definedName>
    <definedName name="teffPercPol3_Com" localSheetId="3">'CADR 100-149'!$E$130:$AN$130</definedName>
    <definedName name="teffPercPol3_Com" localSheetId="2">'CADR 10-99'!$E$130:$AN$130</definedName>
    <definedName name="teffPercPol3_Com" localSheetId="4">'CADR 150+'!$E$130:$AN$130</definedName>
    <definedName name="teffPercPol3_Res" localSheetId="3">'CADR 100-149'!$E$74:$AN$74</definedName>
    <definedName name="teffPercPol3_Res" localSheetId="2">'CADR 10-99'!$E$74:$AN$74</definedName>
    <definedName name="teffPercPol3_Res" localSheetId="4">'CADR 150+'!$E$74:$AN$74</definedName>
    <definedName name="teffPercPol4_Com" localSheetId="3">'CADR 100-149'!$E$131:$AN$131</definedName>
    <definedName name="teffPercPol4_Com" localSheetId="2">'CADR 10-99'!$E$131:$AN$131</definedName>
    <definedName name="teffPercPol4_Com" localSheetId="4">'CADR 150+'!$E$131:$AN$131</definedName>
    <definedName name="teffPercPol4_Res" localSheetId="3">'CADR 100-149'!$E$75:$AN$75</definedName>
    <definedName name="teffPercPol4_Res" localSheetId="2">'CADR 10-99'!$E$75:$AN$75</definedName>
    <definedName name="teffPercPol4_Res" localSheetId="4">'CADR 150+'!$E$75:$AN$75</definedName>
    <definedName name="teffSumBC_Com" localSheetId="3">'CADR 100-149'!$E$149:$AN$153</definedName>
    <definedName name="teffSumBC_Com" localSheetId="2">'CADR 10-99'!$E$149:$AN$153</definedName>
    <definedName name="teffSumBC_Com" localSheetId="4">'CADR 150+'!$E$149:$AN$153</definedName>
    <definedName name="teffSumBC_Res" localSheetId="3">'CADR 100-149'!$E$93:$AN$97</definedName>
    <definedName name="teffSumBC_Res" localSheetId="2">'CADR 10-99'!$E$93:$AN$97</definedName>
    <definedName name="teffSumBC_Res" localSheetId="4">'CADR 150+'!$E$93:$AN$97</definedName>
    <definedName name="teffSumBC0_Com" localSheetId="3">'CADR 100-149'!$E$149:$AN$149</definedName>
    <definedName name="teffSumBC0_Com" localSheetId="2">'CADR 10-99'!$E$149:$AN$149</definedName>
    <definedName name="teffSumBC0_Com" localSheetId="4">'CADR 150+'!$E$149:$AN$149</definedName>
    <definedName name="teffSumBC0_Res" localSheetId="3">'CADR 100-149'!$E$93:$AN$93</definedName>
    <definedName name="teffSumBC0_Res" localSheetId="2">'CADR 10-99'!$E$93:$AN$93</definedName>
    <definedName name="teffSumBC0_Res" localSheetId="4">'CADR 150+'!$E$93:$AN$93</definedName>
    <definedName name="teffSumBC1_Com" localSheetId="3">'CADR 100-149'!$E$150:$AN$150</definedName>
    <definedName name="teffSumBC1_Com" localSheetId="2">'CADR 10-99'!$E$150:$AN$150</definedName>
    <definedName name="teffSumBC1_Com" localSheetId="4">'CADR 150+'!$E$150:$AN$150</definedName>
    <definedName name="teffSumBC1_Res" localSheetId="3">'CADR 100-149'!$E$94:$AN$94</definedName>
    <definedName name="teffSumBC1_Res" localSheetId="2">'CADR 10-99'!$E$94:$AN$94</definedName>
    <definedName name="teffSumBC1_Res" localSheetId="4">'CADR 150+'!$E$94:$AN$94</definedName>
    <definedName name="teffSumBC2_Com" localSheetId="3">'CADR 100-149'!$E$151:$AN$151</definedName>
    <definedName name="teffSumBC2_Com" localSheetId="2">'CADR 10-99'!$E$151:$AN$151</definedName>
    <definedName name="teffSumBC2_Com" localSheetId="4">'CADR 150+'!$E$151:$AN$151</definedName>
    <definedName name="teffSumBC2_Res" localSheetId="3">'CADR 100-149'!$E$95:$AN$95</definedName>
    <definedName name="teffSumBC2_Res" localSheetId="2">'CADR 10-99'!$E$95:$AN$95</definedName>
    <definedName name="teffSumBC2_Res" localSheetId="4">'CADR 150+'!$E$95:$AN$95</definedName>
    <definedName name="teffSumBC3_Com" localSheetId="3">'CADR 100-149'!$E$152:$AN$152</definedName>
    <definedName name="teffSumBC3_Com" localSheetId="2">'CADR 10-99'!$E$152:$AN$152</definedName>
    <definedName name="teffSumBC3_Com" localSheetId="4">'CADR 150+'!$E$152:$AN$152</definedName>
    <definedName name="teffSumBC3_Res" localSheetId="3">'CADR 100-149'!$E$96:$AN$96</definedName>
    <definedName name="teffSumBC3_Res" localSheetId="2">'CADR 10-99'!$E$96:$AN$96</definedName>
    <definedName name="teffSumBC3_Res" localSheetId="4">'CADR 150+'!$E$96:$AN$96</definedName>
    <definedName name="teffSumBC4_Com" localSheetId="3">'CADR 100-149'!$E$153:$AN$153</definedName>
    <definedName name="teffSumBC4_Com" localSheetId="2">'CADR 10-99'!$E$153:$AN$153</definedName>
    <definedName name="teffSumBC4_Com" localSheetId="4">'CADR 150+'!$E$153:$AN$153</definedName>
    <definedName name="teffSumBC4_Res" localSheetId="3">'CADR 100-149'!$E$97:$AN$97</definedName>
    <definedName name="teffSumBC4_Res" localSheetId="2">'CADR 10-99'!$E$97:$AN$97</definedName>
    <definedName name="teffSumBC4_Res" localSheetId="4">'CADR 150+'!$E$97:$AN$97</definedName>
    <definedName name="teffSumPol_Com" localSheetId="3">'CADR 100-149'!$E$134:$AN$138</definedName>
    <definedName name="teffSumPol_Com" localSheetId="2">'CADR 10-99'!$E$134:$AN$138</definedName>
    <definedName name="teffSumPol_Com" localSheetId="4">'CADR 150+'!$E$134:$AN$138</definedName>
    <definedName name="teffSumPol_Res" localSheetId="3">'CADR 100-149'!$E$78:$AN$82</definedName>
    <definedName name="teffSumPol_Res" localSheetId="2">'CADR 10-99'!$E$78:$AN$82</definedName>
    <definedName name="teffSumPol_Res" localSheetId="4">'CADR 150+'!$E$78:$AN$82</definedName>
    <definedName name="teffSumPol0_Com" localSheetId="3">'CADR 100-149'!$E$134:$AN$134</definedName>
    <definedName name="teffSumPol0_Com" localSheetId="2">'CADR 10-99'!$E$134:$AN$134</definedName>
    <definedName name="teffSumPol0_Com" localSheetId="4">'CADR 150+'!$E$134:$AN$134</definedName>
    <definedName name="teffSumPol0_Res" localSheetId="3">'CADR 100-149'!$E$78:$AN$78</definedName>
    <definedName name="teffSumPol0_Res" localSheetId="2">'CADR 10-99'!$E$78:$AN$78</definedName>
    <definedName name="teffSumPol0_Res" localSheetId="4">'CADR 150+'!$E$78:$AN$78</definedName>
    <definedName name="teffSumPol1_Com" localSheetId="3">'CADR 100-149'!$E$135:$AN$135</definedName>
    <definedName name="teffSumPol1_Com" localSheetId="2">'CADR 10-99'!$E$135:$AN$135</definedName>
    <definedName name="teffSumPol1_Com" localSheetId="4">'CADR 150+'!$E$135:$AN$135</definedName>
    <definedName name="teffSumPol1_Res" localSheetId="3">'CADR 100-149'!$E$79:$AN$79</definedName>
    <definedName name="teffSumPol1_Res" localSheetId="2">'CADR 10-99'!$E$79:$AN$79</definedName>
    <definedName name="teffSumPol1_Res" localSheetId="4">'CADR 150+'!$E$79:$AN$79</definedName>
    <definedName name="teffSumPol2_Com" localSheetId="3">'CADR 100-149'!$E$136:$AN$136</definedName>
    <definedName name="teffSumPol2_Com" localSheetId="2">'CADR 10-99'!$E$136:$AN$136</definedName>
    <definedName name="teffSumPol2_Com" localSheetId="4">'CADR 150+'!$E$136:$AN$136</definedName>
    <definedName name="teffSumPol2_Res" localSheetId="3">'CADR 100-149'!$E$80:$AN$80</definedName>
    <definedName name="teffSumPol2_Res" localSheetId="2">'CADR 10-99'!$E$80:$AN$80</definedName>
    <definedName name="teffSumPol2_Res" localSheetId="4">'CADR 150+'!$E$80:$AN$80</definedName>
    <definedName name="teffSumPol3_Com" localSheetId="3">'CADR 100-149'!$E$137:$AN$137</definedName>
    <definedName name="teffSumPol3_Com" localSheetId="2">'CADR 10-99'!$E$137:$AN$137</definedName>
    <definedName name="teffSumPol3_Com" localSheetId="4">'CADR 150+'!$E$137:$AN$137</definedName>
    <definedName name="teffSumPol3_Res" localSheetId="3">'CADR 100-149'!$E$81:$AN$81</definedName>
    <definedName name="teffSumPol3_Res" localSheetId="2">'CADR 10-99'!$E$81:$AN$81</definedName>
    <definedName name="teffSumPol3_Res" localSheetId="4">'CADR 150+'!$E$81:$AN$81</definedName>
    <definedName name="teffSumPol4_Com" localSheetId="3">'CADR 100-149'!$E$138:$AN$138</definedName>
    <definedName name="teffSumPol4_Com" localSheetId="2">'CADR 10-99'!$E$138:$AN$138</definedName>
    <definedName name="teffSumPol4_Com" localSheetId="4">'CADR 150+'!$E$138:$AN$138</definedName>
    <definedName name="teffSumPol4_Res" localSheetId="3">'CADR 100-149'!$E$82:$AN$82</definedName>
    <definedName name="teffSumPol4_Res" localSheetId="2">'CADR 10-99'!$E$82:$AN$82</definedName>
    <definedName name="teffSumPol4_Res" localSheetId="4">'CADR 150+'!$E$82:$AN$82</definedName>
    <definedName name="tElec0_Com" localSheetId="3">'CADR 100-149'!$E$288:$X$288</definedName>
    <definedName name="tElec0_Com" localSheetId="2">'CADR 10-99'!$E$288:$X$288</definedName>
    <definedName name="tElec0_Com" localSheetId="4">'CADR 150+'!$E$288:$X$288</definedName>
    <definedName name="tElec0_Res" localSheetId="3">'CADR 100-149'!$E$287:$X$287</definedName>
    <definedName name="tElec0_Res" localSheetId="2">'CADR 10-99'!$E$287:$X$287</definedName>
    <definedName name="tElec0_Res" localSheetId="4">'CADR 150+'!$E$287:$X$287</definedName>
    <definedName name="tElec1_Com" localSheetId="3">'CADR 100-149'!$E$302:$X$302</definedName>
    <definedName name="tElec1_Com" localSheetId="2">'CADR 10-99'!$E$302:$X$302</definedName>
    <definedName name="tElec1_Com" localSheetId="4">'CADR 150+'!$E$302:$X$302</definedName>
    <definedName name="tElec1_Res" localSheetId="3">'CADR 100-149'!$E$301:$X$301</definedName>
    <definedName name="tElec1_Res" localSheetId="2">'CADR 10-99'!$E$301:$X$301</definedName>
    <definedName name="tElec1_Res" localSheetId="4">'CADR 150+'!$E$301:$X$301</definedName>
    <definedName name="tElec2_Com" localSheetId="3">'CADR 100-149'!$E$316:$X$316</definedName>
    <definedName name="tElec2_Com" localSheetId="2">'CADR 10-99'!$E$316:$X$316</definedName>
    <definedName name="tElec2_Com" localSheetId="4">'CADR 150+'!$E$316:$X$316</definedName>
    <definedName name="tElec2_Res" localSheetId="3">'CADR 100-149'!$E$315:$X$315</definedName>
    <definedName name="tElec2_Res" localSheetId="2">'CADR 10-99'!$E$315:$X$315</definedName>
    <definedName name="tElec2_Res" localSheetId="4">'CADR 150+'!$E$315:$X$315</definedName>
    <definedName name="tElec3_Com" localSheetId="3">'CADR 100-149'!$E$330:$X$330</definedName>
    <definedName name="tElec3_Com" localSheetId="2">'CADR 10-99'!$E$330:$X$330</definedName>
    <definedName name="tElec3_Com" localSheetId="4">'CADR 150+'!$E$330:$X$330</definedName>
    <definedName name="tElec3_Res" localSheetId="3">'CADR 100-149'!$E$329:$X$329</definedName>
    <definedName name="tElec3_Res" localSheetId="2">'CADR 10-99'!$E$329:$X$329</definedName>
    <definedName name="tElec3_Res" localSheetId="4">'CADR 150+'!$E$329:$X$329</definedName>
    <definedName name="tElec4_Com" localSheetId="3">'CADR 100-149'!$E$344:$X$344</definedName>
    <definedName name="tElec4_Com" localSheetId="2">'CADR 10-99'!$E$344:$X$344</definedName>
    <definedName name="tElec4_Com" localSheetId="4">'CADR 150+'!$E$344:$X$344</definedName>
    <definedName name="tElec4_Res" localSheetId="3">'CADR 100-149'!$E$343:$X$343</definedName>
    <definedName name="tElec4_Res" localSheetId="2">'CADR 10-99'!$E$343:$X$343</definedName>
    <definedName name="tElec4_Res" localSheetId="4">'CADR 150+'!$E$343:$X$343</definedName>
    <definedName name="tiec" localSheetId="3">'CADR 100-149'!$E$8:$AN$8</definedName>
    <definedName name="tiec" localSheetId="2">'CADR 10-99'!$E$8:$AN$8</definedName>
    <definedName name="tiec" localSheetId="4">'CADR 150+'!$E$8:$AN$8</definedName>
    <definedName name="tiec_Com" localSheetId="3">'CADR 100-149'!$E$10:$AN$10</definedName>
    <definedName name="tiec_Com" localSheetId="2">'CADR 10-99'!$E$10:$AN$10</definedName>
    <definedName name="tiec_Com" localSheetId="4">'CADR 150+'!$E$10:$AN$10</definedName>
    <definedName name="tiec_Res" localSheetId="3">'CADR 100-149'!$E$9:$AN$9</definedName>
    <definedName name="tiec_Res" localSheetId="2">'CADR 10-99'!$E$9:$AN$9</definedName>
    <definedName name="tiec_Res" localSheetId="4">'CADR 150+'!$E$9:$AN$9</definedName>
    <definedName name="tInst0" localSheetId="3">'CADR 100-149'!$E$281</definedName>
    <definedName name="tInst0" localSheetId="2">'CADR 10-99'!$E$281</definedName>
    <definedName name="tInst0" localSheetId="4">'CADR 150+'!$E$281</definedName>
    <definedName name="tInst1" localSheetId="3">'CADR 100-149'!$E$295</definedName>
    <definedName name="tInst1" localSheetId="2">'CADR 10-99'!$E$295</definedName>
    <definedName name="tInst1" localSheetId="4">'CADR 150+'!$E$295</definedName>
    <definedName name="tInst2" localSheetId="3">'CADR 100-149'!$E$309</definedName>
    <definedName name="tInst2" localSheetId="2">'CADR 10-99'!$E$309</definedName>
    <definedName name="tInst2" localSheetId="4">'CADR 150+'!$E$309</definedName>
    <definedName name="tInst3" localSheetId="3">'CADR 100-149'!$E$323</definedName>
    <definedName name="tInst3" localSheetId="2">'CADR 10-99'!$E$323</definedName>
    <definedName name="tInst3" localSheetId="4">'CADR 150+'!$E$323</definedName>
    <definedName name="tInst4" localSheetId="3">'CADR 100-149'!$E$337</definedName>
    <definedName name="tInst4" localSheetId="2">'CADR 10-99'!$E$337</definedName>
    <definedName name="tInst4" localSheetId="4">'CADR 150+'!$E$337</definedName>
    <definedName name="tlccEFuElec0_Com" localSheetId="3">'CADR 100-149'!$E$213:$AN$213</definedName>
    <definedName name="tlccEFuElec0_Com" localSheetId="2">'CADR 10-99'!$E$213:$AN$213</definedName>
    <definedName name="tlccEFuElec0_Com" localSheetId="4">'CADR 150+'!$E$213:$AN$213</definedName>
    <definedName name="tlccEFuElec0_Res" localSheetId="3">'CADR 100-149'!$E$211:$AN$211</definedName>
    <definedName name="tlccEFuElec0_Res" localSheetId="2">'CADR 10-99'!$E$211:$AN$211</definedName>
    <definedName name="tlccEFuElec0_Res" localSheetId="4">'CADR 150+'!$E$211:$AN$211</definedName>
    <definedName name="tlccEFuElec1_Com" localSheetId="3">'CADR 100-149'!$E$227:$AN$227</definedName>
    <definedName name="tlccEFuElec1_Com" localSheetId="2">'CADR 10-99'!$E$227:$AN$227</definedName>
    <definedName name="tlccEFuElec1_Com" localSheetId="4">'CADR 150+'!$E$227:$AN$227</definedName>
    <definedName name="tlccEFuElec1_Res" localSheetId="3">'CADR 100-149'!$E$225:$AN$225</definedName>
    <definedName name="tlccEFuElec1_Res" localSheetId="2">'CADR 10-99'!$E$225:$AN$225</definedName>
    <definedName name="tlccEFuElec1_Res" localSheetId="4">'CADR 150+'!$E$225:$AN$225</definedName>
    <definedName name="tlccEFuElec2_Com" localSheetId="3">'CADR 100-149'!$E$241:$AN$241</definedName>
    <definedName name="tlccEFuElec2_Com" localSheetId="2">'CADR 10-99'!$E$241:$AN$241</definedName>
    <definedName name="tlccEFuElec2_Com" localSheetId="4">'CADR 150+'!$E$241:$AN$241</definedName>
    <definedName name="tlccEFuElec2_Res" localSheetId="3">'CADR 100-149'!$E$239:$AN$239</definedName>
    <definedName name="tlccEFuElec2_Res" localSheetId="2">'CADR 10-99'!$E$239:$AN$239</definedName>
    <definedName name="tlccEFuElec2_Res" localSheetId="4">'CADR 150+'!$E$239:$AN$239</definedName>
    <definedName name="tlccEFuElec3_Com" localSheetId="3">'CADR 100-149'!$E$255:$AN$255</definedName>
    <definedName name="tlccEFuElec3_Com" localSheetId="2">'CADR 10-99'!$E$255:$AN$255</definedName>
    <definedName name="tlccEFuElec3_Com" localSheetId="4">'CADR 150+'!$E$255:$AN$255</definedName>
    <definedName name="tlccEFuElec3_Res" localSheetId="3">'CADR 100-149'!$E$253:$AN$253</definedName>
    <definedName name="tlccEFuElec3_Res" localSheetId="2">'CADR 10-99'!$E$253:$AN$253</definedName>
    <definedName name="tlccEFuElec3_Res" localSheetId="4">'CADR 150+'!$E$253:$AN$253</definedName>
    <definedName name="tlccEFuElec4_Com" localSheetId="3">'CADR 100-149'!$E$269:$AN$269</definedName>
    <definedName name="tlccEFuElec4_Com" localSheetId="2">'CADR 10-99'!$E$269:$AN$269</definedName>
    <definedName name="tlccEFuElec4_Com" localSheetId="4">'CADR 150+'!$E$269:$AN$269</definedName>
    <definedName name="tlccEFuElec4_Res" localSheetId="3">'CADR 100-149'!$E$267:$AN$267</definedName>
    <definedName name="tlccEFuElec4_Res" localSheetId="2">'CADR 10-99'!$E$267:$AN$267</definedName>
    <definedName name="tlccEFuElec4_Res" localSheetId="4">'CADR 150+'!$E$267:$AN$267</definedName>
    <definedName name="tlccEmBC_Com" localSheetId="3">'CADR 100-149'!$E$26:$AN$26</definedName>
    <definedName name="tlccEmBC_Com" localSheetId="2">'CADR 10-99'!$E$26:$AN$26</definedName>
    <definedName name="tlccEmBC_Com" localSheetId="4">'CADR 150+'!$E$26:$AN$26</definedName>
    <definedName name="tlccEmBC_Res" localSheetId="3">'CADR 100-149'!$E$25:$AN$25</definedName>
    <definedName name="tlccEmBC_Res" localSheetId="2">'CADR 10-99'!$E$25:$AN$25</definedName>
    <definedName name="tlccEmBC_Res" localSheetId="4">'CADR 150+'!$E$25:$AN$25</definedName>
    <definedName name="tlccEmPol_Com" localSheetId="3">'CADR 100-149'!$E$37:$AN$37</definedName>
    <definedName name="tlccEmPol_Com" localSheetId="2">'CADR 10-99'!$E$37:$AN$37</definedName>
    <definedName name="tlccEmPol_Com" localSheetId="4">'CADR 150+'!$E$37:$AN$37</definedName>
    <definedName name="tlccEmPol_Res" localSheetId="3">'CADR 100-149'!$E$36:$AN$36</definedName>
    <definedName name="tlccEmPol_Res" localSheetId="2">'CADR 10-99'!$E$36:$AN$36</definedName>
    <definedName name="tlccEmPol_Res" localSheetId="4">'CADR 150+'!$E$36:$AN$36</definedName>
    <definedName name="tlccEu_Com" localSheetId="3">'CADR 100-149'!$E$184:$AN$188</definedName>
    <definedName name="tlccEu_Com" localSheetId="2">'CADR 10-99'!$E$184:$AN$188</definedName>
    <definedName name="tlccEu_Com" localSheetId="4">'CADR 150+'!$E$184:$AN$188</definedName>
    <definedName name="tlccEu_Res" localSheetId="3">'CADR 100-149'!$E$177:$AN$181</definedName>
    <definedName name="tlccEu_Res" localSheetId="2">'CADR 10-99'!$E$177:$AN$181</definedName>
    <definedName name="tlccEu_Res" localSheetId="4">'CADR 150+'!$E$177:$AN$181</definedName>
    <definedName name="tlccEu0_Com" localSheetId="3">'CADR 100-149'!$E$212:$AN$212</definedName>
    <definedName name="tlccEu0_Com" localSheetId="2">'CADR 10-99'!$E$212:$AN$212</definedName>
    <definedName name="tlccEu0_Com" localSheetId="4">'CADR 150+'!$E$212:$AN$212</definedName>
    <definedName name="tlccEu0_Res" localSheetId="3">'CADR 100-149'!$E$210:$AN$210</definedName>
    <definedName name="tlccEu0_Res" localSheetId="2">'CADR 10-99'!$E$210:$AN$210</definedName>
    <definedName name="tlccEu0_Res" localSheetId="4">'CADR 150+'!$E$210:$AN$210</definedName>
    <definedName name="tlccEu1_Com" localSheetId="3">'CADR 100-149'!$E$226:$AN$226</definedName>
    <definedName name="tlccEu1_Com" localSheetId="2">'CADR 10-99'!$E$226:$AN$226</definedName>
    <definedName name="tlccEu1_Com" localSheetId="4">'CADR 150+'!$E$226:$AN$226</definedName>
    <definedName name="tlccEu1_Res" localSheetId="3">'CADR 100-149'!$E$224:$AN$224</definedName>
    <definedName name="tlccEu1_Res" localSheetId="2">'CADR 10-99'!$E$224:$AN$224</definedName>
    <definedName name="tlccEu1_Res" localSheetId="4">'CADR 150+'!$E$224:$AN$224</definedName>
    <definedName name="tlccEu2_Com" localSheetId="3">'CADR 100-149'!$E$240:$AN$240</definedName>
    <definedName name="tlccEu2_Com" localSheetId="2">'CADR 10-99'!$E$240:$AN$240</definedName>
    <definedName name="tlccEu2_Com" localSheetId="4">'CADR 150+'!$E$240:$AN$240</definedName>
    <definedName name="tlccEu2_Res" localSheetId="3">'CADR 100-149'!$E$238:$AN$238</definedName>
    <definedName name="tlccEu2_Res" localSheetId="2">'CADR 10-99'!$E$238:$AN$238</definedName>
    <definedName name="tlccEu2_Res" localSheetId="4">'CADR 150+'!$E$238:$AN$238</definedName>
    <definedName name="tlccEu3_Com" localSheetId="3">'CADR 100-149'!$E$254:$AN$254</definedName>
    <definedName name="tlccEu3_Com" localSheetId="2">'CADR 10-99'!$E$254:$AN$254</definedName>
    <definedName name="tlccEu3_Com" localSheetId="4">'CADR 150+'!$E$254:$AN$254</definedName>
    <definedName name="tlccEu3_Res" localSheetId="3">'CADR 100-149'!$E$252:$AN$252</definedName>
    <definedName name="tlccEu3_Res" localSheetId="2">'CADR 10-99'!$E$252:$AN$252</definedName>
    <definedName name="tlccEu3_Res" localSheetId="4">'CADR 150+'!$E$252:$AN$252</definedName>
    <definedName name="tlccEu4_Com" localSheetId="3">'CADR 100-149'!$E$268:$AN$268</definedName>
    <definedName name="tlccEu4_Com" localSheetId="2">'CADR 10-99'!$E$268:$AN$268</definedName>
    <definedName name="tlccEu4_Com" localSheetId="4">'CADR 150+'!$E$268:$AN$268</definedName>
    <definedName name="tlccEu4_Res" localSheetId="3">'CADR 100-149'!$E$266:$AN$266</definedName>
    <definedName name="tlccEu4_Res" localSheetId="2">'CADR 10-99'!$E$266:$AN$266</definedName>
    <definedName name="tlccEu4_Res" localSheetId="4">'CADR 150+'!$E$266:$AN$266</definedName>
    <definedName name="tlccFmElecBC_Com" localSheetId="3">'CADR 100-149'!$E$30:$AN$30</definedName>
    <definedName name="tlccFmElecBC_Com" localSheetId="2">'CADR 10-99'!$E$30:$AN$30</definedName>
    <definedName name="tlccFmElecBC_Com" localSheetId="4">'CADR 150+'!$E$30:$AN$30</definedName>
    <definedName name="tlccFmElecBC_Res" localSheetId="3">'CADR 100-149'!$E$29:$AN$29</definedName>
    <definedName name="tlccFmElecBC_Res" localSheetId="2">'CADR 10-99'!$E$29:$AN$29</definedName>
    <definedName name="tlccFmElecBC_Res" localSheetId="4">'CADR 150+'!$E$29:$AN$29</definedName>
    <definedName name="tlccFmElecPol_Com" localSheetId="3">'CADR 100-149'!$E$41:$AN$41</definedName>
    <definedName name="tlccFmElecPol_Com" localSheetId="2">'CADR 10-99'!$E$41:$AN$41</definedName>
    <definedName name="tlccFmElecPol_Com" localSheetId="4">'CADR 150+'!$E$41:$AN$41</definedName>
    <definedName name="tlccFmElecPol_Res" localSheetId="3">'CADR 100-149'!$E$40:$AN$40</definedName>
    <definedName name="tlccFmElecPol_Res" localSheetId="2">'CADR 10-99'!$E$40:$AN$40</definedName>
    <definedName name="tlccFmElecPol_Res" localSheetId="4">'CADR 150+'!$E$40:$AN$40</definedName>
    <definedName name="tlccFuElec_Com" localSheetId="3">'CADR 100-149'!$E$198:$AN$202</definedName>
    <definedName name="tlccFuElec_Com" localSheetId="2">'CADR 10-99'!$E$198:$AN$202</definedName>
    <definedName name="tlccFuElec_Com" localSheetId="4">'CADR 150+'!$E$198:$AN$202</definedName>
    <definedName name="tlccFuElec_Res" localSheetId="3">'CADR 100-149'!$E$191:$AN$195</definedName>
    <definedName name="tlccFuElec_Res" localSheetId="2">'CADR 10-99'!$E$191:$AN$195</definedName>
    <definedName name="tlccFuElec_Res" localSheetId="4">'CADR 150+'!$E$191:$AN$195</definedName>
    <definedName name="tlccFuElec0_Com" localSheetId="3">'CADR 100-149'!$E$218:$AN$218</definedName>
    <definedName name="tlccFuElec0_Com" localSheetId="2">'CADR 10-99'!$E$218:$AN$218</definedName>
    <definedName name="tlccFuElec0_Com" localSheetId="4">'CADR 150+'!$E$218:$AN$218</definedName>
    <definedName name="tlccFuElec0_Res" localSheetId="3">'CADR 100-149'!$E$216:$AN$216</definedName>
    <definedName name="tlccFuElec0_Res" localSheetId="2">'CADR 10-99'!$E$216:$AN$216</definedName>
    <definedName name="tlccFuElec0_Res" localSheetId="4">'CADR 150+'!$E$216:$AN$216</definedName>
    <definedName name="tlccFuElec1_Com" localSheetId="3">'CADR 100-149'!$E$232:$AN$232</definedName>
    <definedName name="tlccFuElec1_Com" localSheetId="2">'CADR 10-99'!$E$232:$AN$232</definedName>
    <definedName name="tlccFuElec1_Com" localSheetId="4">'CADR 150+'!$E$232:$AN$232</definedName>
    <definedName name="tlccFuElec1_Res" localSheetId="3">'CADR 100-149'!$E$230:$AN$230</definedName>
    <definedName name="tlccFuElec1_Res" localSheetId="2">'CADR 10-99'!$E$230:$AN$230</definedName>
    <definedName name="tlccFuElec1_Res" localSheetId="4">'CADR 150+'!$E$230:$AN$230</definedName>
    <definedName name="tlccFuElec2_Com" localSheetId="3">'CADR 100-149'!$E$246:$AN$246</definedName>
    <definedName name="tlccFuElec2_Com" localSheetId="2">'CADR 10-99'!$E$246:$AN$246</definedName>
    <definedName name="tlccFuElec2_Com" localSheetId="4">'CADR 150+'!$E$246:$AN$246</definedName>
    <definedName name="tlccFuElec2_Res" localSheetId="3">'CADR 100-149'!$E$244:$AN$244</definedName>
    <definedName name="tlccFuElec2_Res" localSheetId="2">'CADR 10-99'!$E$244:$AN$244</definedName>
    <definedName name="tlccFuElec2_Res" localSheetId="4">'CADR 150+'!$E$244:$AN$244</definedName>
    <definedName name="tlccFuElec3_Com" localSheetId="3">'CADR 100-149'!$E$260:$AN$260</definedName>
    <definedName name="tlccFuElec3_Com" localSheetId="2">'CADR 10-99'!$E$260:$AN$260</definedName>
    <definedName name="tlccFuElec3_Com" localSheetId="4">'CADR 150+'!$E$260:$AN$260</definedName>
    <definedName name="tlccFuElec3_Res" localSheetId="3">'CADR 100-149'!$E$258:$AN$258</definedName>
    <definedName name="tlccFuElec3_Res" localSheetId="2">'CADR 10-99'!$E$258:$AN$258</definedName>
    <definedName name="tlccFuElec3_Res" localSheetId="4">'CADR 150+'!$E$258:$AN$258</definedName>
    <definedName name="tlccFuElec4_Com" localSheetId="3">'CADR 100-149'!$E$274:$AN$274</definedName>
    <definedName name="tlccFuElec4_Com" localSheetId="2">'CADR 10-99'!$E$274:$AN$274</definedName>
    <definedName name="tlccFuElec4_Com" localSheetId="4">'CADR 150+'!$E$274:$AN$274</definedName>
    <definedName name="tlccFuElec4_Res" localSheetId="3">'CADR 100-149'!$E$272:$AN$272</definedName>
    <definedName name="tlccFuElec4_Res" localSheetId="2">'CADR 10-99'!$E$272:$AN$272</definedName>
    <definedName name="tlccFuElec4_Res" localSheetId="4">'CADR 150+'!$E$272:$AN$272</definedName>
    <definedName name="tlccQmBC_Com" localSheetId="3">'CADR 100-149'!$E$23:$AN$23</definedName>
    <definedName name="tlccQmBC_Com" localSheetId="2">'CADR 10-99'!$E$23:$AN$23</definedName>
    <definedName name="tlccQmBC_Com" localSheetId="4">'CADR 150+'!$E$23:$AN$23</definedName>
    <definedName name="tlccQmBC_Res" localSheetId="3">'CADR 100-149'!$E$22:$AN$22</definedName>
    <definedName name="tlccQmBC_Res" localSheetId="2">'CADR 10-99'!$E$22:$AN$22</definedName>
    <definedName name="tlccQmBC_Res" localSheetId="4">'CADR 150+'!$E$22:$AN$22</definedName>
    <definedName name="tlccQmPol_Com" localSheetId="3">'CADR 100-149'!$E$34:$AN$34</definedName>
    <definedName name="tlccQmPol_Com" localSheetId="2">'CADR 10-99'!$E$34:$AN$34</definedName>
    <definedName name="tlccQmPol_Com" localSheetId="4">'CADR 150+'!$E$34:$AN$34</definedName>
    <definedName name="tlccQmPol_Res" localSheetId="3">'CADR 100-149'!$E$33:$AN$33</definedName>
    <definedName name="tlccQmPol_Res" localSheetId="2">'CADR 10-99'!$E$33:$AN$33</definedName>
    <definedName name="tlccQmPol_Res" localSheetId="4">'CADR 150+'!$E$33:$AN$33</definedName>
    <definedName name="tlccQu_Com" localSheetId="3">'CADR 100-149'!$E$170:$AN$174</definedName>
    <definedName name="tlccQu_Com" localSheetId="2">'CADR 10-99'!$E$170:$AN$174</definedName>
    <definedName name="tlccQu_Com" localSheetId="4">'CADR 150+'!$E$170:$AN$174</definedName>
    <definedName name="tlccQu_Res" localSheetId="3">'CADR 100-149'!$E$163:$AN$167</definedName>
    <definedName name="tlccQu_Res" localSheetId="2">'CADR 10-99'!$E$163:$AN$167</definedName>
    <definedName name="tlccQu_Res" localSheetId="4">'CADR 150+'!$E$163:$AN$167</definedName>
    <definedName name="tlccQu0_Com" localSheetId="3">'CADR 100-149'!$E$208:$AN$208</definedName>
    <definedName name="tlccQu0_Com" localSheetId="2">'CADR 10-99'!$E$208:$AN$208</definedName>
    <definedName name="tlccQu0_Com" localSheetId="4">'CADR 150+'!$E$208:$AN$208</definedName>
    <definedName name="tlccQu0_Res" localSheetId="3">'CADR 100-149'!$E$207:$AN$207</definedName>
    <definedName name="tlccQu0_Res" localSheetId="2">'CADR 10-99'!$E$207:$AN$207</definedName>
    <definedName name="tlccQu0_Res" localSheetId="4">'CADR 150+'!$E$207:$AN$207</definedName>
    <definedName name="tlccQu1_Com" localSheetId="3">'CADR 100-149'!$E$222:$AN$222</definedName>
    <definedName name="tlccQu1_Com" localSheetId="2">'CADR 10-99'!$E$222:$AN$222</definedName>
    <definedName name="tlccQu1_Com" localSheetId="4">'CADR 150+'!$E$222:$AN$222</definedName>
    <definedName name="tlccQu1_Res" localSheetId="3">'CADR 100-149'!$E$221:$AN$221</definedName>
    <definedName name="tlccQu1_Res" localSheetId="2">'CADR 10-99'!$E$221:$AN$221</definedName>
    <definedName name="tlccQu1_Res" localSheetId="4">'CADR 150+'!$E$221:$AN$221</definedName>
    <definedName name="tlccQu2_Com" localSheetId="3">'CADR 100-149'!$E$236:$AN$236</definedName>
    <definedName name="tlccQu2_Com" localSheetId="2">'CADR 10-99'!$E$236:$AN$236</definedName>
    <definedName name="tlccQu2_Com" localSheetId="4">'CADR 150+'!$E$236:$AN$236</definedName>
    <definedName name="tlccQu2_Res" localSheetId="3">'CADR 100-149'!$E$235:$AN$235</definedName>
    <definedName name="tlccQu2_Res" localSheetId="2">'CADR 10-99'!$E$235:$AN$235</definedName>
    <definedName name="tlccQu2_Res" localSheetId="4">'CADR 150+'!$E$235:$AN$235</definedName>
    <definedName name="tlccQu3_Com" localSheetId="3">'CADR 100-149'!$E$250:$AN$250</definedName>
    <definedName name="tlccQu3_Com" localSheetId="2">'CADR 10-99'!$E$250:$AN$250</definedName>
    <definedName name="tlccQu3_Com" localSheetId="4">'CADR 150+'!$E$250:$AN$250</definedName>
    <definedName name="tlccQu3_Res" localSheetId="3">'CADR 100-149'!$E$249:$AN$249</definedName>
    <definedName name="tlccQu3_Res" localSheetId="2">'CADR 10-99'!$E$249:$AN$249</definedName>
    <definedName name="tlccQu3_Res" localSheetId="4">'CADR 150+'!$E$249:$AN$249</definedName>
    <definedName name="tlccQu4_Com" localSheetId="3">'CADR 100-149'!$E$264:$AN$264</definedName>
    <definedName name="tlccQu4_Com" localSheetId="2">'CADR 10-99'!$E$264:$AN$264</definedName>
    <definedName name="tlccQu4_Com" localSheetId="4">'CADR 150+'!$E$264:$AN$264</definedName>
    <definedName name="tlccQu4_Res" localSheetId="3">'CADR 100-149'!$E$263:$AN$263</definedName>
    <definedName name="tlccQu4_Res" localSheetId="2">'CADR 10-99'!$E$263:$AN$263</definedName>
    <definedName name="tlccQu4_Res" localSheetId="4">'CADR 150+'!$E$263:$AN$263</definedName>
    <definedName name="tmiaAll_Com" localSheetId="6">Shipments!$E$116:$K$116</definedName>
    <definedName name="tmiaAll_Res" localSheetId="6">Shipments!$E$46:$K$46</definedName>
    <definedName name="tmialrg_Com" localSheetId="6">Shipments!$E$120:$K$120</definedName>
    <definedName name="tmialrg_Res" localSheetId="6">Shipments!$E$50:$K$50</definedName>
    <definedName name="tmiamed_Com" localSheetId="6">Shipments!$E$119:$K$119</definedName>
    <definedName name="tmiamed_Res" localSheetId="6">Shipments!$E$49:$K$49</definedName>
    <definedName name="tmiaShrlrg_Com" localSheetId="6">Shipments!$E$135:$K$139</definedName>
    <definedName name="tmiaShrlrg_Res" localSheetId="6">Shipments!$E$65:$K$69</definedName>
    <definedName name="tmiaShrlrg0_Com" localSheetId="6">Shipments!$E$135:$K$135</definedName>
    <definedName name="tmiaShrlrg0_Res" localSheetId="6">Shipments!$E$65:$K$65</definedName>
    <definedName name="tmiaShrlrg1_Com" localSheetId="6">Shipments!$E$136:$K$136</definedName>
    <definedName name="tmiaShrlrg1_Res" localSheetId="6">Shipments!$E$66:$K$66</definedName>
    <definedName name="tmiaShrlrg2_Com" localSheetId="6">Shipments!$E$137:$K$137</definedName>
    <definedName name="tmiaShrlrg2_Res" localSheetId="6">Shipments!$E$67:$K$67</definedName>
    <definedName name="tmiaShrlrg3_Com" localSheetId="6">Shipments!$E$138:$K$138</definedName>
    <definedName name="tmiaShrlrg3_Res" localSheetId="6">Shipments!$E$68:$K$68</definedName>
    <definedName name="tmiaShrlrg4_Com" localSheetId="6">Shipments!$E$139:$K$139</definedName>
    <definedName name="tmiaShrlrg4_Res" localSheetId="6">Shipments!$E$69:$K$69</definedName>
    <definedName name="tmiaShrmed_Com" localSheetId="6">Shipments!$E$129:$K$133</definedName>
    <definedName name="tmiaShrmed_Res" localSheetId="6">Shipments!$E$59:$K$63</definedName>
    <definedName name="tmiaShrmed0_Com" localSheetId="6">Shipments!$E$129:$K$129</definedName>
    <definedName name="tmiaShrmed0_Res" localSheetId="6">Shipments!$E$59:$K$59</definedName>
    <definedName name="tmiaShrmed1_Com" localSheetId="6">Shipments!$E$130:$K$130</definedName>
    <definedName name="tmiaShrmed1_Res" localSheetId="6">Shipments!$E$60:$K$60</definedName>
    <definedName name="tmiaShrmed2_Com" localSheetId="6">Shipments!$E$131:$K$131</definedName>
    <definedName name="tmiaShrmed2_Res" localSheetId="6">Shipments!$E$61:$K$61</definedName>
    <definedName name="tmiaShrmed3_Com" localSheetId="6">Shipments!$E$132:$K$132</definedName>
    <definedName name="tmiaShrmed3_Res" localSheetId="6">Shipments!$E$62:$K$62</definedName>
    <definedName name="tmiaShrmed4_Com" localSheetId="6">Shipments!$E$133:$K$133</definedName>
    <definedName name="tmiaShrmed4_Res" localSheetId="6">Shipments!$E$63:$K$63</definedName>
    <definedName name="tmiaShrsml_Com" localSheetId="6">Shipments!$E$123:$K$127</definedName>
    <definedName name="tmiaShrsml_Res" localSheetId="6">Shipments!$E$53:$K$57</definedName>
    <definedName name="tmiaShrsml0_Com" localSheetId="6">Shipments!$E$123:$K$123</definedName>
    <definedName name="tmiaShrsml0_Res" localSheetId="6">Shipments!$E$53:$K$53</definedName>
    <definedName name="tmiaShrsml1_Com" localSheetId="6">Shipments!$E$124:$K$124</definedName>
    <definedName name="tmiaShrsml1_Res" localSheetId="6">Shipments!$E$54:$K$54</definedName>
    <definedName name="tmiaShrsml2_Com" localSheetId="6">Shipments!$E$125:$K$125</definedName>
    <definedName name="tmiaShrsml2_Res" localSheetId="6">Shipments!$E$55:$K$55</definedName>
    <definedName name="tmiaShrsml3_Com" localSheetId="6">Shipments!$E$126:$K$126</definedName>
    <definedName name="tmiaShrsml3_Res" localSheetId="6">Shipments!$E$56:$K$56</definedName>
    <definedName name="tmiaShrsml4_Com" localSheetId="6">Shipments!$E$127:$K$127</definedName>
    <definedName name="tmiaShrsml4_Res" localSheetId="6">Shipments!$E$57:$K$57</definedName>
    <definedName name="tmiasml_Com" localSheetId="6">Shipments!$E$118:$K$118</definedName>
    <definedName name="tmiasml_Res" localSheetId="6">Shipments!$E$48:$K$48</definedName>
    <definedName name="tMnR0_Com" localSheetId="3">'CADR 100-149'!$E$284:$X$284</definedName>
    <definedName name="tMnR0_Com" localSheetId="2">'CADR 10-99'!$E$284:$X$284</definedName>
    <definedName name="tMnR0_Com" localSheetId="4">'CADR 150+'!$E$284:$X$284</definedName>
    <definedName name="tMnR0_Res" localSheetId="3">'CADR 100-149'!$E$283:$X$283</definedName>
    <definedName name="tMnR0_Res" localSheetId="2">'CADR 10-99'!$E$283:$X$283</definedName>
    <definedName name="tMnR0_Res" localSheetId="4">'CADR 150+'!$E$283:$X$283</definedName>
    <definedName name="tMnR1_Com" localSheetId="3">'CADR 100-149'!$E$298:$X$298</definedName>
    <definedName name="tMnR1_Com" localSheetId="2">'CADR 10-99'!$E$298:$X$298</definedName>
    <definedName name="tMnR1_Com" localSheetId="4">'CADR 150+'!$E$298:$X$298</definedName>
    <definedName name="tMnR1_Res" localSheetId="3">'CADR 100-149'!$E$297:$X$297</definedName>
    <definedName name="tMnR1_Res" localSheetId="2">'CADR 10-99'!$E$297:$X$297</definedName>
    <definedName name="tMnR1_Res" localSheetId="4">'CADR 150+'!$E$297:$X$297</definedName>
    <definedName name="tMnR2_Com" localSheetId="3">'CADR 100-149'!$E$312:$X$312</definedName>
    <definedName name="tMnR2_Com" localSheetId="2">'CADR 10-99'!$E$312:$X$312</definedName>
    <definedName name="tMnR2_Com" localSheetId="4">'CADR 150+'!$E$312:$X$312</definedName>
    <definedName name="tMnR2_Res" localSheetId="3">'CADR 100-149'!$E$311:$X$311</definedName>
    <definedName name="tMnR2_Res" localSheetId="2">'CADR 10-99'!$E$311:$X$311</definedName>
    <definedName name="tMnR2_Res" localSheetId="4">'CADR 150+'!$E$311:$X$311</definedName>
    <definedName name="tMnR3_Com" localSheetId="3">'CADR 100-149'!$E$326:$X$326</definedName>
    <definedName name="tMnR3_Com" localSheetId="2">'CADR 10-99'!$E$326:$X$326</definedName>
    <definedName name="tMnR3_Com" localSheetId="4">'CADR 150+'!$E$326:$X$326</definedName>
    <definedName name="tMnR3_Res" localSheetId="3">'CADR 100-149'!$E$325:$X$325</definedName>
    <definedName name="tMnR3_Res" localSheetId="2">'CADR 10-99'!$E$325:$X$325</definedName>
    <definedName name="tMnR3_Res" localSheetId="4">'CADR 150+'!$E$325:$X$325</definedName>
    <definedName name="tMnR4_Com" localSheetId="3">'CADR 100-149'!$E$340:$X$340</definedName>
    <definedName name="tMnR4_Com" localSheetId="2">'CADR 10-99'!$E$340:$X$340</definedName>
    <definedName name="tMnR4_Com" localSheetId="4">'CADR 150+'!$E$340:$X$340</definedName>
    <definedName name="tMnR4_Res" localSheetId="3">'CADR 100-149'!$E$339:$X$339</definedName>
    <definedName name="tMnR4_Res" localSheetId="2">'CADR 10-99'!$E$339:$X$339</definedName>
    <definedName name="tMnR4_Res" localSheetId="4">'CADR 150+'!$E$339:$X$339</definedName>
    <definedName name="tMSP0_Com" localSheetId="3">'CADR 100-149'!$E$280</definedName>
    <definedName name="tMSP0_Com" localSheetId="2">'CADR 10-99'!$E$280</definedName>
    <definedName name="tMSP0_Com" localSheetId="4">'CADR 150+'!$E$280</definedName>
    <definedName name="tMSP0_Res" localSheetId="3">'CADR 100-149'!$E$279</definedName>
    <definedName name="tMSP0_Res" localSheetId="2">'CADR 10-99'!$E$279</definedName>
    <definedName name="tMSP0_Res" localSheetId="4">'CADR 150+'!$E$279</definedName>
    <definedName name="tMSP1_Com" localSheetId="3">'CADR 100-149'!$E$294</definedName>
    <definedName name="tMSP1_Com" localSheetId="2">'CADR 10-99'!$E$294</definedName>
    <definedName name="tMSP1_Com" localSheetId="4">'CADR 150+'!$E$294</definedName>
    <definedName name="tMSP1_Res" localSheetId="3">'CADR 100-149'!$E$293</definedName>
    <definedName name="tMSP1_Res" localSheetId="2">'CADR 10-99'!$E$293</definedName>
    <definedName name="tMSP1_Res" localSheetId="4">'CADR 150+'!$E$293</definedName>
    <definedName name="tMSP2_Com" localSheetId="3">'CADR 100-149'!$E$308</definedName>
    <definedName name="tMSP2_Com" localSheetId="2">'CADR 10-99'!$E$308</definedName>
    <definedName name="tMSP2_Com" localSheetId="4">'CADR 150+'!$E$308</definedName>
    <definedName name="tMSP2_Res" localSheetId="3">'CADR 100-149'!$E$307</definedName>
    <definedName name="tMSP2_Res" localSheetId="2">'CADR 10-99'!$E$307</definedName>
    <definedName name="tMSP2_Res" localSheetId="4">'CADR 150+'!$E$307</definedName>
    <definedName name="tMSP3_Com" localSheetId="3">'CADR 100-149'!$E$322</definedName>
    <definedName name="tMSP3_Com" localSheetId="2">'CADR 10-99'!$E$322</definedName>
    <definedName name="tMSP3_Com" localSheetId="4">'CADR 150+'!$E$322</definedName>
    <definedName name="tMSP3_Res" localSheetId="3">'CADR 100-149'!$E$321</definedName>
    <definedName name="tMSP3_Res" localSheetId="2">'CADR 10-99'!$E$321</definedName>
    <definedName name="tMSP3_Res" localSheetId="4">'CADR 150+'!$E$321</definedName>
    <definedName name="tMSP4_Com" localSheetId="3">'CADR 100-149'!$E$336</definedName>
    <definedName name="tMSP4_Com" localSheetId="2">'CADR 10-99'!$E$336</definedName>
    <definedName name="tMSP4_Com" localSheetId="4">'CADR 150+'!$E$336</definedName>
    <definedName name="tMSP4_Res" localSheetId="3">'CADR 100-149'!$E$335</definedName>
    <definedName name="tMSP4_Res" localSheetId="2">'CADR 10-99'!$E$335</definedName>
    <definedName name="tMSP4_Res" localSheetId="4">'CADR 150+'!$E$335</definedName>
    <definedName name="tnet" localSheetId="3">'CADR 100-149'!$E$5:$AN$5</definedName>
    <definedName name="tnet" localSheetId="2">'CADR 10-99'!$E$5:$AN$5</definedName>
    <definedName name="tnet" localSheetId="4">'CADR 150+'!$E$5:$AN$5</definedName>
    <definedName name="tnet_Com" localSheetId="3">'CADR 100-149'!$E$7:$AN$7</definedName>
    <definedName name="tnet_Com" localSheetId="2">'CADR 10-99'!$E$7:$AN$7</definedName>
    <definedName name="tnet_Com" localSheetId="4">'CADR 150+'!$E$7:$AN$7</definedName>
    <definedName name="tnet_Res" localSheetId="3">'CADR 100-149'!$E$6:$AN$6</definedName>
    <definedName name="tnet_Res" localSheetId="2">'CADR 10-99'!$E$6:$AN$6</definedName>
    <definedName name="tnet_Res" localSheetId="4">'CADR 150+'!$E$6:$AN$6</definedName>
    <definedName name="tp2fElec">'Energy Factors'!$E$13:$BG$13</definedName>
    <definedName name="tPIdxlrg">OFFSET(tPIdxlrg0,0,0,_nDO3)</definedName>
    <definedName name="tPIdxlrg0">'Price Indices'!$D$17:$AM$17</definedName>
    <definedName name="tPIdxlrg01" localSheetId="8">'Price Indices'!$D$37:$AM$37</definedName>
    <definedName name="tPIdxlrg02" localSheetId="8">'Price Indices'!$D$57:$AM$57</definedName>
    <definedName name="tPIdxlrg03" localSheetId="8">'Price Indices'!$D$77:$AM$77</definedName>
    <definedName name="tPIdxlrg1">'Price Indices'!$D$18:$AM$18</definedName>
    <definedName name="tPIdxlrg11" localSheetId="8">'Price Indices'!$D$38:$AM$38</definedName>
    <definedName name="tPIdxlrg12" localSheetId="8">'Price Indices'!$D$58:$AM$58</definedName>
    <definedName name="tPIdxlrg13" localSheetId="8">'Price Indices'!$D$78:$AM$78</definedName>
    <definedName name="tPIdxlrg2">'Price Indices'!$D$19:$AM$19</definedName>
    <definedName name="tPIdxlrg21" localSheetId="8">'Price Indices'!$D$39:$AM$39</definedName>
    <definedName name="tPIdxlrg22" localSheetId="8">'Price Indices'!$D$59:$AM$59</definedName>
    <definedName name="tPIdxlrg23" localSheetId="8">'Price Indices'!$D$79:$AM$79</definedName>
    <definedName name="tPIdxlrg3">'Price Indices'!$D$20:$AM$20</definedName>
    <definedName name="tPIdxlrg31" localSheetId="8">'Price Indices'!$D$40:$AM$40</definedName>
    <definedName name="tPIdxlrg32" localSheetId="8">'Price Indices'!$D$60:$AM$60</definedName>
    <definedName name="tPIdxlrg33" localSheetId="8">'Price Indices'!$D$80:$AM$80</definedName>
    <definedName name="tPIdxlrg4">'Price Indices'!$D$21:$AM$21</definedName>
    <definedName name="tPIdxlrg41" localSheetId="8">'Price Indices'!$D$41:$AM$41</definedName>
    <definedName name="tPIdxlrg42" localSheetId="8">'Price Indices'!$D$61:$AM$61</definedName>
    <definedName name="tPIdxlrg43" localSheetId="8">'Price Indices'!$D$81:$AM$81</definedName>
    <definedName name="tPIdxmed">OFFSET(tPIdxmed0,0,0,_nDO2)</definedName>
    <definedName name="tPIdxmed0">'Price Indices'!$D$11:$AM$11</definedName>
    <definedName name="tPIdxmed01" localSheetId="8">'Price Indices'!$D$31:$AM$31</definedName>
    <definedName name="tPIdxmed02" localSheetId="8">'Price Indices'!$D$51:$AM$51</definedName>
    <definedName name="tPIdxmed03" localSheetId="8">'Price Indices'!$D$71:$AM$71</definedName>
    <definedName name="tPIdxmed1">'Price Indices'!$D$12:$AM$12</definedName>
    <definedName name="tPIdxmed11" localSheetId="8">'Price Indices'!$D$32:$AM$32</definedName>
    <definedName name="tPIdxmed12" localSheetId="8">'Price Indices'!$D$52:$AM$52</definedName>
    <definedName name="tPIdxmed13" localSheetId="8">'Price Indices'!$D$72:$AM$72</definedName>
    <definedName name="tPIdxmed2">'Price Indices'!$D$13:$AM$13</definedName>
    <definedName name="tPIdxmed21" localSheetId="8">'Price Indices'!$D$33:$AM$33</definedName>
    <definedName name="tPIdxmed22" localSheetId="8">'Price Indices'!$D$53:$AM$53</definedName>
    <definedName name="tPIdxmed23" localSheetId="8">'Price Indices'!$D$73:$AM$73</definedName>
    <definedName name="tPIdxmed3">'Price Indices'!$D$14:$AM$14</definedName>
    <definedName name="tPIdxmed31" localSheetId="8">'Price Indices'!$D$34:$AM$34</definedName>
    <definedName name="tPIdxmed32" localSheetId="8">'Price Indices'!$D$54:$AM$54</definedName>
    <definedName name="tPIdxmed33" localSheetId="8">'Price Indices'!$D$74:$AM$74</definedName>
    <definedName name="tPIdxmed4">'Price Indices'!$D$15:$AM$15</definedName>
    <definedName name="tPIdxmed41" localSheetId="8">'Price Indices'!$D$35:$AM$35</definedName>
    <definedName name="tPIdxmed42" localSheetId="8">'Price Indices'!$D$55:$AM$55</definedName>
    <definedName name="tPIdxmed43" localSheetId="8">'Price Indices'!$D$75:$AM$75</definedName>
    <definedName name="tPIdxsml">OFFSET(tPIdxsml0,0,0,_nDO1)</definedName>
    <definedName name="tPIdxsml0">'Price Indices'!$D$5:$AM$5</definedName>
    <definedName name="tPIdxsml01" localSheetId="8">'Price Indices'!$D$25:$AM$25</definedName>
    <definedName name="tPIdxsml02" localSheetId="8">'Price Indices'!$D$45:$AM$45</definedName>
    <definedName name="tPIdxsml03" localSheetId="8">'Price Indices'!$D$65:$AM$65</definedName>
    <definedName name="tPIdxsml1">'Price Indices'!$D$6:$AM$6</definedName>
    <definedName name="tPIdxsml11" localSheetId="8">'Price Indices'!$D$26:$AM$26</definedName>
    <definedName name="tPIdxsml12" localSheetId="8">'Price Indices'!$D$46:$AM$46</definedName>
    <definedName name="tPIdxsml13" localSheetId="8">'Price Indices'!$D$66:$AM$66</definedName>
    <definedName name="tPIdxsml2">'Price Indices'!$D$7:$AM$7</definedName>
    <definedName name="tPIdxsml21" localSheetId="8">'Price Indices'!$D$27:$AM$27</definedName>
    <definedName name="tPIdxsml22" localSheetId="8">'Price Indices'!$D$47:$AM$47</definedName>
    <definedName name="tPIdxsml23" localSheetId="8">'Price Indices'!$D$67:$AM$67</definedName>
    <definedName name="tPIdxsml3">'Price Indices'!$D$8:$AM$8</definedName>
    <definedName name="tPIdxsml31" localSheetId="8">'Price Indices'!$D$28:$AM$28</definedName>
    <definedName name="tPIdxsml32" localSheetId="8">'Price Indices'!$D$48:$AM$48</definedName>
    <definedName name="tPIdxsml33" localSheetId="8">'Price Indices'!$D$68:$AM$68</definedName>
    <definedName name="tPIdxsml4">'Price Indices'!$D$9:$AM$9</definedName>
    <definedName name="tPIdxsml41" localSheetId="8">'Price Indices'!$D$29:$AM$29</definedName>
    <definedName name="tPIdxsml42" localSheetId="8">'Price Indices'!$D$49:$AM$49</definedName>
    <definedName name="tPIdxsml43" localSheetId="8">'Price Indices'!$D$69:$AM$69</definedName>
    <definedName name="tpolEff0_Com" localSheetId="3">'CADR 100-149'!$E$101:$AN$101</definedName>
    <definedName name="tpolEff0_Com" localSheetId="2">'CADR 10-99'!$E$101:$AN$101</definedName>
    <definedName name="tpolEff0_Com" localSheetId="4">'CADR 150+'!$E$101:$AN$101</definedName>
    <definedName name="tpolEff0_Res" localSheetId="3">'CADR 100-149'!$E$45:$AN$45</definedName>
    <definedName name="tpolEff0_Res" localSheetId="2">'CADR 10-99'!$E$45:$AN$45</definedName>
    <definedName name="tpolEff0_Res" localSheetId="4">'CADR 150+'!$E$45:$AN$45</definedName>
    <definedName name="tpolEff1_Com" localSheetId="3">'CADR 100-149'!$E$102:$AN$102</definedName>
    <definedName name="tpolEff1_Com" localSheetId="2">'CADR 10-99'!$E$102:$AN$102</definedName>
    <definedName name="tpolEff1_Com" localSheetId="4">'CADR 150+'!$E$102:$AN$102</definedName>
    <definedName name="tpolEff1_Res" localSheetId="3">'CADR 100-149'!$E$46:$AN$46</definedName>
    <definedName name="tpolEff1_Res" localSheetId="2">'CADR 10-99'!$E$46:$AN$46</definedName>
    <definedName name="tpolEff1_Res" localSheetId="4">'CADR 150+'!$E$46:$AN$46</definedName>
    <definedName name="tpolEff2_Com" localSheetId="3">'CADR 100-149'!$E$103:$AN$103</definedName>
    <definedName name="tpolEff2_Com" localSheetId="2">'CADR 10-99'!$E$103:$AN$103</definedName>
    <definedName name="tpolEff2_Com" localSheetId="4">'CADR 150+'!$E$103:$AN$103</definedName>
    <definedName name="tpolEff2_Res" localSheetId="3">'CADR 100-149'!$E$47:$AN$47</definedName>
    <definedName name="tpolEff2_Res" localSheetId="2">'CADR 10-99'!$E$47:$AN$47</definedName>
    <definedName name="tpolEff2_Res" localSheetId="4">'CADR 150+'!$E$47:$AN$47</definedName>
    <definedName name="tpolEff3_Com" localSheetId="3">'CADR 100-149'!$E$104:$AN$104</definedName>
    <definedName name="tpolEff3_Com" localSheetId="2">'CADR 10-99'!$E$104:$AN$104</definedName>
    <definedName name="tpolEff3_Com" localSheetId="4">'CADR 150+'!$E$104:$AN$104</definedName>
    <definedName name="tpolEff3_Res" localSheetId="3">'CADR 100-149'!$E$48:$AN$48</definedName>
    <definedName name="tpolEff3_Res" localSheetId="2">'CADR 10-99'!$E$48:$AN$48</definedName>
    <definedName name="tpolEff3_Res" localSheetId="4">'CADR 150+'!$E$48:$AN$48</definedName>
    <definedName name="tpolEff4_Com" localSheetId="3">'CADR 100-149'!$E$105:$AN$105</definedName>
    <definedName name="tpolEff4_Com" localSheetId="2">'CADR 10-99'!$E$105:$AN$105</definedName>
    <definedName name="tpolEff4_Com" localSheetId="4">'CADR 150+'!$E$105:$AN$105</definedName>
    <definedName name="tpolEff4_Res" localSheetId="3">'CADR 100-149'!$E$49:$AN$49</definedName>
    <definedName name="tpolEff4_Res" localSheetId="2">'CADR 10-99'!$E$49:$AN$49</definedName>
    <definedName name="tpolEff4_Res" localSheetId="4">'CADR 150+'!$E$49:$AN$49</definedName>
    <definedName name="tprcElastAll_Com" localSheetId="6">Shipments!$E$99:$AN$99</definedName>
    <definedName name="tprcElastAll_Res" localSheetId="6">Shipments!$E$29:$AN$29</definedName>
    <definedName name="tPrcElec_Com">'Energy Price'!$E$29:$BG$29</definedName>
    <definedName name="tPrcElec_Res">'Energy Price'!$E$6:$BG$6</definedName>
    <definedName name="tPrcElecH_Com" localSheetId="10">'Energy Price'!$E$38:$BG$38</definedName>
    <definedName name="tPrcElecH_Res" localSheetId="10">'Energy Price'!$E$15:$BG$15</definedName>
    <definedName name="tPrcElecL_Com" localSheetId="10">'Energy Price'!$E$35:$BG$35</definedName>
    <definedName name="tPrcElecL_Res" localSheetId="10">'Energy Price'!$E$12:$BG$12</definedName>
    <definedName name="tPrcElecR_Com" localSheetId="10">'Energy Price'!$E$32:$BG$32</definedName>
    <definedName name="tPrcElecR_Res" localSheetId="10">'Energy Price'!$E$9:$BG$9</definedName>
    <definedName name="tpSurvAll_Com">Lifetime!$D$13:$W$13</definedName>
    <definedName name="tpSurvAll_Res">Lifetime!$D$6:$W$6</definedName>
    <definedName name="trefEff0_Com" localSheetId="3">'CADR 100-149'!$E$107:$AN$107</definedName>
    <definedName name="trefEff0_Com" localSheetId="2">'CADR 10-99'!$E$107:$AN$107</definedName>
    <definedName name="trefEff0_Com" localSheetId="4">'CADR 150+'!$E$107:$AN$107</definedName>
    <definedName name="trefEff0_Res" localSheetId="3">'CADR 100-149'!$E$51:$AN$51</definedName>
    <definedName name="trefEff0_Res" localSheetId="2">'CADR 10-99'!$E$51:$AN$51</definedName>
    <definedName name="trefEff0_Res" localSheetId="4">'CADR 150+'!$E$51:$AN$51</definedName>
    <definedName name="trefEff1_Com" localSheetId="3">'CADR 100-149'!$E$108:$AN$108</definedName>
    <definedName name="trefEff1_Com" localSheetId="2">'CADR 10-99'!$E$108:$AN$108</definedName>
    <definedName name="trefEff1_Com" localSheetId="4">'CADR 150+'!$E$108:$AN$108</definedName>
    <definedName name="trefEff1_Res" localSheetId="3">'CADR 100-149'!$E$52:$AN$52</definedName>
    <definedName name="trefEff1_Res" localSheetId="2">'CADR 10-99'!$E$52:$AN$52</definedName>
    <definedName name="trefEff1_Res" localSheetId="4">'CADR 150+'!$E$52:$AN$52</definedName>
    <definedName name="trefEff2_Com" localSheetId="3">'CADR 100-149'!$E$109:$AN$109</definedName>
    <definedName name="trefEff2_Com" localSheetId="2">'CADR 10-99'!$E$109:$AN$109</definedName>
    <definedName name="trefEff2_Com" localSheetId="4">'CADR 150+'!$E$109:$AN$109</definedName>
    <definedName name="trefEff2_Res" localSheetId="3">'CADR 100-149'!$E$53:$AN$53</definedName>
    <definedName name="trefEff2_Res" localSheetId="2">'CADR 10-99'!$E$53:$AN$53</definedName>
    <definedName name="trefEff2_Res" localSheetId="4">'CADR 150+'!$E$53:$AN$53</definedName>
    <definedName name="trefEff3_Com" localSheetId="3">'CADR 100-149'!$E$110:$AN$110</definedName>
    <definedName name="trefEff3_Com" localSheetId="2">'CADR 10-99'!$E$110:$AN$110</definedName>
    <definedName name="trefEff3_Com" localSheetId="4">'CADR 150+'!$E$110:$AN$110</definedName>
    <definedName name="trefEff3_Res" localSheetId="3">'CADR 100-149'!$E$54:$AN$54</definedName>
    <definedName name="trefEff3_Res" localSheetId="2">'CADR 10-99'!$E$54:$AN$54</definedName>
    <definedName name="trefEff3_Res" localSheetId="4">'CADR 150+'!$E$54:$AN$54</definedName>
    <definedName name="trefEff4_Com" localSheetId="3">'CADR 100-149'!$E$111:$AN$111</definedName>
    <definedName name="trefEff4_Com" localSheetId="2">'CADR 10-99'!$E$111:$AN$111</definedName>
    <definedName name="trefEff4_Com" localSheetId="4">'CADR 150+'!$E$111:$AN$111</definedName>
    <definedName name="trefEff4_Res" localSheetId="3">'CADR 100-149'!$E$55:$AN$55</definedName>
    <definedName name="trefEff4_Res" localSheetId="2">'CADR 10-99'!$E$55:$AN$55</definedName>
    <definedName name="trefEff4_Res" localSheetId="4">'CADR 150+'!$E$55:$AN$55</definedName>
    <definedName name="trendEffBC_Com" localSheetId="3">'CADR 100-149'!$E$121:$AN$121</definedName>
    <definedName name="trendEffBC_Com" localSheetId="2">'CADR 10-99'!$E$121:$AN$121</definedName>
    <definedName name="trendEffBC_Com" localSheetId="4">'CADR 150+'!$E$121:$AN$121</definedName>
    <definedName name="trendEffBC_Res" localSheetId="3">'CADR 100-149'!$E$65:$AN$65</definedName>
    <definedName name="trendEffBC_Res" localSheetId="2">'CADR 10-99'!$E$65:$AN$65</definedName>
    <definedName name="trendEffBC_Res" localSheetId="4">'CADR 150+'!$E$65:$AN$65</definedName>
    <definedName name="trendEffBCnorm_Com" localSheetId="3">'CADR 100-149'!trendEffBC_Com/INDEX('CADR 100-149'!trendEffBC_Com,1)</definedName>
    <definedName name="trendEffBCnorm_Com" localSheetId="2">'CADR 10-99'!trendEffBC_Com/INDEX('CADR 10-99'!trendEffBC_Com,1)</definedName>
    <definedName name="trendEffBCnorm_Com" localSheetId="4">'CADR 150+'!trendEffBC_Com/INDEX('CADR 150+'!trendEffBC_Com,1)</definedName>
    <definedName name="trendEffBCnorm_Res" localSheetId="3">'CADR 100-149'!trendEffBC_Res/INDEX('CADR 100-149'!trendEffBC_Res,1)</definedName>
    <definedName name="trendEffBCnorm_Res" localSheetId="2">'CADR 10-99'!trendEffBC_Res/INDEX('CADR 10-99'!trendEffBC_Res,1)</definedName>
    <definedName name="trendEffBCnorm_Res" localSheetId="4">'CADR 150+'!trendEffBC_Res/INDEX('CADR 150+'!trendEffBC_Res,1)</definedName>
    <definedName name="trendEffPol_Com" localSheetId="3">'CADR 100-149'!$E$123:$AN$123</definedName>
    <definedName name="trendEffPol_Com" localSheetId="2">'CADR 10-99'!$E$123:$AN$123</definedName>
    <definedName name="trendEffPol_Com" localSheetId="4">'CADR 150+'!$E$123:$AN$123</definedName>
    <definedName name="trendEffPol_Res" localSheetId="3">'CADR 100-149'!$E$67:$AN$67</definedName>
    <definedName name="trendEffPol_Res" localSheetId="2">'CADR 10-99'!$E$67:$AN$67</definedName>
    <definedName name="trendEffPol_Res" localSheetId="4">'CADR 150+'!$E$67:$AN$67</definedName>
    <definedName name="trendEffPolnorm_Com" localSheetId="3">'CADR 100-149'!trendEffPol_Com/INDEX('CADR 100-149'!trendEffPol_Com,1)</definedName>
    <definedName name="trendEffPolnorm_Com" localSheetId="2">'CADR 10-99'!trendEffPol_Com/INDEX('CADR 10-99'!trendEffPol_Com,1)</definedName>
    <definedName name="trendEffPolnorm_Com" localSheetId="4">'CADR 150+'!trendEffPol_Com/INDEX('CADR 150+'!trendEffPol_Com,1)</definedName>
    <definedName name="trendEffPolnorm_Res" localSheetId="3">'CADR 100-149'!trendEffPol_Res/INDEX('CADR 100-149'!trendEffPol_Res,1)</definedName>
    <definedName name="trendEffPolnorm_Res" localSheetId="2">'CADR 10-99'!trendEffPol_Res/INDEX('CADR 10-99'!trendEffPol_Res,1)</definedName>
    <definedName name="trendEffPolnorm_Res" localSheetId="4">'CADR 150+'!trendEffPol_Res/INDEX('CADR 150+'!trendEffPol_Res,1)</definedName>
    <definedName name="trendEffRef_Com" localSheetId="3">'CADR 100-149'!trendEffBC_Com</definedName>
    <definedName name="trendEffRef_Com" localSheetId="2">'CADR 10-99'!trendEffBC_Com</definedName>
    <definedName name="trendEffRef_Com" localSheetId="4">'CADR 150+'!trendEffBC_Com</definedName>
    <definedName name="trendEffRef_Res" localSheetId="3">'CADR 100-149'!trendEffBC_Res</definedName>
    <definedName name="trendEffRef_Res" localSheetId="2">'CADR 10-99'!trendEffBC_Res</definedName>
    <definedName name="trendEffRef_Res" localSheetId="4">'CADR 150+'!trendEffBC_Res</definedName>
    <definedName name="trendEffRefnorm_Com" localSheetId="3">'CADR 100-149'!trendEffBCnorm_Com</definedName>
    <definedName name="trendEffRefnorm_Com" localSheetId="2">'CADR 10-99'!trendEffBCnorm_Com</definedName>
    <definedName name="trendEffRefnorm_Com" localSheetId="4">'CADR 150+'!trendEffBCnorm_Com</definedName>
    <definedName name="trendEffRefnorm_Res" localSheetId="3">'CADR 100-149'!trendEffBCnorm_Res</definedName>
    <definedName name="trendEffRefnorm_Res" localSheetId="2">'CADR 10-99'!trendEffBCnorm_Res</definedName>
    <definedName name="trendEffRefnorm_Res" localSheetId="4">'CADR 150+'!trendEffBCnorm_Res</definedName>
    <definedName name="trendGrowthBC_Com" localSheetId="3">'CADR 100-149'!$E$120</definedName>
    <definedName name="trendGrowthBC_Com" localSheetId="2">'CADR 10-99'!$E$120</definedName>
    <definedName name="trendGrowthBC_Com" localSheetId="4">'CADR 150+'!$E$120</definedName>
    <definedName name="trendGrowthBC_Res" localSheetId="3">'CADR 100-149'!$E$64</definedName>
    <definedName name="trendGrowthBC_Res" localSheetId="2">'CADR 10-99'!$E$64</definedName>
    <definedName name="trendGrowthBC_Res" localSheetId="4">'CADR 150+'!$E$64</definedName>
    <definedName name="ts2bElec">'Energy Factors'!$E$9:$BG$9</definedName>
    <definedName name="ts2bFOil">0.149690476190476</definedName>
    <definedName name="ts2bNGas">1.032</definedName>
    <definedName name="ts2pElecCom">'Energy Factors'!$E$12:$BG$12</definedName>
    <definedName name="ts2pElecRes">'Energy Factors'!$E$11:$BG$11</definedName>
    <definedName name="ts2sCom" localSheetId="11">'Energy Factors'!$E$18:$BG$18</definedName>
    <definedName name="ts2sRes" localSheetId="11">'Energy Factors'!$E$17:$BG$17</definedName>
    <definedName name="tsavElec" localSheetId="3">'CADR 100-149'!$E$15:$AN$15</definedName>
    <definedName name="tsavElec" localSheetId="2">'CADR 10-99'!$E$15:$AN$15</definedName>
    <definedName name="tsavElec" localSheetId="4">'CADR 150+'!$E$15:$AN$15</definedName>
    <definedName name="tsavElec_Com" localSheetId="3">'CADR 100-149'!$E$17:$AN$17</definedName>
    <definedName name="tsavElec_Com" localSheetId="2">'CADR 10-99'!$E$17:$AN$17</definedName>
    <definedName name="tsavElec_Com" localSheetId="4">'CADR 150+'!$E$17:$AN$17</definedName>
    <definedName name="tsavElec_Res" localSheetId="3">'CADR 100-149'!$E$16:$AN$16</definedName>
    <definedName name="tsavElec_Res" localSheetId="2">'CADR 10-99'!$E$16:$AN$16</definedName>
    <definedName name="tsavElec_Res" localSheetId="4">'CADR 150+'!$E$16:$AN$16</definedName>
    <definedName name="tShpAllBC_Com">Shipments!$E$77:$AN$77</definedName>
    <definedName name="tShpAllBC_Res">Shipments!$E$7:$AN$7</definedName>
    <definedName name="tShpAllStd_Com">Shipments!$E$92:$AN$92</definedName>
    <definedName name="tShpAllStd_Res">Shipments!$E$22:$AN$22</definedName>
    <definedName name="tShplrg1BC_Com">Shipments!$E$88:$AN$88</definedName>
    <definedName name="tShplrg1BC_Res">Shipments!$E$18:$AN$18</definedName>
    <definedName name="tShplrg2BC_Com">Shipments!$E$89:$AN$89</definedName>
    <definedName name="tShplrg2BC_Res">Shipments!$E$19:$AN$19</definedName>
    <definedName name="tShplrg3BC_Com">Shipments!$E$90:$AN$90</definedName>
    <definedName name="tShplrg3BC_Res">Shipments!$E$20:$AN$20</definedName>
    <definedName name="tShplrgBC_Com">Shipments!$E$87:$AN$87</definedName>
    <definedName name="tShplrgBC_Res">Shipments!$E$17:$AN$17</definedName>
    <definedName name="tShplrgStd_Com">Shipments!$E$96:$AN$96</definedName>
    <definedName name="tShplrgStd_Res">Shipments!$E$26:$AN$26</definedName>
    <definedName name="tShpmed1BC_Com">Shipments!$E$84:$AN$84</definedName>
    <definedName name="tShpmed1BC_Res">Shipments!$E$14:$AN$14</definedName>
    <definedName name="tShpmed2BC_Com">Shipments!$E$85:$AN$85</definedName>
    <definedName name="tShpmed2BC_Res">Shipments!$E$15:$AN$15</definedName>
    <definedName name="tShpmed3BC_Com">Shipments!$E$86:$AN$86</definedName>
    <definedName name="tShpmed3BC_Res">Shipments!$E$16:$AN$16</definedName>
    <definedName name="tShpmedBC_Com">Shipments!$E$83:$AN$83</definedName>
    <definedName name="tShpmedBC_Res">Shipments!$E$13:$AN$13</definedName>
    <definedName name="tShpmedStd_Com">Shipments!$E$95:$AN$95</definedName>
    <definedName name="tShpmedStd_Res">Shipments!$E$25:$AN$25</definedName>
    <definedName name="tShpScenlrgBC_Com">OFFSET(tShplrgBC_Com,1,0,3)</definedName>
    <definedName name="tShpScenlrgBC_Res">OFFSET(tShplrgBC_Res,1,0,3)</definedName>
    <definedName name="tShpScenlrgStd_Com">OFFSET(tShplrgStd_Com,1,0,3)</definedName>
    <definedName name="tShpScenlrgStd_Res">OFFSET(tShplrgStd_Res,1,0,3)</definedName>
    <definedName name="tShpScenmedBC_Com">OFFSET(tShpmedBC_Com,1,0,3)</definedName>
    <definedName name="tShpScenmedBC_Res">OFFSET(tShpmedBC_Res,1,0,3)</definedName>
    <definedName name="tShpScenmedStd_Com">OFFSET(tShpmedStd_Com,1,0,3)</definedName>
    <definedName name="tShpScenmedStd_Res">OFFSET(tShpmedStd_Res,1,0,3)</definedName>
    <definedName name="tShpScensmlBC_Com">OFFSET(tShpsmlBC_Com,1,0,3)</definedName>
    <definedName name="tShpScensmlBC_Res">OFFSET(tShpsmlBC_Res,1,0,3)</definedName>
    <definedName name="tShpScensmlStd_Com">OFFSET(tShpsmlStd_Com,1,0,3)</definedName>
    <definedName name="tShpScensmlStd_Res">OFFSET(tShpsmlStd_Res,1,0,3)</definedName>
    <definedName name="tShpsml1BC_Com">Shipments!$E$80:$AN$80</definedName>
    <definedName name="tShpsml1BC_Res">Shipments!$E$10:$AN$10</definedName>
    <definedName name="tShpsml2BC_Com">Shipments!$E$81:$AN$81</definedName>
    <definedName name="tShpsml2BC_Res">Shipments!$E$11:$AN$11</definedName>
    <definedName name="tShpsml3BC_Com">Shipments!$E$82:$AN$82</definedName>
    <definedName name="tShpsml3BC_Res">Shipments!$E$12:$AN$12</definedName>
    <definedName name="tShpsmlBC_Com">Shipments!$E$79:$AN$79</definedName>
    <definedName name="tShpsmlBC_Res">Shipments!$E$9:$AN$9</definedName>
    <definedName name="tShpsmlStd_Com">Shipments!$E$94:$AN$94</definedName>
    <definedName name="tShpsmlStd_Res">Shipments!$E$24:$AN$24</definedName>
    <definedName name="tsl1stYear">Tables!$C$20:$G$20</definedName>
    <definedName name="tsl2ndYear">Tables!$C$24:$G$24</definedName>
    <definedName name="tslNYears">Tables!$C$25:$G$25</definedName>
    <definedName name="tStkAllBC_Com" localSheetId="6">Shipments!$E$103:$BG$103</definedName>
    <definedName name="tStkAllBC_Res" localSheetId="6">Shipments!$E$33:$BG$33</definedName>
    <definedName name="tStkAllStd_Com" localSheetId="6">Shipments!$E$109:$BG$109</definedName>
    <definedName name="tStkAllStd_Res" localSheetId="6">Shipments!$E$39:$BG$39</definedName>
    <definedName name="tStklrgBC_Com" localSheetId="6">Shipments!$E$107:$BG$107</definedName>
    <definedName name="tStklrgBC_Res" localSheetId="6">Shipments!$E$37:$BG$37</definedName>
    <definedName name="tStklrgStd_Com" localSheetId="6">Shipments!$E$113:$BG$113</definedName>
    <definedName name="tStklrgStd_Res" localSheetId="6">Shipments!$E$43:$BG$43</definedName>
    <definedName name="tStkmedBC_Com" localSheetId="6">Shipments!$E$106:$BG$106</definedName>
    <definedName name="tStkmedBC_Res" localSheetId="6">Shipments!$E$36:$BG$36</definedName>
    <definedName name="tStkmedStd_Com" localSheetId="6">Shipments!$E$112:$BG$112</definedName>
    <definedName name="tStkmedStd_Res" localSheetId="6">Shipments!$E$42:$BG$42</definedName>
    <definedName name="tStksmlBC_Com" localSheetId="6">Shipments!$E$105:$BG$105</definedName>
    <definedName name="tStksmlBC_Res" localSheetId="6">Shipments!$E$35:$BG$35</definedName>
    <definedName name="tStksmlStd_Com" localSheetId="6">Shipments!$E$111:$BG$111</definedName>
    <definedName name="tStksmlStd_Res" localSheetId="6">Shipments!$E$41:$BG$41</definedName>
    <definedName name="tSumm">Summary!$F$3:$K$8</definedName>
    <definedName name="tSumm_Com">Summary!$F$23:$K$28</definedName>
    <definedName name="tSumm_Res">Summary!$F$13:$K$18</definedName>
    <definedName name="tTrendHElec_Com" localSheetId="10">'Energy Price'!$E$45:$BG$45</definedName>
    <definedName name="tTrendHElec_Res" localSheetId="10">'Energy Price'!$E$22:$BG$22</definedName>
    <definedName name="tTrendLElec_Com" localSheetId="10">'Energy Price'!$E$44:$BG$44</definedName>
    <definedName name="tTrendLElec_Res" localSheetId="10">'Energy Price'!$E$21:$BG$21</definedName>
    <definedName name="tTrendRElec_Com" localSheetId="10">'Energy Price'!$E$43:$BG$43</definedName>
    <definedName name="tTrendRElec_Res" localSheetId="10">'Energy Price'!$E$20:$BG$20</definedName>
    <definedName name="tVAd0" localSheetId="3">0</definedName>
    <definedName name="tVAd0" localSheetId="2">0</definedName>
    <definedName name="tVAd0" localSheetId="4">0</definedName>
    <definedName name="tVAd1" localSheetId="3">0</definedName>
    <definedName name="tVAd1" localSheetId="2">0</definedName>
    <definedName name="tVAd1" localSheetId="4">0</definedName>
    <definedName name="tVAd2" localSheetId="3">0</definedName>
    <definedName name="tVAd2" localSheetId="2">0</definedName>
    <definedName name="tVAd2" localSheetId="4">0</definedName>
    <definedName name="tVAd3" localSheetId="3">0</definedName>
    <definedName name="tVAd3" localSheetId="2">0</definedName>
    <definedName name="tVAd3" localSheetId="4">0</definedName>
    <definedName name="tVAd4" localSheetId="3">0</definedName>
    <definedName name="tVAd4" localSheetId="2">0</definedName>
    <definedName name="tVAd4" localSheetId="4">0</definedName>
    <definedName name="tZerosBC_Com" localSheetId="3">'CADR 100-149'!$E$141:$AN$141</definedName>
    <definedName name="tZerosBC_Com" localSheetId="2">'CADR 10-99'!$E$141:$AN$141</definedName>
    <definedName name="tZerosBC_Com" localSheetId="4">'CADR 150+'!$E$141:$AN$141</definedName>
    <definedName name="tZerosBC_Res" localSheetId="3">'CADR 100-149'!$E$85:$AN$85</definedName>
    <definedName name="tZerosBC_Res" localSheetId="2">'CADR 10-99'!$E$85:$AN$85</definedName>
    <definedName name="tZerosBC_Res" localSheetId="4">'CADR 150+'!$E$85:$AN$85</definedName>
    <definedName name="tZerosPol_Com" localSheetId="3">'CADR 100-149'!$E$126:$AN$126</definedName>
    <definedName name="tZerosPol_Com" localSheetId="2">'CADR 10-99'!$E$126:$AN$126</definedName>
    <definedName name="tZerosPol_Com" localSheetId="4">'CADR 150+'!$E$126:$AN$126</definedName>
    <definedName name="tZerosPol_Res" localSheetId="3">'CADR 100-149'!$E$70:$AN$70</definedName>
    <definedName name="tZerosPol_Res" localSheetId="2">'CADR 10-99'!$E$70:$AN$70</definedName>
    <definedName name="tZerosPol_Res" localSheetId="4">'CADR 150+'!$E$70:$AN$70</definedName>
    <definedName name="upFCostlrg_Com">TRANSPOSE(msplrg_Com)*tPIdxlrg+N(bElastTIC)*TRANSPOSE(instlrg)</definedName>
    <definedName name="upFCostlrg_Res">TRANSPOSE(msplrg_Res)*tPIdxlrg+N(bElastTIC)*TRANSPOSE(instlrg)</definedName>
    <definedName name="upFCostmed_Com">TRANSPOSE(mspmed_Com)*tPIdxmed+N(bElastTIC)*TRANSPOSE(instmed)</definedName>
    <definedName name="upFCostmed_Res">TRANSPOSE(mspmed_Res)*tPIdxmed+N(bElastTIC)*TRANSPOSE(instmed)</definedName>
    <definedName name="upFCostsml_Com">TRANSPOSE(mspsml_Com)*tPIdxsml+N(bElastTIC)*TRANSPOSE(instsml)</definedName>
    <definedName name="upFCostsml_Res">TRANSPOSE(mspsml_Res)*tPIdxsml+N(bElastTIC)*TRANSPOSE(instsml)</definedName>
    <definedName name="year2nd">INDEX(tsl2ndYear,iTSL)</definedName>
    <definedName name="yearC">Summary!$D$12</definedName>
    <definedName name="yearC2">Summary!$D$13</definedName>
    <definedName name="yShift">yearC-_year1</definedName>
    <definedName name="zElastlrg_Com" localSheetId="6">Shipments!zElastPlrg_Com</definedName>
    <definedName name="zElastlrg_Res" localSheetId="6">Shipments!zElastPlrg_Res</definedName>
    <definedName name="zElastmed_Com" localSheetId="6">Shipments!zElastPmed_Com</definedName>
    <definedName name="zElastmed_Res" localSheetId="6">Shipments!zElastPmed_Res</definedName>
    <definedName name="zElastPlrg_Com" localSheetId="6">N(_yS&gt;=yearC)*Shipments!tprcElastAll_Com*IF(upFCostlrg_Com=0,0,(N(_yS&lt;yearC2)*INDEX(upFCostlrg_Com,csl1lrg+1,)+N(_yS&gt;=yearC2)*INDEX(upFCostlrg_Com,csl2lrg+1,)-upFCostlrg_Com)/upFCostlrg_Com)</definedName>
    <definedName name="zElastPlrg_Res" localSheetId="6">N(_yS&gt;=yearC)*Shipments!tprcElastAll_Res*IF(upFCostlrg_Res=0,0,(N(_yS&lt;yearC2)*INDEX(upFCostlrg_Res,csl1lrg+1,)+N(_yS&gt;=yearC2)*INDEX(upFCostlrg_Res,csl2lrg+1,)-upFCostlrg_Res)/upFCostlrg_Res)</definedName>
    <definedName name="zElastPmed_Com" localSheetId="6">N(_yS&gt;=yearC)*Shipments!tprcElastAll_Com*IF(upFCostmed_Com=0,0,(N(_yS&lt;yearC2)*INDEX(upFCostmed_Com,csl1med+1,)+N(_yS&gt;=yearC2)*INDEX(upFCostmed_Com,csl2med+1,)-upFCostmed_Com)/upFCostmed_Com)</definedName>
    <definedName name="zElastPmed_Res" localSheetId="6">N(_yS&gt;=yearC)*Shipments!tprcElastAll_Res*IF(upFCostmed_Res=0,0,(N(_yS&lt;yearC2)*INDEX(upFCostmed_Res,csl1med+1,)+N(_yS&gt;=yearC2)*INDEX(upFCostmed_Res,csl2med+1,)-upFCostmed_Res)/upFCostmed_Res)</definedName>
    <definedName name="zElastPsml_Com" localSheetId="6">N(_yS&gt;=yearC)*Shipments!tprcElastAll_Com*IF(upFCostsml_Com=0,0,(N(_yS&lt;yearC2)*INDEX(upFCostsml_Com,csl1sml+1,)+N(_yS&gt;=yearC2)*INDEX(upFCostsml_Com,csl2sml+1,)-upFCostsml_Com)/upFCostsml_Com)</definedName>
    <definedName name="zElastPsml_Res" localSheetId="6">N(_yS&gt;=yearC)*Shipments!tprcElastAll_Res*IF(upFCostsml_Res=0,0,(N(_yS&lt;yearC2)*INDEX(upFCostsml_Res,csl1sml+1,)+N(_yS&gt;=yearC2)*INDEX(upFCostsml_Res,csl2sml+1,)-upFCostsml_Res)/upFCostsml_Res)</definedName>
    <definedName name="zElastsml_Com" localSheetId="6">Shipments!zElastPsml_Com</definedName>
    <definedName name="zElastsml_Res" localSheetId="6">Shipments!zElastPsml_Res</definedName>
    <definedName name="zEO">"Operating"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1" i="10" l="1"/>
  <c r="C3" i="17" l="1" a="1"/>
  <c r="AL3" i="17" s="1"/>
  <c r="R3" i="17" l="1"/>
  <c r="AH3" i="17"/>
  <c r="C3" i="17"/>
  <c r="K3" i="17"/>
  <c r="S3" i="17"/>
  <c r="AA3" i="17"/>
  <c r="AI3" i="17"/>
  <c r="G3" i="17"/>
  <c r="W3" i="17"/>
  <c r="H3" i="17"/>
  <c r="X3" i="17"/>
  <c r="Q3" i="17"/>
  <c r="AG3" i="17"/>
  <c r="J3" i="17"/>
  <c r="Z3" i="17"/>
  <c r="D3" i="17"/>
  <c r="L3" i="17"/>
  <c r="T3" i="17"/>
  <c r="AB3" i="17"/>
  <c r="AJ3" i="17"/>
  <c r="O3" i="17"/>
  <c r="AE3" i="17"/>
  <c r="P3" i="17"/>
  <c r="AF3" i="17"/>
  <c r="I3" i="17"/>
  <c r="Y3" i="17"/>
  <c r="E3" i="17"/>
  <c r="M3" i="17"/>
  <c r="U3" i="17"/>
  <c r="AC3" i="17"/>
  <c r="AK3" i="17"/>
  <c r="F3" i="17"/>
  <c r="N3" i="17"/>
  <c r="V3" i="17"/>
  <c r="AD3" i="17"/>
  <c r="Z298" i="12" l="1"/>
  <c r="Z297" i="12"/>
  <c r="BB22" i="7"/>
  <c r="BC22" i="7" s="1"/>
  <c r="BD22" i="7" s="1"/>
  <c r="BE22" i="7" s="1"/>
  <c r="BF22" i="7" s="1"/>
  <c r="BG22" i="7" s="1"/>
  <c r="BB21" i="7"/>
  <c r="BC21" i="7" s="1"/>
  <c r="BD21" i="7" s="1"/>
  <c r="BE21" i="7" s="1"/>
  <c r="BF21" i="7" s="1"/>
  <c r="BG21" i="7" s="1"/>
  <c r="BB20" i="7"/>
  <c r="BC20" i="7" s="1"/>
  <c r="BD20" i="7" s="1"/>
  <c r="BE20" i="7" s="1"/>
  <c r="BF20" i="7" s="1"/>
  <c r="BG20" i="7" s="1"/>
  <c r="BB45" i="7"/>
  <c r="BC45" i="7" s="1"/>
  <c r="BD45" i="7" s="1"/>
  <c r="BE45" i="7" s="1"/>
  <c r="BF45" i="7" s="1"/>
  <c r="BG45" i="7" s="1"/>
  <c r="BB44" i="7"/>
  <c r="BC44" i="7" s="1"/>
  <c r="BD44" i="7" s="1"/>
  <c r="BE44" i="7" s="1"/>
  <c r="BF44" i="7" s="1"/>
  <c r="BG44" i="7" s="1"/>
  <c r="BB43" i="7"/>
  <c r="BC43" i="7" s="1"/>
  <c r="BD43" i="7" s="1"/>
  <c r="BE43" i="7" s="1"/>
  <c r="BF43" i="7" s="1"/>
  <c r="BG43" i="7" s="1"/>
  <c r="D90" i="9"/>
  <c r="E90" i="9"/>
  <c r="F90" i="9"/>
  <c r="G90" i="9"/>
  <c r="D91" i="9"/>
  <c r="E91" i="9"/>
  <c r="F91" i="9"/>
  <c r="G91" i="9"/>
  <c r="D92" i="9"/>
  <c r="E92" i="9"/>
  <c r="F92" i="9"/>
  <c r="G92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H91" i="9"/>
  <c r="H92" i="9"/>
  <c r="H90" i="9"/>
  <c r="F135" i="10" l="1" a="1"/>
  <c r="F135" i="10" s="1"/>
  <c r="G135" i="10" a="1"/>
  <c r="G137" i="10" s="1"/>
  <c r="H135" i="10" a="1"/>
  <c r="H138" i="10" s="1"/>
  <c r="I135" i="10" a="1"/>
  <c r="I135" i="10" s="1"/>
  <c r="J135" i="10" a="1"/>
  <c r="J135" i="10" s="1"/>
  <c r="K135" i="10" a="1"/>
  <c r="K137" i="10" s="1"/>
  <c r="E135" i="10" a="1"/>
  <c r="E135" i="10" s="1"/>
  <c r="F129" i="10" a="1"/>
  <c r="F129" i="10" s="1"/>
  <c r="G129" i="10" a="1"/>
  <c r="G130" i="10" s="1"/>
  <c r="H129" i="10" a="1"/>
  <c r="H133" i="10" s="1"/>
  <c r="I129" i="10" a="1"/>
  <c r="I131" i="10" s="1"/>
  <c r="J129" i="10" a="1"/>
  <c r="J129" i="10" s="1"/>
  <c r="K129" i="10" a="1"/>
  <c r="K130" i="10" s="1"/>
  <c r="E129" i="10" a="1"/>
  <c r="E129" i="10" s="1"/>
  <c r="F123" i="10" a="1"/>
  <c r="F124" i="10" s="1"/>
  <c r="G123" i="10" a="1"/>
  <c r="G124" i="10" s="1"/>
  <c r="H123" i="10" a="1"/>
  <c r="H126" i="10" s="1"/>
  <c r="I123" i="10" a="1"/>
  <c r="I123" i="10" s="1"/>
  <c r="J123" i="10" a="1"/>
  <c r="J124" i="10" s="1"/>
  <c r="K123" i="10" a="1"/>
  <c r="K124" i="10" s="1"/>
  <c r="E123" i="10" a="1"/>
  <c r="E123" i="10" s="1"/>
  <c r="F65" i="10" a="1"/>
  <c r="F65" i="10" s="1"/>
  <c r="G65" i="10" a="1"/>
  <c r="G66" i="10" s="1"/>
  <c r="H65" i="10" a="1"/>
  <c r="H69" i="10" s="1"/>
  <c r="I65" i="10" a="1"/>
  <c r="I65" i="10" s="1"/>
  <c r="J65" i="10" a="1"/>
  <c r="J65" i="10" s="1"/>
  <c r="K65" i="10" a="1"/>
  <c r="K66" i="10" s="1"/>
  <c r="E65" i="10" a="1"/>
  <c r="E66" i="10" s="1"/>
  <c r="F59" i="10" a="1"/>
  <c r="F60" i="10" s="1"/>
  <c r="G59" i="10" a="1"/>
  <c r="G60" i="10" s="1"/>
  <c r="H59" i="10" a="1"/>
  <c r="H60" i="10" s="1"/>
  <c r="I59" i="10" a="1"/>
  <c r="I59" i="10" s="1"/>
  <c r="J59" i="10" a="1"/>
  <c r="J60" i="10" s="1"/>
  <c r="K59" i="10" a="1"/>
  <c r="K60" i="10" s="1"/>
  <c r="E59" i="10" a="1"/>
  <c r="E59" i="10" s="1"/>
  <c r="F53" i="10" a="1"/>
  <c r="F54" i="10" s="1"/>
  <c r="G53" i="10" a="1"/>
  <c r="G56" i="10" s="1"/>
  <c r="H53" i="10" a="1"/>
  <c r="H53" i="10" s="1"/>
  <c r="I53" i="10" a="1"/>
  <c r="I55" i="10" s="1"/>
  <c r="J53" i="10" a="1"/>
  <c r="J54" i="10" s="1"/>
  <c r="K53" i="10" a="1"/>
  <c r="K54" i="10" s="1"/>
  <c r="E53" i="10" a="1"/>
  <c r="E54" i="10" s="1"/>
  <c r="F340" i="12"/>
  <c r="E340" i="12" s="1"/>
  <c r="F339" i="12"/>
  <c r="G339" i="12" s="1"/>
  <c r="H339" i="12" s="1"/>
  <c r="I339" i="12" s="1"/>
  <c r="J339" i="12" s="1"/>
  <c r="K339" i="12" s="1"/>
  <c r="L339" i="12" s="1"/>
  <c r="M339" i="12" s="1"/>
  <c r="N339" i="12" s="1"/>
  <c r="O339" i="12" s="1"/>
  <c r="P339" i="12" s="1"/>
  <c r="Q339" i="12" s="1"/>
  <c r="R339" i="12" s="1"/>
  <c r="S339" i="12" s="1"/>
  <c r="T339" i="12" s="1"/>
  <c r="U339" i="12" s="1"/>
  <c r="V339" i="12" s="1"/>
  <c r="W339" i="12" s="1"/>
  <c r="X339" i="12" s="1"/>
  <c r="F326" i="12"/>
  <c r="E326" i="12" s="1"/>
  <c r="F325" i="12"/>
  <c r="G325" i="12" s="1"/>
  <c r="H325" i="12" s="1"/>
  <c r="I325" i="12" s="1"/>
  <c r="J325" i="12" s="1"/>
  <c r="K325" i="12" s="1"/>
  <c r="L325" i="12" s="1"/>
  <c r="M325" i="12" s="1"/>
  <c r="N325" i="12" s="1"/>
  <c r="O325" i="12" s="1"/>
  <c r="P325" i="12" s="1"/>
  <c r="Q325" i="12" s="1"/>
  <c r="R325" i="12" s="1"/>
  <c r="S325" i="12" s="1"/>
  <c r="T325" i="12" s="1"/>
  <c r="U325" i="12" s="1"/>
  <c r="V325" i="12" s="1"/>
  <c r="W325" i="12" s="1"/>
  <c r="X325" i="12" s="1"/>
  <c r="F312" i="12"/>
  <c r="E312" i="12" s="1"/>
  <c r="F311" i="12"/>
  <c r="G311" i="12" s="1"/>
  <c r="H311" i="12" s="1"/>
  <c r="I311" i="12" s="1"/>
  <c r="J311" i="12" s="1"/>
  <c r="K311" i="12" s="1"/>
  <c r="L311" i="12" s="1"/>
  <c r="M311" i="12" s="1"/>
  <c r="N311" i="12" s="1"/>
  <c r="O311" i="12" s="1"/>
  <c r="P311" i="12" s="1"/>
  <c r="Q311" i="12" s="1"/>
  <c r="R311" i="12" s="1"/>
  <c r="S311" i="12" s="1"/>
  <c r="T311" i="12" s="1"/>
  <c r="U311" i="12" s="1"/>
  <c r="V311" i="12" s="1"/>
  <c r="W311" i="12" s="1"/>
  <c r="X311" i="12" s="1"/>
  <c r="F298" i="12"/>
  <c r="G298" i="12" s="1"/>
  <c r="H298" i="12" s="1"/>
  <c r="I298" i="12" s="1"/>
  <c r="J298" i="12" s="1"/>
  <c r="K298" i="12" s="1"/>
  <c r="L298" i="12" s="1"/>
  <c r="M298" i="12" s="1"/>
  <c r="N298" i="12" s="1"/>
  <c r="O298" i="12" s="1"/>
  <c r="P298" i="12" s="1"/>
  <c r="Q298" i="12" s="1"/>
  <c r="R298" i="12" s="1"/>
  <c r="S298" i="12" s="1"/>
  <c r="T298" i="12" s="1"/>
  <c r="U298" i="12" s="1"/>
  <c r="V298" i="12" s="1"/>
  <c r="W298" i="12" s="1"/>
  <c r="X298" i="12" s="1"/>
  <c r="F297" i="12"/>
  <c r="G297" i="12" s="1"/>
  <c r="H297" i="12" s="1"/>
  <c r="I297" i="12" s="1"/>
  <c r="J297" i="12" s="1"/>
  <c r="K297" i="12" s="1"/>
  <c r="L297" i="12" s="1"/>
  <c r="M297" i="12" s="1"/>
  <c r="N297" i="12" s="1"/>
  <c r="O297" i="12" s="1"/>
  <c r="P297" i="12" s="1"/>
  <c r="Q297" i="12" s="1"/>
  <c r="R297" i="12" s="1"/>
  <c r="S297" i="12" s="1"/>
  <c r="T297" i="12" s="1"/>
  <c r="U297" i="12" s="1"/>
  <c r="V297" i="12" s="1"/>
  <c r="W297" i="12" s="1"/>
  <c r="X297" i="12" s="1"/>
  <c r="F284" i="12"/>
  <c r="G284" i="12" s="1"/>
  <c r="H284" i="12" s="1"/>
  <c r="I284" i="12" s="1"/>
  <c r="J284" i="12" s="1"/>
  <c r="K284" i="12" s="1"/>
  <c r="L284" i="12" s="1"/>
  <c r="M284" i="12" s="1"/>
  <c r="N284" i="12" s="1"/>
  <c r="O284" i="12" s="1"/>
  <c r="P284" i="12" s="1"/>
  <c r="Q284" i="12" s="1"/>
  <c r="R284" i="12" s="1"/>
  <c r="S284" i="12" s="1"/>
  <c r="T284" i="12" s="1"/>
  <c r="U284" i="12" s="1"/>
  <c r="V284" i="12" s="1"/>
  <c r="W284" i="12" s="1"/>
  <c r="X284" i="12" s="1"/>
  <c r="F283" i="12"/>
  <c r="G283" i="12" s="1"/>
  <c r="H283" i="12" s="1"/>
  <c r="I283" i="12" s="1"/>
  <c r="J283" i="12" s="1"/>
  <c r="K283" i="12" s="1"/>
  <c r="L283" i="12" s="1"/>
  <c r="M283" i="12" s="1"/>
  <c r="N283" i="12" s="1"/>
  <c r="O283" i="12" s="1"/>
  <c r="P283" i="12" s="1"/>
  <c r="Q283" i="12" s="1"/>
  <c r="R283" i="12" s="1"/>
  <c r="S283" i="12" s="1"/>
  <c r="T283" i="12" s="1"/>
  <c r="U283" i="12" s="1"/>
  <c r="V283" i="12" s="1"/>
  <c r="W283" i="12" s="1"/>
  <c r="X283" i="12" s="1"/>
  <c r="F340" i="14"/>
  <c r="G340" i="14" s="1"/>
  <c r="H340" i="14" s="1"/>
  <c r="I340" i="14" s="1"/>
  <c r="J340" i="14" s="1"/>
  <c r="K340" i="14" s="1"/>
  <c r="L340" i="14" s="1"/>
  <c r="M340" i="14" s="1"/>
  <c r="N340" i="14" s="1"/>
  <c r="O340" i="14" s="1"/>
  <c r="P340" i="14" s="1"/>
  <c r="Q340" i="14" s="1"/>
  <c r="R340" i="14" s="1"/>
  <c r="S340" i="14" s="1"/>
  <c r="T340" i="14" s="1"/>
  <c r="U340" i="14" s="1"/>
  <c r="V340" i="14" s="1"/>
  <c r="W340" i="14" s="1"/>
  <c r="X340" i="14" s="1"/>
  <c r="F339" i="14"/>
  <c r="G339" i="14" s="1"/>
  <c r="H339" i="14" s="1"/>
  <c r="I339" i="14" s="1"/>
  <c r="J339" i="14" s="1"/>
  <c r="K339" i="14" s="1"/>
  <c r="L339" i="14" s="1"/>
  <c r="M339" i="14" s="1"/>
  <c r="N339" i="14" s="1"/>
  <c r="O339" i="14" s="1"/>
  <c r="P339" i="14" s="1"/>
  <c r="Q339" i="14" s="1"/>
  <c r="R339" i="14" s="1"/>
  <c r="S339" i="14" s="1"/>
  <c r="T339" i="14" s="1"/>
  <c r="U339" i="14" s="1"/>
  <c r="V339" i="14" s="1"/>
  <c r="W339" i="14" s="1"/>
  <c r="X339" i="14" s="1"/>
  <c r="F326" i="14"/>
  <c r="E326" i="14" s="1"/>
  <c r="F325" i="14"/>
  <c r="G325" i="14" s="1"/>
  <c r="H325" i="14" s="1"/>
  <c r="I325" i="14" s="1"/>
  <c r="J325" i="14" s="1"/>
  <c r="K325" i="14" s="1"/>
  <c r="L325" i="14" s="1"/>
  <c r="M325" i="14" s="1"/>
  <c r="N325" i="14" s="1"/>
  <c r="O325" i="14" s="1"/>
  <c r="P325" i="14" s="1"/>
  <c r="Q325" i="14" s="1"/>
  <c r="R325" i="14" s="1"/>
  <c r="S325" i="14" s="1"/>
  <c r="T325" i="14" s="1"/>
  <c r="U325" i="14" s="1"/>
  <c r="V325" i="14" s="1"/>
  <c r="W325" i="14" s="1"/>
  <c r="X325" i="14" s="1"/>
  <c r="F312" i="14"/>
  <c r="G312" i="14" s="1"/>
  <c r="H312" i="14" s="1"/>
  <c r="I312" i="14" s="1"/>
  <c r="J312" i="14" s="1"/>
  <c r="K312" i="14" s="1"/>
  <c r="L312" i="14" s="1"/>
  <c r="M312" i="14" s="1"/>
  <c r="N312" i="14" s="1"/>
  <c r="O312" i="14" s="1"/>
  <c r="P312" i="14" s="1"/>
  <c r="Q312" i="14" s="1"/>
  <c r="R312" i="14" s="1"/>
  <c r="S312" i="14" s="1"/>
  <c r="T312" i="14" s="1"/>
  <c r="U312" i="14" s="1"/>
  <c r="V312" i="14" s="1"/>
  <c r="W312" i="14" s="1"/>
  <c r="X312" i="14" s="1"/>
  <c r="F311" i="14"/>
  <c r="G311" i="14" s="1"/>
  <c r="H311" i="14" s="1"/>
  <c r="I311" i="14" s="1"/>
  <c r="J311" i="14" s="1"/>
  <c r="K311" i="14" s="1"/>
  <c r="L311" i="14" s="1"/>
  <c r="M311" i="14" s="1"/>
  <c r="N311" i="14" s="1"/>
  <c r="O311" i="14" s="1"/>
  <c r="P311" i="14" s="1"/>
  <c r="Q311" i="14" s="1"/>
  <c r="R311" i="14" s="1"/>
  <c r="S311" i="14" s="1"/>
  <c r="T311" i="14" s="1"/>
  <c r="U311" i="14" s="1"/>
  <c r="V311" i="14" s="1"/>
  <c r="W311" i="14" s="1"/>
  <c r="X311" i="14" s="1"/>
  <c r="F298" i="14"/>
  <c r="E298" i="14" s="1"/>
  <c r="F297" i="14"/>
  <c r="G297" i="14" s="1"/>
  <c r="H297" i="14" s="1"/>
  <c r="I297" i="14" s="1"/>
  <c r="J297" i="14" s="1"/>
  <c r="K297" i="14" s="1"/>
  <c r="L297" i="14" s="1"/>
  <c r="M297" i="14" s="1"/>
  <c r="N297" i="14" s="1"/>
  <c r="O297" i="14" s="1"/>
  <c r="P297" i="14" s="1"/>
  <c r="Q297" i="14" s="1"/>
  <c r="R297" i="14" s="1"/>
  <c r="S297" i="14" s="1"/>
  <c r="T297" i="14" s="1"/>
  <c r="U297" i="14" s="1"/>
  <c r="V297" i="14" s="1"/>
  <c r="W297" i="14" s="1"/>
  <c r="X297" i="14" s="1"/>
  <c r="F284" i="14"/>
  <c r="E284" i="14" s="1"/>
  <c r="F283" i="14"/>
  <c r="G283" i="14" s="1"/>
  <c r="H283" i="14" s="1"/>
  <c r="I283" i="14" s="1"/>
  <c r="J283" i="14" s="1"/>
  <c r="K283" i="14" s="1"/>
  <c r="L283" i="14" s="1"/>
  <c r="M283" i="14" s="1"/>
  <c r="N283" i="14" s="1"/>
  <c r="O283" i="14" s="1"/>
  <c r="P283" i="14" s="1"/>
  <c r="Q283" i="14" s="1"/>
  <c r="R283" i="14" s="1"/>
  <c r="S283" i="14" s="1"/>
  <c r="T283" i="14" s="1"/>
  <c r="U283" i="14" s="1"/>
  <c r="V283" i="14" s="1"/>
  <c r="W283" i="14" s="1"/>
  <c r="X283" i="14" s="1"/>
  <c r="F340" i="13"/>
  <c r="E340" i="13" s="1"/>
  <c r="F339" i="13"/>
  <c r="G339" i="13" s="1"/>
  <c r="H339" i="13" s="1"/>
  <c r="I339" i="13" s="1"/>
  <c r="J339" i="13" s="1"/>
  <c r="K339" i="13" s="1"/>
  <c r="L339" i="13" s="1"/>
  <c r="M339" i="13" s="1"/>
  <c r="N339" i="13" s="1"/>
  <c r="O339" i="13" s="1"/>
  <c r="P339" i="13" s="1"/>
  <c r="Q339" i="13" s="1"/>
  <c r="R339" i="13" s="1"/>
  <c r="S339" i="13" s="1"/>
  <c r="T339" i="13" s="1"/>
  <c r="U339" i="13" s="1"/>
  <c r="V339" i="13" s="1"/>
  <c r="W339" i="13" s="1"/>
  <c r="X339" i="13" s="1"/>
  <c r="F326" i="13"/>
  <c r="G326" i="13" s="1"/>
  <c r="H326" i="13" s="1"/>
  <c r="I326" i="13" s="1"/>
  <c r="J326" i="13" s="1"/>
  <c r="K326" i="13" s="1"/>
  <c r="L326" i="13" s="1"/>
  <c r="M326" i="13" s="1"/>
  <c r="N326" i="13" s="1"/>
  <c r="O326" i="13" s="1"/>
  <c r="P326" i="13" s="1"/>
  <c r="Q326" i="13" s="1"/>
  <c r="R326" i="13" s="1"/>
  <c r="S326" i="13" s="1"/>
  <c r="T326" i="13" s="1"/>
  <c r="U326" i="13" s="1"/>
  <c r="V326" i="13" s="1"/>
  <c r="W326" i="13" s="1"/>
  <c r="X326" i="13" s="1"/>
  <c r="F325" i="13"/>
  <c r="G325" i="13" s="1"/>
  <c r="H325" i="13" s="1"/>
  <c r="I325" i="13" s="1"/>
  <c r="J325" i="13" s="1"/>
  <c r="K325" i="13" s="1"/>
  <c r="L325" i="13" s="1"/>
  <c r="M325" i="13" s="1"/>
  <c r="N325" i="13" s="1"/>
  <c r="O325" i="13" s="1"/>
  <c r="P325" i="13" s="1"/>
  <c r="Q325" i="13" s="1"/>
  <c r="R325" i="13" s="1"/>
  <c r="S325" i="13" s="1"/>
  <c r="T325" i="13" s="1"/>
  <c r="U325" i="13" s="1"/>
  <c r="V325" i="13" s="1"/>
  <c r="W325" i="13" s="1"/>
  <c r="X325" i="13" s="1"/>
  <c r="F312" i="13"/>
  <c r="G312" i="13" s="1"/>
  <c r="H312" i="13" s="1"/>
  <c r="I312" i="13" s="1"/>
  <c r="J312" i="13" s="1"/>
  <c r="K312" i="13" s="1"/>
  <c r="L312" i="13" s="1"/>
  <c r="M312" i="13" s="1"/>
  <c r="N312" i="13" s="1"/>
  <c r="O312" i="13" s="1"/>
  <c r="P312" i="13" s="1"/>
  <c r="Q312" i="13" s="1"/>
  <c r="R312" i="13" s="1"/>
  <c r="S312" i="13" s="1"/>
  <c r="T312" i="13" s="1"/>
  <c r="U312" i="13" s="1"/>
  <c r="V312" i="13" s="1"/>
  <c r="W312" i="13" s="1"/>
  <c r="X312" i="13" s="1"/>
  <c r="F311" i="13"/>
  <c r="G311" i="13" s="1"/>
  <c r="H311" i="13" s="1"/>
  <c r="I311" i="13" s="1"/>
  <c r="J311" i="13" s="1"/>
  <c r="K311" i="13" s="1"/>
  <c r="L311" i="13" s="1"/>
  <c r="M311" i="13" s="1"/>
  <c r="N311" i="13" s="1"/>
  <c r="O311" i="13" s="1"/>
  <c r="P311" i="13" s="1"/>
  <c r="Q311" i="13" s="1"/>
  <c r="R311" i="13" s="1"/>
  <c r="S311" i="13" s="1"/>
  <c r="T311" i="13" s="1"/>
  <c r="U311" i="13" s="1"/>
  <c r="V311" i="13" s="1"/>
  <c r="W311" i="13" s="1"/>
  <c r="X311" i="13" s="1"/>
  <c r="F298" i="13"/>
  <c r="E298" i="13" s="1"/>
  <c r="F297" i="13"/>
  <c r="G297" i="13" s="1"/>
  <c r="H297" i="13" s="1"/>
  <c r="I297" i="13" s="1"/>
  <c r="J297" i="13" s="1"/>
  <c r="K297" i="13" s="1"/>
  <c r="L297" i="13" s="1"/>
  <c r="M297" i="13" s="1"/>
  <c r="N297" i="13" s="1"/>
  <c r="O297" i="13" s="1"/>
  <c r="P297" i="13" s="1"/>
  <c r="Q297" i="13" s="1"/>
  <c r="R297" i="13" s="1"/>
  <c r="S297" i="13" s="1"/>
  <c r="T297" i="13" s="1"/>
  <c r="U297" i="13" s="1"/>
  <c r="V297" i="13" s="1"/>
  <c r="W297" i="13" s="1"/>
  <c r="X297" i="13" s="1"/>
  <c r="F284" i="13"/>
  <c r="G284" i="13" s="1"/>
  <c r="H284" i="13" s="1"/>
  <c r="I284" i="13" s="1"/>
  <c r="J284" i="13" s="1"/>
  <c r="K284" i="13" s="1"/>
  <c r="L284" i="13" s="1"/>
  <c r="M284" i="13" s="1"/>
  <c r="N284" i="13" s="1"/>
  <c r="O284" i="13" s="1"/>
  <c r="P284" i="13" s="1"/>
  <c r="Q284" i="13" s="1"/>
  <c r="R284" i="13" s="1"/>
  <c r="S284" i="13" s="1"/>
  <c r="T284" i="13" s="1"/>
  <c r="U284" i="13" s="1"/>
  <c r="V284" i="13" s="1"/>
  <c r="W284" i="13" s="1"/>
  <c r="X284" i="13" s="1"/>
  <c r="F283" i="13"/>
  <c r="G283" i="13" s="1"/>
  <c r="H283" i="13" s="1"/>
  <c r="I283" i="13" s="1"/>
  <c r="J283" i="13" s="1"/>
  <c r="K283" i="13" s="1"/>
  <c r="L283" i="13" s="1"/>
  <c r="M283" i="13" s="1"/>
  <c r="N283" i="13" s="1"/>
  <c r="O283" i="13" s="1"/>
  <c r="P283" i="13" s="1"/>
  <c r="Q283" i="13" s="1"/>
  <c r="R283" i="13" s="1"/>
  <c r="S283" i="13" s="1"/>
  <c r="T283" i="13" s="1"/>
  <c r="U283" i="13" s="1"/>
  <c r="V283" i="13" s="1"/>
  <c r="W283" i="13" s="1"/>
  <c r="X283" i="13" s="1"/>
  <c r="E325" i="12" l="1"/>
  <c r="I60" i="10"/>
  <c r="E283" i="14"/>
  <c r="E339" i="14"/>
  <c r="E297" i="14"/>
  <c r="H57" i="10"/>
  <c r="I125" i="10"/>
  <c r="H65" i="10"/>
  <c r="G59" i="10"/>
  <c r="H66" i="10"/>
  <c r="J59" i="10"/>
  <c r="J126" i="10"/>
  <c r="G57" i="10"/>
  <c r="I63" i="10"/>
  <c r="I133" i="10"/>
  <c r="K56" i="10"/>
  <c r="G55" i="10"/>
  <c r="I62" i="10"/>
  <c r="K55" i="10"/>
  <c r="I61" i="10"/>
  <c r="G123" i="10"/>
  <c r="J127" i="10"/>
  <c r="K57" i="10"/>
  <c r="J63" i="10"/>
  <c r="H59" i="10"/>
  <c r="K65" i="10"/>
  <c r="H67" i="10"/>
  <c r="K123" i="10"/>
  <c r="I69" i="10"/>
  <c r="E311" i="14"/>
  <c r="F53" i="10"/>
  <c r="F63" i="10"/>
  <c r="I68" i="10"/>
  <c r="J123" i="10"/>
  <c r="F127" i="10"/>
  <c r="I53" i="10"/>
  <c r="F59" i="10"/>
  <c r="I67" i="10"/>
  <c r="F69" i="10"/>
  <c r="F123" i="10"/>
  <c r="G129" i="10"/>
  <c r="H68" i="10"/>
  <c r="I124" i="10"/>
  <c r="H137" i="10"/>
  <c r="H136" i="10"/>
  <c r="I139" i="10"/>
  <c r="H135" i="10"/>
  <c r="H139" i="10"/>
  <c r="K136" i="10"/>
  <c r="H132" i="10"/>
  <c r="G298" i="14"/>
  <c r="H298" i="14" s="1"/>
  <c r="I298" i="14" s="1"/>
  <c r="J298" i="14" s="1"/>
  <c r="K298" i="14" s="1"/>
  <c r="L298" i="14" s="1"/>
  <c r="M298" i="14" s="1"/>
  <c r="N298" i="14" s="1"/>
  <c r="O298" i="14" s="1"/>
  <c r="P298" i="14" s="1"/>
  <c r="Q298" i="14" s="1"/>
  <c r="R298" i="14" s="1"/>
  <c r="S298" i="14" s="1"/>
  <c r="T298" i="14" s="1"/>
  <c r="U298" i="14" s="1"/>
  <c r="V298" i="14" s="1"/>
  <c r="W298" i="14" s="1"/>
  <c r="X298" i="14" s="1"/>
  <c r="G312" i="12"/>
  <c r="H312" i="12" s="1"/>
  <c r="I312" i="12" s="1"/>
  <c r="J312" i="12" s="1"/>
  <c r="K312" i="12" s="1"/>
  <c r="L312" i="12" s="1"/>
  <c r="M312" i="12" s="1"/>
  <c r="N312" i="12" s="1"/>
  <c r="O312" i="12" s="1"/>
  <c r="P312" i="12" s="1"/>
  <c r="Q312" i="12" s="1"/>
  <c r="R312" i="12" s="1"/>
  <c r="S312" i="12" s="1"/>
  <c r="T312" i="12" s="1"/>
  <c r="U312" i="12" s="1"/>
  <c r="V312" i="12" s="1"/>
  <c r="W312" i="12" s="1"/>
  <c r="X312" i="12" s="1"/>
  <c r="H127" i="10"/>
  <c r="H131" i="10"/>
  <c r="G340" i="13"/>
  <c r="H340" i="13" s="1"/>
  <c r="I340" i="13" s="1"/>
  <c r="J340" i="13" s="1"/>
  <c r="K340" i="13" s="1"/>
  <c r="L340" i="13" s="1"/>
  <c r="M340" i="13" s="1"/>
  <c r="N340" i="13" s="1"/>
  <c r="O340" i="13" s="1"/>
  <c r="P340" i="13" s="1"/>
  <c r="Q340" i="13" s="1"/>
  <c r="R340" i="13" s="1"/>
  <c r="S340" i="13" s="1"/>
  <c r="T340" i="13" s="1"/>
  <c r="U340" i="13" s="1"/>
  <c r="V340" i="13" s="1"/>
  <c r="W340" i="13" s="1"/>
  <c r="X340" i="13" s="1"/>
  <c r="H63" i="10"/>
  <c r="H125" i="10"/>
  <c r="H62" i="10"/>
  <c r="H124" i="10"/>
  <c r="I138" i="10"/>
  <c r="E297" i="12"/>
  <c r="H61" i="10"/>
  <c r="I127" i="10"/>
  <c r="H123" i="10"/>
  <c r="I137" i="10"/>
  <c r="G136" i="10"/>
  <c r="E325" i="13"/>
  <c r="I54" i="10"/>
  <c r="F55" i="10"/>
  <c r="I126" i="10"/>
  <c r="G135" i="10"/>
  <c r="K135" i="10"/>
  <c r="J139" i="10"/>
  <c r="F139" i="10"/>
  <c r="F138" i="10"/>
  <c r="J138" i="10"/>
  <c r="I136" i="10"/>
  <c r="K139" i="10"/>
  <c r="J137" i="10"/>
  <c r="G139" i="10"/>
  <c r="F137" i="10"/>
  <c r="K138" i="10"/>
  <c r="J136" i="10"/>
  <c r="G138" i="10"/>
  <c r="F136" i="10"/>
  <c r="E138" i="10"/>
  <c r="E139" i="10"/>
  <c r="E137" i="10"/>
  <c r="E136" i="10"/>
  <c r="I132" i="10"/>
  <c r="H130" i="10"/>
  <c r="I130" i="10"/>
  <c r="F132" i="10"/>
  <c r="K133" i="10"/>
  <c r="J131" i="10"/>
  <c r="I129" i="10"/>
  <c r="G133" i="10"/>
  <c r="F131" i="10"/>
  <c r="K129" i="10"/>
  <c r="G132" i="10"/>
  <c r="F130" i="10"/>
  <c r="J133" i="10"/>
  <c r="H129" i="10"/>
  <c r="F133" i="10"/>
  <c r="J132" i="10"/>
  <c r="K132" i="10"/>
  <c r="J130" i="10"/>
  <c r="K131" i="10"/>
  <c r="G131" i="10"/>
  <c r="E133" i="10"/>
  <c r="E132" i="10"/>
  <c r="E131" i="10"/>
  <c r="E130" i="10"/>
  <c r="F126" i="10"/>
  <c r="K127" i="10"/>
  <c r="J125" i="10"/>
  <c r="G127" i="10"/>
  <c r="F125" i="10"/>
  <c r="K126" i="10"/>
  <c r="G126" i="10"/>
  <c r="K125" i="10"/>
  <c r="G125" i="10"/>
  <c r="E127" i="10"/>
  <c r="E125" i="10"/>
  <c r="E126" i="10"/>
  <c r="E124" i="10"/>
  <c r="G65" i="10"/>
  <c r="J68" i="10"/>
  <c r="I66" i="10"/>
  <c r="J69" i="10"/>
  <c r="F68" i="10"/>
  <c r="K69" i="10"/>
  <c r="J67" i="10"/>
  <c r="G69" i="10"/>
  <c r="F67" i="10"/>
  <c r="K68" i="10"/>
  <c r="J66" i="10"/>
  <c r="G68" i="10"/>
  <c r="F66" i="10"/>
  <c r="K67" i="10"/>
  <c r="G67" i="10"/>
  <c r="E65" i="10"/>
  <c r="E69" i="10"/>
  <c r="E68" i="10"/>
  <c r="E67" i="10"/>
  <c r="J62" i="10"/>
  <c r="F62" i="10"/>
  <c r="K63" i="10"/>
  <c r="J61" i="10"/>
  <c r="G63" i="10"/>
  <c r="F61" i="10"/>
  <c r="K62" i="10"/>
  <c r="G62" i="10"/>
  <c r="G61" i="10"/>
  <c r="K59" i="10"/>
  <c r="K61" i="10"/>
  <c r="E63" i="10"/>
  <c r="E62" i="10"/>
  <c r="E60" i="10"/>
  <c r="E61" i="10"/>
  <c r="H56" i="10"/>
  <c r="G54" i="10"/>
  <c r="K53" i="10"/>
  <c r="I57" i="10"/>
  <c r="H55" i="10"/>
  <c r="G53" i="10"/>
  <c r="J55" i="10"/>
  <c r="J53" i="10"/>
  <c r="I56" i="10"/>
  <c r="H54" i="10"/>
  <c r="J57" i="10"/>
  <c r="F57" i="10"/>
  <c r="J56" i="10"/>
  <c r="F56" i="10"/>
  <c r="E57" i="10"/>
  <c r="E55" i="10"/>
  <c r="E53" i="10"/>
  <c r="E56" i="10"/>
  <c r="G326" i="12"/>
  <c r="H326" i="12" s="1"/>
  <c r="I326" i="12" s="1"/>
  <c r="J326" i="12" s="1"/>
  <c r="K326" i="12" s="1"/>
  <c r="L326" i="12" s="1"/>
  <c r="M326" i="12" s="1"/>
  <c r="N326" i="12" s="1"/>
  <c r="O326" i="12" s="1"/>
  <c r="P326" i="12" s="1"/>
  <c r="Q326" i="12" s="1"/>
  <c r="R326" i="12" s="1"/>
  <c r="S326" i="12" s="1"/>
  <c r="T326" i="12" s="1"/>
  <c r="U326" i="12" s="1"/>
  <c r="V326" i="12" s="1"/>
  <c r="W326" i="12" s="1"/>
  <c r="X326" i="12" s="1"/>
  <c r="G340" i="12"/>
  <c r="H340" i="12" s="1"/>
  <c r="I340" i="12" s="1"/>
  <c r="J340" i="12" s="1"/>
  <c r="K340" i="12" s="1"/>
  <c r="L340" i="12" s="1"/>
  <c r="M340" i="12" s="1"/>
  <c r="N340" i="12" s="1"/>
  <c r="O340" i="12" s="1"/>
  <c r="P340" i="12" s="1"/>
  <c r="Q340" i="12" s="1"/>
  <c r="R340" i="12" s="1"/>
  <c r="S340" i="12" s="1"/>
  <c r="T340" i="12" s="1"/>
  <c r="U340" i="12" s="1"/>
  <c r="V340" i="12" s="1"/>
  <c r="W340" i="12" s="1"/>
  <c r="X340" i="12" s="1"/>
  <c r="E311" i="12"/>
  <c r="E339" i="12"/>
  <c r="E283" i="12"/>
  <c r="E312" i="13"/>
  <c r="E297" i="13"/>
  <c r="E339" i="13"/>
  <c r="G326" i="14"/>
  <c r="H326" i="14" s="1"/>
  <c r="I326" i="14" s="1"/>
  <c r="J326" i="14" s="1"/>
  <c r="K326" i="14" s="1"/>
  <c r="L326" i="14" s="1"/>
  <c r="M326" i="14" s="1"/>
  <c r="N326" i="14" s="1"/>
  <c r="O326" i="14" s="1"/>
  <c r="P326" i="14" s="1"/>
  <c r="Q326" i="14" s="1"/>
  <c r="R326" i="14" s="1"/>
  <c r="S326" i="14" s="1"/>
  <c r="T326" i="14" s="1"/>
  <c r="U326" i="14" s="1"/>
  <c r="V326" i="14" s="1"/>
  <c r="W326" i="14" s="1"/>
  <c r="X326" i="14" s="1"/>
  <c r="G284" i="14"/>
  <c r="H284" i="14" s="1"/>
  <c r="I284" i="14" s="1"/>
  <c r="J284" i="14" s="1"/>
  <c r="K284" i="14" s="1"/>
  <c r="L284" i="14" s="1"/>
  <c r="M284" i="14" s="1"/>
  <c r="N284" i="14" s="1"/>
  <c r="O284" i="14" s="1"/>
  <c r="P284" i="14" s="1"/>
  <c r="Q284" i="14" s="1"/>
  <c r="R284" i="14" s="1"/>
  <c r="S284" i="14" s="1"/>
  <c r="T284" i="14" s="1"/>
  <c r="U284" i="14" s="1"/>
  <c r="V284" i="14" s="1"/>
  <c r="W284" i="14" s="1"/>
  <c r="X284" i="14" s="1"/>
  <c r="E325" i="14"/>
  <c r="E298" i="12"/>
  <c r="E284" i="12"/>
  <c r="E340" i="14"/>
  <c r="E312" i="14"/>
  <c r="E326" i="13"/>
  <c r="E311" i="13"/>
  <c r="G298" i="13"/>
  <c r="H298" i="13" s="1"/>
  <c r="I298" i="13" s="1"/>
  <c r="J298" i="13" s="1"/>
  <c r="K298" i="13" s="1"/>
  <c r="L298" i="13" s="1"/>
  <c r="M298" i="13" s="1"/>
  <c r="N298" i="13" s="1"/>
  <c r="O298" i="13" s="1"/>
  <c r="P298" i="13" s="1"/>
  <c r="Q298" i="13" s="1"/>
  <c r="R298" i="13" s="1"/>
  <c r="S298" i="13" s="1"/>
  <c r="T298" i="13" s="1"/>
  <c r="U298" i="13" s="1"/>
  <c r="V298" i="13" s="1"/>
  <c r="W298" i="13" s="1"/>
  <c r="X298" i="13" s="1"/>
  <c r="E283" i="13"/>
  <c r="E284" i="13"/>
  <c r="J23" i="15" l="1"/>
  <c r="I23" i="15"/>
  <c r="H23" i="15"/>
  <c r="F28" i="15"/>
  <c r="F27" i="15"/>
  <c r="G26" i="15"/>
  <c r="F26" i="15"/>
  <c r="G25" i="15"/>
  <c r="G24" i="15"/>
  <c r="F23" i="15"/>
  <c r="J13" i="15"/>
  <c r="I13" i="15"/>
  <c r="H13" i="15"/>
  <c r="F18" i="15"/>
  <c r="F17" i="15"/>
  <c r="G16" i="15"/>
  <c r="F16" i="15"/>
  <c r="G15" i="15"/>
  <c r="G14" i="15"/>
  <c r="F13" i="15"/>
  <c r="J3" i="15"/>
  <c r="I3" i="15"/>
  <c r="H3" i="15"/>
  <c r="F8" i="15"/>
  <c r="F7" i="15"/>
  <c r="G6" i="15"/>
  <c r="F6" i="15"/>
  <c r="G5" i="15"/>
  <c r="G4" i="15"/>
  <c r="D13" i="15"/>
  <c r="D12" i="15"/>
  <c r="C17" i="14"/>
  <c r="C16" i="14"/>
  <c r="C15" i="14"/>
  <c r="C13" i="14"/>
  <c r="C12" i="14"/>
  <c r="D11" i="14"/>
  <c r="C11" i="14"/>
  <c r="C10" i="14"/>
  <c r="C9" i="14"/>
  <c r="D8" i="14"/>
  <c r="C7" i="14"/>
  <c r="C6" i="14"/>
  <c r="D5" i="14"/>
  <c r="C4" i="14"/>
  <c r="E3" i="14" a="1"/>
  <c r="P3" i="14" s="1"/>
  <c r="C41" i="14"/>
  <c r="C40" i="14"/>
  <c r="C39" i="14"/>
  <c r="C37" i="14"/>
  <c r="C36" i="14"/>
  <c r="D35" i="14"/>
  <c r="C35" i="14"/>
  <c r="C34" i="14"/>
  <c r="C33" i="14"/>
  <c r="D32" i="14"/>
  <c r="C31" i="14"/>
  <c r="C30" i="14"/>
  <c r="C29" i="14"/>
  <c r="C28" i="14"/>
  <c r="C26" i="14"/>
  <c r="C25" i="14"/>
  <c r="D24" i="14"/>
  <c r="C24" i="14"/>
  <c r="C23" i="14"/>
  <c r="C22" i="14"/>
  <c r="D21" i="14"/>
  <c r="C20" i="14"/>
  <c r="E19" i="14" a="1"/>
  <c r="P19" i="14" s="1"/>
  <c r="C49" i="14"/>
  <c r="C48" i="14"/>
  <c r="C47" i="14"/>
  <c r="C46" i="14"/>
  <c r="C45" i="14"/>
  <c r="E44" i="14" a="1"/>
  <c r="F44" i="14" s="1"/>
  <c r="C55" i="14"/>
  <c r="C54" i="14"/>
  <c r="C53" i="14"/>
  <c r="C52" i="14"/>
  <c r="C51" i="14"/>
  <c r="E50" i="14" a="1"/>
  <c r="F50" i="14" s="1"/>
  <c r="E57" i="14" a="1"/>
  <c r="E57" i="14" s="1"/>
  <c r="C61" i="14"/>
  <c r="C60" i="14"/>
  <c r="C59" i="14"/>
  <c r="C58" i="14"/>
  <c r="C57" i="14"/>
  <c r="E56" i="14" a="1"/>
  <c r="G56" i="14" s="1"/>
  <c r="D64" i="14"/>
  <c r="E62" i="14" a="1"/>
  <c r="E62" i="14" s="1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C75" i="14"/>
  <c r="C74" i="14"/>
  <c r="C73" i="14"/>
  <c r="C72" i="14"/>
  <c r="C71" i="14"/>
  <c r="E70" i="14"/>
  <c r="F70" i="14" s="1" a="1"/>
  <c r="E69" i="14" a="1"/>
  <c r="E69" i="14" s="1"/>
  <c r="C82" i="14"/>
  <c r="C81" i="14"/>
  <c r="C80" i="14"/>
  <c r="C79" i="14"/>
  <c r="C78" i="14"/>
  <c r="E77" i="14" a="1"/>
  <c r="F77" i="14" s="1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C90" i="14"/>
  <c r="C89" i="14"/>
  <c r="C88" i="14"/>
  <c r="C87" i="14"/>
  <c r="C86" i="14"/>
  <c r="E85" i="14"/>
  <c r="F85" i="14" s="1" a="1"/>
  <c r="E84" i="14" a="1"/>
  <c r="E84" i="14" s="1"/>
  <c r="C97" i="14"/>
  <c r="C96" i="14"/>
  <c r="C95" i="14"/>
  <c r="C94" i="14"/>
  <c r="C93" i="14"/>
  <c r="E92" i="14" a="1"/>
  <c r="I92" i="14" s="1"/>
  <c r="C105" i="14"/>
  <c r="C104" i="14"/>
  <c r="C103" i="14"/>
  <c r="C102" i="14"/>
  <c r="C101" i="14"/>
  <c r="E100" i="14" a="1"/>
  <c r="E100" i="14" s="1"/>
  <c r="C111" i="14"/>
  <c r="C110" i="14"/>
  <c r="C109" i="14"/>
  <c r="C108" i="14"/>
  <c r="C107" i="14"/>
  <c r="E106" i="14" a="1"/>
  <c r="H106" i="14" s="1"/>
  <c r="E113" i="14" a="1"/>
  <c r="E113" i="14" s="1"/>
  <c r="C117" i="14"/>
  <c r="C116" i="14"/>
  <c r="C115" i="14"/>
  <c r="C114" i="14"/>
  <c r="C113" i="14"/>
  <c r="E112" i="14" a="1"/>
  <c r="Q112" i="14" s="1"/>
  <c r="D120" i="14"/>
  <c r="E118" i="14" a="1"/>
  <c r="E118" i="14" s="1"/>
  <c r="AN131" i="14"/>
  <c r="AM131" i="14"/>
  <c r="AL131" i="14"/>
  <c r="AK131" i="14"/>
  <c r="AJ131" i="14"/>
  <c r="AI131" i="14"/>
  <c r="AH131" i="14"/>
  <c r="AG131" i="14"/>
  <c r="AF131" i="14"/>
  <c r="AE131" i="14"/>
  <c r="AD131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C131" i="14"/>
  <c r="C130" i="14"/>
  <c r="C129" i="14"/>
  <c r="C128" i="14"/>
  <c r="C127" i="14"/>
  <c r="E126" i="14"/>
  <c r="F126" i="14" s="1" a="1"/>
  <c r="E125" i="14" a="1"/>
  <c r="H125" i="14" s="1"/>
  <c r="C138" i="14"/>
  <c r="C137" i="14"/>
  <c r="C136" i="14"/>
  <c r="C135" i="14"/>
  <c r="C134" i="14"/>
  <c r="E133" i="14" a="1"/>
  <c r="M133" i="14" s="1"/>
  <c r="AN146" i="14"/>
  <c r="AM146" i="14"/>
  <c r="AL146" i="14"/>
  <c r="AK146" i="14"/>
  <c r="AJ146" i="14"/>
  <c r="AI146" i="14"/>
  <c r="AH146" i="14"/>
  <c r="AG146" i="14"/>
  <c r="AF146" i="14"/>
  <c r="AE146" i="14"/>
  <c r="AD146" i="14"/>
  <c r="AC146" i="14"/>
  <c r="AB146" i="14"/>
  <c r="AA146" i="14"/>
  <c r="Z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C146" i="14"/>
  <c r="C145" i="14"/>
  <c r="C144" i="14"/>
  <c r="C143" i="14"/>
  <c r="C142" i="14"/>
  <c r="E141" i="14"/>
  <c r="F141" i="14" s="1" a="1"/>
  <c r="E140" i="14" a="1"/>
  <c r="E140" i="14" s="1"/>
  <c r="C153" i="14"/>
  <c r="C152" i="14"/>
  <c r="C151" i="14"/>
  <c r="C150" i="14"/>
  <c r="C149" i="14"/>
  <c r="E148" i="14" a="1"/>
  <c r="E148" i="14" s="1"/>
  <c r="E156" i="14" a="1"/>
  <c r="E156" i="14" s="1"/>
  <c r="C160" i="14"/>
  <c r="C159" i="14"/>
  <c r="C158" i="14"/>
  <c r="C157" i="14"/>
  <c r="C156" i="14"/>
  <c r="C167" i="14"/>
  <c r="C166" i="14"/>
  <c r="C165" i="14"/>
  <c r="C164" i="14"/>
  <c r="C163" i="14"/>
  <c r="E162" i="14" a="1"/>
  <c r="J162" i="14" s="1"/>
  <c r="C174" i="14"/>
  <c r="C173" i="14"/>
  <c r="C172" i="14"/>
  <c r="C171" i="14"/>
  <c r="C170" i="14"/>
  <c r="E169" i="14" a="1"/>
  <c r="E169" i="14" s="1"/>
  <c r="C181" i="14"/>
  <c r="C180" i="14"/>
  <c r="C179" i="14"/>
  <c r="C178" i="14"/>
  <c r="C177" i="14"/>
  <c r="E176" i="14" a="1"/>
  <c r="E176" i="14" s="1"/>
  <c r="C188" i="14"/>
  <c r="C187" i="14"/>
  <c r="C186" i="14"/>
  <c r="C185" i="14"/>
  <c r="C184" i="14"/>
  <c r="E183" i="14" a="1"/>
  <c r="E183" i="14" s="1"/>
  <c r="C195" i="14"/>
  <c r="C194" i="14"/>
  <c r="C193" i="14"/>
  <c r="C192" i="14"/>
  <c r="C191" i="14"/>
  <c r="E190" i="14" a="1"/>
  <c r="E190" i="14" s="1"/>
  <c r="C202" i="14"/>
  <c r="C201" i="14"/>
  <c r="C200" i="14"/>
  <c r="C199" i="14"/>
  <c r="C198" i="14"/>
  <c r="E197" i="14" a="1"/>
  <c r="E197" i="14" s="1"/>
  <c r="C274" i="14"/>
  <c r="C273" i="14"/>
  <c r="C272" i="14"/>
  <c r="C271" i="14"/>
  <c r="D269" i="14"/>
  <c r="C269" i="14"/>
  <c r="D268" i="14"/>
  <c r="C268" i="14"/>
  <c r="D267" i="14"/>
  <c r="C267" i="14"/>
  <c r="D266" i="14"/>
  <c r="C266" i="14"/>
  <c r="C265" i="14"/>
  <c r="D264" i="14"/>
  <c r="C264" i="14"/>
  <c r="D263" i="14"/>
  <c r="C263" i="14"/>
  <c r="C261" i="14"/>
  <c r="C260" i="14"/>
  <c r="C259" i="14"/>
  <c r="C258" i="14"/>
  <c r="C257" i="14"/>
  <c r="D255" i="14"/>
  <c r="C255" i="14"/>
  <c r="D254" i="14"/>
  <c r="C254" i="14"/>
  <c r="D253" i="14"/>
  <c r="C253" i="14"/>
  <c r="D252" i="14"/>
  <c r="C252" i="14"/>
  <c r="C251" i="14"/>
  <c r="D250" i="14"/>
  <c r="C250" i="14"/>
  <c r="D249" i="14"/>
  <c r="C249" i="14"/>
  <c r="C247" i="14"/>
  <c r="C246" i="14"/>
  <c r="C245" i="14"/>
  <c r="C244" i="14"/>
  <c r="C243" i="14"/>
  <c r="D241" i="14"/>
  <c r="C241" i="14"/>
  <c r="D240" i="14"/>
  <c r="C240" i="14"/>
  <c r="D239" i="14"/>
  <c r="C239" i="14"/>
  <c r="D238" i="14"/>
  <c r="C238" i="14"/>
  <c r="C237" i="14"/>
  <c r="D236" i="14"/>
  <c r="C236" i="14"/>
  <c r="D235" i="14"/>
  <c r="C235" i="14"/>
  <c r="C233" i="14"/>
  <c r="C232" i="14"/>
  <c r="C231" i="14"/>
  <c r="C230" i="14"/>
  <c r="C229" i="14"/>
  <c r="D227" i="14"/>
  <c r="C227" i="14"/>
  <c r="D226" i="14"/>
  <c r="C226" i="14"/>
  <c r="D225" i="14"/>
  <c r="C225" i="14"/>
  <c r="D224" i="14"/>
  <c r="C224" i="14"/>
  <c r="C223" i="14"/>
  <c r="D222" i="14"/>
  <c r="C222" i="14"/>
  <c r="D221" i="14"/>
  <c r="C221" i="14"/>
  <c r="C219" i="14"/>
  <c r="C218" i="14"/>
  <c r="C217" i="14"/>
  <c r="C216" i="14"/>
  <c r="C215" i="14"/>
  <c r="D213" i="14"/>
  <c r="C213" i="14"/>
  <c r="D212" i="14"/>
  <c r="C212" i="14"/>
  <c r="D211" i="14"/>
  <c r="C211" i="14"/>
  <c r="D210" i="14"/>
  <c r="C210" i="14"/>
  <c r="C209" i="14"/>
  <c r="D208" i="14"/>
  <c r="C208" i="14"/>
  <c r="D207" i="14"/>
  <c r="C207" i="14"/>
  <c r="C205" i="14"/>
  <c r="E204" i="14" a="1"/>
  <c r="E204" i="14" s="1"/>
  <c r="E288" i="14"/>
  <c r="C288" i="14"/>
  <c r="E287" i="14"/>
  <c r="F287" i="14" s="1" a="1"/>
  <c r="C287" i="14"/>
  <c r="C286" i="14"/>
  <c r="C284" i="14"/>
  <c r="C283" i="14"/>
  <c r="D282" i="14"/>
  <c r="E281" i="14"/>
  <c r="D281" i="14"/>
  <c r="E280" i="14"/>
  <c r="C280" i="14"/>
  <c r="E279" i="14"/>
  <c r="C279" i="14"/>
  <c r="D278" i="14"/>
  <c r="E276" i="14" a="1"/>
  <c r="E276" i="14" s="1"/>
  <c r="C276" i="14"/>
  <c r="E302" i="14"/>
  <c r="C302" i="14"/>
  <c r="E301" i="14"/>
  <c r="F301" i="14" s="1" a="1"/>
  <c r="C301" i="14"/>
  <c r="C300" i="14"/>
  <c r="C298" i="14"/>
  <c r="C297" i="14"/>
  <c r="D296" i="14"/>
  <c r="E295" i="14"/>
  <c r="D295" i="14"/>
  <c r="E294" i="14"/>
  <c r="C294" i="14"/>
  <c r="E293" i="14"/>
  <c r="C293" i="14"/>
  <c r="D292" i="14"/>
  <c r="E290" i="14" a="1"/>
  <c r="E290" i="14" s="1"/>
  <c r="C290" i="14"/>
  <c r="E316" i="14"/>
  <c r="F316" i="14" s="1" a="1"/>
  <c r="C316" i="14"/>
  <c r="E315" i="14"/>
  <c r="C315" i="14"/>
  <c r="C314" i="14"/>
  <c r="C312" i="14"/>
  <c r="C311" i="14"/>
  <c r="D310" i="14"/>
  <c r="E309" i="14"/>
  <c r="D309" i="14"/>
  <c r="E308" i="14"/>
  <c r="C308" i="14"/>
  <c r="E307" i="14"/>
  <c r="C307" i="14"/>
  <c r="D306" i="14"/>
  <c r="E304" i="14" a="1"/>
  <c r="E304" i="14" s="1"/>
  <c r="C304" i="14"/>
  <c r="E330" i="14"/>
  <c r="C330" i="14"/>
  <c r="E329" i="14"/>
  <c r="F329" i="14" s="1" a="1"/>
  <c r="C329" i="14"/>
  <c r="C328" i="14"/>
  <c r="C326" i="14"/>
  <c r="C325" i="14"/>
  <c r="D324" i="14"/>
  <c r="E323" i="14"/>
  <c r="D323" i="14"/>
  <c r="E322" i="14"/>
  <c r="C322" i="14"/>
  <c r="E321" i="14"/>
  <c r="C321" i="14"/>
  <c r="D320" i="14"/>
  <c r="E318" i="14" a="1"/>
  <c r="E318" i="14" s="1"/>
  <c r="C318" i="14"/>
  <c r="E344" i="14"/>
  <c r="F344" i="14" s="1" a="1"/>
  <c r="C344" i="14"/>
  <c r="E343" i="14"/>
  <c r="C343" i="14"/>
  <c r="C342" i="14"/>
  <c r="C340" i="14"/>
  <c r="C339" i="14"/>
  <c r="D338" i="14"/>
  <c r="E337" i="14"/>
  <c r="D337" i="14"/>
  <c r="E336" i="14"/>
  <c r="C336" i="14"/>
  <c r="E335" i="14"/>
  <c r="C335" i="14"/>
  <c r="D334" i="14"/>
  <c r="E332" i="14" a="1"/>
  <c r="E332" i="14" s="1"/>
  <c r="C332" i="14"/>
  <c r="C17" i="13"/>
  <c r="C16" i="13"/>
  <c r="C15" i="13"/>
  <c r="C13" i="13"/>
  <c r="C12" i="13"/>
  <c r="D11" i="13"/>
  <c r="C11" i="13"/>
  <c r="C10" i="13"/>
  <c r="C9" i="13"/>
  <c r="D8" i="13"/>
  <c r="C7" i="13"/>
  <c r="C6" i="13"/>
  <c r="D5" i="13"/>
  <c r="C4" i="13"/>
  <c r="E3" i="13" a="1"/>
  <c r="P3" i="13" s="1"/>
  <c r="C41" i="13"/>
  <c r="C40" i="13"/>
  <c r="C39" i="13"/>
  <c r="C37" i="13"/>
  <c r="C36" i="13"/>
  <c r="D35" i="13"/>
  <c r="C35" i="13"/>
  <c r="C34" i="13"/>
  <c r="C33" i="13"/>
  <c r="D32" i="13"/>
  <c r="C31" i="13"/>
  <c r="C30" i="13"/>
  <c r="C29" i="13"/>
  <c r="C28" i="13"/>
  <c r="C26" i="13"/>
  <c r="C25" i="13"/>
  <c r="D24" i="13"/>
  <c r="C24" i="13"/>
  <c r="C23" i="13"/>
  <c r="C22" i="13"/>
  <c r="D21" i="13"/>
  <c r="C20" i="13"/>
  <c r="E19" i="13" a="1"/>
  <c r="F19" i="13" s="1"/>
  <c r="C49" i="13"/>
  <c r="C48" i="13"/>
  <c r="C47" i="13"/>
  <c r="C46" i="13"/>
  <c r="C45" i="13"/>
  <c r="E44" i="13" a="1"/>
  <c r="P44" i="13" s="1"/>
  <c r="C55" i="13"/>
  <c r="C54" i="13"/>
  <c r="C53" i="13"/>
  <c r="C52" i="13"/>
  <c r="C51" i="13"/>
  <c r="E50" i="13" a="1"/>
  <c r="P50" i="13" s="1"/>
  <c r="E57" i="13" a="1"/>
  <c r="E57" i="13" s="1"/>
  <c r="C61" i="13"/>
  <c r="C60" i="13"/>
  <c r="C59" i="13"/>
  <c r="C58" i="13"/>
  <c r="C57" i="13"/>
  <c r="E56" i="13" a="1"/>
  <c r="AB56" i="13" s="1"/>
  <c r="D64" i="13"/>
  <c r="E62" i="13" a="1"/>
  <c r="AB62" i="13" s="1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C75" i="13"/>
  <c r="C74" i="13"/>
  <c r="C73" i="13"/>
  <c r="C72" i="13"/>
  <c r="C71" i="13"/>
  <c r="E70" i="13"/>
  <c r="F70" i="13" s="1" a="1"/>
  <c r="E69" i="13" a="1"/>
  <c r="I69" i="13" s="1"/>
  <c r="C82" i="13"/>
  <c r="C81" i="13"/>
  <c r="C80" i="13"/>
  <c r="C79" i="13"/>
  <c r="C78" i="13"/>
  <c r="E77" i="13" a="1"/>
  <c r="I77" i="13" s="1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B90" i="13"/>
  <c r="AA90" i="13"/>
  <c r="Z90" i="13"/>
  <c r="Y90" i="13"/>
  <c r="X90" i="13"/>
  <c r="W90" i="13"/>
  <c r="V90" i="13"/>
  <c r="U90" i="13"/>
  <c r="T90" i="13"/>
  <c r="S90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C90" i="13"/>
  <c r="C89" i="13"/>
  <c r="C88" i="13"/>
  <c r="C87" i="13"/>
  <c r="C86" i="13"/>
  <c r="E85" i="13"/>
  <c r="F85" i="13" s="1" a="1"/>
  <c r="E84" i="13" a="1"/>
  <c r="E84" i="13" s="1"/>
  <c r="C97" i="13"/>
  <c r="C96" i="13"/>
  <c r="C95" i="13"/>
  <c r="C94" i="13"/>
  <c r="C93" i="13"/>
  <c r="E92" i="13" a="1"/>
  <c r="E92" i="13" s="1"/>
  <c r="C105" i="13"/>
  <c r="C104" i="13"/>
  <c r="C103" i="13"/>
  <c r="C102" i="13"/>
  <c r="C101" i="13"/>
  <c r="E100" i="13" a="1"/>
  <c r="E100" i="13" s="1"/>
  <c r="C111" i="13"/>
  <c r="C110" i="13"/>
  <c r="C109" i="13"/>
  <c r="C108" i="13"/>
  <c r="C107" i="13"/>
  <c r="E106" i="13" a="1"/>
  <c r="E106" i="13" s="1"/>
  <c r="E113" i="13" a="1"/>
  <c r="E113" i="13" s="1"/>
  <c r="C117" i="13"/>
  <c r="C116" i="13"/>
  <c r="C115" i="13"/>
  <c r="C114" i="13"/>
  <c r="C113" i="13"/>
  <c r="E112" i="13" a="1"/>
  <c r="E112" i="13" s="1"/>
  <c r="D120" i="13"/>
  <c r="E118" i="13" a="1"/>
  <c r="E118" i="13" s="1"/>
  <c r="AN131" i="13"/>
  <c r="AM131" i="13"/>
  <c r="AL131" i="13"/>
  <c r="AK131" i="13"/>
  <c r="AJ131" i="13"/>
  <c r="AI131" i="13"/>
  <c r="AH131" i="13"/>
  <c r="AG131" i="13"/>
  <c r="AF131" i="13"/>
  <c r="AE131" i="13"/>
  <c r="AD131" i="13"/>
  <c r="AC131" i="13"/>
  <c r="AB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C131" i="13"/>
  <c r="C130" i="13"/>
  <c r="C129" i="13"/>
  <c r="C128" i="13"/>
  <c r="C127" i="13"/>
  <c r="E126" i="13"/>
  <c r="F126" i="13" s="1" a="1"/>
  <c r="E125" i="13" a="1"/>
  <c r="E125" i="13" s="1"/>
  <c r="C138" i="13"/>
  <c r="C137" i="13"/>
  <c r="C136" i="13"/>
  <c r="C135" i="13"/>
  <c r="C134" i="13"/>
  <c r="E133" i="13" a="1"/>
  <c r="F133" i="13" s="1"/>
  <c r="AN146" i="13"/>
  <c r="AM146" i="13"/>
  <c r="AL146" i="13"/>
  <c r="AK146" i="13"/>
  <c r="AJ146" i="13"/>
  <c r="AI146" i="13"/>
  <c r="AH146" i="13"/>
  <c r="AG146" i="13"/>
  <c r="AF146" i="13"/>
  <c r="AE146" i="13"/>
  <c r="AD146" i="13"/>
  <c r="AC146" i="13"/>
  <c r="AB146" i="13"/>
  <c r="AA146" i="13"/>
  <c r="Z146" i="13"/>
  <c r="Y146" i="13"/>
  <c r="X146" i="13"/>
  <c r="W146" i="13"/>
  <c r="V146" i="13"/>
  <c r="U146" i="13"/>
  <c r="T146" i="13"/>
  <c r="S146" i="13"/>
  <c r="R146" i="13"/>
  <c r="Q146" i="13"/>
  <c r="P146" i="13"/>
  <c r="O146" i="13"/>
  <c r="N146" i="13"/>
  <c r="M146" i="13"/>
  <c r="L146" i="13"/>
  <c r="K146" i="13"/>
  <c r="J146" i="13"/>
  <c r="I146" i="13"/>
  <c r="H146" i="13"/>
  <c r="G146" i="13"/>
  <c r="F146" i="13"/>
  <c r="C146" i="13"/>
  <c r="C145" i="13"/>
  <c r="C144" i="13"/>
  <c r="C143" i="13"/>
  <c r="C142" i="13"/>
  <c r="E141" i="13"/>
  <c r="F141" i="13" s="1" a="1"/>
  <c r="E140" i="13" a="1"/>
  <c r="E140" i="13" s="1"/>
  <c r="C153" i="13"/>
  <c r="C152" i="13"/>
  <c r="C151" i="13"/>
  <c r="C150" i="13"/>
  <c r="C149" i="13"/>
  <c r="E148" i="13" a="1"/>
  <c r="E148" i="13" s="1"/>
  <c r="E156" i="13" a="1"/>
  <c r="E156" i="13" s="1"/>
  <c r="C160" i="13"/>
  <c r="C159" i="13"/>
  <c r="C158" i="13"/>
  <c r="C157" i="13"/>
  <c r="C156" i="13"/>
  <c r="C167" i="13"/>
  <c r="C166" i="13"/>
  <c r="C165" i="13"/>
  <c r="C164" i="13"/>
  <c r="C163" i="13"/>
  <c r="E162" i="13" a="1"/>
  <c r="E162" i="13" s="1"/>
  <c r="C174" i="13"/>
  <c r="C173" i="13"/>
  <c r="C172" i="13"/>
  <c r="C171" i="13"/>
  <c r="C170" i="13"/>
  <c r="E169" i="13" a="1"/>
  <c r="AC169" i="13" s="1"/>
  <c r="C181" i="13"/>
  <c r="C180" i="13"/>
  <c r="C179" i="13"/>
  <c r="C178" i="13"/>
  <c r="C177" i="13"/>
  <c r="E176" i="13" a="1"/>
  <c r="E176" i="13" s="1"/>
  <c r="C188" i="13"/>
  <c r="C187" i="13"/>
  <c r="C186" i="13"/>
  <c r="C185" i="13"/>
  <c r="C184" i="13"/>
  <c r="E183" i="13" a="1"/>
  <c r="E183" i="13" s="1"/>
  <c r="C195" i="13"/>
  <c r="C194" i="13"/>
  <c r="C193" i="13"/>
  <c r="C192" i="13"/>
  <c r="C191" i="13"/>
  <c r="E190" i="13" a="1"/>
  <c r="AD190" i="13" s="1"/>
  <c r="C202" i="13"/>
  <c r="C201" i="13"/>
  <c r="C200" i="13"/>
  <c r="C199" i="13"/>
  <c r="C198" i="13"/>
  <c r="E197" i="13" a="1"/>
  <c r="L197" i="13" s="1"/>
  <c r="C274" i="13"/>
  <c r="C273" i="13"/>
  <c r="C272" i="13"/>
  <c r="C271" i="13"/>
  <c r="D269" i="13"/>
  <c r="C269" i="13"/>
  <c r="D268" i="13"/>
  <c r="C268" i="13"/>
  <c r="D267" i="13"/>
  <c r="C267" i="13"/>
  <c r="D266" i="13"/>
  <c r="C266" i="13"/>
  <c r="C265" i="13"/>
  <c r="D264" i="13"/>
  <c r="C264" i="13"/>
  <c r="D263" i="13"/>
  <c r="C263" i="13"/>
  <c r="C261" i="13"/>
  <c r="C260" i="13"/>
  <c r="C259" i="13"/>
  <c r="C258" i="13"/>
  <c r="C257" i="13"/>
  <c r="D255" i="13"/>
  <c r="C255" i="13"/>
  <c r="D254" i="13"/>
  <c r="C254" i="13"/>
  <c r="D253" i="13"/>
  <c r="C253" i="13"/>
  <c r="D252" i="13"/>
  <c r="C252" i="13"/>
  <c r="C251" i="13"/>
  <c r="D250" i="13"/>
  <c r="C250" i="13"/>
  <c r="D249" i="13"/>
  <c r="C249" i="13"/>
  <c r="C247" i="13"/>
  <c r="C246" i="13"/>
  <c r="C245" i="13"/>
  <c r="C244" i="13"/>
  <c r="C243" i="13"/>
  <c r="D241" i="13"/>
  <c r="C241" i="13"/>
  <c r="D240" i="13"/>
  <c r="C240" i="13"/>
  <c r="D239" i="13"/>
  <c r="C239" i="13"/>
  <c r="D238" i="13"/>
  <c r="C238" i="13"/>
  <c r="C237" i="13"/>
  <c r="D236" i="13"/>
  <c r="C236" i="13"/>
  <c r="D235" i="13"/>
  <c r="C235" i="13"/>
  <c r="C233" i="13"/>
  <c r="C232" i="13"/>
  <c r="C231" i="13"/>
  <c r="C230" i="13"/>
  <c r="C229" i="13"/>
  <c r="D227" i="13"/>
  <c r="C227" i="13"/>
  <c r="D226" i="13"/>
  <c r="C226" i="13"/>
  <c r="D225" i="13"/>
  <c r="C225" i="13"/>
  <c r="D224" i="13"/>
  <c r="C224" i="13"/>
  <c r="C223" i="13"/>
  <c r="D222" i="13"/>
  <c r="C222" i="13"/>
  <c r="D221" i="13"/>
  <c r="C221" i="13"/>
  <c r="C219" i="13"/>
  <c r="C218" i="13"/>
  <c r="C217" i="13"/>
  <c r="C216" i="13"/>
  <c r="C215" i="13"/>
  <c r="D213" i="13"/>
  <c r="C213" i="13"/>
  <c r="D212" i="13"/>
  <c r="C212" i="13"/>
  <c r="D211" i="13"/>
  <c r="C211" i="13"/>
  <c r="D210" i="13"/>
  <c r="C210" i="13"/>
  <c r="C209" i="13"/>
  <c r="D208" i="13"/>
  <c r="C208" i="13"/>
  <c r="D207" i="13"/>
  <c r="C207" i="13"/>
  <c r="C205" i="13"/>
  <c r="E204" i="13" a="1"/>
  <c r="E204" i="13" s="1"/>
  <c r="E288" i="13"/>
  <c r="F288" i="13" s="1" a="1"/>
  <c r="C288" i="13"/>
  <c r="E287" i="13"/>
  <c r="F287" i="13" s="1" a="1"/>
  <c r="C287" i="13"/>
  <c r="C286" i="13"/>
  <c r="C284" i="13"/>
  <c r="C283" i="13"/>
  <c r="D282" i="13"/>
  <c r="E281" i="13"/>
  <c r="D281" i="13"/>
  <c r="E280" i="13"/>
  <c r="C280" i="13"/>
  <c r="E279" i="13"/>
  <c r="C279" i="13"/>
  <c r="D278" i="13"/>
  <c r="E276" i="13" a="1"/>
  <c r="E276" i="13" s="1"/>
  <c r="C276" i="13"/>
  <c r="E302" i="13"/>
  <c r="C302" i="13"/>
  <c r="E301" i="13"/>
  <c r="F301" i="13" s="1" a="1"/>
  <c r="C301" i="13"/>
  <c r="C300" i="13"/>
  <c r="C298" i="13"/>
  <c r="C297" i="13"/>
  <c r="D296" i="13"/>
  <c r="E295" i="13"/>
  <c r="D295" i="13"/>
  <c r="E294" i="13"/>
  <c r="C294" i="13"/>
  <c r="E293" i="13"/>
  <c r="C293" i="13"/>
  <c r="D292" i="13"/>
  <c r="E290" i="13" a="1"/>
  <c r="E290" i="13" s="1"/>
  <c r="C290" i="13"/>
  <c r="E316" i="13"/>
  <c r="F316" i="13" s="1" a="1"/>
  <c r="C316" i="13"/>
  <c r="E315" i="13"/>
  <c r="C315" i="13"/>
  <c r="C314" i="13"/>
  <c r="C312" i="13"/>
  <c r="C311" i="13"/>
  <c r="D310" i="13"/>
  <c r="E309" i="13"/>
  <c r="D309" i="13"/>
  <c r="E308" i="13"/>
  <c r="C308" i="13"/>
  <c r="E307" i="13"/>
  <c r="C307" i="13"/>
  <c r="D306" i="13"/>
  <c r="E304" i="13" a="1"/>
  <c r="Q304" i="13" s="1"/>
  <c r="C304" i="13"/>
  <c r="E330" i="13"/>
  <c r="F330" i="13" s="1" a="1"/>
  <c r="C330" i="13"/>
  <c r="E329" i="13"/>
  <c r="F329" i="13" s="1" a="1"/>
  <c r="C329" i="13"/>
  <c r="C328" i="13"/>
  <c r="C326" i="13"/>
  <c r="C325" i="13"/>
  <c r="D324" i="13"/>
  <c r="E323" i="13"/>
  <c r="D323" i="13"/>
  <c r="E322" i="13"/>
  <c r="C322" i="13"/>
  <c r="E321" i="13"/>
  <c r="C321" i="13"/>
  <c r="D320" i="13"/>
  <c r="E318" i="13" a="1"/>
  <c r="E318" i="13" s="1"/>
  <c r="C318" i="13"/>
  <c r="E344" i="13"/>
  <c r="C344" i="13"/>
  <c r="E343" i="13"/>
  <c r="F343" i="13" s="1" a="1"/>
  <c r="C343" i="13"/>
  <c r="C342" i="13"/>
  <c r="C340" i="13"/>
  <c r="C339" i="13"/>
  <c r="D338" i="13"/>
  <c r="E337" i="13"/>
  <c r="D337" i="13"/>
  <c r="E336" i="13"/>
  <c r="C336" i="13"/>
  <c r="E335" i="13"/>
  <c r="C335" i="13"/>
  <c r="D334" i="13"/>
  <c r="E332" i="13" a="1"/>
  <c r="O332" i="13" s="1"/>
  <c r="C332" i="13"/>
  <c r="C17" i="12"/>
  <c r="C16" i="12"/>
  <c r="C15" i="12"/>
  <c r="C13" i="12"/>
  <c r="C12" i="12"/>
  <c r="D11" i="12"/>
  <c r="C11" i="12"/>
  <c r="C10" i="12"/>
  <c r="C9" i="12"/>
  <c r="D8" i="12"/>
  <c r="C7" i="12"/>
  <c r="C6" i="12"/>
  <c r="D5" i="12"/>
  <c r="C4" i="12"/>
  <c r="E3" i="12" a="1"/>
  <c r="E3" i="12" s="1"/>
  <c r="C41" i="12"/>
  <c r="C40" i="12"/>
  <c r="C39" i="12"/>
  <c r="C37" i="12"/>
  <c r="C36" i="12"/>
  <c r="D35" i="12"/>
  <c r="C35" i="12"/>
  <c r="C34" i="12"/>
  <c r="C33" i="12"/>
  <c r="D32" i="12"/>
  <c r="C31" i="12"/>
  <c r="C30" i="12"/>
  <c r="C29" i="12"/>
  <c r="C28" i="12"/>
  <c r="C26" i="12"/>
  <c r="C25" i="12"/>
  <c r="D24" i="12"/>
  <c r="C24" i="12"/>
  <c r="C23" i="12"/>
  <c r="C22" i="12"/>
  <c r="D21" i="12"/>
  <c r="C20" i="12"/>
  <c r="E19" i="12" a="1"/>
  <c r="E19" i="12" s="1"/>
  <c r="C49" i="12"/>
  <c r="C48" i="12"/>
  <c r="C47" i="12"/>
  <c r="C46" i="12"/>
  <c r="C45" i="12"/>
  <c r="E44" i="12" a="1"/>
  <c r="P44" i="12" s="1"/>
  <c r="C55" i="12"/>
  <c r="C54" i="12"/>
  <c r="C53" i="12"/>
  <c r="C52" i="12"/>
  <c r="C51" i="12"/>
  <c r="E50" i="12" a="1"/>
  <c r="E50" i="12" s="1"/>
  <c r="E57" i="12" a="1"/>
  <c r="E57" i="12" s="1"/>
  <c r="C61" i="12"/>
  <c r="C60" i="12"/>
  <c r="C59" i="12"/>
  <c r="C58" i="12"/>
  <c r="C57" i="12"/>
  <c r="E56" i="12" a="1"/>
  <c r="H56" i="12" s="1"/>
  <c r="D64" i="12"/>
  <c r="E62" i="12" a="1"/>
  <c r="I62" i="12" s="1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C75" i="12"/>
  <c r="C74" i="12"/>
  <c r="C73" i="12"/>
  <c r="C72" i="12"/>
  <c r="C71" i="12"/>
  <c r="E70" i="12"/>
  <c r="F70" i="12" s="1" a="1"/>
  <c r="E69" i="12" a="1"/>
  <c r="I69" i="12" s="1"/>
  <c r="C82" i="12"/>
  <c r="C81" i="12"/>
  <c r="C80" i="12"/>
  <c r="C79" i="12"/>
  <c r="C78" i="12"/>
  <c r="E77" i="12" a="1"/>
  <c r="G77" i="12" s="1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C90" i="12"/>
  <c r="C89" i="12"/>
  <c r="C88" i="12"/>
  <c r="C87" i="12"/>
  <c r="C86" i="12"/>
  <c r="E85" i="12"/>
  <c r="F85" i="12" s="1" a="1"/>
  <c r="E84" i="12" a="1"/>
  <c r="L84" i="12" s="1"/>
  <c r="C97" i="12"/>
  <c r="C96" i="12"/>
  <c r="C95" i="12"/>
  <c r="C94" i="12"/>
  <c r="C93" i="12"/>
  <c r="E92" i="12" a="1"/>
  <c r="E92" i="12" s="1"/>
  <c r="C105" i="12"/>
  <c r="C104" i="12"/>
  <c r="C103" i="12"/>
  <c r="C102" i="12"/>
  <c r="C101" i="12"/>
  <c r="E100" i="12" a="1"/>
  <c r="P100" i="12" s="1"/>
  <c r="C111" i="12"/>
  <c r="C110" i="12"/>
  <c r="C109" i="12"/>
  <c r="C108" i="12"/>
  <c r="C107" i="12"/>
  <c r="E106" i="12" a="1"/>
  <c r="L106" i="12" s="1"/>
  <c r="E113" i="12" a="1"/>
  <c r="E113" i="12" s="1"/>
  <c r="C117" i="12"/>
  <c r="C116" i="12"/>
  <c r="C115" i="12"/>
  <c r="C114" i="12"/>
  <c r="C113" i="12"/>
  <c r="E112" i="12" a="1"/>
  <c r="H112" i="12" s="1"/>
  <c r="D120" i="12"/>
  <c r="E118" i="12" a="1"/>
  <c r="E118" i="12" s="1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C131" i="12"/>
  <c r="C130" i="12"/>
  <c r="C129" i="12"/>
  <c r="C128" i="12"/>
  <c r="C127" i="12"/>
  <c r="E126" i="12"/>
  <c r="F126" i="12" s="1" a="1"/>
  <c r="E125" i="12" a="1"/>
  <c r="E125" i="12" s="1"/>
  <c r="C138" i="12"/>
  <c r="C137" i="12"/>
  <c r="C136" i="12"/>
  <c r="C135" i="12"/>
  <c r="C134" i="12"/>
  <c r="E133" i="12" a="1"/>
  <c r="L133" i="12" s="1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F146" i="12"/>
  <c r="C146" i="12"/>
  <c r="C145" i="12"/>
  <c r="C144" i="12"/>
  <c r="C143" i="12"/>
  <c r="C142" i="12"/>
  <c r="E141" i="12"/>
  <c r="F141" i="12" s="1" a="1"/>
  <c r="E140" i="12" a="1"/>
  <c r="E140" i="12" s="1"/>
  <c r="C153" i="12"/>
  <c r="C152" i="12"/>
  <c r="C151" i="12"/>
  <c r="C150" i="12"/>
  <c r="C149" i="12"/>
  <c r="E148" i="12" a="1"/>
  <c r="F148" i="12" s="1"/>
  <c r="E156" i="12" a="1"/>
  <c r="E159" i="12" s="1"/>
  <c r="C160" i="12"/>
  <c r="C159" i="12"/>
  <c r="C158" i="12"/>
  <c r="C157" i="12"/>
  <c r="C156" i="12"/>
  <c r="C167" i="12"/>
  <c r="C166" i="12"/>
  <c r="C165" i="12"/>
  <c r="C164" i="12"/>
  <c r="C163" i="12"/>
  <c r="E162" i="12" a="1"/>
  <c r="E162" i="12" s="1"/>
  <c r="C174" i="12"/>
  <c r="C173" i="12"/>
  <c r="C172" i="12"/>
  <c r="C171" i="12"/>
  <c r="C170" i="12"/>
  <c r="E169" i="12" a="1"/>
  <c r="E169" i="12" s="1"/>
  <c r="C181" i="12"/>
  <c r="C180" i="12"/>
  <c r="C179" i="12"/>
  <c r="C178" i="12"/>
  <c r="C177" i="12"/>
  <c r="E176" i="12" a="1"/>
  <c r="F176" i="12" s="1"/>
  <c r="C188" i="12"/>
  <c r="C187" i="12"/>
  <c r="C186" i="12"/>
  <c r="C185" i="12"/>
  <c r="C184" i="12"/>
  <c r="E183" i="12" a="1"/>
  <c r="E183" i="12" s="1"/>
  <c r="C195" i="12"/>
  <c r="C194" i="12"/>
  <c r="C193" i="12"/>
  <c r="C192" i="12"/>
  <c r="C191" i="12"/>
  <c r="E190" i="12" a="1"/>
  <c r="E190" i="12" s="1"/>
  <c r="C202" i="12"/>
  <c r="C201" i="12"/>
  <c r="C200" i="12"/>
  <c r="C199" i="12"/>
  <c r="C198" i="12"/>
  <c r="E197" i="12" a="1"/>
  <c r="E197" i="12" s="1"/>
  <c r="C274" i="12"/>
  <c r="C273" i="12"/>
  <c r="C272" i="12"/>
  <c r="C271" i="12"/>
  <c r="D269" i="12"/>
  <c r="C269" i="12"/>
  <c r="D268" i="12"/>
  <c r="C268" i="12"/>
  <c r="D267" i="12"/>
  <c r="C267" i="12"/>
  <c r="D266" i="12"/>
  <c r="C266" i="12"/>
  <c r="C265" i="12"/>
  <c r="D264" i="12"/>
  <c r="C264" i="12"/>
  <c r="D263" i="12"/>
  <c r="C263" i="12"/>
  <c r="C261" i="12"/>
  <c r="C260" i="12"/>
  <c r="C259" i="12"/>
  <c r="C258" i="12"/>
  <c r="C257" i="12"/>
  <c r="D255" i="12"/>
  <c r="C255" i="12"/>
  <c r="D254" i="12"/>
  <c r="C254" i="12"/>
  <c r="D253" i="12"/>
  <c r="C253" i="12"/>
  <c r="D252" i="12"/>
  <c r="C252" i="12"/>
  <c r="C251" i="12"/>
  <c r="D250" i="12"/>
  <c r="C250" i="12"/>
  <c r="D249" i="12"/>
  <c r="C249" i="12"/>
  <c r="C247" i="12"/>
  <c r="C246" i="12"/>
  <c r="C245" i="12"/>
  <c r="C244" i="12"/>
  <c r="C243" i="12"/>
  <c r="D241" i="12"/>
  <c r="C241" i="12"/>
  <c r="D240" i="12"/>
  <c r="C240" i="12"/>
  <c r="D239" i="12"/>
  <c r="C239" i="12"/>
  <c r="D238" i="12"/>
  <c r="C238" i="12"/>
  <c r="C237" i="12"/>
  <c r="D236" i="12"/>
  <c r="C236" i="12"/>
  <c r="D235" i="12"/>
  <c r="C235" i="12"/>
  <c r="C233" i="12"/>
  <c r="C232" i="12"/>
  <c r="C231" i="12"/>
  <c r="C230" i="12"/>
  <c r="C229" i="12"/>
  <c r="D227" i="12"/>
  <c r="C227" i="12"/>
  <c r="D226" i="12"/>
  <c r="C226" i="12"/>
  <c r="D225" i="12"/>
  <c r="C225" i="12"/>
  <c r="D224" i="12"/>
  <c r="C224" i="12"/>
  <c r="C223" i="12"/>
  <c r="D222" i="12"/>
  <c r="C222" i="12"/>
  <c r="D221" i="12"/>
  <c r="C221" i="12"/>
  <c r="C219" i="12"/>
  <c r="C218" i="12"/>
  <c r="C217" i="12"/>
  <c r="C216" i="12"/>
  <c r="C215" i="12"/>
  <c r="D213" i="12"/>
  <c r="C213" i="12"/>
  <c r="D212" i="12"/>
  <c r="C212" i="12"/>
  <c r="D211" i="12"/>
  <c r="C211" i="12"/>
  <c r="D210" i="12"/>
  <c r="C210" i="12"/>
  <c r="C209" i="12"/>
  <c r="D208" i="12"/>
  <c r="C208" i="12"/>
  <c r="D207" i="12"/>
  <c r="C207" i="12"/>
  <c r="C205" i="12"/>
  <c r="E204" i="12" a="1"/>
  <c r="E204" i="12" s="1"/>
  <c r="E288" i="12"/>
  <c r="C288" i="12"/>
  <c r="E287" i="12"/>
  <c r="C287" i="12"/>
  <c r="C286" i="12"/>
  <c r="C284" i="12"/>
  <c r="C283" i="12"/>
  <c r="D282" i="12"/>
  <c r="E281" i="12"/>
  <c r="D281" i="12"/>
  <c r="E280" i="12"/>
  <c r="C280" i="12"/>
  <c r="E279" i="12"/>
  <c r="C279" i="12"/>
  <c r="D278" i="12"/>
  <c r="E276" i="12" a="1"/>
  <c r="E276" i="12" s="1"/>
  <c r="C276" i="12"/>
  <c r="E302" i="12"/>
  <c r="C302" i="12"/>
  <c r="E301" i="12"/>
  <c r="F301" i="12" s="1" a="1"/>
  <c r="C301" i="12"/>
  <c r="C300" i="12"/>
  <c r="C298" i="12"/>
  <c r="C297" i="12"/>
  <c r="D296" i="12"/>
  <c r="E295" i="12"/>
  <c r="D295" i="12"/>
  <c r="E294" i="12"/>
  <c r="C294" i="12"/>
  <c r="E293" i="12"/>
  <c r="C293" i="12"/>
  <c r="D292" i="12"/>
  <c r="E290" i="12" a="1"/>
  <c r="E290" i="12" s="1"/>
  <c r="C290" i="12"/>
  <c r="E316" i="12"/>
  <c r="C316" i="12"/>
  <c r="E315" i="12"/>
  <c r="F315" i="12" s="1" a="1"/>
  <c r="C315" i="12"/>
  <c r="C314" i="12"/>
  <c r="C312" i="12"/>
  <c r="C311" i="12"/>
  <c r="D310" i="12"/>
  <c r="E309" i="12"/>
  <c r="D309" i="12"/>
  <c r="E308" i="12"/>
  <c r="C308" i="12"/>
  <c r="E307" i="12"/>
  <c r="C307" i="12"/>
  <c r="D306" i="12"/>
  <c r="E304" i="12" a="1"/>
  <c r="E304" i="12" s="1"/>
  <c r="C304" i="12"/>
  <c r="E330" i="12"/>
  <c r="F330" i="12" s="1" a="1"/>
  <c r="C330" i="12"/>
  <c r="E329" i="12"/>
  <c r="C329" i="12"/>
  <c r="C328" i="12"/>
  <c r="C326" i="12"/>
  <c r="C325" i="12"/>
  <c r="D324" i="12"/>
  <c r="E323" i="12"/>
  <c r="D323" i="12"/>
  <c r="E322" i="12"/>
  <c r="C322" i="12"/>
  <c r="E321" i="12"/>
  <c r="C321" i="12"/>
  <c r="D320" i="12"/>
  <c r="E318" i="12" a="1"/>
  <c r="E318" i="12" s="1"/>
  <c r="C318" i="12"/>
  <c r="E344" i="12"/>
  <c r="C344" i="12"/>
  <c r="E343" i="12"/>
  <c r="C343" i="12"/>
  <c r="C342" i="12"/>
  <c r="C340" i="12"/>
  <c r="C339" i="12"/>
  <c r="D338" i="12"/>
  <c r="E337" i="12"/>
  <c r="D337" i="12"/>
  <c r="E336" i="12"/>
  <c r="C336" i="12"/>
  <c r="E335" i="12"/>
  <c r="C335" i="12"/>
  <c r="D334" i="12"/>
  <c r="E332" i="12" a="1"/>
  <c r="Q332" i="12" s="1"/>
  <c r="C332" i="12"/>
  <c r="C11" i="11"/>
  <c r="E5" i="11" a="1"/>
  <c r="F5" i="11" s="1"/>
  <c r="C5" i="11"/>
  <c r="C20" i="11"/>
  <c r="E14" i="11" a="1"/>
  <c r="E14" i="11" s="1"/>
  <c r="C14" i="11"/>
  <c r="E23" i="11" a="1"/>
  <c r="F23" i="11" s="1"/>
  <c r="C23" i="11"/>
  <c r="O5" i="11" a="1"/>
  <c r="O5" i="11" s="1"/>
  <c r="M5" i="11"/>
  <c r="O14" i="11" a="1"/>
  <c r="P14" i="11" s="1"/>
  <c r="M14" i="11"/>
  <c r="O23" i="11" a="1"/>
  <c r="O23" i="11" s="1"/>
  <c r="M23" i="11"/>
  <c r="D26" i="10"/>
  <c r="C26" i="10"/>
  <c r="D25" i="10"/>
  <c r="C25" i="10"/>
  <c r="D24" i="10"/>
  <c r="C24" i="10"/>
  <c r="D22" i="10"/>
  <c r="C22" i="10"/>
  <c r="C21" i="10"/>
  <c r="D20" i="10"/>
  <c r="C20" i="10"/>
  <c r="D19" i="10"/>
  <c r="C19" i="10"/>
  <c r="D18" i="10"/>
  <c r="C18" i="10"/>
  <c r="E17" i="10" a="1"/>
  <c r="E17" i="10" s="1"/>
  <c r="D17" i="10"/>
  <c r="C17" i="10"/>
  <c r="D16" i="10"/>
  <c r="C16" i="10"/>
  <c r="D15" i="10"/>
  <c r="C15" i="10"/>
  <c r="D14" i="10"/>
  <c r="C14" i="10"/>
  <c r="E13" i="10" a="1"/>
  <c r="E13" i="10" s="1"/>
  <c r="D13" i="10"/>
  <c r="C13" i="10"/>
  <c r="D12" i="10"/>
  <c r="C12" i="10"/>
  <c r="D11" i="10"/>
  <c r="C11" i="10"/>
  <c r="D10" i="10"/>
  <c r="C10" i="10"/>
  <c r="E9" i="10" a="1"/>
  <c r="E9" i="10" s="1"/>
  <c r="D9" i="10"/>
  <c r="C9" i="10"/>
  <c r="D7" i="10"/>
  <c r="C7" i="10"/>
  <c r="E5" i="10" a="1"/>
  <c r="O5" i="10" s="1"/>
  <c r="E28" i="10" a="1"/>
  <c r="E28" i="10" s="1"/>
  <c r="E29" i="10" s="1"/>
  <c r="D43" i="10"/>
  <c r="C43" i="10"/>
  <c r="D42" i="10"/>
  <c r="C42" i="10"/>
  <c r="D41" i="10"/>
  <c r="C41" i="10"/>
  <c r="D39" i="10"/>
  <c r="C38" i="10"/>
  <c r="D37" i="10"/>
  <c r="C37" i="10"/>
  <c r="D36" i="10"/>
  <c r="C36" i="10"/>
  <c r="D35" i="10"/>
  <c r="C35" i="10"/>
  <c r="D33" i="10"/>
  <c r="E31" i="10" a="1"/>
  <c r="E31" i="10" s="1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D50" i="10"/>
  <c r="C50" i="10"/>
  <c r="D49" i="10"/>
  <c r="C49" i="10"/>
  <c r="D48" i="10"/>
  <c r="C48" i="10"/>
  <c r="E46" i="10" a="1"/>
  <c r="E46" i="10" s="1"/>
  <c r="D46" i="10"/>
  <c r="E45" i="10" a="1"/>
  <c r="E45" i="10" s="1"/>
  <c r="D96" i="10"/>
  <c r="C96" i="10"/>
  <c r="D95" i="10"/>
  <c r="C95" i="10"/>
  <c r="D94" i="10"/>
  <c r="C94" i="10"/>
  <c r="D92" i="10"/>
  <c r="C92" i="10"/>
  <c r="C91" i="10"/>
  <c r="D90" i="10"/>
  <c r="C90" i="10"/>
  <c r="D89" i="10"/>
  <c r="C89" i="10"/>
  <c r="D88" i="10"/>
  <c r="C88" i="10"/>
  <c r="E87" i="10" a="1"/>
  <c r="E87" i="10" s="1"/>
  <c r="D87" i="10"/>
  <c r="C87" i="10"/>
  <c r="D86" i="10"/>
  <c r="C86" i="10"/>
  <c r="D85" i="10"/>
  <c r="C85" i="10"/>
  <c r="D84" i="10"/>
  <c r="C84" i="10"/>
  <c r="E83" i="10" a="1"/>
  <c r="E83" i="10" s="1"/>
  <c r="D83" i="10"/>
  <c r="C83" i="10"/>
  <c r="D82" i="10"/>
  <c r="C82" i="10"/>
  <c r="D81" i="10"/>
  <c r="C81" i="10"/>
  <c r="D80" i="10"/>
  <c r="C80" i="10"/>
  <c r="E79" i="10" a="1"/>
  <c r="E79" i="10" s="1"/>
  <c r="D79" i="10"/>
  <c r="C79" i="10"/>
  <c r="D77" i="10"/>
  <c r="C77" i="10"/>
  <c r="E75" i="10" a="1"/>
  <c r="E75" i="10" s="1"/>
  <c r="E98" i="10" a="1"/>
  <c r="E98" i="10" s="1"/>
  <c r="E99" i="10" s="1"/>
  <c r="D113" i="10"/>
  <c r="C113" i="10"/>
  <c r="D112" i="10"/>
  <c r="C112" i="10"/>
  <c r="D111" i="10"/>
  <c r="C111" i="10"/>
  <c r="D109" i="10"/>
  <c r="C108" i="10"/>
  <c r="D107" i="10"/>
  <c r="C107" i="10"/>
  <c r="D106" i="10"/>
  <c r="C106" i="10"/>
  <c r="D105" i="10"/>
  <c r="C105" i="10"/>
  <c r="D103" i="10"/>
  <c r="E101" i="10" a="1"/>
  <c r="E101" i="10" s="1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D120" i="10"/>
  <c r="C120" i="10"/>
  <c r="D119" i="10"/>
  <c r="C119" i="10"/>
  <c r="D118" i="10"/>
  <c r="C118" i="10"/>
  <c r="E116" i="10" a="1"/>
  <c r="E116" i="10" s="1"/>
  <c r="D116" i="10"/>
  <c r="E115" i="10" a="1"/>
  <c r="E115" i="10" s="1"/>
  <c r="D21" i="9" a="1"/>
  <c r="D21" i="9" s="1"/>
  <c r="C21" i="9"/>
  <c r="D20" i="9" a="1"/>
  <c r="AB20" i="9" s="1"/>
  <c r="C20" i="9"/>
  <c r="D19" i="9" a="1"/>
  <c r="D19" i="9" s="1"/>
  <c r="C19" i="9"/>
  <c r="D18" i="9" a="1"/>
  <c r="D18" i="9" s="1"/>
  <c r="C18" i="9"/>
  <c r="D17" i="9" a="1"/>
  <c r="D17" i="9" s="1"/>
  <c r="C17" i="9"/>
  <c r="C16" i="9"/>
  <c r="D15" i="9" a="1"/>
  <c r="P15" i="9" s="1"/>
  <c r="C15" i="9"/>
  <c r="D14" i="9" a="1"/>
  <c r="J14" i="9" s="1"/>
  <c r="C14" i="9"/>
  <c r="D13" i="9" a="1"/>
  <c r="M13" i="9" s="1"/>
  <c r="C13" i="9"/>
  <c r="D12" i="9" a="1"/>
  <c r="D12" i="9" s="1"/>
  <c r="C12" i="9"/>
  <c r="D11" i="9" a="1"/>
  <c r="D11" i="9" s="1"/>
  <c r="C11" i="9"/>
  <c r="C10" i="9"/>
  <c r="D9" i="9" a="1"/>
  <c r="M9" i="9" s="1"/>
  <c r="C9" i="9"/>
  <c r="D8" i="9" a="1"/>
  <c r="D8" i="9" s="1"/>
  <c r="C8" i="9"/>
  <c r="D7" i="9" a="1"/>
  <c r="D7" i="9" s="1"/>
  <c r="C7" i="9"/>
  <c r="D6" i="9" a="1"/>
  <c r="M6" i="9" s="1"/>
  <c r="C6" i="9"/>
  <c r="D5" i="9" a="1"/>
  <c r="D5" i="9" s="1"/>
  <c r="C5" i="9"/>
  <c r="C4" i="9"/>
  <c r="D3" i="9" a="1"/>
  <c r="AC3" i="9" s="1"/>
  <c r="C3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D23" i="9" a="1"/>
  <c r="D23" i="9" s="1"/>
  <c r="C23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D43" i="9" a="1"/>
  <c r="D43" i="9" s="1"/>
  <c r="C43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D63" i="9" a="1"/>
  <c r="F63" i="9" s="1"/>
  <c r="C63" i="9"/>
  <c r="D5" i="8" a="1"/>
  <c r="G5" i="8" s="1"/>
  <c r="D12" i="8" a="1"/>
  <c r="G12" i="8" s="1"/>
  <c r="D6" i="7"/>
  <c r="C6" i="7"/>
  <c r="E5" i="7" a="1"/>
  <c r="E5" i="7" s="1"/>
  <c r="C5" i="7"/>
  <c r="E9" i="7" a="1"/>
  <c r="E9" i="7" s="1"/>
  <c r="D9" i="7"/>
  <c r="C9" i="7"/>
  <c r="E8" i="7" a="1"/>
  <c r="E8" i="7" s="1"/>
  <c r="E12" i="7" a="1"/>
  <c r="E12" i="7" s="1"/>
  <c r="D12" i="7"/>
  <c r="C12" i="7"/>
  <c r="E11" i="7" a="1"/>
  <c r="E11" i="7" s="1"/>
  <c r="E15" i="7" a="1"/>
  <c r="E15" i="7" s="1"/>
  <c r="D15" i="7"/>
  <c r="C15" i="7"/>
  <c r="E14" i="7" a="1"/>
  <c r="E14" i="7" s="1"/>
  <c r="D18" i="7"/>
  <c r="E17" i="7" a="1"/>
  <c r="E17" i="7" s="1"/>
  <c r="C17" i="7"/>
  <c r="D29" i="7"/>
  <c r="C29" i="7"/>
  <c r="E28" i="7" a="1"/>
  <c r="E28" i="7" s="1"/>
  <c r="C28" i="7"/>
  <c r="E32" i="7" a="1"/>
  <c r="E32" i="7" s="1"/>
  <c r="D32" i="7"/>
  <c r="C32" i="7"/>
  <c r="E31" i="7" a="1"/>
  <c r="F31" i="7" s="1"/>
  <c r="E35" i="7" a="1"/>
  <c r="E35" i="7" s="1"/>
  <c r="D35" i="7"/>
  <c r="C35" i="7"/>
  <c r="E34" i="7" a="1"/>
  <c r="AD34" i="7" s="1"/>
  <c r="E38" i="7" a="1"/>
  <c r="E38" i="7" s="1"/>
  <c r="D38" i="7"/>
  <c r="C38" i="7"/>
  <c r="E37" i="7" a="1"/>
  <c r="J37" i="7" s="1"/>
  <c r="D41" i="7"/>
  <c r="E40" i="7" a="1"/>
  <c r="E40" i="7" s="1"/>
  <c r="C40" i="7"/>
  <c r="AF13" i="6" a="1"/>
  <c r="AF13" i="6" s="1"/>
  <c r="E9" i="6" a="1"/>
  <c r="I9" i="6" s="1"/>
  <c r="C5" i="6"/>
  <c r="C4" i="6"/>
  <c r="E3" i="6" a="1"/>
  <c r="S3" i="6" s="1"/>
  <c r="AF18" i="6" a="1"/>
  <c r="AF18" i="6" s="1"/>
  <c r="AF17" i="6" a="1"/>
  <c r="AR17" i="6" s="1"/>
  <c r="E16" i="6" a="1"/>
  <c r="E16" i="6" s="1"/>
  <c r="C27" i="2" a="1"/>
  <c r="F27" i="2" s="1"/>
  <c r="B21" i="2" a="1"/>
  <c r="B22" i="2" s="1"/>
  <c r="B17" i="2" a="1"/>
  <c r="B18" i="2" s="1"/>
  <c r="B8" i="2" a="1"/>
  <c r="B10" i="2" s="1"/>
  <c r="AI13" i="6" l="1"/>
  <c r="AQ13" i="6"/>
  <c r="G19" i="13"/>
  <c r="K3" i="13"/>
  <c r="AJ19" i="13"/>
  <c r="Z19" i="13"/>
  <c r="AK17" i="6"/>
  <c r="AQ18" i="6"/>
  <c r="V19" i="13"/>
  <c r="AF19" i="13"/>
  <c r="AJ17" i="6"/>
  <c r="AI17" i="6"/>
  <c r="T19" i="13"/>
  <c r="S19" i="13"/>
  <c r="AW17" i="6"/>
  <c r="AV17" i="6"/>
  <c r="AM19" i="13"/>
  <c r="Q19" i="13"/>
  <c r="AL17" i="6"/>
  <c r="AK19" i="13"/>
  <c r="O19" i="13"/>
  <c r="BA17" i="6"/>
  <c r="BG13" i="6"/>
  <c r="AX17" i="6"/>
  <c r="AX18" i="6"/>
  <c r="AY13" i="6"/>
  <c r="AH19" i="13"/>
  <c r="L19" i="13"/>
  <c r="AZ18" i="6"/>
  <c r="Z44" i="12"/>
  <c r="V50" i="14"/>
  <c r="W3" i="14"/>
  <c r="AY18" i="6"/>
  <c r="P50" i="12"/>
  <c r="T50" i="14"/>
  <c r="E3" i="14"/>
  <c r="R31" i="10"/>
  <c r="AQ11" i="7"/>
  <c r="AM18" i="6"/>
  <c r="AL11" i="7"/>
  <c r="AF17" i="6"/>
  <c r="AQ17" i="6"/>
  <c r="BC17" i="6"/>
  <c r="AP17" i="6"/>
  <c r="BB18" i="6"/>
  <c r="AL18" i="6"/>
  <c r="S11" i="7"/>
  <c r="Q56" i="14"/>
  <c r="AL50" i="14"/>
  <c r="AF19" i="14"/>
  <c r="AU17" i="6"/>
  <c r="AN18" i="6"/>
  <c r="BG17" i="6"/>
  <c r="BB17" i="6"/>
  <c r="AM17" i="6"/>
  <c r="BA18" i="6"/>
  <c r="AK18" i="6"/>
  <c r="AH50" i="14"/>
  <c r="X19" i="14"/>
  <c r="Y3" i="14"/>
  <c r="BC13" i="6"/>
  <c r="AU13" i="6"/>
  <c r="AM13" i="6"/>
  <c r="Z3" i="14"/>
  <c r="H3" i="14"/>
  <c r="BA13" i="6"/>
  <c r="AS13" i="6"/>
  <c r="AK13" i="6"/>
  <c r="BB13" i="6"/>
  <c r="AT13" i="6"/>
  <c r="AL13" i="6"/>
  <c r="AZ13" i="6"/>
  <c r="AR13" i="6"/>
  <c r="AJ13" i="6"/>
  <c r="AB5" i="10"/>
  <c r="AE44" i="12"/>
  <c r="AL3" i="14"/>
  <c r="T3" i="14"/>
  <c r="AP18" i="6"/>
  <c r="BF13" i="6"/>
  <c r="AX13" i="6"/>
  <c r="AP13" i="6"/>
  <c r="AH13" i="6"/>
  <c r="Y44" i="12"/>
  <c r="AK3" i="14"/>
  <c r="S3" i="14"/>
  <c r="AZ17" i="6"/>
  <c r="AO17" i="6"/>
  <c r="AY17" i="6"/>
  <c r="AN17" i="6"/>
  <c r="BC18" i="6"/>
  <c r="AO18" i="6"/>
  <c r="BE13" i="6"/>
  <c r="AW13" i="6"/>
  <c r="AO13" i="6"/>
  <c r="AG13" i="6"/>
  <c r="W44" i="12"/>
  <c r="AB19" i="13"/>
  <c r="H19" i="13"/>
  <c r="G50" i="14"/>
  <c r="AJ3" i="14"/>
  <c r="N3" i="14"/>
  <c r="BD13" i="6"/>
  <c r="AV13" i="6"/>
  <c r="AN13" i="6"/>
  <c r="F44" i="12"/>
  <c r="Q3" i="13"/>
  <c r="AF3" i="14"/>
  <c r="M3" i="14"/>
  <c r="E44" i="12"/>
  <c r="M3" i="13"/>
  <c r="AC3" i="14"/>
  <c r="K3" i="14"/>
  <c r="AL5" i="10"/>
  <c r="V50" i="12"/>
  <c r="AG19" i="13"/>
  <c r="N19" i="13"/>
  <c r="AM50" i="14"/>
  <c r="X50" i="14"/>
  <c r="H50" i="14"/>
  <c r="AE44" i="14"/>
  <c r="E44" i="14"/>
  <c r="Z19" i="14"/>
  <c r="AE3" i="14"/>
  <c r="G3" i="14"/>
  <c r="L5" i="10"/>
  <c r="R77" i="12"/>
  <c r="AC19" i="13"/>
  <c r="J19" i="13"/>
  <c r="AI50" i="14"/>
  <c r="U50" i="14"/>
  <c r="E50" i="14"/>
  <c r="AB44" i="14"/>
  <c r="T19" i="14"/>
  <c r="Z44" i="14"/>
  <c r="R19" i="14"/>
  <c r="AY8" i="7"/>
  <c r="AG50" i="14"/>
  <c r="S50" i="14"/>
  <c r="X44" i="14"/>
  <c r="Q19" i="14"/>
  <c r="Y19" i="13"/>
  <c r="E19" i="13"/>
  <c r="AL3" i="13"/>
  <c r="AF50" i="14"/>
  <c r="Q50" i="14"/>
  <c r="V44" i="14"/>
  <c r="M19" i="14"/>
  <c r="BG11" i="7"/>
  <c r="AE3" i="13"/>
  <c r="AE50" i="14"/>
  <c r="P50" i="14"/>
  <c r="S44" i="14"/>
  <c r="L19" i="14"/>
  <c r="AT11" i="7"/>
  <c r="Y3" i="12"/>
  <c r="AN19" i="13"/>
  <c r="U19" i="13"/>
  <c r="T3" i="13"/>
  <c r="AC50" i="14"/>
  <c r="O50" i="14"/>
  <c r="Q44" i="14"/>
  <c r="AL19" i="14"/>
  <c r="H19" i="14"/>
  <c r="R3" i="14"/>
  <c r="AB50" i="14"/>
  <c r="N50" i="14"/>
  <c r="P44" i="14"/>
  <c r="AK19" i="14"/>
  <c r="F19" i="14"/>
  <c r="AA50" i="14"/>
  <c r="M50" i="14"/>
  <c r="AN44" i="14"/>
  <c r="N44" i="14"/>
  <c r="AC44" i="14"/>
  <c r="V11" i="7"/>
  <c r="F6" i="9"/>
  <c r="Z50" i="14"/>
  <c r="L50" i="14"/>
  <c r="AL44" i="14"/>
  <c r="J44" i="14"/>
  <c r="AE19" i="14"/>
  <c r="AN50" i="14"/>
  <c r="Y50" i="14"/>
  <c r="J50" i="14"/>
  <c r="AH44" i="14"/>
  <c r="G44" i="14"/>
  <c r="AD19" i="14"/>
  <c r="AK18" i="9"/>
  <c r="Y18" i="9"/>
  <c r="AI15" i="9"/>
  <c r="U15" i="9"/>
  <c r="F20" i="9"/>
  <c r="AD6" i="9"/>
  <c r="AS11" i="7"/>
  <c r="K8" i="9"/>
  <c r="AM14" i="9"/>
  <c r="K115" i="10"/>
  <c r="X77" i="12"/>
  <c r="AH50" i="12"/>
  <c r="AF44" i="12"/>
  <c r="G44" i="12"/>
  <c r="AL19" i="13"/>
  <c r="X19" i="13"/>
  <c r="I19" i="13"/>
  <c r="W56" i="14"/>
  <c r="AJ50" i="14"/>
  <c r="W50" i="14"/>
  <c r="I50" i="14"/>
  <c r="AJ44" i="14"/>
  <c r="L44" i="14"/>
  <c r="AJ19" i="14"/>
  <c r="N19" i="14"/>
  <c r="AD3" i="14"/>
  <c r="L3" i="14"/>
  <c r="U11" i="7"/>
  <c r="Y15" i="9"/>
  <c r="X44" i="12"/>
  <c r="AF3" i="13"/>
  <c r="AC19" i="14"/>
  <c r="G19" i="14"/>
  <c r="X3" i="14"/>
  <c r="F3" i="14"/>
  <c r="G11" i="7"/>
  <c r="T15" i="9"/>
  <c r="T44" i="12"/>
  <c r="AE19" i="13"/>
  <c r="P19" i="13"/>
  <c r="AC3" i="13"/>
  <c r="G204" i="14"/>
  <c r="AF92" i="14"/>
  <c r="Y19" i="14"/>
  <c r="E19" i="14"/>
  <c r="F15" i="9"/>
  <c r="AH20" i="9"/>
  <c r="S44" i="12"/>
  <c r="F318" i="13"/>
  <c r="W92" i="14"/>
  <c r="R44" i="12"/>
  <c r="AL44" i="12"/>
  <c r="N44" i="12"/>
  <c r="S3" i="12"/>
  <c r="AA19" i="13"/>
  <c r="M19" i="13"/>
  <c r="N3" i="13"/>
  <c r="T318" i="14"/>
  <c r="S19" i="14"/>
  <c r="AI3" i="14"/>
  <c r="Q3" i="14"/>
  <c r="AJ44" i="12"/>
  <c r="M44" i="12"/>
  <c r="N318" i="14"/>
  <c r="O112" i="14"/>
  <c r="AA56" i="14"/>
  <c r="AM8" i="9"/>
  <c r="AB77" i="12"/>
  <c r="AL50" i="12"/>
  <c r="AI44" i="12"/>
  <c r="H44" i="12"/>
  <c r="Z56" i="14"/>
  <c r="AM3" i="14"/>
  <c r="AA3" i="14"/>
  <c r="O3" i="14"/>
  <c r="AH3" i="14"/>
  <c r="V3" i="14"/>
  <c r="J3" i="14"/>
  <c r="AG3" i="14"/>
  <c r="U3" i="14"/>
  <c r="I3" i="14"/>
  <c r="AN3" i="14"/>
  <c r="AB3" i="14"/>
  <c r="AM19" i="14"/>
  <c r="AA19" i="14"/>
  <c r="O19" i="14"/>
  <c r="AI19" i="14"/>
  <c r="W19" i="14"/>
  <c r="K19" i="14"/>
  <c r="AH19" i="14"/>
  <c r="V19" i="14"/>
  <c r="J19" i="14"/>
  <c r="AG19" i="14"/>
  <c r="U19" i="14"/>
  <c r="I19" i="14"/>
  <c r="AN19" i="14"/>
  <c r="AB19" i="14"/>
  <c r="N56" i="14"/>
  <c r="AK50" i="14"/>
  <c r="K50" i="14"/>
  <c r="K56" i="14"/>
  <c r="AN56" i="14"/>
  <c r="AM56" i="14"/>
  <c r="AL56" i="14"/>
  <c r="AF84" i="14"/>
  <c r="AG56" i="14"/>
  <c r="P56" i="14"/>
  <c r="AM44" i="14"/>
  <c r="AA44" i="14"/>
  <c r="O44" i="14"/>
  <c r="AK44" i="14"/>
  <c r="Y44" i="14"/>
  <c r="M44" i="14"/>
  <c r="AI44" i="14"/>
  <c r="W44" i="14"/>
  <c r="K44" i="14"/>
  <c r="AG44" i="14"/>
  <c r="U44" i="14"/>
  <c r="I44" i="14"/>
  <c r="AF44" i="14"/>
  <c r="T44" i="14"/>
  <c r="H44" i="14"/>
  <c r="AD44" i="14"/>
  <c r="R44" i="14"/>
  <c r="N92" i="14"/>
  <c r="AC56" i="14"/>
  <c r="F56" i="14"/>
  <c r="AN92" i="14"/>
  <c r="G92" i="14"/>
  <c r="AB56" i="14"/>
  <c r="E56" i="14"/>
  <c r="AL92" i="14"/>
  <c r="F92" i="14"/>
  <c r="AI92" i="14"/>
  <c r="E92" i="14"/>
  <c r="AE92" i="14"/>
  <c r="U56" i="14"/>
  <c r="Y92" i="14"/>
  <c r="R56" i="14"/>
  <c r="O183" i="14"/>
  <c r="X92" i="14"/>
  <c r="N183" i="14"/>
  <c r="T92" i="14"/>
  <c r="Q92" i="14"/>
  <c r="P92" i="14"/>
  <c r="AD56" i="14"/>
  <c r="I56" i="14"/>
  <c r="AD50" i="14"/>
  <c r="R50" i="14"/>
  <c r="S148" i="14"/>
  <c r="Z92" i="14"/>
  <c r="H92" i="14"/>
  <c r="AG112" i="14"/>
  <c r="AF112" i="14"/>
  <c r="K183" i="14"/>
  <c r="AD112" i="14"/>
  <c r="AK92" i="14"/>
  <c r="S92" i="14"/>
  <c r="U112" i="14"/>
  <c r="AJ92" i="14"/>
  <c r="R92" i="14"/>
  <c r="AD92" i="14"/>
  <c r="M92" i="14"/>
  <c r="K318" i="14"/>
  <c r="AC92" i="14"/>
  <c r="K92" i="14"/>
  <c r="AB69" i="14"/>
  <c r="AI56" i="14"/>
  <c r="O56" i="14"/>
  <c r="E61" i="14"/>
  <c r="E60" i="14"/>
  <c r="E59" i="14"/>
  <c r="E58" i="14"/>
  <c r="AK56" i="14"/>
  <c r="Y56" i="14"/>
  <c r="M56" i="14"/>
  <c r="AJ56" i="14"/>
  <c r="X56" i="14"/>
  <c r="L56" i="14"/>
  <c r="AH56" i="14"/>
  <c r="V56" i="14"/>
  <c r="J56" i="14"/>
  <c r="AF56" i="14"/>
  <c r="T56" i="14"/>
  <c r="H56" i="14"/>
  <c r="AE56" i="14"/>
  <c r="S56" i="14"/>
  <c r="I85" i="14"/>
  <c r="G85" i="14"/>
  <c r="AC85" i="14"/>
  <c r="H85" i="14"/>
  <c r="AD85" i="14"/>
  <c r="M85" i="14"/>
  <c r="AE85" i="14"/>
  <c r="N85" i="14"/>
  <c r="AF85" i="14"/>
  <c r="O85" i="14"/>
  <c r="AK85" i="14"/>
  <c r="Q85" i="14"/>
  <c r="AL85" i="14"/>
  <c r="R85" i="14"/>
  <c r="AM85" i="14"/>
  <c r="S85" i="14"/>
  <c r="T85" i="14"/>
  <c r="Y85" i="14"/>
  <c r="Z85" i="14"/>
  <c r="F85" i="14"/>
  <c r="AA85" i="14"/>
  <c r="F70" i="14"/>
  <c r="T70" i="14"/>
  <c r="AH70" i="14"/>
  <c r="G70" i="14"/>
  <c r="U70" i="14"/>
  <c r="AI70" i="14"/>
  <c r="H70" i="14"/>
  <c r="V70" i="14"/>
  <c r="AJ70" i="14"/>
  <c r="I70" i="14"/>
  <c r="W70" i="14"/>
  <c r="AK70" i="14"/>
  <c r="J70" i="14"/>
  <c r="X70" i="14"/>
  <c r="AL70" i="14"/>
  <c r="K70" i="14"/>
  <c r="Y70" i="14"/>
  <c r="AM70" i="14"/>
  <c r="L70" i="14"/>
  <c r="Z70" i="14"/>
  <c r="AN70" i="14"/>
  <c r="M70" i="14"/>
  <c r="AA70" i="14"/>
  <c r="N70" i="14"/>
  <c r="AB70" i="14"/>
  <c r="O70" i="14"/>
  <c r="AC70" i="14"/>
  <c r="P70" i="14"/>
  <c r="AF70" i="14"/>
  <c r="Q70" i="14"/>
  <c r="AG70" i="14"/>
  <c r="X318" i="14"/>
  <c r="W140" i="14"/>
  <c r="AN112" i="14"/>
  <c r="AB92" i="14"/>
  <c r="L92" i="14"/>
  <c r="AN84" i="14"/>
  <c r="L84" i="14"/>
  <c r="P77" i="14"/>
  <c r="AG69" i="14"/>
  <c r="I69" i="14"/>
  <c r="L190" i="14"/>
  <c r="T140" i="14"/>
  <c r="W106" i="14"/>
  <c r="AL84" i="14"/>
  <c r="H84" i="14"/>
  <c r="J77" i="14"/>
  <c r="AE69" i="14"/>
  <c r="G69" i="14"/>
  <c r="S106" i="14"/>
  <c r="AJ84" i="14"/>
  <c r="G84" i="14"/>
  <c r="E77" i="14"/>
  <c r="AD69" i="14"/>
  <c r="F69" i="14"/>
  <c r="AE84" i="14"/>
  <c r="Z69" i="14"/>
  <c r="AN62" i="14"/>
  <c r="AB84" i="14"/>
  <c r="W69" i="14"/>
  <c r="AM62" i="14"/>
  <c r="M332" i="14"/>
  <c r="Z84" i="14"/>
  <c r="AN77" i="14"/>
  <c r="U69" i="14"/>
  <c r="AB62" i="14"/>
  <c r="X84" i="14"/>
  <c r="AH77" i="14"/>
  <c r="S69" i="14"/>
  <c r="AA62" i="14"/>
  <c r="AB133" i="14"/>
  <c r="T84" i="14"/>
  <c r="AC77" i="14"/>
  <c r="R69" i="14"/>
  <c r="P62" i="14"/>
  <c r="O133" i="14"/>
  <c r="S84" i="14"/>
  <c r="AB77" i="14"/>
  <c r="AN69" i="14"/>
  <c r="P69" i="14"/>
  <c r="O62" i="14"/>
  <c r="P84" i="14"/>
  <c r="V77" i="14"/>
  <c r="AL69" i="14"/>
  <c r="N69" i="14"/>
  <c r="N84" i="14"/>
  <c r="Q77" i="14"/>
  <c r="AI69" i="14"/>
  <c r="K69" i="14"/>
  <c r="AL62" i="14"/>
  <c r="Z62" i="14"/>
  <c r="N62" i="14"/>
  <c r="AK62" i="14"/>
  <c r="Y62" i="14"/>
  <c r="M62" i="14"/>
  <c r="AJ62" i="14"/>
  <c r="X62" i="14"/>
  <c r="L62" i="14"/>
  <c r="AI62" i="14"/>
  <c r="W62" i="14"/>
  <c r="K62" i="14"/>
  <c r="AH62" i="14"/>
  <c r="V62" i="14"/>
  <c r="J62" i="14"/>
  <c r="AG62" i="14"/>
  <c r="U62" i="14"/>
  <c r="I62" i="14"/>
  <c r="AF62" i="14"/>
  <c r="T62" i="14"/>
  <c r="H62" i="14"/>
  <c r="AE62" i="14"/>
  <c r="S62" i="14"/>
  <c r="G62" i="14"/>
  <c r="AD62" i="14"/>
  <c r="R62" i="14"/>
  <c r="F62" i="14"/>
  <c r="AC62" i="14"/>
  <c r="Q62" i="14"/>
  <c r="AE70" i="14"/>
  <c r="S70" i="14"/>
  <c r="AD70" i="14"/>
  <c r="R70" i="14"/>
  <c r="AM69" i="14"/>
  <c r="AA69" i="14"/>
  <c r="O69" i="14"/>
  <c r="AK69" i="14"/>
  <c r="Y69" i="14"/>
  <c r="M69" i="14"/>
  <c r="AJ69" i="14"/>
  <c r="X69" i="14"/>
  <c r="L69" i="14"/>
  <c r="AH69" i="14"/>
  <c r="V69" i="14"/>
  <c r="J69" i="14"/>
  <c r="AF69" i="14"/>
  <c r="T69" i="14"/>
  <c r="H69" i="14"/>
  <c r="AC69" i="14"/>
  <c r="Q69" i="14"/>
  <c r="AM77" i="14"/>
  <c r="AA77" i="14"/>
  <c r="O77" i="14"/>
  <c r="AL77" i="14"/>
  <c r="Z77" i="14"/>
  <c r="N77" i="14"/>
  <c r="AK77" i="14"/>
  <c r="Y77" i="14"/>
  <c r="M77" i="14"/>
  <c r="AJ77" i="14"/>
  <c r="X77" i="14"/>
  <c r="L77" i="14"/>
  <c r="AI77" i="14"/>
  <c r="W77" i="14"/>
  <c r="K77" i="14"/>
  <c r="AG77" i="14"/>
  <c r="U77" i="14"/>
  <c r="I77" i="14"/>
  <c r="AF77" i="14"/>
  <c r="T77" i="14"/>
  <c r="H77" i="14"/>
  <c r="AE77" i="14"/>
  <c r="S77" i="14"/>
  <c r="G77" i="14"/>
  <c r="AD77" i="14"/>
  <c r="R77" i="14"/>
  <c r="AN85" i="14"/>
  <c r="AB85" i="14"/>
  <c r="P85" i="14"/>
  <c r="AJ85" i="14"/>
  <c r="X85" i="14"/>
  <c r="L85" i="14"/>
  <c r="AI85" i="14"/>
  <c r="W85" i="14"/>
  <c r="K85" i="14"/>
  <c r="AH85" i="14"/>
  <c r="V85" i="14"/>
  <c r="J85" i="14"/>
  <c r="AG85" i="14"/>
  <c r="U85" i="14"/>
  <c r="AM84" i="14"/>
  <c r="AA84" i="14"/>
  <c r="O84" i="14"/>
  <c r="AK84" i="14"/>
  <c r="Y84" i="14"/>
  <c r="M84" i="14"/>
  <c r="AI84" i="14"/>
  <c r="W84" i="14"/>
  <c r="K84" i="14"/>
  <c r="AH84" i="14"/>
  <c r="V84" i="14"/>
  <c r="J84" i="14"/>
  <c r="AG84" i="14"/>
  <c r="U84" i="14"/>
  <c r="I84" i="14"/>
  <c r="AD84" i="14"/>
  <c r="R84" i="14"/>
  <c r="F84" i="14"/>
  <c r="AC84" i="14"/>
  <c r="Q84" i="14"/>
  <c r="AM92" i="14"/>
  <c r="AA92" i="14"/>
  <c r="O92" i="14"/>
  <c r="AH92" i="14"/>
  <c r="V92" i="14"/>
  <c r="J92" i="14"/>
  <c r="AG92" i="14"/>
  <c r="U92" i="14"/>
  <c r="S318" i="14"/>
  <c r="F190" i="14"/>
  <c r="P140" i="14"/>
  <c r="N133" i="14"/>
  <c r="T112" i="14"/>
  <c r="AN106" i="14"/>
  <c r="R106" i="14"/>
  <c r="K133" i="14"/>
  <c r="AJ106" i="14"/>
  <c r="Q106" i="14"/>
  <c r="L318" i="14"/>
  <c r="S204" i="14"/>
  <c r="J133" i="14"/>
  <c r="N112" i="14"/>
  <c r="AI106" i="14"/>
  <c r="P106" i="14"/>
  <c r="J112" i="14"/>
  <c r="AG106" i="14"/>
  <c r="L106" i="14"/>
  <c r="AN100" i="14"/>
  <c r="H318" i="14"/>
  <c r="F204" i="14"/>
  <c r="AF176" i="14"/>
  <c r="AN140" i="14"/>
  <c r="I112" i="14"/>
  <c r="AE106" i="14"/>
  <c r="K106" i="14"/>
  <c r="P100" i="14"/>
  <c r="AE176" i="14"/>
  <c r="AM140" i="14"/>
  <c r="AD106" i="14"/>
  <c r="I106" i="14"/>
  <c r="G318" i="14"/>
  <c r="F318" i="14"/>
  <c r="AK190" i="14"/>
  <c r="Z176" i="14"/>
  <c r="AL140" i="14"/>
  <c r="AH112" i="14"/>
  <c r="AC106" i="14"/>
  <c r="G106" i="14"/>
  <c r="AI190" i="14"/>
  <c r="X176" i="14"/>
  <c r="AK140" i="14"/>
  <c r="AM133" i="14"/>
  <c r="AB106" i="14"/>
  <c r="F106" i="14"/>
  <c r="AA190" i="14"/>
  <c r="G162" i="14"/>
  <c r="X140" i="14"/>
  <c r="AL133" i="14"/>
  <c r="X106" i="14"/>
  <c r="E106" i="14"/>
  <c r="U190" i="14"/>
  <c r="U318" i="14"/>
  <c r="T190" i="14"/>
  <c r="V140" i="14"/>
  <c r="AA133" i="14"/>
  <c r="V112" i="14"/>
  <c r="U106" i="14"/>
  <c r="AM100" i="14"/>
  <c r="AA100" i="14"/>
  <c r="O100" i="14"/>
  <c r="AL100" i="14"/>
  <c r="Z100" i="14"/>
  <c r="N100" i="14"/>
  <c r="AB100" i="14"/>
  <c r="AK100" i="14"/>
  <c r="Y100" i="14"/>
  <c r="M100" i="14"/>
  <c r="AJ100" i="14"/>
  <c r="X100" i="14"/>
  <c r="L100" i="14"/>
  <c r="AI100" i="14"/>
  <c r="W100" i="14"/>
  <c r="K100" i="14"/>
  <c r="J100" i="14"/>
  <c r="AG100" i="14"/>
  <c r="U100" i="14"/>
  <c r="I100" i="14"/>
  <c r="AF100" i="14"/>
  <c r="T100" i="14"/>
  <c r="H100" i="14"/>
  <c r="AH100" i="14"/>
  <c r="AE100" i="14"/>
  <c r="S100" i="14"/>
  <c r="G100" i="14"/>
  <c r="AD100" i="14"/>
  <c r="R100" i="14"/>
  <c r="F100" i="14"/>
  <c r="V100" i="14"/>
  <c r="AC100" i="14"/>
  <c r="Q100" i="14"/>
  <c r="S290" i="14"/>
  <c r="T204" i="14"/>
  <c r="AF190" i="14"/>
  <c r="O190" i="14"/>
  <c r="AG176" i="14"/>
  <c r="P133" i="14"/>
  <c r="AD125" i="14"/>
  <c r="T118" i="14"/>
  <c r="AA112" i="14"/>
  <c r="G112" i="14"/>
  <c r="F290" i="14"/>
  <c r="AE190" i="14"/>
  <c r="N190" i="14"/>
  <c r="F125" i="14"/>
  <c r="S118" i="14"/>
  <c r="W112" i="14"/>
  <c r="F112" i="14"/>
  <c r="AB190" i="14"/>
  <c r="M190" i="14"/>
  <c r="E125" i="14"/>
  <c r="K190" i="14"/>
  <c r="U304" i="14"/>
  <c r="AN190" i="14"/>
  <c r="Y190" i="14"/>
  <c r="I190" i="14"/>
  <c r="AJ112" i="14"/>
  <c r="S112" i="14"/>
  <c r="Z190" i="14"/>
  <c r="F304" i="14"/>
  <c r="AM190" i="14"/>
  <c r="X190" i="14"/>
  <c r="H190" i="14"/>
  <c r="AG148" i="14"/>
  <c r="AN133" i="14"/>
  <c r="AI112" i="14"/>
  <c r="P112" i="14"/>
  <c r="T332" i="14"/>
  <c r="AL190" i="14"/>
  <c r="V190" i="14"/>
  <c r="G190" i="14"/>
  <c r="AF148" i="14"/>
  <c r="AH118" i="14"/>
  <c r="AH190" i="14"/>
  <c r="S190" i="14"/>
  <c r="AG118" i="14"/>
  <c r="AF204" i="14"/>
  <c r="AG190" i="14"/>
  <c r="R190" i="14"/>
  <c r="Z133" i="14"/>
  <c r="AJ125" i="14"/>
  <c r="AF118" i="14"/>
  <c r="AB112" i="14"/>
  <c r="H112" i="14"/>
  <c r="AM106" i="14"/>
  <c r="AA106" i="14"/>
  <c r="O106" i="14"/>
  <c r="AL106" i="14"/>
  <c r="Z106" i="14"/>
  <c r="N106" i="14"/>
  <c r="AK106" i="14"/>
  <c r="Y106" i="14"/>
  <c r="M106" i="14"/>
  <c r="AH106" i="14"/>
  <c r="V106" i="14"/>
  <c r="J106" i="14"/>
  <c r="AF106" i="14"/>
  <c r="T106" i="14"/>
  <c r="F141" i="14"/>
  <c r="Y141" i="14"/>
  <c r="G141" i="14"/>
  <c r="Z141" i="14"/>
  <c r="H141" i="14"/>
  <c r="AA141" i="14"/>
  <c r="AL141" i="14"/>
  <c r="K141" i="14"/>
  <c r="AE141" i="14"/>
  <c r="L141" i="14"/>
  <c r="AF141" i="14"/>
  <c r="X141" i="14"/>
  <c r="M141" i="14"/>
  <c r="AG141" i="14"/>
  <c r="N141" i="14"/>
  <c r="AH141" i="14"/>
  <c r="S141" i="14"/>
  <c r="Q141" i="14"/>
  <c r="AK141" i="14"/>
  <c r="T141" i="14"/>
  <c r="AM141" i="14"/>
  <c r="U141" i="14"/>
  <c r="AN141" i="14"/>
  <c r="F126" i="14"/>
  <c r="S126" i="14"/>
  <c r="AF126" i="14"/>
  <c r="AC125" i="14"/>
  <c r="AB125" i="14"/>
  <c r="X332" i="14"/>
  <c r="O304" i="14"/>
  <c r="N290" i="14"/>
  <c r="AG204" i="14"/>
  <c r="R197" i="14"/>
  <c r="AL183" i="14"/>
  <c r="T176" i="14"/>
  <c r="P148" i="14"/>
  <c r="AI140" i="14"/>
  <c r="O140" i="14"/>
  <c r="Z125" i="14"/>
  <c r="P118" i="14"/>
  <c r="AE112" i="14"/>
  <c r="R112" i="14"/>
  <c r="E112" i="14"/>
  <c r="R290" i="14"/>
  <c r="S304" i="14"/>
  <c r="P290" i="14"/>
  <c r="V197" i="14"/>
  <c r="N304" i="14"/>
  <c r="M290" i="14"/>
  <c r="AL197" i="14"/>
  <c r="P197" i="14"/>
  <c r="AF183" i="14"/>
  <c r="S176" i="14"/>
  <c r="AF169" i="14"/>
  <c r="O148" i="14"/>
  <c r="AH140" i="14"/>
  <c r="N140" i="14"/>
  <c r="X125" i="14"/>
  <c r="T304" i="14"/>
  <c r="W197" i="14"/>
  <c r="R332" i="14"/>
  <c r="M304" i="14"/>
  <c r="L290" i="14"/>
  <c r="AK197" i="14"/>
  <c r="O197" i="14"/>
  <c r="AE183" i="14"/>
  <c r="P176" i="14"/>
  <c r="AE169" i="14"/>
  <c r="AE162" i="14"/>
  <c r="AG140" i="14"/>
  <c r="M140" i="14"/>
  <c r="S125" i="14"/>
  <c r="L304" i="14"/>
  <c r="X290" i="14"/>
  <c r="K290" i="14"/>
  <c r="R276" i="14"/>
  <c r="AJ197" i="14"/>
  <c r="L197" i="14"/>
  <c r="AB183" i="14"/>
  <c r="O176" i="14"/>
  <c r="T169" i="14"/>
  <c r="AD162" i="14"/>
  <c r="AF140" i="14"/>
  <c r="K140" i="14"/>
  <c r="R125" i="14"/>
  <c r="L332" i="14"/>
  <c r="F330" i="14" a="1"/>
  <c r="J330" i="14" s="1"/>
  <c r="K304" i="14"/>
  <c r="W290" i="14"/>
  <c r="J290" i="14"/>
  <c r="P276" i="14"/>
  <c r="AI197" i="14"/>
  <c r="K197" i="14"/>
  <c r="AA183" i="14"/>
  <c r="L176" i="14"/>
  <c r="S169" i="14"/>
  <c r="AC162" i="14"/>
  <c r="AB140" i="14"/>
  <c r="J140" i="14"/>
  <c r="Q125" i="14"/>
  <c r="AM112" i="14"/>
  <c r="Z112" i="14"/>
  <c r="M112" i="14"/>
  <c r="K332" i="14"/>
  <c r="I304" i="14"/>
  <c r="V290" i="14"/>
  <c r="I290" i="14"/>
  <c r="O276" i="14"/>
  <c r="AF197" i="14"/>
  <c r="J197" i="14"/>
  <c r="X183" i="14"/>
  <c r="AN176" i="14"/>
  <c r="K176" i="14"/>
  <c r="R169" i="14"/>
  <c r="U162" i="14"/>
  <c r="Z140" i="14"/>
  <c r="I140" i="14"/>
  <c r="P125" i="14"/>
  <c r="AL112" i="14"/>
  <c r="Y112" i="14"/>
  <c r="L112" i="14"/>
  <c r="R304" i="14"/>
  <c r="F315" i="14" a="1"/>
  <c r="M315" i="14" s="1"/>
  <c r="O290" i="14"/>
  <c r="G332" i="14"/>
  <c r="M318" i="14"/>
  <c r="X304" i="14"/>
  <c r="H304" i="14"/>
  <c r="U290" i="14"/>
  <c r="H290" i="14"/>
  <c r="N276" i="14"/>
  <c r="AE197" i="14"/>
  <c r="I197" i="14"/>
  <c r="R183" i="14"/>
  <c r="AH176" i="14"/>
  <c r="J176" i="14"/>
  <c r="G169" i="14"/>
  <c r="I162" i="14"/>
  <c r="Y140" i="14"/>
  <c r="H140" i="14"/>
  <c r="W133" i="14"/>
  <c r="AN125" i="14"/>
  <c r="J125" i="14"/>
  <c r="AK112" i="14"/>
  <c r="X112" i="14"/>
  <c r="K112" i="14"/>
  <c r="X197" i="14"/>
  <c r="S197" i="14"/>
  <c r="V304" i="14"/>
  <c r="G304" i="14"/>
  <c r="T290" i="14"/>
  <c r="G290" i="14"/>
  <c r="Y197" i="14"/>
  <c r="F197" i="14"/>
  <c r="P183" i="14"/>
  <c r="F169" i="14"/>
  <c r="H162" i="14"/>
  <c r="AL125" i="14"/>
  <c r="G125" i="14"/>
  <c r="E117" i="14"/>
  <c r="E116" i="14"/>
  <c r="E115" i="14"/>
  <c r="E114" i="14"/>
  <c r="AC112" i="14"/>
  <c r="W332" i="14"/>
  <c r="J332" i="14"/>
  <c r="AE204" i="14"/>
  <c r="R204" i="14"/>
  <c r="U332" i="14"/>
  <c r="H332" i="14"/>
  <c r="V318" i="14"/>
  <c r="I318" i="14"/>
  <c r="W304" i="14"/>
  <c r="J304" i="14"/>
  <c r="L276" i="14"/>
  <c r="F288" i="14" a="1"/>
  <c r="K288" i="14" s="1"/>
  <c r="AB204" i="14"/>
  <c r="O204" i="14"/>
  <c r="AG197" i="14"/>
  <c r="T197" i="14"/>
  <c r="G197" i="14"/>
  <c r="AJ190" i="14"/>
  <c r="W190" i="14"/>
  <c r="J190" i="14"/>
  <c r="AM183" i="14"/>
  <c r="Y183" i="14"/>
  <c r="L183" i="14"/>
  <c r="AA176" i="14"/>
  <c r="M176" i="14"/>
  <c r="AB169" i="14"/>
  <c r="O169" i="14"/>
  <c r="Y162" i="14"/>
  <c r="E162" i="14"/>
  <c r="AA148" i="14"/>
  <c r="M148" i="14"/>
  <c r="AA140" i="14"/>
  <c r="L140" i="14"/>
  <c r="AI141" i="14"/>
  <c r="V141" i="14"/>
  <c r="I141" i="14"/>
  <c r="AJ133" i="14"/>
  <c r="X133" i="14"/>
  <c r="L133" i="14"/>
  <c r="V125" i="14"/>
  <c r="AB126" i="14"/>
  <c r="O126" i="14"/>
  <c r="AB118" i="14"/>
  <c r="N118" i="14"/>
  <c r="X276" i="14"/>
  <c r="K276" i="14"/>
  <c r="AN204" i="14"/>
  <c r="AA204" i="14"/>
  <c r="N204" i="14"/>
  <c r="AN169" i="14"/>
  <c r="AA169" i="14"/>
  <c r="N169" i="14"/>
  <c r="AN148" i="14"/>
  <c r="Z148" i="14"/>
  <c r="L148" i="14"/>
  <c r="AI133" i="14"/>
  <c r="AN126" i="14"/>
  <c r="AA126" i="14"/>
  <c r="N126" i="14"/>
  <c r="AA118" i="14"/>
  <c r="M118" i="14"/>
  <c r="S332" i="14"/>
  <c r="F332" i="14"/>
  <c r="W276" i="14"/>
  <c r="J276" i="14"/>
  <c r="AM204" i="14"/>
  <c r="Z204" i="14"/>
  <c r="M204" i="14"/>
  <c r="AK183" i="14"/>
  <c r="W183" i="14"/>
  <c r="J183" i="14"/>
  <c r="AM176" i="14"/>
  <c r="Y176" i="14"/>
  <c r="AM169" i="14"/>
  <c r="Z169" i="14"/>
  <c r="M169" i="14"/>
  <c r="T162" i="14"/>
  <c r="AM148" i="14"/>
  <c r="Y148" i="14"/>
  <c r="K148" i="14"/>
  <c r="AH133" i="14"/>
  <c r="V133" i="14"/>
  <c r="AM126" i="14"/>
  <c r="Z126" i="14"/>
  <c r="M126" i="14"/>
  <c r="AN118" i="14"/>
  <c r="Z118" i="14"/>
  <c r="L118" i="14"/>
  <c r="V276" i="14"/>
  <c r="I276" i="14"/>
  <c r="AL204" i="14"/>
  <c r="Y204" i="14"/>
  <c r="L204" i="14"/>
  <c r="AD197" i="14"/>
  <c r="AJ183" i="14"/>
  <c r="V183" i="14"/>
  <c r="I183" i="14"/>
  <c r="AL176" i="14"/>
  <c r="AL169" i="14"/>
  <c r="Y169" i="14"/>
  <c r="L169" i="14"/>
  <c r="S162" i="14"/>
  <c r="AL148" i="14"/>
  <c r="X148" i="14"/>
  <c r="J148" i="14"/>
  <c r="AG133" i="14"/>
  <c r="U133" i="14"/>
  <c r="I133" i="14"/>
  <c r="AL126" i="14"/>
  <c r="Y126" i="14"/>
  <c r="L126" i="14"/>
  <c r="AM118" i="14"/>
  <c r="Y118" i="14"/>
  <c r="K118" i="14"/>
  <c r="P332" i="14"/>
  <c r="U276" i="14"/>
  <c r="H276" i="14"/>
  <c r="AK204" i="14"/>
  <c r="X204" i="14"/>
  <c r="K204" i="14"/>
  <c r="AB197" i="14"/>
  <c r="AI183" i="14"/>
  <c r="U183" i="14"/>
  <c r="H183" i="14"/>
  <c r="AK176" i="14"/>
  <c r="W176" i="14"/>
  <c r="I176" i="14"/>
  <c r="AK169" i="14"/>
  <c r="X169" i="14"/>
  <c r="K169" i="14"/>
  <c r="AN162" i="14"/>
  <c r="R162" i="14"/>
  <c r="AK148" i="14"/>
  <c r="W148" i="14"/>
  <c r="I148" i="14"/>
  <c r="AF133" i="14"/>
  <c r="T133" i="14"/>
  <c r="H133" i="14"/>
  <c r="AK126" i="14"/>
  <c r="X126" i="14"/>
  <c r="K126" i="14"/>
  <c r="AL118" i="14"/>
  <c r="X118" i="14"/>
  <c r="J118" i="14"/>
  <c r="O332" i="14"/>
  <c r="F343" i="14" a="1"/>
  <c r="N343" i="14" s="1"/>
  <c r="P318" i="14"/>
  <c r="T276" i="14"/>
  <c r="G276" i="14"/>
  <c r="AJ204" i="14"/>
  <c r="W204" i="14"/>
  <c r="J204" i="14"/>
  <c r="AN197" i="14"/>
  <c r="AA197" i="14"/>
  <c r="N197" i="14"/>
  <c r="AH183" i="14"/>
  <c r="T183" i="14"/>
  <c r="G183" i="14"/>
  <c r="AJ176" i="14"/>
  <c r="V176" i="14"/>
  <c r="H176" i="14"/>
  <c r="AJ169" i="14"/>
  <c r="W169" i="14"/>
  <c r="J169" i="14"/>
  <c r="AK162" i="14"/>
  <c r="Q162" i="14"/>
  <c r="AJ148" i="14"/>
  <c r="V148" i="14"/>
  <c r="H148" i="14"/>
  <c r="AC141" i="14"/>
  <c r="P141" i="14"/>
  <c r="AE133" i="14"/>
  <c r="S133" i="14"/>
  <c r="G133" i="14"/>
  <c r="AH125" i="14"/>
  <c r="N125" i="14"/>
  <c r="AJ126" i="14"/>
  <c r="W126" i="14"/>
  <c r="J126" i="14"/>
  <c r="AK118" i="14"/>
  <c r="W118" i="14"/>
  <c r="I118" i="14"/>
  <c r="R318" i="14"/>
  <c r="N332" i="14"/>
  <c r="O318" i="14"/>
  <c r="P304" i="14"/>
  <c r="S276" i="14"/>
  <c r="F276" i="14"/>
  <c r="AI204" i="14"/>
  <c r="V204" i="14"/>
  <c r="I204" i="14"/>
  <c r="AM197" i="14"/>
  <c r="Z197" i="14"/>
  <c r="M197" i="14"/>
  <c r="AD190" i="14"/>
  <c r="P190" i="14"/>
  <c r="AG183" i="14"/>
  <c r="S183" i="14"/>
  <c r="F183" i="14"/>
  <c r="AI176" i="14"/>
  <c r="U176" i="14"/>
  <c r="G176" i="14"/>
  <c r="AI169" i="14"/>
  <c r="V169" i="14"/>
  <c r="I169" i="14"/>
  <c r="AG162" i="14"/>
  <c r="P162" i="14"/>
  <c r="AI148" i="14"/>
  <c r="U148" i="14"/>
  <c r="G148" i="14"/>
  <c r="AJ140" i="14"/>
  <c r="U140" i="14"/>
  <c r="AB141" i="14"/>
  <c r="O141" i="14"/>
  <c r="AD133" i="14"/>
  <c r="R133" i="14"/>
  <c r="F133" i="14"/>
  <c r="AE125" i="14"/>
  <c r="L125" i="14"/>
  <c r="AI126" i="14"/>
  <c r="V126" i="14"/>
  <c r="I126" i="14"/>
  <c r="AJ118" i="14"/>
  <c r="V118" i="14"/>
  <c r="H118" i="14"/>
  <c r="AH204" i="14"/>
  <c r="U204" i="14"/>
  <c r="H204" i="14"/>
  <c r="AH169" i="14"/>
  <c r="U169" i="14"/>
  <c r="H169" i="14"/>
  <c r="AF162" i="14"/>
  <c r="M162" i="14"/>
  <c r="AH148" i="14"/>
  <c r="T148" i="14"/>
  <c r="F148" i="14"/>
  <c r="AC133" i="14"/>
  <c r="Q133" i="14"/>
  <c r="E133" i="14"/>
  <c r="AH126" i="14"/>
  <c r="U126" i="14"/>
  <c r="H126" i="14"/>
  <c r="AI118" i="14"/>
  <c r="U118" i="14"/>
  <c r="G118" i="14"/>
  <c r="H287" i="14"/>
  <c r="AG169" i="14"/>
  <c r="AG126" i="14"/>
  <c r="T126" i="14"/>
  <c r="G126" i="14"/>
  <c r="S316" i="14"/>
  <c r="AE148" i="14"/>
  <c r="AE126" i="14"/>
  <c r="Q126" i="14"/>
  <c r="V332" i="14"/>
  <c r="I332" i="14"/>
  <c r="W318" i="14"/>
  <c r="J318" i="14"/>
  <c r="F302" i="14" a="1"/>
  <c r="Q302" i="14" s="1"/>
  <c r="M276" i="14"/>
  <c r="AD204" i="14"/>
  <c r="P204" i="14"/>
  <c r="AH197" i="14"/>
  <c r="U197" i="14"/>
  <c r="H197" i="14"/>
  <c r="AN183" i="14"/>
  <c r="Z183" i="14"/>
  <c r="M183" i="14"/>
  <c r="AB176" i="14"/>
  <c r="N176" i="14"/>
  <c r="AD169" i="14"/>
  <c r="P169" i="14"/>
  <c r="AB162" i="14"/>
  <c r="F162" i="14"/>
  <c r="AB148" i="14"/>
  <c r="N148" i="14"/>
  <c r="AJ141" i="14"/>
  <c r="W141" i="14"/>
  <c r="J141" i="14"/>
  <c r="AK133" i="14"/>
  <c r="Y133" i="14"/>
  <c r="AC126" i="14"/>
  <c r="P126" i="14"/>
  <c r="AE118" i="14"/>
  <c r="O118" i="14"/>
  <c r="AD118" i="14"/>
  <c r="R118" i="14"/>
  <c r="F118" i="14"/>
  <c r="AC118" i="14"/>
  <c r="Q118" i="14"/>
  <c r="AD126" i="14"/>
  <c r="R126" i="14"/>
  <c r="AM125" i="14"/>
  <c r="AA125" i="14"/>
  <c r="O125" i="14"/>
  <c r="AK125" i="14"/>
  <c r="Y125" i="14"/>
  <c r="M125" i="14"/>
  <c r="AI125" i="14"/>
  <c r="W125" i="14"/>
  <c r="K125" i="14"/>
  <c r="AG125" i="14"/>
  <c r="U125" i="14"/>
  <c r="I125" i="14"/>
  <c r="AF125" i="14"/>
  <c r="T125" i="14"/>
  <c r="E159" i="14"/>
  <c r="E158" i="14"/>
  <c r="AD141" i="14"/>
  <c r="R141" i="14"/>
  <c r="AE140" i="14"/>
  <c r="S140" i="14"/>
  <c r="G140" i="14"/>
  <c r="AD140" i="14"/>
  <c r="R140" i="14"/>
  <c r="F140" i="14"/>
  <c r="AC140" i="14"/>
  <c r="Q140" i="14"/>
  <c r="E157" i="14"/>
  <c r="AD148" i="14"/>
  <c r="R148" i="14"/>
  <c r="AC148" i="14"/>
  <c r="Q148" i="14"/>
  <c r="E160" i="14"/>
  <c r="AM162" i="14"/>
  <c r="AA162" i="14"/>
  <c r="O162" i="14"/>
  <c r="AL162" i="14"/>
  <c r="Z162" i="14"/>
  <c r="N162" i="14"/>
  <c r="AJ162" i="14"/>
  <c r="X162" i="14"/>
  <c r="L162" i="14"/>
  <c r="AI162" i="14"/>
  <c r="W162" i="14"/>
  <c r="K162" i="14"/>
  <c r="AH162" i="14"/>
  <c r="V162" i="14"/>
  <c r="AC169" i="14"/>
  <c r="Q169" i="14"/>
  <c r="AD176" i="14"/>
  <c r="R176" i="14"/>
  <c r="F176" i="14"/>
  <c r="AC176" i="14"/>
  <c r="Q176" i="14"/>
  <c r="AD183" i="14"/>
  <c r="AC183" i="14"/>
  <c r="Q183" i="14"/>
  <c r="G287" i="14"/>
  <c r="F287" i="14"/>
  <c r="AC190" i="14"/>
  <c r="Q190" i="14"/>
  <c r="O287" i="14"/>
  <c r="AC197" i="14"/>
  <c r="Q197" i="14"/>
  <c r="I287" i="14"/>
  <c r="Q316" i="14"/>
  <c r="W301" i="14"/>
  <c r="F301" i="14"/>
  <c r="R301" i="14"/>
  <c r="K287" i="14"/>
  <c r="J287" i="14"/>
  <c r="M287" i="14"/>
  <c r="T287" i="14"/>
  <c r="W287" i="14"/>
  <c r="V287" i="14"/>
  <c r="U287" i="14"/>
  <c r="S287" i="14"/>
  <c r="L329" i="14"/>
  <c r="P287" i="14"/>
  <c r="G301" i="14"/>
  <c r="J301" i="14"/>
  <c r="I344" i="14"/>
  <c r="N287" i="14"/>
  <c r="AC204" i="14"/>
  <c r="Q204" i="14"/>
  <c r="Q287" i="14"/>
  <c r="R287" i="14"/>
  <c r="T329" i="14"/>
  <c r="P329" i="14"/>
  <c r="K329" i="14"/>
  <c r="P316" i="14"/>
  <c r="S301" i="14"/>
  <c r="L287" i="14"/>
  <c r="H329" i="14"/>
  <c r="Q301" i="14"/>
  <c r="X287" i="14"/>
  <c r="Q276" i="14"/>
  <c r="O316" i="14"/>
  <c r="P301" i="14"/>
  <c r="N316" i="14"/>
  <c r="O301" i="14"/>
  <c r="S344" i="14"/>
  <c r="X329" i="14"/>
  <c r="M316" i="14"/>
  <c r="N301" i="14"/>
  <c r="Q344" i="14"/>
  <c r="W329" i="14"/>
  <c r="J316" i="14"/>
  <c r="M301" i="14"/>
  <c r="H316" i="14"/>
  <c r="L301" i="14"/>
  <c r="Q329" i="14"/>
  <c r="G316" i="14"/>
  <c r="X301" i="14"/>
  <c r="K301" i="14"/>
  <c r="F316" i="14"/>
  <c r="O329" i="14"/>
  <c r="W316" i="14"/>
  <c r="V301" i="14"/>
  <c r="I301" i="14"/>
  <c r="U316" i="14"/>
  <c r="U301" i="14"/>
  <c r="H301" i="14"/>
  <c r="I329" i="14"/>
  <c r="T316" i="14"/>
  <c r="T301" i="14"/>
  <c r="Q290" i="14"/>
  <c r="J329" i="14"/>
  <c r="V329" i="14"/>
  <c r="G329" i="14"/>
  <c r="L316" i="14"/>
  <c r="U329" i="14"/>
  <c r="F329" i="14"/>
  <c r="X316" i="14"/>
  <c r="K316" i="14"/>
  <c r="S329" i="14"/>
  <c r="V316" i="14"/>
  <c r="I316" i="14"/>
  <c r="M329" i="14"/>
  <c r="R316" i="14"/>
  <c r="Q304" i="14"/>
  <c r="T344" i="14"/>
  <c r="P344" i="14"/>
  <c r="O344" i="14"/>
  <c r="N344" i="14"/>
  <c r="M344" i="14"/>
  <c r="N329" i="14"/>
  <c r="J344" i="14"/>
  <c r="H344" i="14"/>
  <c r="G344" i="14"/>
  <c r="W344" i="14"/>
  <c r="F344" i="14"/>
  <c r="U344" i="14"/>
  <c r="R344" i="14"/>
  <c r="R329" i="14"/>
  <c r="Q318" i="14"/>
  <c r="L344" i="14"/>
  <c r="X344" i="14"/>
  <c r="K344" i="14"/>
  <c r="V344" i="14"/>
  <c r="Q332" i="14"/>
  <c r="AM11" i="7"/>
  <c r="W3" i="9"/>
  <c r="K13" i="9"/>
  <c r="I15" i="9"/>
  <c r="AA18" i="9"/>
  <c r="AJ50" i="12"/>
  <c r="S50" i="12"/>
  <c r="Q69" i="13"/>
  <c r="AE44" i="13"/>
  <c r="E44" i="13"/>
  <c r="AI19" i="13"/>
  <c r="W19" i="13"/>
  <c r="K19" i="13"/>
  <c r="AD3" i="13"/>
  <c r="L3" i="13"/>
  <c r="V18" i="9"/>
  <c r="AG50" i="12"/>
  <c r="O50" i="12"/>
  <c r="S204" i="13"/>
  <c r="AC44" i="13"/>
  <c r="Z3" i="13"/>
  <c r="H3" i="13"/>
  <c r="AD44" i="13"/>
  <c r="Z12" i="9"/>
  <c r="T18" i="9"/>
  <c r="AF50" i="12"/>
  <c r="N50" i="12"/>
  <c r="X44" i="13"/>
  <c r="Y3" i="13"/>
  <c r="G3" i="13"/>
  <c r="L18" i="9"/>
  <c r="AE50" i="12"/>
  <c r="M50" i="12"/>
  <c r="W44" i="13"/>
  <c r="X3" i="13"/>
  <c r="F3" i="13"/>
  <c r="I12" i="9"/>
  <c r="P11" i="7"/>
  <c r="F12" i="9"/>
  <c r="AL17" i="9"/>
  <c r="H18" i="9"/>
  <c r="AC5" i="10"/>
  <c r="AB50" i="12"/>
  <c r="K50" i="12"/>
  <c r="AK44" i="12"/>
  <c r="Q44" i="12"/>
  <c r="AH3" i="12"/>
  <c r="S44" i="13"/>
  <c r="AD19" i="13"/>
  <c r="R19" i="13"/>
  <c r="W3" i="13"/>
  <c r="E3" i="13"/>
  <c r="AK17" i="9"/>
  <c r="AA50" i="12"/>
  <c r="J50" i="12"/>
  <c r="R44" i="13"/>
  <c r="W6" i="9"/>
  <c r="AH9" i="9"/>
  <c r="AG15" i="9"/>
  <c r="G17" i="9"/>
  <c r="AW31" i="10"/>
  <c r="Z5" i="10"/>
  <c r="Y50" i="12"/>
  <c r="I50" i="12"/>
  <c r="V3" i="12"/>
  <c r="AB100" i="13"/>
  <c r="Q44" i="13"/>
  <c r="AK3" i="13"/>
  <c r="S3" i="13"/>
  <c r="R6" i="9"/>
  <c r="AG9" i="9"/>
  <c r="AH13" i="9"/>
  <c r="AK31" i="10"/>
  <c r="X50" i="12"/>
  <c r="H50" i="12"/>
  <c r="AF69" i="13"/>
  <c r="L44" i="13"/>
  <c r="AJ3" i="13"/>
  <c r="R3" i="13"/>
  <c r="J6" i="9"/>
  <c r="AC9" i="9"/>
  <c r="AC13" i="9"/>
  <c r="V15" i="9"/>
  <c r="W31" i="10"/>
  <c r="AM50" i="12"/>
  <c r="W50" i="12"/>
  <c r="G50" i="12"/>
  <c r="AD69" i="13"/>
  <c r="K44" i="13"/>
  <c r="AI3" i="13"/>
  <c r="W13" i="9"/>
  <c r="Y69" i="13"/>
  <c r="AJ44" i="13"/>
  <c r="G44" i="13"/>
  <c r="V13" i="9"/>
  <c r="AF18" i="9"/>
  <c r="AK50" i="12"/>
  <c r="U50" i="12"/>
  <c r="X69" i="13"/>
  <c r="AI44" i="13"/>
  <c r="F44" i="13"/>
  <c r="AM3" i="13"/>
  <c r="AA3" i="13"/>
  <c r="O3" i="13"/>
  <c r="AH3" i="13"/>
  <c r="V3" i="13"/>
  <c r="J3" i="13"/>
  <c r="AG3" i="13"/>
  <c r="U3" i="13"/>
  <c r="I3" i="13"/>
  <c r="AN3" i="13"/>
  <c r="AB3" i="13"/>
  <c r="T69" i="13"/>
  <c r="AL50" i="13"/>
  <c r="S69" i="13"/>
  <c r="AK50" i="13"/>
  <c r="AE50" i="13"/>
  <c r="P69" i="13"/>
  <c r="AE56" i="13"/>
  <c r="Z50" i="13"/>
  <c r="AN69" i="13"/>
  <c r="M69" i="13"/>
  <c r="W56" i="13"/>
  <c r="Y50" i="13"/>
  <c r="AL69" i="13"/>
  <c r="G69" i="13"/>
  <c r="S50" i="13"/>
  <c r="AE92" i="13"/>
  <c r="AK69" i="13"/>
  <c r="E69" i="13"/>
  <c r="N50" i="13"/>
  <c r="R92" i="13"/>
  <c r="M50" i="13"/>
  <c r="L112" i="13"/>
  <c r="AB77" i="13"/>
  <c r="G50" i="13"/>
  <c r="K112" i="13"/>
  <c r="Z77" i="13"/>
  <c r="W69" i="13"/>
  <c r="AM44" i="13"/>
  <c r="AA44" i="13"/>
  <c r="O44" i="13"/>
  <c r="AL44" i="13"/>
  <c r="Z44" i="13"/>
  <c r="N44" i="13"/>
  <c r="AK44" i="13"/>
  <c r="Y44" i="13"/>
  <c r="M44" i="13"/>
  <c r="AH44" i="13"/>
  <c r="V44" i="13"/>
  <c r="J44" i="13"/>
  <c r="AG44" i="13"/>
  <c r="U44" i="13"/>
  <c r="I44" i="13"/>
  <c r="AF44" i="13"/>
  <c r="T44" i="13"/>
  <c r="H44" i="13"/>
  <c r="AN44" i="13"/>
  <c r="AB44" i="13"/>
  <c r="U100" i="13"/>
  <c r="M77" i="13"/>
  <c r="G56" i="13"/>
  <c r="AL148" i="13"/>
  <c r="S100" i="13"/>
  <c r="L77" i="13"/>
  <c r="F56" i="13"/>
  <c r="AD148" i="13"/>
  <c r="AN100" i="13"/>
  <c r="P100" i="13"/>
  <c r="J77" i="13"/>
  <c r="N100" i="13"/>
  <c r="AM100" i="13"/>
  <c r="AE106" i="13"/>
  <c r="AJ100" i="13"/>
  <c r="L100" i="13"/>
  <c r="AL77" i="13"/>
  <c r="AK112" i="13"/>
  <c r="AI100" i="13"/>
  <c r="J100" i="13"/>
  <c r="AF77" i="13"/>
  <c r="AD106" i="13"/>
  <c r="H197" i="13"/>
  <c r="M112" i="13"/>
  <c r="U106" i="13"/>
  <c r="AG100" i="13"/>
  <c r="H100" i="13"/>
  <c r="AD77" i="13"/>
  <c r="AL62" i="13"/>
  <c r="N106" i="13"/>
  <c r="AE100" i="13"/>
  <c r="G100" i="13"/>
  <c r="Z100" i="13"/>
  <c r="X77" i="13"/>
  <c r="Y100" i="13"/>
  <c r="R77" i="13"/>
  <c r="V100" i="13"/>
  <c r="P77" i="13"/>
  <c r="R56" i="13"/>
  <c r="E60" i="13"/>
  <c r="E58" i="13"/>
  <c r="AM50" i="13"/>
  <c r="AA50" i="13"/>
  <c r="O50" i="13"/>
  <c r="AJ50" i="13"/>
  <c r="X50" i="13"/>
  <c r="L50" i="13"/>
  <c r="AI50" i="13"/>
  <c r="W50" i="13"/>
  <c r="K50" i="13"/>
  <c r="AH50" i="13"/>
  <c r="V50" i="13"/>
  <c r="J50" i="13"/>
  <c r="AG50" i="13"/>
  <c r="U50" i="13"/>
  <c r="I50" i="13"/>
  <c r="AF50" i="13"/>
  <c r="T50" i="13"/>
  <c r="H50" i="13"/>
  <c r="AD50" i="13"/>
  <c r="R50" i="13"/>
  <c r="F50" i="13"/>
  <c r="AC50" i="13"/>
  <c r="Q50" i="13"/>
  <c r="E50" i="13"/>
  <c r="AN50" i="13"/>
  <c r="AB50" i="13"/>
  <c r="Q70" i="13"/>
  <c r="O70" i="13"/>
  <c r="R70" i="13"/>
  <c r="S70" i="13"/>
  <c r="Y70" i="13"/>
  <c r="AK70" i="13"/>
  <c r="AL70" i="13"/>
  <c r="AM70" i="13"/>
  <c r="AB106" i="13"/>
  <c r="AL100" i="13"/>
  <c r="W100" i="13"/>
  <c r="I100" i="13"/>
  <c r="AN77" i="13"/>
  <c r="Y77" i="13"/>
  <c r="K77" i="13"/>
  <c r="S62" i="13"/>
  <c r="AK77" i="13"/>
  <c r="W77" i="13"/>
  <c r="H77" i="13"/>
  <c r="M204" i="13"/>
  <c r="M106" i="13"/>
  <c r="AH100" i="13"/>
  <c r="T100" i="13"/>
  <c r="F100" i="13"/>
  <c r="AJ77" i="13"/>
  <c r="V77" i="13"/>
  <c r="G77" i="13"/>
  <c r="AJ69" i="13"/>
  <c r="N69" i="13"/>
  <c r="AI56" i="13"/>
  <c r="AI77" i="13"/>
  <c r="T77" i="13"/>
  <c r="F77" i="13"/>
  <c r="AF100" i="13"/>
  <c r="R100" i="13"/>
  <c r="AH77" i="13"/>
  <c r="S77" i="13"/>
  <c r="E77" i="13"/>
  <c r="AE69" i="13"/>
  <c r="H69" i="13"/>
  <c r="AD56" i="13"/>
  <c r="AJ148" i="13"/>
  <c r="AD100" i="13"/>
  <c r="O100" i="13"/>
  <c r="AE77" i="13"/>
  <c r="Q77" i="13"/>
  <c r="AC69" i="13"/>
  <c r="F69" i="13"/>
  <c r="S56" i="13"/>
  <c r="E59" i="13"/>
  <c r="AA100" i="13"/>
  <c r="M100" i="13"/>
  <c r="AC77" i="13"/>
  <c r="N77" i="13"/>
  <c r="K56" i="13"/>
  <c r="E61" i="13"/>
  <c r="P56" i="13"/>
  <c r="AM56" i="13"/>
  <c r="AA56" i="13"/>
  <c r="O56" i="13"/>
  <c r="AL56" i="13"/>
  <c r="Z56" i="13"/>
  <c r="N56" i="13"/>
  <c r="AK56" i="13"/>
  <c r="Y56" i="13"/>
  <c r="M56" i="13"/>
  <c r="AJ56" i="13"/>
  <c r="X56" i="13"/>
  <c r="L56" i="13"/>
  <c r="AH56" i="13"/>
  <c r="V56" i="13"/>
  <c r="J56" i="13"/>
  <c r="AG56" i="13"/>
  <c r="U56" i="13"/>
  <c r="I56" i="13"/>
  <c r="AF56" i="13"/>
  <c r="T56" i="13"/>
  <c r="H56" i="13"/>
  <c r="AC56" i="13"/>
  <c r="Q56" i="13"/>
  <c r="E56" i="13"/>
  <c r="AN56" i="13"/>
  <c r="G85" i="13"/>
  <c r="M85" i="13"/>
  <c r="Z85" i="13"/>
  <c r="AN85" i="13"/>
  <c r="N85" i="13"/>
  <c r="AA85" i="13"/>
  <c r="O85" i="13"/>
  <c r="AB85" i="13"/>
  <c r="P85" i="13"/>
  <c r="AC85" i="13"/>
  <c r="Q85" i="13"/>
  <c r="AD85" i="13"/>
  <c r="R85" i="13"/>
  <c r="AG85" i="13"/>
  <c r="F85" i="13"/>
  <c r="T85" i="13"/>
  <c r="AH85" i="13"/>
  <c r="H85" i="13"/>
  <c r="U85" i="13"/>
  <c r="AI85" i="13"/>
  <c r="I85" i="13"/>
  <c r="V85" i="13"/>
  <c r="AJ85" i="13"/>
  <c r="J85" i="13"/>
  <c r="W85" i="13"/>
  <c r="AK85" i="13"/>
  <c r="K85" i="13"/>
  <c r="X85" i="13"/>
  <c r="AL85" i="13"/>
  <c r="L85" i="13"/>
  <c r="Y85" i="13"/>
  <c r="AM85" i="13"/>
  <c r="N318" i="13"/>
  <c r="W290" i="13"/>
  <c r="R118" i="13"/>
  <c r="O106" i="13"/>
  <c r="AK100" i="13"/>
  <c r="X100" i="13"/>
  <c r="K100" i="13"/>
  <c r="AN92" i="13"/>
  <c r="AA92" i="13"/>
  <c r="N92" i="13"/>
  <c r="AM77" i="13"/>
  <c r="AA77" i="13"/>
  <c r="O77" i="13"/>
  <c r="Z69" i="13"/>
  <c r="K69" i="13"/>
  <c r="AE70" i="13"/>
  <c r="I70" i="13"/>
  <c r="AF62" i="13"/>
  <c r="P62" i="13"/>
  <c r="AE169" i="13"/>
  <c r="AM92" i="13"/>
  <c r="Z92" i="13"/>
  <c r="M92" i="13"/>
  <c r="AD70" i="13"/>
  <c r="H70" i="13"/>
  <c r="AE62" i="13"/>
  <c r="N62" i="13"/>
  <c r="AM190" i="13"/>
  <c r="AL92" i="13"/>
  <c r="Y92" i="13"/>
  <c r="L92" i="13"/>
  <c r="AA70" i="13"/>
  <c r="G70" i="13"/>
  <c r="AD62" i="13"/>
  <c r="M62" i="13"/>
  <c r="AB190" i="13"/>
  <c r="AL112" i="13"/>
  <c r="AK92" i="13"/>
  <c r="X92" i="13"/>
  <c r="K92" i="13"/>
  <c r="AN84" i="13"/>
  <c r="Z70" i="13"/>
  <c r="F70" i="13"/>
  <c r="AC62" i="13"/>
  <c r="L62" i="13"/>
  <c r="AJ92" i="13"/>
  <c r="W92" i="13"/>
  <c r="J92" i="13"/>
  <c r="Z62" i="13"/>
  <c r="K62" i="13"/>
  <c r="T190" i="13"/>
  <c r="P190" i="13"/>
  <c r="AF112" i="13"/>
  <c r="AJ106" i="13"/>
  <c r="AI92" i="13"/>
  <c r="V92" i="13"/>
  <c r="I92" i="13"/>
  <c r="AB84" i="13"/>
  <c r="U70" i="13"/>
  <c r="Y62" i="13"/>
  <c r="H62" i="13"/>
  <c r="AL84" i="13"/>
  <c r="O190" i="13"/>
  <c r="AE112" i="13"/>
  <c r="AI106" i="13"/>
  <c r="AH92" i="13"/>
  <c r="U92" i="13"/>
  <c r="H92" i="13"/>
  <c r="Z84" i="13"/>
  <c r="AG77" i="13"/>
  <c r="U77" i="13"/>
  <c r="AI69" i="13"/>
  <c r="R69" i="13"/>
  <c r="T70" i="13"/>
  <c r="X62" i="13"/>
  <c r="G62" i="13"/>
  <c r="AG92" i="13"/>
  <c r="T92" i="13"/>
  <c r="G92" i="13"/>
  <c r="P84" i="13"/>
  <c r="W62" i="13"/>
  <c r="F62" i="13"/>
  <c r="AF92" i="13"/>
  <c r="S92" i="13"/>
  <c r="F92" i="13"/>
  <c r="N84" i="13"/>
  <c r="T62" i="13"/>
  <c r="E62" i="13"/>
  <c r="AD92" i="13"/>
  <c r="P92" i="13"/>
  <c r="AG70" i="13"/>
  <c r="N70" i="13"/>
  <c r="AK62" i="13"/>
  <c r="R62" i="13"/>
  <c r="AE118" i="13"/>
  <c r="T106" i="13"/>
  <c r="AB92" i="13"/>
  <c r="O92" i="13"/>
  <c r="AB69" i="13"/>
  <c r="L69" i="13"/>
  <c r="AF70" i="13"/>
  <c r="M70" i="13"/>
  <c r="AJ62" i="13"/>
  <c r="Q62" i="13"/>
  <c r="AM62" i="13"/>
  <c r="AA62" i="13"/>
  <c r="O62" i="13"/>
  <c r="AI62" i="13"/>
  <c r="AH62" i="13"/>
  <c r="V62" i="13"/>
  <c r="J62" i="13"/>
  <c r="AG62" i="13"/>
  <c r="U62" i="13"/>
  <c r="I62" i="13"/>
  <c r="AN62" i="13"/>
  <c r="AN70" i="13"/>
  <c r="AB70" i="13"/>
  <c r="P70" i="13"/>
  <c r="AJ70" i="13"/>
  <c r="X70" i="13"/>
  <c r="L70" i="13"/>
  <c r="AI70" i="13"/>
  <c r="W70" i="13"/>
  <c r="K70" i="13"/>
  <c r="AH70" i="13"/>
  <c r="V70" i="13"/>
  <c r="J70" i="13"/>
  <c r="AC70" i="13"/>
  <c r="AM69" i="13"/>
  <c r="AA69" i="13"/>
  <c r="O69" i="13"/>
  <c r="AH69" i="13"/>
  <c r="V69" i="13"/>
  <c r="J69" i="13"/>
  <c r="AG69" i="13"/>
  <c r="U69" i="13"/>
  <c r="AF85" i="13"/>
  <c r="AE85" i="13"/>
  <c r="S85" i="13"/>
  <c r="AM84" i="13"/>
  <c r="AA84" i="13"/>
  <c r="O84" i="13"/>
  <c r="AK84" i="13"/>
  <c r="Y84" i="13"/>
  <c r="M84" i="13"/>
  <c r="AJ84" i="13"/>
  <c r="X84" i="13"/>
  <c r="L84" i="13"/>
  <c r="AI84" i="13"/>
  <c r="W84" i="13"/>
  <c r="K84" i="13"/>
  <c r="AH84" i="13"/>
  <c r="V84" i="13"/>
  <c r="J84" i="13"/>
  <c r="AG84" i="13"/>
  <c r="U84" i="13"/>
  <c r="I84" i="13"/>
  <c r="AF84" i="13"/>
  <c r="T84" i="13"/>
  <c r="H84" i="13"/>
  <c r="AE84" i="13"/>
  <c r="S84" i="13"/>
  <c r="G84" i="13"/>
  <c r="AD84" i="13"/>
  <c r="R84" i="13"/>
  <c r="F84" i="13"/>
  <c r="AC84" i="13"/>
  <c r="Q84" i="13"/>
  <c r="AC92" i="13"/>
  <c r="Q92" i="13"/>
  <c r="U148" i="13"/>
  <c r="J190" i="13"/>
  <c r="N148" i="13"/>
  <c r="U112" i="13"/>
  <c r="AN106" i="13"/>
  <c r="X106" i="13"/>
  <c r="I106" i="13"/>
  <c r="AA204" i="13"/>
  <c r="AA176" i="13"/>
  <c r="M148" i="13"/>
  <c r="T112" i="13"/>
  <c r="AM106" i="13"/>
  <c r="W106" i="13"/>
  <c r="H106" i="13"/>
  <c r="AK106" i="13"/>
  <c r="V106" i="13"/>
  <c r="G106" i="13"/>
  <c r="AK162" i="13"/>
  <c r="AF162" i="13"/>
  <c r="AH106" i="13"/>
  <c r="R106" i="13"/>
  <c r="AN190" i="13"/>
  <c r="W162" i="13"/>
  <c r="AG106" i="13"/>
  <c r="P106" i="13"/>
  <c r="AM169" i="13"/>
  <c r="AK140" i="13"/>
  <c r="AA106" i="13"/>
  <c r="K106" i="13"/>
  <c r="T148" i="13"/>
  <c r="AB112" i="13"/>
  <c r="Z106" i="13"/>
  <c r="J106" i="13"/>
  <c r="AC100" i="13"/>
  <c r="Q100" i="13"/>
  <c r="L332" i="13"/>
  <c r="E332" i="13"/>
  <c r="F290" i="13"/>
  <c r="AG204" i="13"/>
  <c r="S197" i="13"/>
  <c r="Y183" i="13"/>
  <c r="N176" i="13"/>
  <c r="L169" i="13"/>
  <c r="F162" i="13"/>
  <c r="W148" i="13"/>
  <c r="G148" i="13"/>
  <c r="R140" i="13"/>
  <c r="X112" i="13"/>
  <c r="G112" i="13"/>
  <c r="P197" i="13"/>
  <c r="AN148" i="13"/>
  <c r="V148" i="13"/>
  <c r="F148" i="13"/>
  <c r="K140" i="13"/>
  <c r="AM112" i="13"/>
  <c r="W112" i="13"/>
  <c r="F112" i="13"/>
  <c r="J140" i="13"/>
  <c r="AI148" i="13"/>
  <c r="S148" i="13"/>
  <c r="AJ112" i="13"/>
  <c r="S112" i="13"/>
  <c r="H190" i="13"/>
  <c r="AH148" i="13"/>
  <c r="R148" i="13"/>
  <c r="AH112" i="13"/>
  <c r="R112" i="13"/>
  <c r="AF106" i="13"/>
  <c r="S106" i="13"/>
  <c r="F106" i="13"/>
  <c r="W318" i="13"/>
  <c r="G276" i="13"/>
  <c r="AG148" i="13"/>
  <c r="O148" i="13"/>
  <c r="AG112" i="13"/>
  <c r="O112" i="13"/>
  <c r="X290" i="13"/>
  <c r="AN176" i="13"/>
  <c r="AF148" i="13"/>
  <c r="W176" i="13"/>
  <c r="W332" i="13"/>
  <c r="Y169" i="13"/>
  <c r="K290" i="13"/>
  <c r="V176" i="13"/>
  <c r="Q169" i="13"/>
  <c r="R162" i="13"/>
  <c r="AA148" i="13"/>
  <c r="I148" i="13"/>
  <c r="X140" i="13"/>
  <c r="Z112" i="13"/>
  <c r="J112" i="13"/>
  <c r="P290" i="13"/>
  <c r="AB148" i="13"/>
  <c r="L148" i="13"/>
  <c r="AE140" i="13"/>
  <c r="K332" i="13"/>
  <c r="J290" i="13"/>
  <c r="U197" i="13"/>
  <c r="AH190" i="13"/>
  <c r="O176" i="13"/>
  <c r="P169" i="13"/>
  <c r="K162" i="13"/>
  <c r="Z148" i="13"/>
  <c r="H148" i="13"/>
  <c r="W140" i="13"/>
  <c r="Y112" i="13"/>
  <c r="H112" i="13"/>
  <c r="AL106" i="13"/>
  <c r="Y106" i="13"/>
  <c r="L106" i="13"/>
  <c r="E115" i="13"/>
  <c r="AC106" i="13"/>
  <c r="Q106" i="13"/>
  <c r="U318" i="13"/>
  <c r="F315" i="13" a="1"/>
  <c r="L315" i="13" s="1"/>
  <c r="T318" i="13"/>
  <c r="X332" i="13"/>
  <c r="F332" i="13"/>
  <c r="O318" i="13"/>
  <c r="AB204" i="13"/>
  <c r="N204" i="13"/>
  <c r="I197" i="13"/>
  <c r="AK190" i="13"/>
  <c r="M190" i="13"/>
  <c r="AE183" i="13"/>
  <c r="R176" i="13"/>
  <c r="AN169" i="13"/>
  <c r="Z169" i="13"/>
  <c r="M169" i="13"/>
  <c r="AM148" i="13"/>
  <c r="Y148" i="13"/>
  <c r="J148" i="13"/>
  <c r="AJ140" i="13"/>
  <c r="AC133" i="13"/>
  <c r="Q133" i="13"/>
  <c r="E133" i="13"/>
  <c r="AI112" i="13"/>
  <c r="V112" i="13"/>
  <c r="I112" i="13"/>
  <c r="AN204" i="13"/>
  <c r="Z204" i="13"/>
  <c r="L204" i="13"/>
  <c r="G197" i="13"/>
  <c r="AF190" i="13"/>
  <c r="T183" i="13"/>
  <c r="AL169" i="13"/>
  <c r="X169" i="13"/>
  <c r="K169" i="13"/>
  <c r="AM133" i="13"/>
  <c r="AA133" i="13"/>
  <c r="O133" i="13"/>
  <c r="S183" i="13"/>
  <c r="AJ176" i="13"/>
  <c r="J176" i="13"/>
  <c r="AK169" i="13"/>
  <c r="W169" i="13"/>
  <c r="I169" i="13"/>
  <c r="AL133" i="13"/>
  <c r="Z133" i="13"/>
  <c r="N133" i="13"/>
  <c r="T332" i="13"/>
  <c r="M318" i="13"/>
  <c r="S332" i="13"/>
  <c r="L318" i="13"/>
  <c r="F302" i="13" a="1"/>
  <c r="Q302" i="13" s="1"/>
  <c r="AM204" i="13"/>
  <c r="J204" i="13"/>
  <c r="AN197" i="13"/>
  <c r="R332" i="13"/>
  <c r="K318" i="13"/>
  <c r="P304" i="13"/>
  <c r="S290" i="13"/>
  <c r="AL204" i="13"/>
  <c r="W204" i="13"/>
  <c r="I204" i="13"/>
  <c r="AG197" i="13"/>
  <c r="AA190" i="13"/>
  <c r="R183" i="13"/>
  <c r="AI176" i="13"/>
  <c r="I176" i="13"/>
  <c r="AJ169" i="13"/>
  <c r="U169" i="13"/>
  <c r="H169" i="13"/>
  <c r="AE162" i="13"/>
  <c r="AK133" i="13"/>
  <c r="Y133" i="13"/>
  <c r="M133" i="13"/>
  <c r="V304" i="13"/>
  <c r="Y204" i="13"/>
  <c r="Q332" i="13"/>
  <c r="I318" i="13"/>
  <c r="O304" i="13"/>
  <c r="R290" i="13"/>
  <c r="T276" i="13"/>
  <c r="AJ204" i="13"/>
  <c r="V204" i="13"/>
  <c r="H204" i="13"/>
  <c r="AE197" i="13"/>
  <c r="Z190" i="13"/>
  <c r="L183" i="13"/>
  <c r="AH176" i="13"/>
  <c r="H176" i="13"/>
  <c r="AH169" i="13"/>
  <c r="T169" i="13"/>
  <c r="G169" i="13"/>
  <c r="X162" i="13"/>
  <c r="AJ133" i="13"/>
  <c r="X133" i="13"/>
  <c r="L133" i="13"/>
  <c r="AD112" i="13"/>
  <c r="P112" i="13"/>
  <c r="N332" i="13"/>
  <c r="N304" i="13"/>
  <c r="G204" i="13"/>
  <c r="Y190" i="13"/>
  <c r="G183" i="13"/>
  <c r="AE176" i="13"/>
  <c r="S169" i="13"/>
  <c r="AI133" i="13"/>
  <c r="K133" i="13"/>
  <c r="AN133" i="13"/>
  <c r="AB133" i="13"/>
  <c r="P133" i="13"/>
  <c r="H318" i="13"/>
  <c r="R276" i="13"/>
  <c r="AI204" i="13"/>
  <c r="U204" i="13"/>
  <c r="AB197" i="13"/>
  <c r="AG169" i="13"/>
  <c r="F169" i="13"/>
  <c r="W133" i="13"/>
  <c r="M332" i="13"/>
  <c r="G318" i="13"/>
  <c r="I304" i="13"/>
  <c r="L290" i="13"/>
  <c r="L276" i="13"/>
  <c r="AH204" i="13"/>
  <c r="T204" i="13"/>
  <c r="F204" i="13"/>
  <c r="Z197" i="13"/>
  <c r="V190" i="13"/>
  <c r="F183" i="13"/>
  <c r="AB176" i="13"/>
  <c r="AF169" i="13"/>
  <c r="R169" i="13"/>
  <c r="E169" i="13"/>
  <c r="S162" i="13"/>
  <c r="AE148" i="13"/>
  <c r="P148" i="13"/>
  <c r="AH133" i="13"/>
  <c r="V133" i="13"/>
  <c r="J133" i="13"/>
  <c r="AE125" i="13"/>
  <c r="AN112" i="13"/>
  <c r="AA112" i="13"/>
  <c r="N112" i="13"/>
  <c r="AG133" i="13"/>
  <c r="U133" i="13"/>
  <c r="I133" i="13"/>
  <c r="R125" i="13"/>
  <c r="AF204" i="13"/>
  <c r="R204" i="13"/>
  <c r="AL183" i="13"/>
  <c r="AD169" i="13"/>
  <c r="AF133" i="13"/>
  <c r="T133" i="13"/>
  <c r="H133" i="13"/>
  <c r="AE204" i="13"/>
  <c r="P204" i="13"/>
  <c r="AG183" i="13"/>
  <c r="AB169" i="13"/>
  <c r="O169" i="13"/>
  <c r="AE133" i="13"/>
  <c r="S133" i="13"/>
  <c r="G133" i="13"/>
  <c r="V318" i="13"/>
  <c r="H332" i="13"/>
  <c r="G332" i="13"/>
  <c r="AD204" i="13"/>
  <c r="O204" i="13"/>
  <c r="N197" i="13"/>
  <c r="AL190" i="13"/>
  <c r="N190" i="13"/>
  <c r="AF183" i="13"/>
  <c r="U176" i="13"/>
  <c r="AA169" i="13"/>
  <c r="N169" i="13"/>
  <c r="AD133" i="13"/>
  <c r="R133" i="13"/>
  <c r="E117" i="13"/>
  <c r="E116" i="13"/>
  <c r="E114" i="13"/>
  <c r="AC112" i="13"/>
  <c r="Q112" i="13"/>
  <c r="F141" i="13"/>
  <c r="H141" i="13"/>
  <c r="U141" i="13"/>
  <c r="AH141" i="13"/>
  <c r="I141" i="13"/>
  <c r="V141" i="13"/>
  <c r="AI141" i="13"/>
  <c r="J141" i="13"/>
  <c r="W141" i="13"/>
  <c r="AJ141" i="13"/>
  <c r="K141" i="13"/>
  <c r="X141" i="13"/>
  <c r="AK141" i="13"/>
  <c r="L141" i="13"/>
  <c r="Y141" i="13"/>
  <c r="AL141" i="13"/>
  <c r="M141" i="13"/>
  <c r="Z141" i="13"/>
  <c r="AM141" i="13"/>
  <c r="N141" i="13"/>
  <c r="AA141" i="13"/>
  <c r="AN141" i="13"/>
  <c r="O141" i="13"/>
  <c r="AB141" i="13"/>
  <c r="P141" i="13"/>
  <c r="AC141" i="13"/>
  <c r="Q141" i="13"/>
  <c r="AE141" i="13"/>
  <c r="S141" i="13"/>
  <c r="AF141" i="13"/>
  <c r="G141" i="13"/>
  <c r="T141" i="13"/>
  <c r="AG141" i="13"/>
  <c r="R126" i="13"/>
  <c r="N126" i="13"/>
  <c r="AA126" i="13"/>
  <c r="AN126" i="13"/>
  <c r="O126" i="13"/>
  <c r="AB126" i="13"/>
  <c r="P126" i="13"/>
  <c r="AC126" i="13"/>
  <c r="Q126" i="13"/>
  <c r="AE126" i="13"/>
  <c r="F126" i="13"/>
  <c r="S126" i="13"/>
  <c r="AF126" i="13"/>
  <c r="G126" i="13"/>
  <c r="T126" i="13"/>
  <c r="AG126" i="13"/>
  <c r="H126" i="13"/>
  <c r="U126" i="13"/>
  <c r="AH126" i="13"/>
  <c r="I126" i="13"/>
  <c r="V126" i="13"/>
  <c r="AI126" i="13"/>
  <c r="J126" i="13"/>
  <c r="W126" i="13"/>
  <c r="AJ126" i="13"/>
  <c r="K126" i="13"/>
  <c r="X126" i="13"/>
  <c r="AK126" i="13"/>
  <c r="L126" i="13"/>
  <c r="Y126" i="13"/>
  <c r="AL126" i="13"/>
  <c r="M126" i="13"/>
  <c r="Z126" i="13"/>
  <c r="AM126" i="13"/>
  <c r="O290" i="13"/>
  <c r="V332" i="13"/>
  <c r="J332" i="13"/>
  <c r="O276" i="13"/>
  <c r="R190" i="13"/>
  <c r="F190" i="13"/>
  <c r="W183" i="13"/>
  <c r="J183" i="13"/>
  <c r="Z176" i="13"/>
  <c r="M176" i="13"/>
  <c r="U332" i="13"/>
  <c r="I332" i="13"/>
  <c r="X318" i="13"/>
  <c r="J318" i="13"/>
  <c r="X304" i="13"/>
  <c r="K304" i="13"/>
  <c r="M290" i="13"/>
  <c r="N276" i="13"/>
  <c r="AI197" i="13"/>
  <c r="W197" i="13"/>
  <c r="K197" i="13"/>
  <c r="AC190" i="13"/>
  <c r="Q190" i="13"/>
  <c r="E190" i="13"/>
  <c r="AI183" i="13"/>
  <c r="V183" i="13"/>
  <c r="I183" i="13"/>
  <c r="AL176" i="13"/>
  <c r="Y176" i="13"/>
  <c r="L176" i="13"/>
  <c r="AH162" i="13"/>
  <c r="U162" i="13"/>
  <c r="H162" i="13"/>
  <c r="AH140" i="13"/>
  <c r="U140" i="13"/>
  <c r="H140" i="13"/>
  <c r="AN125" i="13"/>
  <c r="AA125" i="13"/>
  <c r="N125" i="13"/>
  <c r="AB118" i="13"/>
  <c r="O118" i="13"/>
  <c r="W304" i="13"/>
  <c r="J304" i="13"/>
  <c r="M276" i="13"/>
  <c r="H288" i="13"/>
  <c r="AH197" i="13"/>
  <c r="V197" i="13"/>
  <c r="J197" i="13"/>
  <c r="AH183" i="13"/>
  <c r="U183" i="13"/>
  <c r="H183" i="13"/>
  <c r="AK176" i="13"/>
  <c r="X176" i="13"/>
  <c r="K176" i="13"/>
  <c r="AG162" i="13"/>
  <c r="T162" i="13"/>
  <c r="G162" i="13"/>
  <c r="AG140" i="13"/>
  <c r="T140" i="13"/>
  <c r="G140" i="13"/>
  <c r="AM125" i="13"/>
  <c r="Z125" i="13"/>
  <c r="M125" i="13"/>
  <c r="AN118" i="13"/>
  <c r="AA118" i="13"/>
  <c r="N118" i="13"/>
  <c r="AF140" i="13"/>
  <c r="S140" i="13"/>
  <c r="F140" i="13"/>
  <c r="AL125" i="13"/>
  <c r="Y125" i="13"/>
  <c r="L125" i="13"/>
  <c r="AM118" i="13"/>
  <c r="Z118" i="13"/>
  <c r="M118" i="13"/>
  <c r="U304" i="13"/>
  <c r="H304" i="13"/>
  <c r="X276" i="13"/>
  <c r="K276" i="13"/>
  <c r="AF197" i="13"/>
  <c r="T197" i="13"/>
  <c r="AK125" i="13"/>
  <c r="X125" i="13"/>
  <c r="K125" i="13"/>
  <c r="AL118" i="13"/>
  <c r="Y118" i="13"/>
  <c r="L118" i="13"/>
  <c r="I290" i="13"/>
  <c r="AD162" i="13"/>
  <c r="P162" i="13"/>
  <c r="AD140" i="13"/>
  <c r="P140" i="13"/>
  <c r="AJ125" i="13"/>
  <c r="W125" i="13"/>
  <c r="J125" i="13"/>
  <c r="AK118" i="13"/>
  <c r="X118" i="13"/>
  <c r="K118" i="13"/>
  <c r="V290" i="13"/>
  <c r="P332" i="13"/>
  <c r="S318" i="13"/>
  <c r="S304" i="13"/>
  <c r="F304" i="13"/>
  <c r="H290" i="13"/>
  <c r="V276" i="13"/>
  <c r="AG176" i="13"/>
  <c r="T176" i="13"/>
  <c r="G176" i="13"/>
  <c r="AB162" i="13"/>
  <c r="O162" i="13"/>
  <c r="AB140" i="13"/>
  <c r="O140" i="13"/>
  <c r="AI125" i="13"/>
  <c r="V125" i="13"/>
  <c r="I125" i="13"/>
  <c r="AJ118" i="13"/>
  <c r="W118" i="13"/>
  <c r="J118" i="13"/>
  <c r="T304" i="13"/>
  <c r="G304" i="13"/>
  <c r="W276" i="13"/>
  <c r="J276" i="13"/>
  <c r="U290" i="13"/>
  <c r="I276" i="13"/>
  <c r="AD197" i="13"/>
  <c r="R197" i="13"/>
  <c r="F197" i="13"/>
  <c r="AJ190" i="13"/>
  <c r="X190" i="13"/>
  <c r="L190" i="13"/>
  <c r="AD183" i="13"/>
  <c r="P183" i="13"/>
  <c r="G343" i="13"/>
  <c r="P318" i="13"/>
  <c r="G329" i="13"/>
  <c r="R304" i="13"/>
  <c r="E304" i="13"/>
  <c r="T290" i="13"/>
  <c r="G290" i="13"/>
  <c r="U276" i="13"/>
  <c r="H276" i="13"/>
  <c r="AK204" i="13"/>
  <c r="X204" i="13"/>
  <c r="K204" i="13"/>
  <c r="AC197" i="13"/>
  <c r="Q197" i="13"/>
  <c r="E197" i="13"/>
  <c r="AI190" i="13"/>
  <c r="W190" i="13"/>
  <c r="K190" i="13"/>
  <c r="AB183" i="13"/>
  <c r="O183" i="13"/>
  <c r="AF176" i="13"/>
  <c r="S176" i="13"/>
  <c r="F176" i="13"/>
  <c r="AI169" i="13"/>
  <c r="V169" i="13"/>
  <c r="J169" i="13"/>
  <c r="AN162" i="13"/>
  <c r="AA162" i="13"/>
  <c r="N162" i="13"/>
  <c r="AK148" i="13"/>
  <c r="X148" i="13"/>
  <c r="K148" i="13"/>
  <c r="AN140" i="13"/>
  <c r="AA140" i="13"/>
  <c r="N140" i="13"/>
  <c r="AH125" i="13"/>
  <c r="U125" i="13"/>
  <c r="H125" i="13"/>
  <c r="AI118" i="13"/>
  <c r="V118" i="13"/>
  <c r="I118" i="13"/>
  <c r="AN183" i="13"/>
  <c r="AA183" i="13"/>
  <c r="N183" i="13"/>
  <c r="AM162" i="13"/>
  <c r="Z162" i="13"/>
  <c r="M162" i="13"/>
  <c r="AM140" i="13"/>
  <c r="Z140" i="13"/>
  <c r="M140" i="13"/>
  <c r="AG125" i="13"/>
  <c r="T125" i="13"/>
  <c r="G125" i="13"/>
  <c r="AH118" i="13"/>
  <c r="U118" i="13"/>
  <c r="H118" i="13"/>
  <c r="S276" i="13"/>
  <c r="F276" i="13"/>
  <c r="AM197" i="13"/>
  <c r="AA197" i="13"/>
  <c r="O197" i="13"/>
  <c r="AG190" i="13"/>
  <c r="U190" i="13"/>
  <c r="I190" i="13"/>
  <c r="AM183" i="13"/>
  <c r="Z183" i="13"/>
  <c r="M183" i="13"/>
  <c r="AD176" i="13"/>
  <c r="P176" i="13"/>
  <c r="AL162" i="13"/>
  <c r="Y162" i="13"/>
  <c r="L162" i="13"/>
  <c r="AL140" i="13"/>
  <c r="Y140" i="13"/>
  <c r="L140" i="13"/>
  <c r="AF125" i="13"/>
  <c r="S125" i="13"/>
  <c r="F125" i="13"/>
  <c r="AG118" i="13"/>
  <c r="T118" i="13"/>
  <c r="G118" i="13"/>
  <c r="AL197" i="13"/>
  <c r="AF118" i="13"/>
  <c r="S118" i="13"/>
  <c r="F118" i="13"/>
  <c r="F344" i="13" a="1"/>
  <c r="Q344" i="13" s="1"/>
  <c r="M304" i="13"/>
  <c r="P276" i="13"/>
  <c r="G287" i="13"/>
  <c r="AK197" i="13"/>
  <c r="Y197" i="13"/>
  <c r="M197" i="13"/>
  <c r="AE190" i="13"/>
  <c r="S190" i="13"/>
  <c r="G190" i="13"/>
  <c r="AK183" i="13"/>
  <c r="X183" i="13"/>
  <c r="K183" i="13"/>
  <c r="AJ162" i="13"/>
  <c r="J162" i="13"/>
  <c r="AD125" i="13"/>
  <c r="P125" i="13"/>
  <c r="L304" i="13"/>
  <c r="Q316" i="13"/>
  <c r="N290" i="13"/>
  <c r="AJ197" i="13"/>
  <c r="X197" i="13"/>
  <c r="AJ183" i="13"/>
  <c r="AM176" i="13"/>
  <c r="AI162" i="13"/>
  <c r="V162" i="13"/>
  <c r="I162" i="13"/>
  <c r="AI140" i="13"/>
  <c r="V140" i="13"/>
  <c r="I140" i="13"/>
  <c r="AB125" i="13"/>
  <c r="O125" i="13"/>
  <c r="AD118" i="13"/>
  <c r="P118" i="13"/>
  <c r="AC118" i="13"/>
  <c r="Q118" i="13"/>
  <c r="E158" i="13"/>
  <c r="AD126" i="13"/>
  <c r="AC125" i="13"/>
  <c r="Q125" i="13"/>
  <c r="E159" i="13"/>
  <c r="E157" i="13"/>
  <c r="AD141" i="13"/>
  <c r="R141" i="13"/>
  <c r="AC140" i="13"/>
  <c r="Q140" i="13"/>
  <c r="AC148" i="13"/>
  <c r="Q148" i="13"/>
  <c r="E160" i="13"/>
  <c r="AC162" i="13"/>
  <c r="Q162" i="13"/>
  <c r="AC176" i="13"/>
  <c r="Q176" i="13"/>
  <c r="T287" i="13"/>
  <c r="S288" i="13"/>
  <c r="AC183" i="13"/>
  <c r="Q183" i="13"/>
  <c r="V288" i="13"/>
  <c r="Q288" i="13"/>
  <c r="N287" i="13"/>
  <c r="O288" i="13"/>
  <c r="L287" i="13"/>
  <c r="L288" i="13"/>
  <c r="I287" i="13"/>
  <c r="K288" i="13"/>
  <c r="J288" i="13"/>
  <c r="G288" i="13"/>
  <c r="X288" i="13"/>
  <c r="W288" i="13"/>
  <c r="U287" i="13"/>
  <c r="R288" i="13"/>
  <c r="X301" i="13"/>
  <c r="Q330" i="13"/>
  <c r="G301" i="13"/>
  <c r="I301" i="13"/>
  <c r="J301" i="13"/>
  <c r="L301" i="13"/>
  <c r="Q301" i="13"/>
  <c r="U301" i="13"/>
  <c r="V301" i="13"/>
  <c r="O301" i="13"/>
  <c r="H287" i="13"/>
  <c r="F288" i="13"/>
  <c r="I329" i="13"/>
  <c r="X287" i="13"/>
  <c r="AC204" i="13"/>
  <c r="Q204" i="13"/>
  <c r="R287" i="13"/>
  <c r="F287" i="13"/>
  <c r="P288" i="13"/>
  <c r="Q287" i="13"/>
  <c r="P287" i="13"/>
  <c r="N288" i="13"/>
  <c r="O287" i="13"/>
  <c r="M288" i="13"/>
  <c r="M287" i="13"/>
  <c r="W287" i="13"/>
  <c r="K287" i="13"/>
  <c r="U288" i="13"/>
  <c r="I288" i="13"/>
  <c r="V287" i="13"/>
  <c r="J287" i="13"/>
  <c r="T288" i="13"/>
  <c r="W330" i="13"/>
  <c r="V315" i="13"/>
  <c r="S287" i="13"/>
  <c r="Q276" i="13"/>
  <c r="R301" i="13"/>
  <c r="F301" i="13"/>
  <c r="X343" i="13"/>
  <c r="P301" i="13"/>
  <c r="N301" i="13"/>
  <c r="M301" i="13"/>
  <c r="O316" i="13"/>
  <c r="W301" i="13"/>
  <c r="K301" i="13"/>
  <c r="R330" i="13"/>
  <c r="T301" i="13"/>
  <c r="H301" i="13"/>
  <c r="K330" i="13"/>
  <c r="S301" i="13"/>
  <c r="Q290" i="13"/>
  <c r="H343" i="13"/>
  <c r="S330" i="13"/>
  <c r="P316" i="13"/>
  <c r="O330" i="13"/>
  <c r="N316" i="13"/>
  <c r="U329" i="13"/>
  <c r="N330" i="13"/>
  <c r="M316" i="13"/>
  <c r="L316" i="13"/>
  <c r="H329" i="13"/>
  <c r="J330" i="13"/>
  <c r="X316" i="13"/>
  <c r="K316" i="13"/>
  <c r="H330" i="13"/>
  <c r="W316" i="13"/>
  <c r="J316" i="13"/>
  <c r="G330" i="13"/>
  <c r="V316" i="13"/>
  <c r="I316" i="13"/>
  <c r="F330" i="13"/>
  <c r="U316" i="13"/>
  <c r="H316" i="13"/>
  <c r="T316" i="13"/>
  <c r="G316" i="13"/>
  <c r="U343" i="13"/>
  <c r="V330" i="13"/>
  <c r="S316" i="13"/>
  <c r="F316" i="13"/>
  <c r="T343" i="13"/>
  <c r="T330" i="13"/>
  <c r="R316" i="13"/>
  <c r="P343" i="13"/>
  <c r="R329" i="13"/>
  <c r="F329" i="13"/>
  <c r="P330" i="13"/>
  <c r="R343" i="13"/>
  <c r="O343" i="13"/>
  <c r="Q329" i="13"/>
  <c r="P329" i="13"/>
  <c r="N343" i="13"/>
  <c r="L343" i="13"/>
  <c r="O329" i="13"/>
  <c r="M330" i="13"/>
  <c r="J343" i="13"/>
  <c r="N329" i="13"/>
  <c r="X330" i="13"/>
  <c r="L330" i="13"/>
  <c r="I343" i="13"/>
  <c r="M329" i="13"/>
  <c r="X329" i="13"/>
  <c r="L329" i="13"/>
  <c r="V343" i="13"/>
  <c r="F343" i="13"/>
  <c r="W329" i="13"/>
  <c r="K329" i="13"/>
  <c r="U330" i="13"/>
  <c r="I330" i="13"/>
  <c r="V329" i="13"/>
  <c r="J329" i="13"/>
  <c r="T329" i="13"/>
  <c r="Q343" i="13"/>
  <c r="S329" i="13"/>
  <c r="R318" i="13"/>
  <c r="Q318" i="13"/>
  <c r="M343" i="13"/>
  <c r="W343" i="13"/>
  <c r="K343" i="13"/>
  <c r="S343" i="13"/>
  <c r="F11" i="7"/>
  <c r="Q3" i="9"/>
  <c r="U9" i="9"/>
  <c r="Y12" i="9"/>
  <c r="U13" i="9"/>
  <c r="AM15" i="9"/>
  <c r="S15" i="9"/>
  <c r="L31" i="10"/>
  <c r="Q5" i="10"/>
  <c r="AD44" i="12"/>
  <c r="L44" i="12"/>
  <c r="AK19" i="12"/>
  <c r="P3" i="12"/>
  <c r="I28" i="7"/>
  <c r="AG23" i="9"/>
  <c r="F3" i="9"/>
  <c r="R9" i="9"/>
  <c r="K12" i="9"/>
  <c r="S13" i="9"/>
  <c r="AL15" i="9"/>
  <c r="R15" i="9"/>
  <c r="F31" i="10"/>
  <c r="P5" i="10"/>
  <c r="AI50" i="12"/>
  <c r="T50" i="12"/>
  <c r="AC44" i="12"/>
  <c r="K44" i="12"/>
  <c r="Y19" i="12"/>
  <c r="N3" i="12"/>
  <c r="S23" i="9"/>
  <c r="K9" i="9"/>
  <c r="L13" i="9"/>
  <c r="AK15" i="9"/>
  <c r="L15" i="9"/>
  <c r="G45" i="10"/>
  <c r="N5" i="10"/>
  <c r="M19" i="12"/>
  <c r="AN3" i="12"/>
  <c r="M3" i="12"/>
  <c r="AL3" i="12"/>
  <c r="J3" i="12"/>
  <c r="H13" i="9"/>
  <c r="AH15" i="9"/>
  <c r="G15" i="9"/>
  <c r="E5" i="10"/>
  <c r="AK3" i="12"/>
  <c r="G3" i="12"/>
  <c r="F13" i="9"/>
  <c r="Q63" i="9"/>
  <c r="AK11" i="9"/>
  <c r="AJ13" i="9"/>
  <c r="E13" i="9"/>
  <c r="AF15" i="9"/>
  <c r="D15" i="9"/>
  <c r="Z18" i="9"/>
  <c r="R75" i="10"/>
  <c r="AZ31" i="10"/>
  <c r="AE3" i="12"/>
  <c r="E63" i="9"/>
  <c r="W11" i="9"/>
  <c r="O75" i="10"/>
  <c r="AB3" i="12"/>
  <c r="D63" i="9"/>
  <c r="AJ9" i="9"/>
  <c r="H11" i="9"/>
  <c r="AF13" i="9"/>
  <c r="W15" i="9"/>
  <c r="N75" i="10"/>
  <c r="AR31" i="10"/>
  <c r="AH5" i="10"/>
  <c r="W106" i="12"/>
  <c r="Z3" i="12"/>
  <c r="AH118" i="12"/>
  <c r="T118" i="12"/>
  <c r="AM3" i="12"/>
  <c r="AA3" i="12"/>
  <c r="O3" i="12"/>
  <c r="AJ3" i="12"/>
  <c r="X3" i="12"/>
  <c r="L3" i="12"/>
  <c r="AI3" i="12"/>
  <c r="W3" i="12"/>
  <c r="K3" i="12"/>
  <c r="AG3" i="12"/>
  <c r="U3" i="12"/>
  <c r="I3" i="12"/>
  <c r="AF3" i="12"/>
  <c r="T3" i="12"/>
  <c r="H3" i="12"/>
  <c r="AD3" i="12"/>
  <c r="R3" i="12"/>
  <c r="F3" i="12"/>
  <c r="AC3" i="12"/>
  <c r="Q3" i="12"/>
  <c r="E60" i="12"/>
  <c r="AN19" i="12"/>
  <c r="AB19" i="12"/>
  <c r="P19" i="12"/>
  <c r="AM19" i="12"/>
  <c r="AA19" i="12"/>
  <c r="O19" i="12"/>
  <c r="AL19" i="12"/>
  <c r="Z19" i="12"/>
  <c r="N19" i="12"/>
  <c r="AJ19" i="12"/>
  <c r="X19" i="12"/>
  <c r="L19" i="12"/>
  <c r="AI19" i="12"/>
  <c r="W19" i="12"/>
  <c r="K19" i="12"/>
  <c r="AH19" i="12"/>
  <c r="V19" i="12"/>
  <c r="J19" i="12"/>
  <c r="AG19" i="12"/>
  <c r="U19" i="12"/>
  <c r="I19" i="12"/>
  <c r="AF19" i="12"/>
  <c r="H19" i="12"/>
  <c r="AE19" i="12"/>
  <c r="S19" i="12"/>
  <c r="G19" i="12"/>
  <c r="AD19" i="12"/>
  <c r="R19" i="12"/>
  <c r="F19" i="12"/>
  <c r="T19" i="12"/>
  <c r="AC19" i="12"/>
  <c r="Q19" i="12"/>
  <c r="E59" i="12"/>
  <c r="U84" i="12"/>
  <c r="Z84" i="12"/>
  <c r="P84" i="12"/>
  <c r="AI56" i="12"/>
  <c r="AN50" i="12"/>
  <c r="Z50" i="12"/>
  <c r="L50" i="12"/>
  <c r="AB56" i="12"/>
  <c r="X56" i="12"/>
  <c r="AM44" i="12"/>
  <c r="AA44" i="12"/>
  <c r="O44" i="12"/>
  <c r="AH44" i="12"/>
  <c r="V44" i="12"/>
  <c r="J44" i="12"/>
  <c r="AG44" i="12"/>
  <c r="U44" i="12"/>
  <c r="I44" i="12"/>
  <c r="AN44" i="12"/>
  <c r="AB44" i="12"/>
  <c r="W56" i="12"/>
  <c r="H77" i="12"/>
  <c r="L56" i="12"/>
  <c r="F77" i="12"/>
  <c r="K56" i="12"/>
  <c r="I56" i="12"/>
  <c r="AJ77" i="12"/>
  <c r="AN84" i="12"/>
  <c r="AM84" i="12"/>
  <c r="AF77" i="12"/>
  <c r="AN56" i="12"/>
  <c r="AL84" i="12"/>
  <c r="AD77" i="12"/>
  <c r="AJ56" i="12"/>
  <c r="K69" i="12"/>
  <c r="Q77" i="12"/>
  <c r="L77" i="12"/>
  <c r="P56" i="12"/>
  <c r="AD50" i="12"/>
  <c r="R50" i="12"/>
  <c r="F50" i="12"/>
  <c r="AC50" i="12"/>
  <c r="Q50" i="12"/>
  <c r="O84" i="12"/>
  <c r="AG92" i="12"/>
  <c r="I84" i="12"/>
  <c r="T77" i="12"/>
  <c r="AJ69" i="12"/>
  <c r="R62" i="12"/>
  <c r="AE56" i="12"/>
  <c r="S56" i="12"/>
  <c r="G56" i="12"/>
  <c r="Y92" i="12"/>
  <c r="S69" i="12"/>
  <c r="AD56" i="12"/>
  <c r="R56" i="12"/>
  <c r="F56" i="12"/>
  <c r="X92" i="12"/>
  <c r="AC56" i="12"/>
  <c r="Q56" i="12"/>
  <c r="E56" i="12"/>
  <c r="T92" i="12"/>
  <c r="S92" i="12"/>
  <c r="AG84" i="12"/>
  <c r="AM56" i="12"/>
  <c r="AA56" i="12"/>
  <c r="O56" i="12"/>
  <c r="K92" i="12"/>
  <c r="AB84" i="12"/>
  <c r="AL56" i="12"/>
  <c r="Z56" i="12"/>
  <c r="N56" i="12"/>
  <c r="J92" i="12"/>
  <c r="AA84" i="12"/>
  <c r="AK56" i="12"/>
  <c r="Y56" i="12"/>
  <c r="M56" i="12"/>
  <c r="AC148" i="12"/>
  <c r="AM92" i="12"/>
  <c r="AJ62" i="12"/>
  <c r="AH56" i="12"/>
  <c r="V56" i="12"/>
  <c r="J56" i="12"/>
  <c r="AI62" i="12"/>
  <c r="AG56" i="12"/>
  <c r="U56" i="12"/>
  <c r="AL92" i="12"/>
  <c r="AH92" i="12"/>
  <c r="N84" i="12"/>
  <c r="S62" i="12"/>
  <c r="AF56" i="12"/>
  <c r="T56" i="12"/>
  <c r="E61" i="12"/>
  <c r="E58" i="12"/>
  <c r="R85" i="12"/>
  <c r="L85" i="12"/>
  <c r="Y85" i="12"/>
  <c r="AL85" i="12"/>
  <c r="Z85" i="12"/>
  <c r="N85" i="12"/>
  <c r="AA85" i="12"/>
  <c r="AN85" i="12"/>
  <c r="O85" i="12"/>
  <c r="AB85" i="12"/>
  <c r="P85" i="12"/>
  <c r="AC85" i="12"/>
  <c r="Q85" i="12"/>
  <c r="AE85" i="12"/>
  <c r="F85" i="12"/>
  <c r="S85" i="12"/>
  <c r="AF85" i="12"/>
  <c r="G85" i="12"/>
  <c r="T85" i="12"/>
  <c r="AG85" i="12"/>
  <c r="H85" i="12"/>
  <c r="U85" i="12"/>
  <c r="AH85" i="12"/>
  <c r="I85" i="12"/>
  <c r="V85" i="12"/>
  <c r="AI85" i="12"/>
  <c r="J85" i="12"/>
  <c r="W85" i="12"/>
  <c r="AJ85" i="12"/>
  <c r="K85" i="12"/>
  <c r="X85" i="12"/>
  <c r="AK85" i="12"/>
  <c r="M85" i="12"/>
  <c r="AM85" i="12"/>
  <c r="F70" i="12"/>
  <c r="G70" i="12"/>
  <c r="T70" i="12"/>
  <c r="AG70" i="12"/>
  <c r="H70" i="12"/>
  <c r="I70" i="12"/>
  <c r="V70" i="12"/>
  <c r="AI70" i="12"/>
  <c r="J70" i="12"/>
  <c r="W70" i="12"/>
  <c r="AJ70" i="12"/>
  <c r="K70" i="12"/>
  <c r="X70" i="12"/>
  <c r="AK70" i="12"/>
  <c r="L70" i="12"/>
  <c r="Y70" i="12"/>
  <c r="AL70" i="12"/>
  <c r="M70" i="12"/>
  <c r="Z70" i="12"/>
  <c r="AM70" i="12"/>
  <c r="N70" i="12"/>
  <c r="AA70" i="12"/>
  <c r="AN70" i="12"/>
  <c r="O70" i="12"/>
  <c r="AB70" i="12"/>
  <c r="P70" i="12"/>
  <c r="AC70" i="12"/>
  <c r="Q70" i="12"/>
  <c r="AE70" i="12"/>
  <c r="S70" i="12"/>
  <c r="AF70" i="12"/>
  <c r="U70" i="12"/>
  <c r="AH70" i="12"/>
  <c r="AJ100" i="12"/>
  <c r="AK92" i="12"/>
  <c r="W92" i="12"/>
  <c r="I92" i="12"/>
  <c r="AK84" i="12"/>
  <c r="Y84" i="12"/>
  <c r="M84" i="12"/>
  <c r="Y69" i="12"/>
  <c r="H69" i="12"/>
  <c r="AF62" i="12"/>
  <c r="AF148" i="12"/>
  <c r="I148" i="12"/>
  <c r="L100" i="12"/>
  <c r="AI92" i="12"/>
  <c r="U92" i="12"/>
  <c r="G92" i="12"/>
  <c r="AI84" i="12"/>
  <c r="W84" i="12"/>
  <c r="K84" i="12"/>
  <c r="AM77" i="12"/>
  <c r="O77" i="12"/>
  <c r="AL69" i="12"/>
  <c r="W69" i="12"/>
  <c r="F69" i="12"/>
  <c r="AD62" i="12"/>
  <c r="N62" i="12"/>
  <c r="AH84" i="12"/>
  <c r="V84" i="12"/>
  <c r="J84" i="12"/>
  <c r="AK69" i="12"/>
  <c r="T69" i="12"/>
  <c r="E69" i="12"/>
  <c r="AC62" i="12"/>
  <c r="M62" i="12"/>
  <c r="AB148" i="12"/>
  <c r="AB62" i="12"/>
  <c r="L62" i="12"/>
  <c r="W148" i="12"/>
  <c r="AF92" i="12"/>
  <c r="P92" i="12"/>
  <c r="AF84" i="12"/>
  <c r="T84" i="12"/>
  <c r="H84" i="12"/>
  <c r="AI69" i="12"/>
  <c r="R69" i="12"/>
  <c r="Z62" i="12"/>
  <c r="K62" i="12"/>
  <c r="AJ190" i="12"/>
  <c r="V148" i="12"/>
  <c r="AE92" i="12"/>
  <c r="O92" i="12"/>
  <c r="AE84" i="12"/>
  <c r="S84" i="12"/>
  <c r="G84" i="12"/>
  <c r="AC77" i="12"/>
  <c r="E77" i="12"/>
  <c r="AF69" i="12"/>
  <c r="Q69" i="12"/>
  <c r="Y62" i="12"/>
  <c r="H62" i="12"/>
  <c r="Z162" i="12"/>
  <c r="U148" i="12"/>
  <c r="AB92" i="12"/>
  <c r="N92" i="12"/>
  <c r="AD84" i="12"/>
  <c r="R84" i="12"/>
  <c r="F84" i="12"/>
  <c r="AE69" i="12"/>
  <c r="P69" i="12"/>
  <c r="AN62" i="12"/>
  <c r="X62" i="12"/>
  <c r="G62" i="12"/>
  <c r="V162" i="12"/>
  <c r="S148" i="12"/>
  <c r="AB112" i="12"/>
  <c r="AA92" i="12"/>
  <c r="M92" i="12"/>
  <c r="AC84" i="12"/>
  <c r="Q84" i="12"/>
  <c r="E84" i="12"/>
  <c r="AA77" i="12"/>
  <c r="AD69" i="12"/>
  <c r="N69" i="12"/>
  <c r="AL62" i="12"/>
  <c r="W62" i="12"/>
  <c r="F62" i="12"/>
  <c r="AN148" i="12"/>
  <c r="Q148" i="12"/>
  <c r="L125" i="12"/>
  <c r="Y112" i="12"/>
  <c r="AN92" i="12"/>
  <c r="Z92" i="12"/>
  <c r="L92" i="12"/>
  <c r="AC69" i="12"/>
  <c r="M69" i="12"/>
  <c r="AK62" i="12"/>
  <c r="T62" i="12"/>
  <c r="E62" i="12"/>
  <c r="AL148" i="12"/>
  <c r="P148" i="12"/>
  <c r="AB69" i="12"/>
  <c r="L69" i="12"/>
  <c r="AJ148" i="12"/>
  <c r="O148" i="12"/>
  <c r="Z69" i="12"/>
  <c r="AI148" i="12"/>
  <c r="L148" i="12"/>
  <c r="Q62" i="12"/>
  <c r="AH148" i="12"/>
  <c r="J148" i="12"/>
  <c r="X100" i="12"/>
  <c r="AJ92" i="12"/>
  <c r="V92" i="12"/>
  <c r="H92" i="12"/>
  <c r="AJ84" i="12"/>
  <c r="X84" i="12"/>
  <c r="AN77" i="12"/>
  <c r="P77" i="12"/>
  <c r="AN69" i="12"/>
  <c r="X69" i="12"/>
  <c r="G69" i="12"/>
  <c r="AE62" i="12"/>
  <c r="P62" i="12"/>
  <c r="AM62" i="12"/>
  <c r="AA62" i="12"/>
  <c r="O62" i="12"/>
  <c r="AH62" i="12"/>
  <c r="V62" i="12"/>
  <c r="J62" i="12"/>
  <c r="AG62" i="12"/>
  <c r="U62" i="12"/>
  <c r="AD70" i="12"/>
  <c r="R70" i="12"/>
  <c r="AM69" i="12"/>
  <c r="AA69" i="12"/>
  <c r="O69" i="12"/>
  <c r="AH69" i="12"/>
  <c r="V69" i="12"/>
  <c r="J69" i="12"/>
  <c r="AG69" i="12"/>
  <c r="U69" i="12"/>
  <c r="AL77" i="12"/>
  <c r="Z77" i="12"/>
  <c r="N77" i="12"/>
  <c r="AK77" i="12"/>
  <c r="Y77" i="12"/>
  <c r="M77" i="12"/>
  <c r="AI77" i="12"/>
  <c r="W77" i="12"/>
  <c r="K77" i="12"/>
  <c r="AH77" i="12"/>
  <c r="V77" i="12"/>
  <c r="J77" i="12"/>
  <c r="AG77" i="12"/>
  <c r="U77" i="12"/>
  <c r="I77" i="12"/>
  <c r="AE77" i="12"/>
  <c r="S77" i="12"/>
  <c r="AD85" i="12"/>
  <c r="AD92" i="12"/>
  <c r="R92" i="12"/>
  <c r="F92" i="12"/>
  <c r="AC92" i="12"/>
  <c r="Q92" i="12"/>
  <c r="AB190" i="12"/>
  <c r="AM106" i="12"/>
  <c r="U106" i="12"/>
  <c r="M190" i="12"/>
  <c r="AL140" i="12"/>
  <c r="AL106" i="12"/>
  <c r="T106" i="12"/>
  <c r="L304" i="12"/>
  <c r="F276" i="12"/>
  <c r="AM197" i="12"/>
  <c r="L190" i="12"/>
  <c r="G140" i="12"/>
  <c r="AI106" i="12"/>
  <c r="S106" i="12"/>
  <c r="AK197" i="12"/>
  <c r="J190" i="12"/>
  <c r="AI169" i="12"/>
  <c r="AH106" i="12"/>
  <c r="P106" i="12"/>
  <c r="AB176" i="12"/>
  <c r="AE169" i="12"/>
  <c r="AG106" i="12"/>
  <c r="O106" i="12"/>
  <c r="Y176" i="12"/>
  <c r="AF106" i="12"/>
  <c r="K106" i="12"/>
  <c r="V176" i="12"/>
  <c r="AE106" i="12"/>
  <c r="J106" i="12"/>
  <c r="L318" i="12"/>
  <c r="J176" i="12"/>
  <c r="AB106" i="12"/>
  <c r="I106" i="12"/>
  <c r="F318" i="12"/>
  <c r="F290" i="12"/>
  <c r="H176" i="12"/>
  <c r="AA106" i="12"/>
  <c r="H106" i="12"/>
  <c r="Z106" i="12"/>
  <c r="G106" i="12"/>
  <c r="AH190" i="12"/>
  <c r="AN106" i="12"/>
  <c r="V106" i="12"/>
  <c r="AM100" i="12"/>
  <c r="AA100" i="12"/>
  <c r="O100" i="12"/>
  <c r="AL100" i="12"/>
  <c r="Z100" i="12"/>
  <c r="N100" i="12"/>
  <c r="AK100" i="12"/>
  <c r="Y100" i="12"/>
  <c r="M100" i="12"/>
  <c r="W100" i="12"/>
  <c r="AH100" i="12"/>
  <c r="V100" i="12"/>
  <c r="J100" i="12"/>
  <c r="AI100" i="12"/>
  <c r="K100" i="12"/>
  <c r="AG100" i="12"/>
  <c r="U100" i="12"/>
  <c r="I100" i="12"/>
  <c r="AF100" i="12"/>
  <c r="T100" i="12"/>
  <c r="H100" i="12"/>
  <c r="AE100" i="12"/>
  <c r="S100" i="12"/>
  <c r="G100" i="12"/>
  <c r="AD100" i="12"/>
  <c r="R100" i="12"/>
  <c r="F100" i="12"/>
  <c r="AC100" i="12"/>
  <c r="Q100" i="12"/>
  <c r="E100" i="12"/>
  <c r="AN100" i="12"/>
  <c r="AB100" i="12"/>
  <c r="K332" i="12"/>
  <c r="E332" i="12"/>
  <c r="AA176" i="12"/>
  <c r="I176" i="12"/>
  <c r="AH169" i="12"/>
  <c r="Y162" i="12"/>
  <c r="I140" i="12"/>
  <c r="Z118" i="12"/>
  <c r="Z112" i="12"/>
  <c r="W176" i="12"/>
  <c r="E176" i="12"/>
  <c r="AA169" i="12"/>
  <c r="T162" i="12"/>
  <c r="F140" i="12"/>
  <c r="L118" i="12"/>
  <c r="S112" i="12"/>
  <c r="Y169" i="12"/>
  <c r="S162" i="12"/>
  <c r="R112" i="12"/>
  <c r="AM176" i="12"/>
  <c r="U176" i="12"/>
  <c r="T169" i="12"/>
  <c r="R162" i="12"/>
  <c r="AK140" i="12"/>
  <c r="Q112" i="12"/>
  <c r="AD106" i="12"/>
  <c r="R106" i="12"/>
  <c r="F106" i="12"/>
  <c r="AK176" i="12"/>
  <c r="S176" i="12"/>
  <c r="S169" i="12"/>
  <c r="AM162" i="12"/>
  <c r="O162" i="12"/>
  <c r="AI140" i="12"/>
  <c r="AN112" i="12"/>
  <c r="P112" i="12"/>
  <c r="AC106" i="12"/>
  <c r="Q106" i="12"/>
  <c r="E106" i="12"/>
  <c r="N318" i="12"/>
  <c r="AJ176" i="12"/>
  <c r="Q176" i="12"/>
  <c r="P169" i="12"/>
  <c r="AL162" i="12"/>
  <c r="L162" i="12"/>
  <c r="AB140" i="12"/>
  <c r="AL112" i="12"/>
  <c r="N112" i="12"/>
  <c r="R197" i="12"/>
  <c r="AA190" i="12"/>
  <c r="AI176" i="12"/>
  <c r="P176" i="12"/>
  <c r="O169" i="12"/>
  <c r="AG162" i="12"/>
  <c r="K162" i="12"/>
  <c r="AA148" i="12"/>
  <c r="H148" i="12"/>
  <c r="Z140" i="12"/>
  <c r="AK112" i="12"/>
  <c r="J112" i="12"/>
  <c r="H318" i="12"/>
  <c r="M197" i="12"/>
  <c r="Z190" i="12"/>
  <c r="AM183" i="12"/>
  <c r="AG176" i="12"/>
  <c r="O176" i="12"/>
  <c r="J169" i="12"/>
  <c r="AF162" i="12"/>
  <c r="I162" i="12"/>
  <c r="Y148" i="12"/>
  <c r="E148" i="12"/>
  <c r="Y140" i="12"/>
  <c r="AH112" i="12"/>
  <c r="G112" i="12"/>
  <c r="N106" i="12"/>
  <c r="S332" i="12"/>
  <c r="L290" i="12"/>
  <c r="K197" i="12"/>
  <c r="T190" i="12"/>
  <c r="V183" i="12"/>
  <c r="AF176" i="12"/>
  <c r="N176" i="12"/>
  <c r="AL169" i="12"/>
  <c r="I169" i="12"/>
  <c r="AE162" i="12"/>
  <c r="G162" i="12"/>
  <c r="S140" i="12"/>
  <c r="AF133" i="12"/>
  <c r="AD112" i="12"/>
  <c r="F112" i="12"/>
  <c r="AK106" i="12"/>
  <c r="Y106" i="12"/>
  <c r="M106" i="12"/>
  <c r="M332" i="12"/>
  <c r="H290" i="12"/>
  <c r="S190" i="12"/>
  <c r="AC176" i="12"/>
  <c r="L176" i="12"/>
  <c r="AK169" i="12"/>
  <c r="G169" i="12"/>
  <c r="AB162" i="12"/>
  <c r="F162" i="12"/>
  <c r="R140" i="12"/>
  <c r="AC112" i="12"/>
  <c r="E112" i="12"/>
  <c r="AJ106" i="12"/>
  <c r="X106" i="12"/>
  <c r="O140" i="12"/>
  <c r="F141" i="12"/>
  <c r="W141" i="12"/>
  <c r="X141" i="12"/>
  <c r="I141" i="12"/>
  <c r="Z141" i="12"/>
  <c r="J141" i="12"/>
  <c r="AB141" i="12"/>
  <c r="K141" i="12"/>
  <c r="AC141" i="12"/>
  <c r="M141" i="12"/>
  <c r="AF141" i="12"/>
  <c r="P141" i="12"/>
  <c r="AH141" i="12"/>
  <c r="O141" i="12"/>
  <c r="AG141" i="12"/>
  <c r="Q141" i="12"/>
  <c r="AJ141" i="12"/>
  <c r="S141" i="12"/>
  <c r="AK141" i="12"/>
  <c r="T141" i="12"/>
  <c r="AL141" i="12"/>
  <c r="V141" i="12"/>
  <c r="AN141" i="12"/>
  <c r="G141" i="12"/>
  <c r="T183" i="12"/>
  <c r="V276" i="12"/>
  <c r="AE197" i="12"/>
  <c r="AI183" i="12"/>
  <c r="N290" i="12"/>
  <c r="S276" i="12"/>
  <c r="X197" i="12"/>
  <c r="AL190" i="12"/>
  <c r="U190" i="12"/>
  <c r="F190" i="12"/>
  <c r="AG183" i="12"/>
  <c r="O183" i="12"/>
  <c r="AF169" i="12"/>
  <c r="K169" i="12"/>
  <c r="AI162" i="12"/>
  <c r="M162" i="12"/>
  <c r="AE148" i="12"/>
  <c r="N148" i="12"/>
  <c r="AM140" i="12"/>
  <c r="T140" i="12"/>
  <c r="T133" i="12"/>
  <c r="AE112" i="12"/>
  <c r="M112" i="12"/>
  <c r="R276" i="12"/>
  <c r="AF183" i="12"/>
  <c r="N183" i="12"/>
  <c r="S133" i="12"/>
  <c r="AL125" i="12"/>
  <c r="O276" i="12"/>
  <c r="AE183" i="12"/>
  <c r="M183" i="12"/>
  <c r="N133" i="12"/>
  <c r="AE125" i="12"/>
  <c r="M276" i="12"/>
  <c r="AG190" i="12"/>
  <c r="R190" i="12"/>
  <c r="AB183" i="12"/>
  <c r="K183" i="12"/>
  <c r="M133" i="12"/>
  <c r="AA125" i="12"/>
  <c r="L276" i="12"/>
  <c r="AL133" i="12"/>
  <c r="Y125" i="12"/>
  <c r="AF190" i="12"/>
  <c r="P190" i="12"/>
  <c r="AA183" i="12"/>
  <c r="I183" i="12"/>
  <c r="X169" i="12"/>
  <c r="I276" i="12"/>
  <c r="AE190" i="12"/>
  <c r="O190" i="12"/>
  <c r="Y183" i="12"/>
  <c r="H183" i="12"/>
  <c r="W169" i="12"/>
  <c r="AF140" i="12"/>
  <c r="L140" i="12"/>
  <c r="AK133" i="12"/>
  <c r="H133" i="12"/>
  <c r="R125" i="12"/>
  <c r="F344" i="12" a="1"/>
  <c r="Q344" i="12" s="1"/>
  <c r="AG140" i="12"/>
  <c r="M140" i="12"/>
  <c r="J133" i="12"/>
  <c r="T318" i="12"/>
  <c r="G276" i="12"/>
  <c r="AD190" i="12"/>
  <c r="N190" i="12"/>
  <c r="W183" i="12"/>
  <c r="G183" i="12"/>
  <c r="AM169" i="12"/>
  <c r="U169" i="12"/>
  <c r="AE140" i="12"/>
  <c r="K140" i="12"/>
  <c r="AH133" i="12"/>
  <c r="G133" i="12"/>
  <c r="N125" i="12"/>
  <c r="V112" i="12"/>
  <c r="F302" i="12" a="1"/>
  <c r="F302" i="12" s="1"/>
  <c r="AK183" i="12"/>
  <c r="U183" i="12"/>
  <c r="AE133" i="12"/>
  <c r="Z133" i="12"/>
  <c r="AJ183" i="12"/>
  <c r="F287" i="12" a="1"/>
  <c r="V287" i="12" s="1"/>
  <c r="AN190" i="12"/>
  <c r="Y190" i="12"/>
  <c r="H190" i="12"/>
  <c r="S183" i="12"/>
  <c r="X140" i="12"/>
  <c r="Y133" i="12"/>
  <c r="S290" i="12"/>
  <c r="T276" i="12"/>
  <c r="Z197" i="12"/>
  <c r="AM190" i="12"/>
  <c r="W190" i="12"/>
  <c r="G190" i="12"/>
  <c r="AH183" i="12"/>
  <c r="P183" i="12"/>
  <c r="AG169" i="12"/>
  <c r="M169" i="12"/>
  <c r="V140" i="12"/>
  <c r="V133" i="12"/>
  <c r="E117" i="12"/>
  <c r="E116" i="12"/>
  <c r="E115" i="12"/>
  <c r="E114" i="12"/>
  <c r="AM112" i="12"/>
  <c r="AA112" i="12"/>
  <c r="O112" i="12"/>
  <c r="AJ112" i="12"/>
  <c r="X112" i="12"/>
  <c r="L112" i="12"/>
  <c r="AI112" i="12"/>
  <c r="W112" i="12"/>
  <c r="K112" i="12"/>
  <c r="AG112" i="12"/>
  <c r="U112" i="12"/>
  <c r="I112" i="12"/>
  <c r="AF112" i="12"/>
  <c r="T112" i="12"/>
  <c r="Q126" i="12"/>
  <c r="AC126" i="12"/>
  <c r="F126" i="12"/>
  <c r="R126" i="12"/>
  <c r="AD126" i="12"/>
  <c r="G126" i="12"/>
  <c r="S126" i="12"/>
  <c r="AE126" i="12"/>
  <c r="H126" i="12"/>
  <c r="T126" i="12"/>
  <c r="AF126" i="12"/>
  <c r="I126" i="12"/>
  <c r="U126" i="12"/>
  <c r="AG126" i="12"/>
  <c r="J126" i="12"/>
  <c r="V126" i="12"/>
  <c r="AH126" i="12"/>
  <c r="L126" i="12"/>
  <c r="X126" i="12"/>
  <c r="AJ126" i="12"/>
  <c r="K126" i="12"/>
  <c r="W126" i="12"/>
  <c r="AI126" i="12"/>
  <c r="M126" i="12"/>
  <c r="Y126" i="12"/>
  <c r="AK126" i="12"/>
  <c r="N126" i="12"/>
  <c r="Z126" i="12"/>
  <c r="AL126" i="12"/>
  <c r="O126" i="12"/>
  <c r="AA126" i="12"/>
  <c r="AM126" i="12"/>
  <c r="P126" i="12"/>
  <c r="AB126" i="12"/>
  <c r="AN126" i="12"/>
  <c r="T304" i="12"/>
  <c r="N332" i="12"/>
  <c r="F343" i="12" a="1"/>
  <c r="H343" i="12" s="1"/>
  <c r="O318" i="12"/>
  <c r="F329" i="12" a="1"/>
  <c r="R329" i="12" s="1"/>
  <c r="O304" i="12"/>
  <c r="O290" i="12"/>
  <c r="P276" i="12"/>
  <c r="AN197" i="12"/>
  <c r="AA197" i="12"/>
  <c r="N197" i="12"/>
  <c r="AH176" i="12"/>
  <c r="T176" i="12"/>
  <c r="G176" i="12"/>
  <c r="AJ169" i="12"/>
  <c r="V169" i="12"/>
  <c r="H169" i="12"/>
  <c r="AJ162" i="12"/>
  <c r="W162" i="12"/>
  <c r="J162" i="12"/>
  <c r="AG148" i="12"/>
  <c r="T148" i="12"/>
  <c r="G148" i="12"/>
  <c r="AJ140" i="12"/>
  <c r="W140" i="12"/>
  <c r="J140" i="12"/>
  <c r="AI141" i="12"/>
  <c r="U141" i="12"/>
  <c r="H141" i="12"/>
  <c r="AI133" i="12"/>
  <c r="W133" i="12"/>
  <c r="K133" i="12"/>
  <c r="AB125" i="12"/>
  <c r="O125" i="12"/>
  <c r="AF118" i="12"/>
  <c r="P118" i="12"/>
  <c r="AN125" i="12"/>
  <c r="AE118" i="12"/>
  <c r="O118" i="12"/>
  <c r="N304" i="12"/>
  <c r="L332" i="12"/>
  <c r="M318" i="12"/>
  <c r="M304" i="12"/>
  <c r="F316" i="12" a="1"/>
  <c r="Q316" i="12" s="1"/>
  <c r="M290" i="12"/>
  <c r="N276" i="12"/>
  <c r="AL197" i="12"/>
  <c r="Y197" i="12"/>
  <c r="L197" i="12"/>
  <c r="AH162" i="12"/>
  <c r="U162" i="12"/>
  <c r="H162" i="12"/>
  <c r="AH140" i="12"/>
  <c r="U140" i="12"/>
  <c r="H140" i="12"/>
  <c r="AG133" i="12"/>
  <c r="U133" i="12"/>
  <c r="I133" i="12"/>
  <c r="AM125" i="12"/>
  <c r="Z125" i="12"/>
  <c r="M125" i="12"/>
  <c r="AB118" i="12"/>
  <c r="N118" i="12"/>
  <c r="AA118" i="12"/>
  <c r="M118" i="12"/>
  <c r="X332" i="12"/>
  <c r="K318" i="12"/>
  <c r="X290" i="12"/>
  <c r="K290" i="12"/>
  <c r="AJ197" i="12"/>
  <c r="W197" i="12"/>
  <c r="AN118" i="12"/>
  <c r="K304" i="12"/>
  <c r="F288" i="12" a="1"/>
  <c r="M288" i="12" s="1"/>
  <c r="J197" i="12"/>
  <c r="AK125" i="12"/>
  <c r="I332" i="12"/>
  <c r="X304" i="12"/>
  <c r="W290" i="12"/>
  <c r="J290" i="12"/>
  <c r="X276" i="12"/>
  <c r="K276" i="12"/>
  <c r="AI197" i="12"/>
  <c r="I197" i="12"/>
  <c r="AD133" i="12"/>
  <c r="R133" i="12"/>
  <c r="F133" i="12"/>
  <c r="AJ125" i="12"/>
  <c r="W125" i="12"/>
  <c r="J125" i="12"/>
  <c r="AM118" i="12"/>
  <c r="Y118" i="12"/>
  <c r="K118" i="12"/>
  <c r="J332" i="12"/>
  <c r="X125" i="12"/>
  <c r="K125" i="12"/>
  <c r="W332" i="12"/>
  <c r="X318" i="12"/>
  <c r="J318" i="12"/>
  <c r="J304" i="12"/>
  <c r="V197" i="12"/>
  <c r="V332" i="12"/>
  <c r="H332" i="12"/>
  <c r="W318" i="12"/>
  <c r="I318" i="12"/>
  <c r="W304" i="12"/>
  <c r="I304" i="12"/>
  <c r="V290" i="12"/>
  <c r="I290" i="12"/>
  <c r="W276" i="12"/>
  <c r="J276" i="12"/>
  <c r="AH197" i="12"/>
  <c r="U197" i="12"/>
  <c r="H197" i="12"/>
  <c r="AK190" i="12"/>
  <c r="X190" i="12"/>
  <c r="K190" i="12"/>
  <c r="AN183" i="12"/>
  <c r="Z183" i="12"/>
  <c r="L183" i="12"/>
  <c r="AN176" i="12"/>
  <c r="Z176" i="12"/>
  <c r="M176" i="12"/>
  <c r="AB169" i="12"/>
  <c r="N169" i="12"/>
  <c r="AD162" i="12"/>
  <c r="P162" i="12"/>
  <c r="AM148" i="12"/>
  <c r="Z148" i="12"/>
  <c r="M148" i="12"/>
  <c r="AD140" i="12"/>
  <c r="P140" i="12"/>
  <c r="AA141" i="12"/>
  <c r="N141" i="12"/>
  <c r="AC133" i="12"/>
  <c r="Q133" i="12"/>
  <c r="E133" i="12"/>
  <c r="AI125" i="12"/>
  <c r="V125" i="12"/>
  <c r="I125" i="12"/>
  <c r="AL118" i="12"/>
  <c r="X118" i="12"/>
  <c r="J118" i="12"/>
  <c r="V304" i="12"/>
  <c r="H304" i="12"/>
  <c r="U290" i="12"/>
  <c r="AN133" i="12"/>
  <c r="AB133" i="12"/>
  <c r="P133" i="12"/>
  <c r="AH125" i="12"/>
  <c r="U332" i="12"/>
  <c r="G332" i="12"/>
  <c r="V318" i="12"/>
  <c r="AG197" i="12"/>
  <c r="T197" i="12"/>
  <c r="G197" i="12"/>
  <c r="U125" i="12"/>
  <c r="H125" i="12"/>
  <c r="AK118" i="12"/>
  <c r="W118" i="12"/>
  <c r="I118" i="12"/>
  <c r="T332" i="12"/>
  <c r="F332" i="12"/>
  <c r="U318" i="12"/>
  <c r="G318" i="12"/>
  <c r="U304" i="12"/>
  <c r="G304" i="12"/>
  <c r="T290" i="12"/>
  <c r="G290" i="12"/>
  <c r="U276" i="12"/>
  <c r="H276" i="12"/>
  <c r="AF197" i="12"/>
  <c r="S197" i="12"/>
  <c r="F197" i="12"/>
  <c r="AI190" i="12"/>
  <c r="V190" i="12"/>
  <c r="I190" i="12"/>
  <c r="AL183" i="12"/>
  <c r="X183" i="12"/>
  <c r="J183" i="12"/>
  <c r="AL176" i="12"/>
  <c r="X176" i="12"/>
  <c r="K176" i="12"/>
  <c r="AN169" i="12"/>
  <c r="Z169" i="12"/>
  <c r="L169" i="12"/>
  <c r="AN162" i="12"/>
  <c r="AA162" i="12"/>
  <c r="N162" i="12"/>
  <c r="AK148" i="12"/>
  <c r="X148" i="12"/>
  <c r="K148" i="12"/>
  <c r="AN140" i="12"/>
  <c r="AA140" i="12"/>
  <c r="N140" i="12"/>
  <c r="AM141" i="12"/>
  <c r="Y141" i="12"/>
  <c r="L141" i="12"/>
  <c r="AM133" i="12"/>
  <c r="AA133" i="12"/>
  <c r="O133" i="12"/>
  <c r="AG125" i="12"/>
  <c r="T125" i="12"/>
  <c r="G125" i="12"/>
  <c r="AJ118" i="12"/>
  <c r="V118" i="12"/>
  <c r="H118" i="12"/>
  <c r="AF125" i="12"/>
  <c r="S125" i="12"/>
  <c r="F125" i="12"/>
  <c r="AI118" i="12"/>
  <c r="U118" i="12"/>
  <c r="G118" i="12"/>
  <c r="S318" i="12"/>
  <c r="AD197" i="12"/>
  <c r="P197" i="12"/>
  <c r="P332" i="12"/>
  <c r="S304" i="12"/>
  <c r="R290" i="12"/>
  <c r="O332" i="12"/>
  <c r="P318" i="12"/>
  <c r="P304" i="12"/>
  <c r="P290" i="12"/>
  <c r="AB197" i="12"/>
  <c r="O197" i="12"/>
  <c r="AK162" i="12"/>
  <c r="X162" i="12"/>
  <c r="AJ133" i="12"/>
  <c r="X133" i="12"/>
  <c r="AD125" i="12"/>
  <c r="P125" i="12"/>
  <c r="AG118" i="12"/>
  <c r="S118" i="12"/>
  <c r="AD118" i="12"/>
  <c r="R118" i="12"/>
  <c r="F118" i="12"/>
  <c r="AC118" i="12"/>
  <c r="Q118" i="12"/>
  <c r="AC125" i="12"/>
  <c r="Q125" i="12"/>
  <c r="E158" i="12"/>
  <c r="E160" i="12"/>
  <c r="AE141" i="12"/>
  <c r="AD141" i="12"/>
  <c r="R141" i="12"/>
  <c r="AC140" i="12"/>
  <c r="Q140" i="12"/>
  <c r="E156" i="12"/>
  <c r="E157" i="12"/>
  <c r="AD148" i="12"/>
  <c r="R148" i="12"/>
  <c r="AC162" i="12"/>
  <c r="Q162" i="12"/>
  <c r="AD169" i="12"/>
  <c r="R169" i="12"/>
  <c r="F169" i="12"/>
  <c r="AC169" i="12"/>
  <c r="Q169" i="12"/>
  <c r="AE176" i="12"/>
  <c r="AD176" i="12"/>
  <c r="R176" i="12"/>
  <c r="AD183" i="12"/>
  <c r="R183" i="12"/>
  <c r="F183" i="12"/>
  <c r="AC183" i="12"/>
  <c r="Q183" i="12"/>
  <c r="AC190" i="12"/>
  <c r="Q190" i="12"/>
  <c r="AC197" i="12"/>
  <c r="Q197" i="12"/>
  <c r="V301" i="12"/>
  <c r="S330" i="12"/>
  <c r="T301" i="12"/>
  <c r="S301" i="12"/>
  <c r="Q301" i="12"/>
  <c r="J301" i="12"/>
  <c r="U301" i="12"/>
  <c r="N301" i="12"/>
  <c r="O301" i="12"/>
  <c r="I301" i="12"/>
  <c r="H301" i="12"/>
  <c r="G301" i="12"/>
  <c r="R301" i="12"/>
  <c r="I315" i="12"/>
  <c r="AM204" i="12"/>
  <c r="AA204" i="12"/>
  <c r="O204" i="12"/>
  <c r="AL204" i="12"/>
  <c r="Z204" i="12"/>
  <c r="N204" i="12"/>
  <c r="P204" i="12"/>
  <c r="AK204" i="12"/>
  <c r="Y204" i="12"/>
  <c r="M204" i="12"/>
  <c r="AJ204" i="12"/>
  <c r="X204" i="12"/>
  <c r="L204" i="12"/>
  <c r="AI204" i="12"/>
  <c r="W204" i="12"/>
  <c r="K204" i="12"/>
  <c r="J204" i="12"/>
  <c r="AG204" i="12"/>
  <c r="U204" i="12"/>
  <c r="I204" i="12"/>
  <c r="AB204" i="12"/>
  <c r="AF204" i="12"/>
  <c r="T204" i="12"/>
  <c r="H204" i="12"/>
  <c r="AN204" i="12"/>
  <c r="V204" i="12"/>
  <c r="AE204" i="12"/>
  <c r="S204" i="12"/>
  <c r="G204" i="12"/>
  <c r="AD204" i="12"/>
  <c r="R204" i="12"/>
  <c r="F204" i="12"/>
  <c r="AH204" i="12"/>
  <c r="AC204" i="12"/>
  <c r="Q204" i="12"/>
  <c r="F301" i="12"/>
  <c r="P301" i="12"/>
  <c r="Q276" i="12"/>
  <c r="W315" i="12"/>
  <c r="T315" i="12"/>
  <c r="P330" i="12"/>
  <c r="S315" i="12"/>
  <c r="M301" i="12"/>
  <c r="O330" i="12"/>
  <c r="J315" i="12"/>
  <c r="L301" i="12"/>
  <c r="G315" i="12"/>
  <c r="X301" i="12"/>
  <c r="K301" i="12"/>
  <c r="F315" i="12"/>
  <c r="W301" i="12"/>
  <c r="Q290" i="12"/>
  <c r="N330" i="12"/>
  <c r="U315" i="12"/>
  <c r="H315" i="12"/>
  <c r="Q315" i="12"/>
  <c r="P315" i="12"/>
  <c r="O315" i="12"/>
  <c r="N315" i="12"/>
  <c r="M315" i="12"/>
  <c r="L315" i="12"/>
  <c r="Q330" i="12"/>
  <c r="X315" i="12"/>
  <c r="K315" i="12"/>
  <c r="V315" i="12"/>
  <c r="R315" i="12"/>
  <c r="R304" i="12"/>
  <c r="F304" i="12"/>
  <c r="Q304" i="12"/>
  <c r="M330" i="12"/>
  <c r="L330" i="12"/>
  <c r="X330" i="12"/>
  <c r="K330" i="12"/>
  <c r="W330" i="12"/>
  <c r="J330" i="12"/>
  <c r="V330" i="12"/>
  <c r="I330" i="12"/>
  <c r="U330" i="12"/>
  <c r="H330" i="12"/>
  <c r="T330" i="12"/>
  <c r="G330" i="12"/>
  <c r="F330" i="12"/>
  <c r="R330" i="12"/>
  <c r="R318" i="12"/>
  <c r="Q318" i="12"/>
  <c r="R332" i="12"/>
  <c r="AJ3" i="9"/>
  <c r="P3" i="9"/>
  <c r="AG5" i="9"/>
  <c r="L6" i="9"/>
  <c r="AL8" i="9"/>
  <c r="J8" i="9"/>
  <c r="S9" i="9"/>
  <c r="AM12" i="9"/>
  <c r="AI13" i="9"/>
  <c r="R13" i="9"/>
  <c r="AF14" i="9"/>
  <c r="F17" i="9"/>
  <c r="U18" i="9"/>
  <c r="AG20" i="9"/>
  <c r="E20" i="9"/>
  <c r="H14" i="11"/>
  <c r="AI3" i="9"/>
  <c r="O3" i="9"/>
  <c r="AF5" i="9"/>
  <c r="AJ6" i="9"/>
  <c r="K6" i="9"/>
  <c r="AK8" i="9"/>
  <c r="I8" i="9"/>
  <c r="AA14" i="9"/>
  <c r="AE20" i="9"/>
  <c r="D20" i="9"/>
  <c r="AI5" i="9"/>
  <c r="AH3" i="9"/>
  <c r="N3" i="9"/>
  <c r="AE5" i="9"/>
  <c r="AH6" i="9"/>
  <c r="AJ8" i="9"/>
  <c r="H8" i="9"/>
  <c r="T14" i="9"/>
  <c r="AD20" i="9"/>
  <c r="X11" i="7"/>
  <c r="AX8" i="7"/>
  <c r="E23" i="9"/>
  <c r="AF3" i="9"/>
  <c r="I3" i="9"/>
  <c r="V5" i="9"/>
  <c r="AF6" i="9"/>
  <c r="H6" i="9"/>
  <c r="AI8" i="9"/>
  <c r="G8" i="9"/>
  <c r="F9" i="9"/>
  <c r="X12" i="9"/>
  <c r="AE13" i="9"/>
  <c r="J13" i="9"/>
  <c r="O14" i="9"/>
  <c r="AM18" i="9"/>
  <c r="J18" i="9"/>
  <c r="V20" i="9"/>
  <c r="AF75" i="10"/>
  <c r="I45" i="10"/>
  <c r="AE31" i="10"/>
  <c r="AJ5" i="10"/>
  <c r="J5" i="10"/>
  <c r="AC63" i="9"/>
  <c r="AE3" i="9"/>
  <c r="G3" i="9"/>
  <c r="U5" i="9"/>
  <c r="AE6" i="9"/>
  <c r="G6" i="9"/>
  <c r="AH8" i="9"/>
  <c r="F8" i="9"/>
  <c r="U12" i="9"/>
  <c r="AD13" i="9"/>
  <c r="I13" i="9"/>
  <c r="H14" i="9"/>
  <c r="AL18" i="9"/>
  <c r="I18" i="9"/>
  <c r="U20" i="9"/>
  <c r="AE75" i="10"/>
  <c r="H45" i="10"/>
  <c r="Z31" i="10"/>
  <c r="AI5" i="10"/>
  <c r="I5" i="10"/>
  <c r="AD3" i="9"/>
  <c r="T5" i="9"/>
  <c r="Z8" i="9"/>
  <c r="T20" i="9"/>
  <c r="P63" i="9"/>
  <c r="AB3" i="9"/>
  <c r="E3" i="9"/>
  <c r="Q5" i="9"/>
  <c r="X6" i="9"/>
  <c r="E6" i="9"/>
  <c r="Y8" i="9"/>
  <c r="J12" i="9"/>
  <c r="X13" i="9"/>
  <c r="G13" i="9"/>
  <c r="S20" i="9"/>
  <c r="H115" i="10"/>
  <c r="P75" i="10"/>
  <c r="F45" i="10"/>
  <c r="E5" i="11"/>
  <c r="J5" i="9"/>
  <c r="X8" i="9"/>
  <c r="R20" i="9"/>
  <c r="U3" i="9"/>
  <c r="P20" i="9"/>
  <c r="V6" i="9"/>
  <c r="T3" i="9"/>
  <c r="H5" i="9"/>
  <c r="U6" i="9"/>
  <c r="T8" i="9"/>
  <c r="V17" i="9"/>
  <c r="I20" i="9"/>
  <c r="X5" i="10"/>
  <c r="I5" i="9"/>
  <c r="V8" i="9"/>
  <c r="S3" i="9"/>
  <c r="AL5" i="9"/>
  <c r="E5" i="9"/>
  <c r="T6" i="9"/>
  <c r="L8" i="9"/>
  <c r="T13" i="9"/>
  <c r="AJ15" i="9"/>
  <c r="O15" i="9"/>
  <c r="H17" i="9"/>
  <c r="W18" i="9"/>
  <c r="AJ20" i="9"/>
  <c r="H20" i="9"/>
  <c r="BF31" i="10"/>
  <c r="V5" i="10"/>
  <c r="Q5" i="11"/>
  <c r="I14" i="11"/>
  <c r="S5" i="11"/>
  <c r="I5" i="11"/>
  <c r="H5" i="11"/>
  <c r="G5" i="11"/>
  <c r="G14" i="11"/>
  <c r="E23" i="11"/>
  <c r="F14" i="11"/>
  <c r="I23" i="11"/>
  <c r="H23" i="11"/>
  <c r="G23" i="11"/>
  <c r="R5" i="11"/>
  <c r="P5" i="11"/>
  <c r="Q14" i="11"/>
  <c r="S14" i="11"/>
  <c r="O14" i="11"/>
  <c r="R14" i="11"/>
  <c r="S23" i="11"/>
  <c r="R23" i="11"/>
  <c r="Q23" i="11"/>
  <c r="P23" i="11"/>
  <c r="AD19" i="9"/>
  <c r="X28" i="7"/>
  <c r="W5" i="9"/>
  <c r="F5" i="9"/>
  <c r="AD9" i="9"/>
  <c r="L9" i="9"/>
  <c r="AL11" i="9"/>
  <c r="AA12" i="9"/>
  <c r="G12" i="9"/>
  <c r="AG14" i="9"/>
  <c r="U14" i="9"/>
  <c r="I14" i="9"/>
  <c r="V19" i="9"/>
  <c r="E19" i="9"/>
  <c r="X21" i="9"/>
  <c r="H21" i="9"/>
  <c r="AX31" i="10"/>
  <c r="X31" i="10"/>
  <c r="AG5" i="10"/>
  <c r="K5" i="10"/>
  <c r="AA9" i="9"/>
  <c r="J9" i="9"/>
  <c r="X11" i="9"/>
  <c r="AE14" i="9"/>
  <c r="S14" i="9"/>
  <c r="G14" i="9"/>
  <c r="AK19" i="9"/>
  <c r="T19" i="9"/>
  <c r="AL21" i="9"/>
  <c r="U21" i="9"/>
  <c r="AS31" i="10"/>
  <c r="S31" i="10"/>
  <c r="AM21" i="9"/>
  <c r="AD14" i="9"/>
  <c r="R14" i="9"/>
  <c r="F14" i="9"/>
  <c r="AJ19" i="9"/>
  <c r="S19" i="9"/>
  <c r="AJ21" i="9"/>
  <c r="U19" i="9"/>
  <c r="W21" i="9"/>
  <c r="X9" i="9"/>
  <c r="T21" i="9"/>
  <c r="M31" i="7"/>
  <c r="AA3" i="9"/>
  <c r="K3" i="9"/>
  <c r="AK5" i="9"/>
  <c r="S5" i="9"/>
  <c r="W9" i="9"/>
  <c r="H9" i="9"/>
  <c r="V11" i="9"/>
  <c r="W12" i="9"/>
  <c r="AC14" i="9"/>
  <c r="Q14" i="9"/>
  <c r="E14" i="9"/>
  <c r="AE15" i="9"/>
  <c r="K15" i="9"/>
  <c r="AJ17" i="9"/>
  <c r="AJ18" i="9"/>
  <c r="N18" i="9"/>
  <c r="AI19" i="9"/>
  <c r="R19" i="9"/>
  <c r="AI20" i="9"/>
  <c r="O20" i="9"/>
  <c r="AI21" i="9"/>
  <c r="S21" i="9"/>
  <c r="G115" i="10"/>
  <c r="AM31" i="10"/>
  <c r="P31" i="10"/>
  <c r="AD28" i="10"/>
  <c r="AD29" i="10" s="1"/>
  <c r="AR31" i="7"/>
  <c r="Q31" i="7"/>
  <c r="I9" i="9"/>
  <c r="BC37" i="7"/>
  <c r="H31" i="7"/>
  <c r="AN11" i="7"/>
  <c r="Z3" i="9"/>
  <c r="J3" i="9"/>
  <c r="AJ5" i="9"/>
  <c r="R5" i="9"/>
  <c r="AI6" i="9"/>
  <c r="S6" i="9"/>
  <c r="W8" i="9"/>
  <c r="V9" i="9"/>
  <c r="G9" i="9"/>
  <c r="I11" i="9"/>
  <c r="V12" i="9"/>
  <c r="AB14" i="9"/>
  <c r="P14" i="9"/>
  <c r="D14" i="9"/>
  <c r="Z15" i="9"/>
  <c r="J15" i="9"/>
  <c r="W17" i="9"/>
  <c r="AI18" i="9"/>
  <c r="M18" i="9"/>
  <c r="AH19" i="9"/>
  <c r="Q19" i="9"/>
  <c r="AH21" i="9"/>
  <c r="O21" i="9"/>
  <c r="AL31" i="10"/>
  <c r="M31" i="10"/>
  <c r="Y28" i="10"/>
  <c r="Y29" i="10" s="1"/>
  <c r="W5" i="10"/>
  <c r="AG19" i="9"/>
  <c r="K19" i="9"/>
  <c r="AG21" i="9"/>
  <c r="N21" i="9"/>
  <c r="AM3" i="9"/>
  <c r="V3" i="9"/>
  <c r="H3" i="9"/>
  <c r="AH5" i="9"/>
  <c r="K5" i="9"/>
  <c r="AG6" i="9"/>
  <c r="Q6" i="9"/>
  <c r="U8" i="9"/>
  <c r="AI9" i="9"/>
  <c r="T9" i="9"/>
  <c r="E9" i="9"/>
  <c r="G11" i="9"/>
  <c r="L12" i="9"/>
  <c r="AG13" i="9"/>
  <c r="Q13" i="9"/>
  <c r="AL14" i="9"/>
  <c r="Z14" i="9"/>
  <c r="N14" i="9"/>
  <c r="X15" i="9"/>
  <c r="H15" i="9"/>
  <c r="U17" i="9"/>
  <c r="AE18" i="9"/>
  <c r="K18" i="9"/>
  <c r="AF19" i="9"/>
  <c r="J19" i="9"/>
  <c r="AF20" i="9"/>
  <c r="G20" i="9"/>
  <c r="AF21" i="9"/>
  <c r="M21" i="9"/>
  <c r="AJ31" i="10"/>
  <c r="K31" i="10"/>
  <c r="AN5" i="10"/>
  <c r="U5" i="10"/>
  <c r="AK14" i="9"/>
  <c r="Y14" i="9"/>
  <c r="M14" i="9"/>
  <c r="AE19" i="9"/>
  <c r="I19" i="9"/>
  <c r="AE21" i="9"/>
  <c r="L21" i="9"/>
  <c r="BG31" i="10"/>
  <c r="AF31" i="10"/>
  <c r="J31" i="10"/>
  <c r="AJ14" i="9"/>
  <c r="X14" i="9"/>
  <c r="L14" i="9"/>
  <c r="H19" i="9"/>
  <c r="AA21" i="9"/>
  <c r="K21" i="9"/>
  <c r="AF9" i="9"/>
  <c r="Q9" i="9"/>
  <c r="AI14" i="9"/>
  <c r="W14" i="9"/>
  <c r="X19" i="9"/>
  <c r="K14" i="9"/>
  <c r="G19" i="9"/>
  <c r="Z21" i="9"/>
  <c r="J21" i="9"/>
  <c r="Y28" i="7"/>
  <c r="T11" i="7"/>
  <c r="AB63" i="9"/>
  <c r="AG3" i="9"/>
  <c r="R3" i="9"/>
  <c r="D3" i="9"/>
  <c r="X5" i="9"/>
  <c r="G5" i="9"/>
  <c r="AC6" i="9"/>
  <c r="I6" i="9"/>
  <c r="AE9" i="9"/>
  <c r="O9" i="9"/>
  <c r="AM11" i="9"/>
  <c r="AL12" i="9"/>
  <c r="H12" i="9"/>
  <c r="AH14" i="9"/>
  <c r="V14" i="9"/>
  <c r="X18" i="9"/>
  <c r="G18" i="9"/>
  <c r="W19" i="9"/>
  <c r="F19" i="9"/>
  <c r="Y21" i="9"/>
  <c r="I21" i="9"/>
  <c r="AY31" i="10"/>
  <c r="Y31" i="10"/>
  <c r="V13" i="10"/>
  <c r="T17" i="10"/>
  <c r="T13" i="10"/>
  <c r="J13" i="10"/>
  <c r="AU101" i="10"/>
  <c r="AB101" i="10"/>
  <c r="K101" i="10"/>
  <c r="K45" i="10"/>
  <c r="BD31" i="10"/>
  <c r="AP31" i="10"/>
  <c r="AB31" i="10"/>
  <c r="O31" i="10"/>
  <c r="AN28" i="10"/>
  <c r="AN29" i="10" s="1"/>
  <c r="AS101" i="10"/>
  <c r="Y101" i="10"/>
  <c r="G101" i="10"/>
  <c r="AA75" i="10"/>
  <c r="J45" i="10"/>
  <c r="BC31" i="10"/>
  <c r="AN31" i="10"/>
  <c r="AA31" i="10"/>
  <c r="N31" i="10"/>
  <c r="AK28" i="10"/>
  <c r="AK29" i="10" s="1"/>
  <c r="AK5" i="10"/>
  <c r="Y5" i="10"/>
  <c r="M5" i="10"/>
  <c r="AK13" i="10"/>
  <c r="AQ101" i="10"/>
  <c r="U101" i="10"/>
  <c r="AB28" i="10"/>
  <c r="AB29" i="10" s="1"/>
  <c r="AR101" i="10"/>
  <c r="BG101" i="10"/>
  <c r="AM101" i="10"/>
  <c r="T101" i="10"/>
  <c r="R28" i="10"/>
  <c r="R29" i="10" s="1"/>
  <c r="AV31" i="10"/>
  <c r="AI31" i="10"/>
  <c r="V31" i="10"/>
  <c r="I31" i="10"/>
  <c r="P28" i="10"/>
  <c r="P29" i="10" s="1"/>
  <c r="AF5" i="10"/>
  <c r="T5" i="10"/>
  <c r="H5" i="10"/>
  <c r="BC101" i="10"/>
  <c r="AH101" i="10"/>
  <c r="O101" i="10"/>
  <c r="S98" i="10"/>
  <c r="S99" i="10" s="1"/>
  <c r="AU31" i="10"/>
  <c r="AH31" i="10"/>
  <c r="U31" i="10"/>
  <c r="H31" i="10"/>
  <c r="M28" i="10"/>
  <c r="M29" i="10" s="1"/>
  <c r="AE5" i="10"/>
  <c r="S5" i="10"/>
  <c r="G5" i="10"/>
  <c r="BF101" i="10"/>
  <c r="AJ101" i="10"/>
  <c r="S101" i="10"/>
  <c r="BE101" i="10"/>
  <c r="AI101" i="10"/>
  <c r="P101" i="10"/>
  <c r="AF98" i="10"/>
  <c r="AF99" i="10" s="1"/>
  <c r="AX101" i="10"/>
  <c r="AG101" i="10"/>
  <c r="N101" i="10"/>
  <c r="F98" i="10"/>
  <c r="F99" i="10" s="1"/>
  <c r="AT31" i="10"/>
  <c r="AG31" i="10"/>
  <c r="T31" i="10"/>
  <c r="G31" i="10"/>
  <c r="F28" i="10"/>
  <c r="F29" i="10" s="1"/>
  <c r="AD5" i="10"/>
  <c r="R5" i="10"/>
  <c r="F5" i="10"/>
  <c r="AW101" i="10"/>
  <c r="M101" i="10"/>
  <c r="AV101" i="10"/>
  <c r="AE101" i="10"/>
  <c r="L101" i="10"/>
  <c r="AF101" i="10"/>
  <c r="AD31" i="10"/>
  <c r="AM5" i="10"/>
  <c r="AA5" i="10"/>
  <c r="V101" i="10"/>
  <c r="BE31" i="10"/>
  <c r="AQ31" i="10"/>
  <c r="AT101" i="10"/>
  <c r="AA101" i="10"/>
  <c r="H101" i="10"/>
  <c r="AB75" i="10"/>
  <c r="Y17" i="10"/>
  <c r="N17" i="10"/>
  <c r="M17" i="10"/>
  <c r="L17" i="10"/>
  <c r="K17" i="10"/>
  <c r="AM17" i="10"/>
  <c r="AH17" i="10"/>
  <c r="I13" i="10"/>
  <c r="AB17" i="10"/>
  <c r="AA17" i="10"/>
  <c r="Z17" i="10"/>
  <c r="AN17" i="10"/>
  <c r="H13" i="10"/>
  <c r="AL17" i="10"/>
  <c r="X17" i="10"/>
  <c r="J17" i="10"/>
  <c r="AK17" i="10"/>
  <c r="W17" i="10"/>
  <c r="I17" i="10"/>
  <c r="AJ17" i="10"/>
  <c r="V17" i="10"/>
  <c r="H17" i="10"/>
  <c r="AL13" i="10"/>
  <c r="AI17" i="10"/>
  <c r="U17" i="10"/>
  <c r="G17" i="10"/>
  <c r="AH13" i="10"/>
  <c r="AG17" i="10"/>
  <c r="S17" i="10"/>
  <c r="X13" i="10"/>
  <c r="AF17" i="10"/>
  <c r="P17" i="10"/>
  <c r="W13" i="10"/>
  <c r="AE17" i="10"/>
  <c r="O17" i="10"/>
  <c r="AJ13" i="10"/>
  <c r="J9" i="10"/>
  <c r="AI13" i="10"/>
  <c r="U13" i="10"/>
  <c r="G13" i="10"/>
  <c r="AG13" i="10"/>
  <c r="S13" i="10"/>
  <c r="AF13" i="10"/>
  <c r="P13" i="10"/>
  <c r="AE13" i="10"/>
  <c r="O13" i="10"/>
  <c r="AL9" i="10"/>
  <c r="AB13" i="10"/>
  <c r="N13" i="10"/>
  <c r="X9" i="10"/>
  <c r="AA13" i="10"/>
  <c r="M13" i="10"/>
  <c r="T9" i="10"/>
  <c r="AN13" i="10"/>
  <c r="Z13" i="10"/>
  <c r="L13" i="10"/>
  <c r="P9" i="10"/>
  <c r="AM13" i="10"/>
  <c r="Y13" i="10"/>
  <c r="K13" i="10"/>
  <c r="AF9" i="10"/>
  <c r="AH9" i="10"/>
  <c r="AM9" i="10"/>
  <c r="Y9" i="10"/>
  <c r="K9" i="10"/>
  <c r="AK9" i="10"/>
  <c r="W9" i="10"/>
  <c r="I9" i="10"/>
  <c r="AJ9" i="10"/>
  <c r="V9" i="10"/>
  <c r="H9" i="10"/>
  <c r="AI9" i="10"/>
  <c r="U9" i="10"/>
  <c r="F9" i="10"/>
  <c r="AG9" i="10"/>
  <c r="R9" i="10"/>
  <c r="AD9" i="10"/>
  <c r="O9" i="10"/>
  <c r="AB9" i="10"/>
  <c r="N9" i="10"/>
  <c r="AA9" i="10"/>
  <c r="M9" i="10"/>
  <c r="AN9" i="10"/>
  <c r="Z9" i="10"/>
  <c r="L9" i="10"/>
  <c r="AD17" i="10"/>
  <c r="R17" i="10"/>
  <c r="F17" i="10"/>
  <c r="AC17" i="10"/>
  <c r="Q17" i="10"/>
  <c r="AD13" i="10"/>
  <c r="R13" i="10"/>
  <c r="F13" i="10"/>
  <c r="AC13" i="10"/>
  <c r="Q13" i="10"/>
  <c r="AE9" i="10"/>
  <c r="S9" i="10"/>
  <c r="G9" i="10"/>
  <c r="AC9" i="10"/>
  <c r="Q9" i="10"/>
  <c r="AM28" i="10"/>
  <c r="AM29" i="10" s="1"/>
  <c r="AA28" i="10"/>
  <c r="AA29" i="10" s="1"/>
  <c r="O28" i="10"/>
  <c r="O29" i="10" s="1"/>
  <c r="AL28" i="10"/>
  <c r="AL29" i="10" s="1"/>
  <c r="Z28" i="10"/>
  <c r="Z29" i="10" s="1"/>
  <c r="N28" i="10"/>
  <c r="N29" i="10" s="1"/>
  <c r="AJ28" i="10"/>
  <c r="AJ29" i="10" s="1"/>
  <c r="X28" i="10"/>
  <c r="X29" i="10" s="1"/>
  <c r="L28" i="10"/>
  <c r="L29" i="10" s="1"/>
  <c r="AI28" i="10"/>
  <c r="AI29" i="10" s="1"/>
  <c r="W28" i="10"/>
  <c r="W29" i="10" s="1"/>
  <c r="K28" i="10"/>
  <c r="K29" i="10" s="1"/>
  <c r="AH28" i="10"/>
  <c r="AH29" i="10" s="1"/>
  <c r="V28" i="10"/>
  <c r="V29" i="10" s="1"/>
  <c r="J28" i="10"/>
  <c r="J29" i="10" s="1"/>
  <c r="AG28" i="10"/>
  <c r="AG29" i="10" s="1"/>
  <c r="U28" i="10"/>
  <c r="U29" i="10" s="1"/>
  <c r="I28" i="10"/>
  <c r="I29" i="10" s="1"/>
  <c r="AF28" i="10"/>
  <c r="AF29" i="10" s="1"/>
  <c r="T28" i="10"/>
  <c r="T29" i="10" s="1"/>
  <c r="H28" i="10"/>
  <c r="H29" i="10" s="1"/>
  <c r="AE28" i="10"/>
  <c r="AE29" i="10" s="1"/>
  <c r="S28" i="10"/>
  <c r="S29" i="10" s="1"/>
  <c r="G28" i="10"/>
  <c r="G29" i="10" s="1"/>
  <c r="AC28" i="10"/>
  <c r="AC29" i="10" s="1"/>
  <c r="Q28" i="10"/>
  <c r="Q29" i="10" s="1"/>
  <c r="K46" i="10"/>
  <c r="BB31" i="10"/>
  <c r="BA31" i="10"/>
  <c r="AO31" i="10"/>
  <c r="AC31" i="10"/>
  <c r="Q31" i="10"/>
  <c r="J46" i="10"/>
  <c r="I46" i="10"/>
  <c r="H46" i="10"/>
  <c r="G46" i="10"/>
  <c r="F46" i="10"/>
  <c r="P98" i="10"/>
  <c r="P99" i="10" s="1"/>
  <c r="M75" i="10"/>
  <c r="AD98" i="10"/>
  <c r="AD99" i="10" s="1"/>
  <c r="AN75" i="10"/>
  <c r="Z75" i="10"/>
  <c r="BD101" i="10"/>
  <c r="AN101" i="10"/>
  <c r="Z101" i="10"/>
  <c r="AB98" i="10"/>
  <c r="AB99" i="10" s="1"/>
  <c r="O98" i="10"/>
  <c r="O99" i="10" s="1"/>
  <c r="AM75" i="10"/>
  <c r="Y75" i="10"/>
  <c r="L75" i="10"/>
  <c r="AN98" i="10"/>
  <c r="AN99" i="10" s="1"/>
  <c r="N98" i="10"/>
  <c r="N99" i="10" s="1"/>
  <c r="K75" i="10"/>
  <c r="J115" i="10"/>
  <c r="AZ101" i="10"/>
  <c r="AL101" i="10"/>
  <c r="X101" i="10"/>
  <c r="J101" i="10"/>
  <c r="AM98" i="10"/>
  <c r="AM99" i="10" s="1"/>
  <c r="Z98" i="10"/>
  <c r="Z99" i="10" s="1"/>
  <c r="M98" i="10"/>
  <c r="M99" i="10" s="1"/>
  <c r="AK75" i="10"/>
  <c r="W75" i="10"/>
  <c r="J75" i="10"/>
  <c r="AA98" i="10"/>
  <c r="AA99" i="10" s="1"/>
  <c r="AL75" i="10"/>
  <c r="X75" i="10"/>
  <c r="I115" i="10"/>
  <c r="AY101" i="10"/>
  <c r="AK101" i="10"/>
  <c r="W101" i="10"/>
  <c r="I101" i="10"/>
  <c r="AL98" i="10"/>
  <c r="AL99" i="10" s="1"/>
  <c r="Y98" i="10"/>
  <c r="Y99" i="10" s="1"/>
  <c r="L98" i="10"/>
  <c r="L99" i="10" s="1"/>
  <c r="AJ75" i="10"/>
  <c r="V75" i="10"/>
  <c r="I75" i="10"/>
  <c r="AK98" i="10"/>
  <c r="AK99" i="10" s="1"/>
  <c r="X98" i="10"/>
  <c r="X99" i="10" s="1"/>
  <c r="K98" i="10"/>
  <c r="K99" i="10" s="1"/>
  <c r="AI75" i="10"/>
  <c r="U75" i="10"/>
  <c r="H75" i="10"/>
  <c r="AJ98" i="10"/>
  <c r="AJ99" i="10" s="1"/>
  <c r="W98" i="10"/>
  <c r="W99" i="10" s="1"/>
  <c r="J98" i="10"/>
  <c r="J99" i="10" s="1"/>
  <c r="AH75" i="10"/>
  <c r="T75" i="10"/>
  <c r="G75" i="10"/>
  <c r="AE98" i="10"/>
  <c r="AE99" i="10" s="1"/>
  <c r="R98" i="10"/>
  <c r="R99" i="10" s="1"/>
  <c r="AI98" i="10"/>
  <c r="AI99" i="10" s="1"/>
  <c r="V98" i="10"/>
  <c r="V99" i="10" s="1"/>
  <c r="I98" i="10"/>
  <c r="I99" i="10" s="1"/>
  <c r="AG75" i="10"/>
  <c r="S75" i="10"/>
  <c r="F75" i="10"/>
  <c r="AH98" i="10"/>
  <c r="AH99" i="10" s="1"/>
  <c r="U98" i="10"/>
  <c r="U99" i="10" s="1"/>
  <c r="H98" i="10"/>
  <c r="H99" i="10" s="1"/>
  <c r="AG98" i="10"/>
  <c r="AG99" i="10" s="1"/>
  <c r="T98" i="10"/>
  <c r="T99" i="10" s="1"/>
  <c r="G98" i="10"/>
  <c r="G99" i="10" s="1"/>
  <c r="AH87" i="10"/>
  <c r="T87" i="10"/>
  <c r="F87" i="10"/>
  <c r="AI87" i="10"/>
  <c r="U87" i="10"/>
  <c r="G87" i="10"/>
  <c r="AG87" i="10"/>
  <c r="S87" i="10"/>
  <c r="AF87" i="10"/>
  <c r="P87" i="10"/>
  <c r="AE87" i="10"/>
  <c r="O87" i="10"/>
  <c r="AB87" i="10"/>
  <c r="N87" i="10"/>
  <c r="AA87" i="10"/>
  <c r="M87" i="10"/>
  <c r="AN87" i="10"/>
  <c r="Z87" i="10"/>
  <c r="L87" i="10"/>
  <c r="AM87" i="10"/>
  <c r="Y87" i="10"/>
  <c r="K87" i="10"/>
  <c r="AL87" i="10"/>
  <c r="X87" i="10"/>
  <c r="J87" i="10"/>
  <c r="AK87" i="10"/>
  <c r="W87" i="10"/>
  <c r="I87" i="10"/>
  <c r="AJ87" i="10"/>
  <c r="V87" i="10"/>
  <c r="H87" i="10"/>
  <c r="G83" i="10"/>
  <c r="AI83" i="10"/>
  <c r="Z79" i="10"/>
  <c r="AH83" i="10"/>
  <c r="AM83" i="10"/>
  <c r="AE83" i="10"/>
  <c r="AA83" i="10"/>
  <c r="Y83" i="10"/>
  <c r="U83" i="10"/>
  <c r="T83" i="10"/>
  <c r="O83" i="10"/>
  <c r="M83" i="10"/>
  <c r="K83" i="10"/>
  <c r="AG83" i="10"/>
  <c r="S83" i="10"/>
  <c r="AF83" i="10"/>
  <c r="P83" i="10"/>
  <c r="AB83" i="10"/>
  <c r="N83" i="10"/>
  <c r="AN83" i="10"/>
  <c r="Z83" i="10"/>
  <c r="L83" i="10"/>
  <c r="W79" i="10"/>
  <c r="AL83" i="10"/>
  <c r="X83" i="10"/>
  <c r="J83" i="10"/>
  <c r="AK83" i="10"/>
  <c r="W83" i="10"/>
  <c r="I83" i="10"/>
  <c r="AJ83" i="10"/>
  <c r="V83" i="10"/>
  <c r="H83" i="10"/>
  <c r="AK79" i="10"/>
  <c r="L79" i="10"/>
  <c r="AJ79" i="10"/>
  <c r="K79" i="10"/>
  <c r="AH79" i="10"/>
  <c r="J79" i="10"/>
  <c r="AG79" i="10"/>
  <c r="I79" i="10"/>
  <c r="AB79" i="10"/>
  <c r="H79" i="10"/>
  <c r="X79" i="10"/>
  <c r="V79" i="10"/>
  <c r="T79" i="10"/>
  <c r="AN79" i="10"/>
  <c r="S79" i="10"/>
  <c r="AL79" i="10"/>
  <c r="N79" i="10"/>
  <c r="AM79" i="10"/>
  <c r="Y79" i="10"/>
  <c r="AI79" i="10"/>
  <c r="U79" i="10"/>
  <c r="G79" i="10"/>
  <c r="AF79" i="10"/>
  <c r="P79" i="10"/>
  <c r="AE79" i="10"/>
  <c r="O79" i="10"/>
  <c r="AA79" i="10"/>
  <c r="M79" i="10"/>
  <c r="AD87" i="10"/>
  <c r="R87" i="10"/>
  <c r="AC87" i="10"/>
  <c r="Q87" i="10"/>
  <c r="AD83" i="10"/>
  <c r="R83" i="10"/>
  <c r="F83" i="10"/>
  <c r="AC83" i="10"/>
  <c r="Q83" i="10"/>
  <c r="AD79" i="10"/>
  <c r="R79" i="10"/>
  <c r="F79" i="10"/>
  <c r="AC79" i="10"/>
  <c r="Q79" i="10"/>
  <c r="AD75" i="10"/>
  <c r="AC75" i="10"/>
  <c r="Q75" i="10"/>
  <c r="AC98" i="10"/>
  <c r="AC99" i="10" s="1"/>
  <c r="Q98" i="10"/>
  <c r="Q99" i="10" s="1"/>
  <c r="BB101" i="10"/>
  <c r="AP101" i="10"/>
  <c r="AD101" i="10"/>
  <c r="R101" i="10"/>
  <c r="F101" i="10"/>
  <c r="BA101" i="10"/>
  <c r="AO101" i="10"/>
  <c r="AC101" i="10"/>
  <c r="Q101" i="10"/>
  <c r="K116" i="10"/>
  <c r="J116" i="10"/>
  <c r="I116" i="10"/>
  <c r="F116" i="10"/>
  <c r="H116" i="10"/>
  <c r="G116" i="10"/>
  <c r="F115" i="10"/>
  <c r="U11" i="9"/>
  <c r="Z63" i="9"/>
  <c r="N63" i="9"/>
  <c r="N23" i="9"/>
  <c r="AK63" i="9"/>
  <c r="Y63" i="9"/>
  <c r="M63" i="9"/>
  <c r="AI11" i="9"/>
  <c r="AH17" i="9"/>
  <c r="W63" i="9"/>
  <c r="AM23" i="9"/>
  <c r="Y23" i="9"/>
  <c r="K23" i="9"/>
  <c r="J23" i="9"/>
  <c r="AG8" i="9"/>
  <c r="S8" i="9"/>
  <c r="AK12" i="9"/>
  <c r="AA20" i="9"/>
  <c r="N20" i="9"/>
  <c r="AG63" i="9"/>
  <c r="U63" i="9"/>
  <c r="I63" i="9"/>
  <c r="AK23" i="9"/>
  <c r="W23" i="9"/>
  <c r="I23" i="9"/>
  <c r="AD5" i="9"/>
  <c r="O5" i="9"/>
  <c r="AB6" i="9"/>
  <c r="P6" i="9"/>
  <c r="D6" i="9"/>
  <c r="AF8" i="9"/>
  <c r="R8" i="9"/>
  <c r="AB9" i="9"/>
  <c r="P9" i="9"/>
  <c r="D9" i="9"/>
  <c r="AE11" i="9"/>
  <c r="M11" i="9"/>
  <c r="AJ12" i="9"/>
  <c r="S12" i="9"/>
  <c r="AB13" i="9"/>
  <c r="P13" i="9"/>
  <c r="D13" i="9"/>
  <c r="AA17" i="9"/>
  <c r="L17" i="9"/>
  <c r="AC19" i="9"/>
  <c r="O19" i="9"/>
  <c r="Z20" i="9"/>
  <c r="M20" i="9"/>
  <c r="AM63" i="9"/>
  <c r="AA63" i="9"/>
  <c r="AE23" i="9"/>
  <c r="O23" i="9"/>
  <c r="AL63" i="9"/>
  <c r="AJ11" i="9"/>
  <c r="S17" i="9"/>
  <c r="Z23" i="9"/>
  <c r="L23" i="9"/>
  <c r="AH11" i="9"/>
  <c r="S11" i="9"/>
  <c r="AG17" i="9"/>
  <c r="O17" i="9"/>
  <c r="K63" i="9"/>
  <c r="AG11" i="9"/>
  <c r="O11" i="9"/>
  <c r="AF17" i="9"/>
  <c r="N17" i="9"/>
  <c r="AF63" i="9"/>
  <c r="T63" i="9"/>
  <c r="H63" i="9"/>
  <c r="V23" i="9"/>
  <c r="AE8" i="9"/>
  <c r="O8" i="9"/>
  <c r="AM9" i="9"/>
  <c r="Z17" i="9"/>
  <c r="K17" i="9"/>
  <c r="AA19" i="9"/>
  <c r="AM20" i="9"/>
  <c r="L20" i="9"/>
  <c r="AZ28" i="7"/>
  <c r="S14" i="7"/>
  <c r="AJ11" i="7"/>
  <c r="AE63" i="9"/>
  <c r="S63" i="9"/>
  <c r="G63" i="9"/>
  <c r="AI23" i="9"/>
  <c r="U23" i="9"/>
  <c r="G23" i="9"/>
  <c r="AL3" i="9"/>
  <c r="Y3" i="9"/>
  <c r="M3" i="9"/>
  <c r="Z5" i="9"/>
  <c r="M5" i="9"/>
  <c r="AL6" i="9"/>
  <c r="Z6" i="9"/>
  <c r="N6" i="9"/>
  <c r="AD8" i="9"/>
  <c r="N8" i="9"/>
  <c r="AL9" i="9"/>
  <c r="Z9" i="9"/>
  <c r="N9" i="9"/>
  <c r="Z11" i="9"/>
  <c r="K11" i="9"/>
  <c r="AH12" i="9"/>
  <c r="N12" i="9"/>
  <c r="AL13" i="9"/>
  <c r="Z13" i="9"/>
  <c r="N13" i="9"/>
  <c r="AD15" i="9"/>
  <c r="N15" i="9"/>
  <c r="Y17" i="9"/>
  <c r="J17" i="9"/>
  <c r="AH18" i="9"/>
  <c r="S18" i="9"/>
  <c r="AM19" i="9"/>
  <c r="Z19" i="9"/>
  <c r="M19" i="9"/>
  <c r="AL20" i="9"/>
  <c r="X20" i="9"/>
  <c r="K20" i="9"/>
  <c r="AK21" i="9"/>
  <c r="V21" i="9"/>
  <c r="G21" i="9"/>
  <c r="AF23" i="9"/>
  <c r="R23" i="9"/>
  <c r="O63" i="9"/>
  <c r="AD23" i="9"/>
  <c r="AI17" i="9"/>
  <c r="T17" i="9"/>
  <c r="AA23" i="9"/>
  <c r="M23" i="9"/>
  <c r="T11" i="9"/>
  <c r="AJ63" i="9"/>
  <c r="X63" i="9"/>
  <c r="L63" i="9"/>
  <c r="AI63" i="9"/>
  <c r="AH63" i="9"/>
  <c r="V63" i="9"/>
  <c r="J63" i="9"/>
  <c r="AL23" i="9"/>
  <c r="X23" i="9"/>
  <c r="AF11" i="9"/>
  <c r="N11" i="9"/>
  <c r="T12" i="9"/>
  <c r="AE17" i="9"/>
  <c r="M17" i="9"/>
  <c r="AJ23" i="9"/>
  <c r="H23" i="9"/>
  <c r="AA5" i="9"/>
  <c r="N5" i="9"/>
  <c r="AM6" i="9"/>
  <c r="AA6" i="9"/>
  <c r="O6" i="9"/>
  <c r="AA11" i="9"/>
  <c r="L11" i="9"/>
  <c r="AI12" i="9"/>
  <c r="O12" i="9"/>
  <c r="AM13" i="9"/>
  <c r="AA13" i="9"/>
  <c r="O13" i="9"/>
  <c r="N19" i="9"/>
  <c r="Y20" i="9"/>
  <c r="R3" i="6"/>
  <c r="AK28" i="7"/>
  <c r="Y11" i="7"/>
  <c r="AD63" i="9"/>
  <c r="R63" i="9"/>
  <c r="AH23" i="9"/>
  <c r="T23" i="9"/>
  <c r="F23" i="9"/>
  <c r="AK3" i="9"/>
  <c r="X3" i="9"/>
  <c r="L3" i="9"/>
  <c r="AM5" i="9"/>
  <c r="Y5" i="9"/>
  <c r="L5" i="9"/>
  <c r="AK6" i="9"/>
  <c r="Y6" i="9"/>
  <c r="AA8" i="9"/>
  <c r="M8" i="9"/>
  <c r="AK9" i="9"/>
  <c r="Y9" i="9"/>
  <c r="Y11" i="9"/>
  <c r="J11" i="9"/>
  <c r="AG12" i="9"/>
  <c r="M12" i="9"/>
  <c r="AK13" i="9"/>
  <c r="Y13" i="9"/>
  <c r="AA15" i="9"/>
  <c r="M15" i="9"/>
  <c r="AM17" i="9"/>
  <c r="X17" i="9"/>
  <c r="I17" i="9"/>
  <c r="AG18" i="9"/>
  <c r="O18" i="9"/>
  <c r="AL19" i="9"/>
  <c r="Y19" i="9"/>
  <c r="L19" i="9"/>
  <c r="AK20" i="9"/>
  <c r="W20" i="9"/>
  <c r="J20" i="9"/>
  <c r="AD21" i="9"/>
  <c r="R21" i="9"/>
  <c r="F21" i="9"/>
  <c r="AC21" i="9"/>
  <c r="Q21" i="9"/>
  <c r="E21" i="9"/>
  <c r="AB21" i="9"/>
  <c r="P21" i="9"/>
  <c r="AC20" i="9"/>
  <c r="Q20" i="9"/>
  <c r="AB19" i="9"/>
  <c r="P19" i="9"/>
  <c r="AD18" i="9"/>
  <c r="R18" i="9"/>
  <c r="F18" i="9"/>
  <c r="AC18" i="9"/>
  <c r="Q18" i="9"/>
  <c r="E18" i="9"/>
  <c r="AB18" i="9"/>
  <c r="P18" i="9"/>
  <c r="AD17" i="9"/>
  <c r="R17" i="9"/>
  <c r="AC17" i="9"/>
  <c r="Q17" i="9"/>
  <c r="E17" i="9"/>
  <c r="AB17" i="9"/>
  <c r="P17" i="9"/>
  <c r="AC15" i="9"/>
  <c r="Q15" i="9"/>
  <c r="E15" i="9"/>
  <c r="AB15" i="9"/>
  <c r="AF12" i="9"/>
  <c r="AE12" i="9"/>
  <c r="AD12" i="9"/>
  <c r="R12" i="9"/>
  <c r="AC12" i="9"/>
  <c r="Q12" i="9"/>
  <c r="E12" i="9"/>
  <c r="AB12" i="9"/>
  <c r="P12" i="9"/>
  <c r="AD11" i="9"/>
  <c r="R11" i="9"/>
  <c r="F11" i="9"/>
  <c r="AC11" i="9"/>
  <c r="Q11" i="9"/>
  <c r="E11" i="9"/>
  <c r="AB11" i="9"/>
  <c r="P11" i="9"/>
  <c r="AC8" i="9"/>
  <c r="Q8" i="9"/>
  <c r="E8" i="9"/>
  <c r="AB8" i="9"/>
  <c r="P8" i="9"/>
  <c r="AL7" i="9"/>
  <c r="Z7" i="9"/>
  <c r="N7" i="9"/>
  <c r="M7" i="9"/>
  <c r="W7" i="9"/>
  <c r="K7" i="9"/>
  <c r="AM7" i="9"/>
  <c r="X7" i="9"/>
  <c r="Y7" i="9"/>
  <c r="AH7" i="9"/>
  <c r="AG7" i="9"/>
  <c r="U7" i="9"/>
  <c r="I7" i="9"/>
  <c r="J7" i="9"/>
  <c r="T7" i="9"/>
  <c r="AA7" i="9"/>
  <c r="L7" i="9"/>
  <c r="AI7" i="9"/>
  <c r="V7" i="9"/>
  <c r="S7" i="9"/>
  <c r="R7" i="9"/>
  <c r="AC7" i="9"/>
  <c r="Q7" i="9"/>
  <c r="E7" i="9"/>
  <c r="O7" i="9"/>
  <c r="AK7" i="9"/>
  <c r="AJ7" i="9"/>
  <c r="AF7" i="9"/>
  <c r="H7" i="9"/>
  <c r="AE7" i="9"/>
  <c r="G7" i="9"/>
  <c r="AD7" i="9"/>
  <c r="F7" i="9"/>
  <c r="AB7" i="9"/>
  <c r="P7" i="9"/>
  <c r="AC5" i="9"/>
  <c r="AB5" i="9"/>
  <c r="P5" i="9"/>
  <c r="AC23" i="9"/>
  <c r="Q23" i="9"/>
  <c r="AB23" i="9"/>
  <c r="P23" i="9"/>
  <c r="O43" i="9"/>
  <c r="N43" i="9"/>
  <c r="AK43" i="9"/>
  <c r="X43" i="9"/>
  <c r="AH43" i="9"/>
  <c r="AF43" i="9"/>
  <c r="T43" i="9"/>
  <c r="H43" i="9"/>
  <c r="Z43" i="9"/>
  <c r="M43" i="9"/>
  <c r="W43" i="9"/>
  <c r="I43" i="9"/>
  <c r="AE43" i="9"/>
  <c r="S43" i="9"/>
  <c r="G43" i="9"/>
  <c r="AA43" i="9"/>
  <c r="AJ43" i="9"/>
  <c r="Y43" i="9"/>
  <c r="K43" i="9"/>
  <c r="V43" i="9"/>
  <c r="AG43" i="9"/>
  <c r="AC43" i="9"/>
  <c r="Q43" i="9"/>
  <c r="E43" i="9"/>
  <c r="AM43" i="9"/>
  <c r="AL43" i="9"/>
  <c r="L43" i="9"/>
  <c r="AI43" i="9"/>
  <c r="J43" i="9"/>
  <c r="U43" i="9"/>
  <c r="AD43" i="9"/>
  <c r="R43" i="9"/>
  <c r="F43" i="9"/>
  <c r="AB43" i="9"/>
  <c r="P43" i="9"/>
  <c r="Y37" i="7"/>
  <c r="BE31" i="7"/>
  <c r="G31" i="7"/>
  <c r="BE11" i="7"/>
  <c r="AI11" i="7"/>
  <c r="M11" i="7"/>
  <c r="BD11" i="7"/>
  <c r="AG11" i="7"/>
  <c r="L11" i="7"/>
  <c r="AE8" i="7"/>
  <c r="AV31" i="7"/>
  <c r="AM31" i="7"/>
  <c r="H3" i="6"/>
  <c r="AI31" i="7"/>
  <c r="F3" i="6"/>
  <c r="AU34" i="7"/>
  <c r="AH31" i="7"/>
  <c r="BC11" i="7"/>
  <c r="AE11" i="7"/>
  <c r="K11" i="7"/>
  <c r="X8" i="7"/>
  <c r="E3" i="6"/>
  <c r="AS34" i="7"/>
  <c r="Z31" i="7"/>
  <c r="BF28" i="7"/>
  <c r="AW11" i="7"/>
  <c r="AA11" i="7"/>
  <c r="I11" i="7"/>
  <c r="S8" i="7"/>
  <c r="I34" i="7"/>
  <c r="V31" i="7"/>
  <c r="BD28" i="7"/>
  <c r="AU11" i="7"/>
  <c r="Z11" i="7"/>
  <c r="H11" i="7"/>
  <c r="I31" i="7"/>
  <c r="AF28" i="7"/>
  <c r="F5" i="8"/>
  <c r="E5" i="8"/>
  <c r="D5" i="8"/>
  <c r="E35" i="10" s="1"/>
  <c r="N5" i="8"/>
  <c r="O5" i="8"/>
  <c r="M5" i="8"/>
  <c r="K5" i="8"/>
  <c r="V5" i="8"/>
  <c r="J5" i="8"/>
  <c r="U5" i="8"/>
  <c r="T5" i="8"/>
  <c r="H5" i="8"/>
  <c r="R5" i="8"/>
  <c r="Q5" i="8"/>
  <c r="P5" i="8"/>
  <c r="L5" i="8"/>
  <c r="W5" i="8"/>
  <c r="I5" i="8"/>
  <c r="S5" i="8"/>
  <c r="R12" i="8"/>
  <c r="Q12" i="8"/>
  <c r="P12" i="8"/>
  <c r="F12" i="8"/>
  <c r="E12" i="8"/>
  <c r="D12" i="8"/>
  <c r="N12" i="8"/>
  <c r="K12" i="8"/>
  <c r="V12" i="8"/>
  <c r="J12" i="8"/>
  <c r="U12" i="8"/>
  <c r="I12" i="8"/>
  <c r="O12" i="8"/>
  <c r="M12" i="8"/>
  <c r="L12" i="8"/>
  <c r="W12" i="8"/>
  <c r="T12" i="8"/>
  <c r="H12" i="8"/>
  <c r="S12" i="8"/>
  <c r="AW37" i="7"/>
  <c r="T37" i="7"/>
  <c r="AV28" i="7"/>
  <c r="W28" i="7"/>
  <c r="AS8" i="7"/>
  <c r="R8" i="7"/>
  <c r="AS37" i="7"/>
  <c r="S37" i="7"/>
  <c r="AU28" i="7"/>
  <c r="V28" i="7"/>
  <c r="AN8" i="7"/>
  <c r="N8" i="7"/>
  <c r="AR37" i="7"/>
  <c r="R37" i="7"/>
  <c r="AR28" i="7"/>
  <c r="O28" i="7"/>
  <c r="AM8" i="7"/>
  <c r="M8" i="7"/>
  <c r="AQ37" i="7"/>
  <c r="M37" i="7"/>
  <c r="G34" i="7"/>
  <c r="AF31" i="7"/>
  <c r="AN28" i="7"/>
  <c r="N28" i="7"/>
  <c r="BF14" i="7"/>
  <c r="AL8" i="7"/>
  <c r="L8" i="7"/>
  <c r="BB37" i="7"/>
  <c r="U37" i="7"/>
  <c r="AP37" i="7"/>
  <c r="I37" i="7"/>
  <c r="AE31" i="7"/>
  <c r="AM28" i="7"/>
  <c r="K28" i="7"/>
  <c r="AS14" i="7"/>
  <c r="AZ11" i="7"/>
  <c r="AK8" i="7"/>
  <c r="K8" i="7"/>
  <c r="BB3" i="6"/>
  <c r="AP3" i="6"/>
  <c r="AD3" i="6"/>
  <c r="AK37" i="7"/>
  <c r="H37" i="7"/>
  <c r="AL28" i="7"/>
  <c r="J28" i="7"/>
  <c r="AF14" i="7"/>
  <c r="AX11" i="7"/>
  <c r="AH11" i="7"/>
  <c r="R11" i="7"/>
  <c r="AF8" i="7"/>
  <c r="F8" i="7"/>
  <c r="G37" i="7"/>
  <c r="AG37" i="7"/>
  <c r="Q3" i="6"/>
  <c r="AF37" i="7"/>
  <c r="F37" i="7"/>
  <c r="U31" i="7"/>
  <c r="BG28" i="7"/>
  <c r="AG28" i="7"/>
  <c r="H28" i="7"/>
  <c r="F14" i="7"/>
  <c r="AV11" i="7"/>
  <c r="AF11" i="7"/>
  <c r="N11" i="7"/>
  <c r="BG8" i="7"/>
  <c r="AA8" i="7"/>
  <c r="BE37" i="7"/>
  <c r="AE37" i="7"/>
  <c r="BC8" i="7"/>
  <c r="Z8" i="7"/>
  <c r="G3" i="6"/>
  <c r="BD37" i="7"/>
  <c r="AD37" i="7"/>
  <c r="AZ31" i="7"/>
  <c r="O31" i="7"/>
  <c r="BE28" i="7"/>
  <c r="Z28" i="7"/>
  <c r="AZ8" i="7"/>
  <c r="Y8" i="7"/>
  <c r="AE14" i="7"/>
  <c r="BC14" i="7"/>
  <c r="AP14" i="7"/>
  <c r="O14" i="7"/>
  <c r="BA37" i="7"/>
  <c r="AO37" i="7"/>
  <c r="AC37" i="7"/>
  <c r="Q37" i="7"/>
  <c r="E37" i="7"/>
  <c r="AH34" i="7"/>
  <c r="BB14" i="7"/>
  <c r="AN14" i="7"/>
  <c r="AA14" i="7"/>
  <c r="N14" i="7"/>
  <c r="AW8" i="7"/>
  <c r="AJ8" i="7"/>
  <c r="W8" i="7"/>
  <c r="J8" i="7"/>
  <c r="AI34" i="7"/>
  <c r="AB14" i="7"/>
  <c r="AZ37" i="7"/>
  <c r="AN37" i="7"/>
  <c r="AB37" i="7"/>
  <c r="P37" i="7"/>
  <c r="AF34" i="7"/>
  <c r="AY28" i="7"/>
  <c r="AJ28" i="7"/>
  <c r="U28" i="7"/>
  <c r="AZ14" i="7"/>
  <c r="AM14" i="7"/>
  <c r="Z14" i="7"/>
  <c r="M14" i="7"/>
  <c r="AV8" i="7"/>
  <c r="AI8" i="7"/>
  <c r="V8" i="7"/>
  <c r="I8" i="7"/>
  <c r="AY37" i="7"/>
  <c r="AM37" i="7"/>
  <c r="AA37" i="7"/>
  <c r="O37" i="7"/>
  <c r="AB34" i="7"/>
  <c r="BF31" i="7"/>
  <c r="AB31" i="7"/>
  <c r="E31" i="7"/>
  <c r="AX28" i="7"/>
  <c r="AI28" i="7"/>
  <c r="T28" i="7"/>
  <c r="AY14" i="7"/>
  <c r="AL14" i="7"/>
  <c r="Y14" i="7"/>
  <c r="L14" i="7"/>
  <c r="BF11" i="7"/>
  <c r="AR11" i="7"/>
  <c r="AB11" i="7"/>
  <c r="O11" i="7"/>
  <c r="AU8" i="7"/>
  <c r="AH8" i="7"/>
  <c r="U8" i="7"/>
  <c r="H8" i="7"/>
  <c r="AR14" i="7"/>
  <c r="AQ14" i="7"/>
  <c r="AD14" i="7"/>
  <c r="P14" i="7"/>
  <c r="AX37" i="7"/>
  <c r="AL37" i="7"/>
  <c r="Z37" i="7"/>
  <c r="N37" i="7"/>
  <c r="V34" i="7"/>
  <c r="AW28" i="7"/>
  <c r="AH28" i="7"/>
  <c r="P28" i="7"/>
  <c r="AX14" i="7"/>
  <c r="AK14" i="7"/>
  <c r="X14" i="7"/>
  <c r="K14" i="7"/>
  <c r="AT8" i="7"/>
  <c r="AG8" i="7"/>
  <c r="T8" i="7"/>
  <c r="G8" i="7"/>
  <c r="AW14" i="7"/>
  <c r="W14" i="7"/>
  <c r="U34" i="7"/>
  <c r="AJ14" i="7"/>
  <c r="J14" i="7"/>
  <c r="AV37" i="7"/>
  <c r="AJ37" i="7"/>
  <c r="X37" i="7"/>
  <c r="L37" i="7"/>
  <c r="BF34" i="7"/>
  <c r="S34" i="7"/>
  <c r="AV14" i="7"/>
  <c r="AI14" i="7"/>
  <c r="V14" i="7"/>
  <c r="I14" i="7"/>
  <c r="BF8" i="7"/>
  <c r="AR8" i="7"/>
  <c r="BG37" i="7"/>
  <c r="AU37" i="7"/>
  <c r="AI37" i="7"/>
  <c r="W37" i="7"/>
  <c r="K37" i="7"/>
  <c r="BC34" i="7"/>
  <c r="P34" i="7"/>
  <c r="AU31" i="7"/>
  <c r="T31" i="7"/>
  <c r="AT28" i="7"/>
  <c r="AB28" i="7"/>
  <c r="M28" i="7"/>
  <c r="AU14" i="7"/>
  <c r="AH14" i="7"/>
  <c r="U14" i="7"/>
  <c r="H14" i="7"/>
  <c r="BE8" i="7"/>
  <c r="AQ8" i="7"/>
  <c r="AD8" i="7"/>
  <c r="P8" i="7"/>
  <c r="BF37" i="7"/>
  <c r="AT37" i="7"/>
  <c r="AH37" i="7"/>
  <c r="V37" i="7"/>
  <c r="AV34" i="7"/>
  <c r="J34" i="7"/>
  <c r="AS31" i="7"/>
  <c r="S31" i="7"/>
  <c r="AS28" i="7"/>
  <c r="AA28" i="7"/>
  <c r="L28" i="7"/>
  <c r="BG14" i="7"/>
  <c r="AT14" i="7"/>
  <c r="AG14" i="7"/>
  <c r="T14" i="7"/>
  <c r="G14" i="7"/>
  <c r="AY11" i="7"/>
  <c r="AK11" i="7"/>
  <c r="W11" i="7"/>
  <c r="J11" i="7"/>
  <c r="BD8" i="7"/>
  <c r="AP8" i="7"/>
  <c r="AB8" i="7"/>
  <c r="O8" i="7"/>
  <c r="BE14" i="7"/>
  <c r="R14" i="7"/>
  <c r="AO34" i="7"/>
  <c r="BD14" i="7"/>
  <c r="AY5" i="7"/>
  <c r="AM5" i="7"/>
  <c r="AA5" i="7"/>
  <c r="O5" i="7"/>
  <c r="AX5" i="7"/>
  <c r="AL5" i="7"/>
  <c r="Z5" i="7"/>
  <c r="N5" i="7"/>
  <c r="AZ5" i="7"/>
  <c r="M5" i="7"/>
  <c r="AB5" i="7"/>
  <c r="AK5" i="7"/>
  <c r="AV5" i="7"/>
  <c r="BG5" i="7"/>
  <c r="AU5" i="7"/>
  <c r="AI5" i="7"/>
  <c r="W5" i="7"/>
  <c r="K5" i="7"/>
  <c r="P5" i="7"/>
  <c r="AJ5" i="7"/>
  <c r="AG5" i="7"/>
  <c r="V5" i="7"/>
  <c r="BD5" i="7"/>
  <c r="AR5" i="7"/>
  <c r="AF5" i="7"/>
  <c r="T5" i="7"/>
  <c r="H5" i="7"/>
  <c r="AN5" i="7"/>
  <c r="AW5" i="7"/>
  <c r="AH5" i="7"/>
  <c r="BE5" i="7"/>
  <c r="I5" i="7"/>
  <c r="BC5" i="7"/>
  <c r="AQ5" i="7"/>
  <c r="AE5" i="7"/>
  <c r="S5" i="7"/>
  <c r="G5" i="7"/>
  <c r="Y5" i="7"/>
  <c r="L5" i="7"/>
  <c r="AT5" i="7"/>
  <c r="BB5" i="7"/>
  <c r="AP5" i="7"/>
  <c r="AD5" i="7"/>
  <c r="R5" i="7"/>
  <c r="F5" i="7"/>
  <c r="X5" i="7"/>
  <c r="BF5" i="7"/>
  <c r="J5" i="7"/>
  <c r="AS5" i="7"/>
  <c r="U5" i="7"/>
  <c r="BA5" i="7"/>
  <c r="AO5" i="7"/>
  <c r="AC5" i="7"/>
  <c r="Q5" i="7"/>
  <c r="AN9" i="7"/>
  <c r="AL9" i="7"/>
  <c r="V9" i="7"/>
  <c r="AK9" i="7"/>
  <c r="U9" i="7"/>
  <c r="AM9" i="7"/>
  <c r="AJ9" i="7"/>
  <c r="AZ9" i="7"/>
  <c r="AH9" i="7"/>
  <c r="N9" i="7"/>
  <c r="W9" i="7"/>
  <c r="AY9" i="7"/>
  <c r="AG9" i="7"/>
  <c r="M9" i="7"/>
  <c r="AX9" i="7"/>
  <c r="AB9" i="7"/>
  <c r="L9" i="7"/>
  <c r="AW9" i="7"/>
  <c r="AA9" i="7"/>
  <c r="K9" i="7"/>
  <c r="AV9" i="7"/>
  <c r="Z9" i="7"/>
  <c r="J9" i="7"/>
  <c r="X9" i="7"/>
  <c r="P9" i="7"/>
  <c r="BG9" i="7"/>
  <c r="AI9" i="7"/>
  <c r="O9" i="7"/>
  <c r="AU9" i="7"/>
  <c r="Y9" i="7"/>
  <c r="I9" i="7"/>
  <c r="BF9" i="7"/>
  <c r="AT9" i="7"/>
  <c r="AS9" i="7"/>
  <c r="BD9" i="7"/>
  <c r="AR9" i="7"/>
  <c r="AF9" i="7"/>
  <c r="T9" i="7"/>
  <c r="H9" i="7"/>
  <c r="BC9" i="7"/>
  <c r="AQ9" i="7"/>
  <c r="AE9" i="7"/>
  <c r="S9" i="7"/>
  <c r="G9" i="7"/>
  <c r="BB9" i="7"/>
  <c r="AP9" i="7"/>
  <c r="AD9" i="7"/>
  <c r="R9" i="7"/>
  <c r="F9" i="7"/>
  <c r="BE9" i="7"/>
  <c r="BA9" i="7"/>
  <c r="AO9" i="7"/>
  <c r="AC9" i="7"/>
  <c r="Q9" i="7"/>
  <c r="BB8" i="7"/>
  <c r="BA8" i="7"/>
  <c r="AO8" i="7"/>
  <c r="AC8" i="7"/>
  <c r="Q8" i="7"/>
  <c r="AY12" i="7"/>
  <c r="AM12" i="7"/>
  <c r="AA12" i="7"/>
  <c r="O12" i="7"/>
  <c r="Z12" i="7"/>
  <c r="AB12" i="7"/>
  <c r="AW12" i="7"/>
  <c r="AN12" i="7"/>
  <c r="AL12" i="7"/>
  <c r="Y12" i="7"/>
  <c r="BG12" i="7"/>
  <c r="AU12" i="7"/>
  <c r="AI12" i="7"/>
  <c r="W12" i="7"/>
  <c r="K12" i="7"/>
  <c r="AZ12" i="7"/>
  <c r="AJ12" i="7"/>
  <c r="X12" i="7"/>
  <c r="J12" i="7"/>
  <c r="AR12" i="7"/>
  <c r="AF12" i="7"/>
  <c r="T12" i="7"/>
  <c r="H12" i="7"/>
  <c r="N12" i="7"/>
  <c r="L12" i="7"/>
  <c r="BF12" i="7"/>
  <c r="AT12" i="7"/>
  <c r="V12" i="7"/>
  <c r="AS12" i="7"/>
  <c r="I12" i="7"/>
  <c r="BC12" i="7"/>
  <c r="AQ12" i="7"/>
  <c r="AE12" i="7"/>
  <c r="S12" i="7"/>
  <c r="G12" i="7"/>
  <c r="AX12" i="7"/>
  <c r="M12" i="7"/>
  <c r="AV12" i="7"/>
  <c r="AG12" i="7"/>
  <c r="BB12" i="7"/>
  <c r="AP12" i="7"/>
  <c r="AD12" i="7"/>
  <c r="R12" i="7"/>
  <c r="F12" i="7"/>
  <c r="P12" i="7"/>
  <c r="AK12" i="7"/>
  <c r="AH12" i="7"/>
  <c r="BE12" i="7"/>
  <c r="U12" i="7"/>
  <c r="BD12" i="7"/>
  <c r="BA12" i="7"/>
  <c r="AO12" i="7"/>
  <c r="AC12" i="7"/>
  <c r="Q12" i="7"/>
  <c r="BB11" i="7"/>
  <c r="AP11" i="7"/>
  <c r="AD11" i="7"/>
  <c r="BA11" i="7"/>
  <c r="AO11" i="7"/>
  <c r="AC11" i="7"/>
  <c r="Q11" i="7"/>
  <c r="AY15" i="7"/>
  <c r="AJ15" i="7"/>
  <c r="U15" i="7"/>
  <c r="AN15" i="7"/>
  <c r="Y15" i="7"/>
  <c r="AZ15" i="7"/>
  <c r="AK15" i="7"/>
  <c r="AX15" i="7"/>
  <c r="AI15" i="7"/>
  <c r="T15" i="7"/>
  <c r="BF15" i="7"/>
  <c r="J15" i="7"/>
  <c r="V15" i="7"/>
  <c r="AV15" i="7"/>
  <c r="O15" i="7"/>
  <c r="AW15" i="7"/>
  <c r="P15" i="7"/>
  <c r="AG15" i="7"/>
  <c r="AU15" i="7"/>
  <c r="AF15" i="7"/>
  <c r="N15" i="7"/>
  <c r="AT15" i="7"/>
  <c r="AB15" i="7"/>
  <c r="M15" i="7"/>
  <c r="AH15" i="7"/>
  <c r="AS15" i="7"/>
  <c r="AA15" i="7"/>
  <c r="L15" i="7"/>
  <c r="BG15" i="7"/>
  <c r="AR15" i="7"/>
  <c r="Z15" i="7"/>
  <c r="K15" i="7"/>
  <c r="BE15" i="7"/>
  <c r="AM15" i="7"/>
  <c r="X15" i="7"/>
  <c r="I15" i="7"/>
  <c r="BD15" i="7"/>
  <c r="AL15" i="7"/>
  <c r="W15" i="7"/>
  <c r="H15" i="7"/>
  <c r="BC15" i="7"/>
  <c r="AQ15" i="7"/>
  <c r="AE15" i="7"/>
  <c r="S15" i="7"/>
  <c r="G15" i="7"/>
  <c r="BB15" i="7"/>
  <c r="AD15" i="7"/>
  <c r="R15" i="7"/>
  <c r="F15" i="7"/>
  <c r="AP15" i="7"/>
  <c r="BA15" i="7"/>
  <c r="AO15" i="7"/>
  <c r="AC15" i="7"/>
  <c r="Q15" i="7"/>
  <c r="BA14" i="7"/>
  <c r="AO14" i="7"/>
  <c r="AC14" i="7"/>
  <c r="Q14" i="7"/>
  <c r="K32" i="7"/>
  <c r="AY17" i="7"/>
  <c r="AM17" i="7"/>
  <c r="AA17" i="7"/>
  <c r="O17" i="7"/>
  <c r="AB17" i="7"/>
  <c r="AZ17" i="7"/>
  <c r="AW17" i="7"/>
  <c r="AJ17" i="7"/>
  <c r="BG17" i="7"/>
  <c r="AI17" i="7"/>
  <c r="W17" i="7"/>
  <c r="K17" i="7"/>
  <c r="AK17" i="7"/>
  <c r="L17" i="7"/>
  <c r="AT17" i="7"/>
  <c r="AH17" i="7"/>
  <c r="V17" i="7"/>
  <c r="J17" i="7"/>
  <c r="AX17" i="7"/>
  <c r="AN17" i="7"/>
  <c r="N17" i="7"/>
  <c r="AV17" i="7"/>
  <c r="AU17" i="7"/>
  <c r="BF17" i="7"/>
  <c r="BE17" i="7"/>
  <c r="AS17" i="7"/>
  <c r="AG17" i="7"/>
  <c r="U17" i="7"/>
  <c r="BD17" i="7"/>
  <c r="AR17" i="7"/>
  <c r="AF17" i="7"/>
  <c r="T17" i="7"/>
  <c r="H17" i="7"/>
  <c r="AL17" i="7"/>
  <c r="M17" i="7"/>
  <c r="I17" i="7"/>
  <c r="BC17" i="7"/>
  <c r="AQ17" i="7"/>
  <c r="AE17" i="7"/>
  <c r="S17" i="7"/>
  <c r="G17" i="7"/>
  <c r="P17" i="7"/>
  <c r="Z17" i="7"/>
  <c r="Y17" i="7"/>
  <c r="X17" i="7"/>
  <c r="BB17" i="7"/>
  <c r="AP17" i="7"/>
  <c r="AD17" i="7"/>
  <c r="R17" i="7"/>
  <c r="F17" i="7"/>
  <c r="BA17" i="7"/>
  <c r="AO17" i="7"/>
  <c r="AC17" i="7"/>
  <c r="Q17" i="7"/>
  <c r="N32" i="7"/>
  <c r="AV32" i="7"/>
  <c r="AU32" i="7"/>
  <c r="AK32" i="7"/>
  <c r="M32" i="7"/>
  <c r="AR40" i="7"/>
  <c r="BF40" i="7"/>
  <c r="AS40" i="7"/>
  <c r="AF40" i="7"/>
  <c r="S40" i="7"/>
  <c r="F40" i="7"/>
  <c r="K35" i="7"/>
  <c r="R40" i="7"/>
  <c r="BD40" i="7"/>
  <c r="AQ40" i="7"/>
  <c r="AD40" i="7"/>
  <c r="P40" i="7"/>
  <c r="BG34" i="7"/>
  <c r="AT34" i="7"/>
  <c r="AG34" i="7"/>
  <c r="T34" i="7"/>
  <c r="H34" i="7"/>
  <c r="BG31" i="7"/>
  <c r="AT31" i="7"/>
  <c r="AG31" i="7"/>
  <c r="AL32" i="7"/>
  <c r="L32" i="7"/>
  <c r="BE40" i="7"/>
  <c r="AE40" i="7"/>
  <c r="AP40" i="7"/>
  <c r="BB40" i="7"/>
  <c r="AN40" i="7"/>
  <c r="AA40" i="7"/>
  <c r="N40" i="7"/>
  <c r="BE34" i="7"/>
  <c r="AR34" i="7"/>
  <c r="AE34" i="7"/>
  <c r="R34" i="7"/>
  <c r="F34" i="7"/>
  <c r="AJ32" i="7"/>
  <c r="AZ40" i="7"/>
  <c r="AM40" i="7"/>
  <c r="Z40" i="7"/>
  <c r="M40" i="7"/>
  <c r="BD34" i="7"/>
  <c r="AQ34" i="7"/>
  <c r="AC34" i="7"/>
  <c r="Q34" i="7"/>
  <c r="E34" i="7"/>
  <c r="BD31" i="7"/>
  <c r="AQ31" i="7"/>
  <c r="AC31" i="7"/>
  <c r="P31" i="7"/>
  <c r="AI32" i="7"/>
  <c r="AB40" i="7"/>
  <c r="AY40" i="7"/>
  <c r="L40" i="7"/>
  <c r="BC31" i="7"/>
  <c r="AO31" i="7"/>
  <c r="AB32" i="7"/>
  <c r="AX40" i="7"/>
  <c r="AK40" i="7"/>
  <c r="X40" i="7"/>
  <c r="K40" i="7"/>
  <c r="BA34" i="7"/>
  <c r="AN34" i="7"/>
  <c r="AA34" i="7"/>
  <c r="O34" i="7"/>
  <c r="BA31" i="7"/>
  <c r="AN31" i="7"/>
  <c r="AA31" i="7"/>
  <c r="N31" i="7"/>
  <c r="BG32" i="7"/>
  <c r="AA32" i="7"/>
  <c r="BC40" i="7"/>
  <c r="AL40" i="7"/>
  <c r="AZ32" i="7"/>
  <c r="AI40" i="7"/>
  <c r="I40" i="7"/>
  <c r="AY34" i="7"/>
  <c r="Y34" i="7"/>
  <c r="M34" i="7"/>
  <c r="AY31" i="7"/>
  <c r="AL31" i="7"/>
  <c r="Y31" i="7"/>
  <c r="AY32" i="7"/>
  <c r="Y32" i="7"/>
  <c r="AU40" i="7"/>
  <c r="AH40" i="7"/>
  <c r="U40" i="7"/>
  <c r="H40" i="7"/>
  <c r="AX34" i="7"/>
  <c r="AK34" i="7"/>
  <c r="X34" i="7"/>
  <c r="L34" i="7"/>
  <c r="AA35" i="7"/>
  <c r="AX31" i="7"/>
  <c r="AK31" i="7"/>
  <c r="X31" i="7"/>
  <c r="K31" i="7"/>
  <c r="AX32" i="7"/>
  <c r="X32" i="7"/>
  <c r="O40" i="7"/>
  <c r="Y40" i="7"/>
  <c r="AW40" i="7"/>
  <c r="AJ40" i="7"/>
  <c r="W40" i="7"/>
  <c r="J40" i="7"/>
  <c r="AZ34" i="7"/>
  <c r="AM34" i="7"/>
  <c r="Z34" i="7"/>
  <c r="N34" i="7"/>
  <c r="Z32" i="7"/>
  <c r="AV40" i="7"/>
  <c r="V40" i="7"/>
  <c r="AL34" i="7"/>
  <c r="AV35" i="7"/>
  <c r="L31" i="7"/>
  <c r="BG40" i="7"/>
  <c r="AT40" i="7"/>
  <c r="AG40" i="7"/>
  <c r="T40" i="7"/>
  <c r="G40" i="7"/>
  <c r="AW34" i="7"/>
  <c r="AJ34" i="7"/>
  <c r="W34" i="7"/>
  <c r="K34" i="7"/>
  <c r="N35" i="7"/>
  <c r="AW31" i="7"/>
  <c r="AJ31" i="7"/>
  <c r="W31" i="7"/>
  <c r="J31" i="7"/>
  <c r="AW32" i="7"/>
  <c r="W32" i="7"/>
  <c r="BC28" i="7"/>
  <c r="AQ28" i="7"/>
  <c r="AE28" i="7"/>
  <c r="S28" i="7"/>
  <c r="G28" i="7"/>
  <c r="BB28" i="7"/>
  <c r="AP28" i="7"/>
  <c r="AD28" i="7"/>
  <c r="R28" i="7"/>
  <c r="F28" i="7"/>
  <c r="BA28" i="7"/>
  <c r="AO28" i="7"/>
  <c r="AC28" i="7"/>
  <c r="Q28" i="7"/>
  <c r="AW35" i="7"/>
  <c r="P35" i="7"/>
  <c r="AG35" i="7"/>
  <c r="AN32" i="7"/>
  <c r="P32" i="7"/>
  <c r="AU35" i="7"/>
  <c r="AN35" i="7"/>
  <c r="J35" i="7"/>
  <c r="AM35" i="7"/>
  <c r="AB35" i="7"/>
  <c r="AM32" i="7"/>
  <c r="O32" i="7"/>
  <c r="Z35" i="7"/>
  <c r="AZ35" i="7"/>
  <c r="Y35" i="7"/>
  <c r="AY35" i="7"/>
  <c r="X35" i="7"/>
  <c r="AX35" i="7"/>
  <c r="W35" i="7"/>
  <c r="BF32" i="7"/>
  <c r="AT32" i="7"/>
  <c r="AH32" i="7"/>
  <c r="V32" i="7"/>
  <c r="J32" i="7"/>
  <c r="BE32" i="7"/>
  <c r="AS32" i="7"/>
  <c r="AG32" i="7"/>
  <c r="U32" i="7"/>
  <c r="I32" i="7"/>
  <c r="AR32" i="7"/>
  <c r="H32" i="7"/>
  <c r="BC32" i="7"/>
  <c r="AQ32" i="7"/>
  <c r="AE32" i="7"/>
  <c r="S32" i="7"/>
  <c r="G32" i="7"/>
  <c r="T32" i="7"/>
  <c r="BB32" i="7"/>
  <c r="AP32" i="7"/>
  <c r="AD32" i="7"/>
  <c r="R32" i="7"/>
  <c r="F32" i="7"/>
  <c r="BD32" i="7"/>
  <c r="AF32" i="7"/>
  <c r="BA32" i="7"/>
  <c r="AO32" i="7"/>
  <c r="AC32" i="7"/>
  <c r="Q32" i="7"/>
  <c r="BB31" i="7"/>
  <c r="AP31" i="7"/>
  <c r="AD31" i="7"/>
  <c r="R31" i="7"/>
  <c r="AL35" i="7"/>
  <c r="O35" i="7"/>
  <c r="AK35" i="7"/>
  <c r="AJ35" i="7"/>
  <c r="M35" i="7"/>
  <c r="BG35" i="7"/>
  <c r="AI35" i="7"/>
  <c r="L35" i="7"/>
  <c r="BF35" i="7"/>
  <c r="AT35" i="7"/>
  <c r="AH35" i="7"/>
  <c r="V35" i="7"/>
  <c r="AR35" i="7"/>
  <c r="T35" i="7"/>
  <c r="H35" i="7"/>
  <c r="AS35" i="7"/>
  <c r="I35" i="7"/>
  <c r="BC35" i="7"/>
  <c r="AQ35" i="7"/>
  <c r="AE35" i="7"/>
  <c r="S35" i="7"/>
  <c r="G35" i="7"/>
  <c r="BE35" i="7"/>
  <c r="U35" i="7"/>
  <c r="AF35" i="7"/>
  <c r="BB35" i="7"/>
  <c r="AP35" i="7"/>
  <c r="AD35" i="7"/>
  <c r="R35" i="7"/>
  <c r="F35" i="7"/>
  <c r="BD35" i="7"/>
  <c r="BA35" i="7"/>
  <c r="AO35" i="7"/>
  <c r="AC35" i="7"/>
  <c r="Q35" i="7"/>
  <c r="BB34" i="7"/>
  <c r="AP34" i="7"/>
  <c r="W38" i="7"/>
  <c r="AZ38" i="7"/>
  <c r="AI38" i="7"/>
  <c r="AX38" i="7"/>
  <c r="AG38" i="7"/>
  <c r="AF38" i="7"/>
  <c r="N38" i="7"/>
  <c r="BE38" i="7"/>
  <c r="H38" i="7"/>
  <c r="AK38" i="7"/>
  <c r="U38" i="7"/>
  <c r="AY38" i="7"/>
  <c r="P38" i="7"/>
  <c r="AW38" i="7"/>
  <c r="AB38" i="7"/>
  <c r="AL38" i="7"/>
  <c r="BD38" i="7"/>
  <c r="V38" i="7"/>
  <c r="AJ38" i="7"/>
  <c r="T38" i="7"/>
  <c r="AH38" i="7"/>
  <c r="O38" i="7"/>
  <c r="AV38" i="7"/>
  <c r="AU38" i="7"/>
  <c r="M38" i="7"/>
  <c r="AT38" i="7"/>
  <c r="AA38" i="7"/>
  <c r="L38" i="7"/>
  <c r="AS38" i="7"/>
  <c r="Z38" i="7"/>
  <c r="K38" i="7"/>
  <c r="BG38" i="7"/>
  <c r="AN38" i="7"/>
  <c r="Y38" i="7"/>
  <c r="J38" i="7"/>
  <c r="BF38" i="7"/>
  <c r="AM38" i="7"/>
  <c r="X38" i="7"/>
  <c r="I38" i="7"/>
  <c r="AR38" i="7"/>
  <c r="AQ38" i="7"/>
  <c r="AE38" i="7"/>
  <c r="S38" i="7"/>
  <c r="G38" i="7"/>
  <c r="BC38" i="7"/>
  <c r="BB38" i="7"/>
  <c r="AP38" i="7"/>
  <c r="AD38" i="7"/>
  <c r="R38" i="7"/>
  <c r="F38" i="7"/>
  <c r="BA38" i="7"/>
  <c r="AO38" i="7"/>
  <c r="AC38" i="7"/>
  <c r="Q38" i="7"/>
  <c r="BA40" i="7"/>
  <c r="AO40" i="7"/>
  <c r="AC40" i="7"/>
  <c r="Q40" i="7"/>
  <c r="BA3" i="6"/>
  <c r="AC3" i="6"/>
  <c r="AY3" i="6"/>
  <c r="AM3" i="6"/>
  <c r="AA3" i="6"/>
  <c r="O3" i="6"/>
  <c r="B21" i="2"/>
  <c r="AX3" i="6"/>
  <c r="AL3" i="6"/>
  <c r="Z3" i="6"/>
  <c r="N3" i="6"/>
  <c r="AK3" i="6"/>
  <c r="AZ3" i="6"/>
  <c r="AN3" i="6"/>
  <c r="AB3" i="6"/>
  <c r="P3" i="6"/>
  <c r="AW3" i="6"/>
  <c r="Y3" i="6"/>
  <c r="M3" i="6"/>
  <c r="AV3" i="6"/>
  <c r="AJ3" i="6"/>
  <c r="X3" i="6"/>
  <c r="L3" i="6"/>
  <c r="AO3" i="6"/>
  <c r="AU3" i="6"/>
  <c r="BF3" i="6"/>
  <c r="AT3" i="6"/>
  <c r="AH3" i="6"/>
  <c r="V3" i="6"/>
  <c r="J3" i="6"/>
  <c r="BG3" i="6"/>
  <c r="AI3" i="6"/>
  <c r="W3" i="6"/>
  <c r="K3" i="6"/>
  <c r="BE3" i="6"/>
  <c r="AS3" i="6"/>
  <c r="AG3" i="6"/>
  <c r="U3" i="6"/>
  <c r="I3" i="6"/>
  <c r="BD3" i="6"/>
  <c r="AR3" i="6"/>
  <c r="AF3" i="6"/>
  <c r="T3" i="6"/>
  <c r="BC3" i="6"/>
  <c r="AQ3" i="6"/>
  <c r="AE3" i="6"/>
  <c r="AY9" i="6"/>
  <c r="AM9" i="6"/>
  <c r="AA9" i="6"/>
  <c r="O9" i="6"/>
  <c r="BD9" i="6"/>
  <c r="AR9" i="6"/>
  <c r="AF9" i="6"/>
  <c r="T9" i="6"/>
  <c r="H9" i="6"/>
  <c r="BC9" i="6"/>
  <c r="AQ9" i="6"/>
  <c r="AE9" i="6"/>
  <c r="S9" i="6"/>
  <c r="G9" i="6"/>
  <c r="BB9" i="6"/>
  <c r="AP9" i="6"/>
  <c r="AD9" i="6"/>
  <c r="R9" i="6"/>
  <c r="F9" i="6"/>
  <c r="BA9" i="6"/>
  <c r="AO9" i="6"/>
  <c r="AC9" i="6"/>
  <c r="Q9" i="6"/>
  <c r="E9" i="6"/>
  <c r="AZ9" i="6"/>
  <c r="AN9" i="6"/>
  <c r="AB9" i="6"/>
  <c r="P9" i="6"/>
  <c r="AX9" i="6"/>
  <c r="AL9" i="6"/>
  <c r="Z9" i="6"/>
  <c r="N9" i="6"/>
  <c r="AW9" i="6"/>
  <c r="AK9" i="6"/>
  <c r="Y9" i="6"/>
  <c r="M9" i="6"/>
  <c r="AV9" i="6"/>
  <c r="AJ9" i="6"/>
  <c r="X9" i="6"/>
  <c r="L9" i="6"/>
  <c r="BG9" i="6"/>
  <c r="AU9" i="6"/>
  <c r="AI9" i="6"/>
  <c r="W9" i="6"/>
  <c r="K9" i="6"/>
  <c r="BF9" i="6"/>
  <c r="AT9" i="6"/>
  <c r="AH9" i="6"/>
  <c r="V9" i="6"/>
  <c r="J9" i="6"/>
  <c r="BE9" i="6"/>
  <c r="AS9" i="6"/>
  <c r="AG9" i="6"/>
  <c r="U9" i="6"/>
  <c r="AW18" i="6"/>
  <c r="AV18" i="6"/>
  <c r="AJ18" i="6"/>
  <c r="BG18" i="6"/>
  <c r="AU18" i="6"/>
  <c r="AI18" i="6"/>
  <c r="BF18" i="6"/>
  <c r="AT18" i="6"/>
  <c r="AH18" i="6"/>
  <c r="BE18" i="6"/>
  <c r="AS18" i="6"/>
  <c r="AG18" i="6"/>
  <c r="BD18" i="6"/>
  <c r="AR18" i="6"/>
  <c r="BF17" i="6"/>
  <c r="AT17" i="6"/>
  <c r="AH17" i="6"/>
  <c r="BE17" i="6"/>
  <c r="AS17" i="6"/>
  <c r="AG17" i="6"/>
  <c r="BD17" i="6"/>
  <c r="AB16" i="6"/>
  <c r="AZ16" i="6"/>
  <c r="AN16" i="6"/>
  <c r="P16" i="6"/>
  <c r="AY16" i="6"/>
  <c r="AM16" i="6"/>
  <c r="AA16" i="6"/>
  <c r="O16" i="6"/>
  <c r="AX16" i="6"/>
  <c r="AL16" i="6"/>
  <c r="Z16" i="6"/>
  <c r="N16" i="6"/>
  <c r="AW16" i="6"/>
  <c r="AK16" i="6"/>
  <c r="Y16" i="6"/>
  <c r="M16" i="6"/>
  <c r="AV16" i="6"/>
  <c r="AJ16" i="6"/>
  <c r="X16" i="6"/>
  <c r="L16" i="6"/>
  <c r="BG16" i="6"/>
  <c r="AU16" i="6"/>
  <c r="AI16" i="6"/>
  <c r="W16" i="6"/>
  <c r="K16" i="6"/>
  <c r="BF16" i="6"/>
  <c r="AT16" i="6"/>
  <c r="AH16" i="6"/>
  <c r="V16" i="6"/>
  <c r="J16" i="6"/>
  <c r="BE16" i="6"/>
  <c r="AS16" i="6"/>
  <c r="AG16" i="6"/>
  <c r="U16" i="6"/>
  <c r="I16" i="6"/>
  <c r="BD16" i="6"/>
  <c r="AR16" i="6"/>
  <c r="AF16" i="6"/>
  <c r="T16" i="6"/>
  <c r="H16" i="6"/>
  <c r="BC16" i="6"/>
  <c r="AQ16" i="6"/>
  <c r="AE16" i="6"/>
  <c r="S16" i="6"/>
  <c r="G16" i="6"/>
  <c r="BB16" i="6"/>
  <c r="AP16" i="6"/>
  <c r="AD16" i="6"/>
  <c r="R16" i="6"/>
  <c r="F16" i="6"/>
  <c r="BA16" i="6"/>
  <c r="AO16" i="6"/>
  <c r="AC16" i="6"/>
  <c r="Q16" i="6"/>
  <c r="E27" i="2"/>
  <c r="D27" i="2"/>
  <c r="C27" i="2"/>
  <c r="Q27" i="2"/>
  <c r="P27" i="2"/>
  <c r="O27" i="2"/>
  <c r="N27" i="2"/>
  <c r="M27" i="2"/>
  <c r="L27" i="2"/>
  <c r="K27" i="2"/>
  <c r="V27" i="2"/>
  <c r="J27" i="2"/>
  <c r="U27" i="2"/>
  <c r="I27" i="2"/>
  <c r="T27" i="2"/>
  <c r="H27" i="2"/>
  <c r="S27" i="2"/>
  <c r="G27" i="2"/>
  <c r="R27" i="2"/>
  <c r="B23" i="2"/>
  <c r="B19" i="2"/>
  <c r="B17" i="2"/>
  <c r="B9" i="2"/>
  <c r="B8" i="2"/>
  <c r="L315" i="14" l="1"/>
  <c r="Q302" i="12"/>
  <c r="R302" i="12"/>
  <c r="T315" i="14"/>
  <c r="R315" i="14"/>
  <c r="L302" i="12"/>
  <c r="P302" i="12"/>
  <c r="I315" i="14"/>
  <c r="K315" i="13"/>
  <c r="J315" i="14"/>
  <c r="W288" i="12"/>
  <c r="U315" i="13"/>
  <c r="U315" i="14"/>
  <c r="N315" i="14"/>
  <c r="S344" i="12"/>
  <c r="L344" i="12"/>
  <c r="P330" i="14"/>
  <c r="V344" i="12"/>
  <c r="J287" i="12"/>
  <c r="W344" i="12"/>
  <c r="O343" i="12"/>
  <c r="X344" i="12"/>
  <c r="T344" i="12"/>
  <c r="P344" i="12"/>
  <c r="G287" i="12"/>
  <c r="W287" i="12"/>
  <c r="N344" i="12"/>
  <c r="F344" i="12"/>
  <c r="J315" i="13"/>
  <c r="U343" i="14"/>
  <c r="J343" i="14"/>
  <c r="X315" i="13"/>
  <c r="F344" i="13"/>
  <c r="O315" i="13"/>
  <c r="P315" i="13"/>
  <c r="O343" i="14"/>
  <c r="O288" i="12"/>
  <c r="X344" i="13"/>
  <c r="J344" i="13"/>
  <c r="H344" i="13"/>
  <c r="S344" i="13"/>
  <c r="K344" i="13"/>
  <c r="R344" i="12"/>
  <c r="M344" i="12"/>
  <c r="R288" i="12"/>
  <c r="K287" i="12"/>
  <c r="W344" i="13"/>
  <c r="G315" i="13"/>
  <c r="F315" i="13"/>
  <c r="V315" i="14"/>
  <c r="I344" i="12"/>
  <c r="G344" i="12"/>
  <c r="N288" i="12"/>
  <c r="N344" i="13"/>
  <c r="R344" i="13"/>
  <c r="G344" i="13"/>
  <c r="N315" i="13"/>
  <c r="T315" i="13"/>
  <c r="Q343" i="14"/>
  <c r="L287" i="12"/>
  <c r="F288" i="12"/>
  <c r="H287" i="12"/>
  <c r="T287" i="12"/>
  <c r="N302" i="13"/>
  <c r="S343" i="12"/>
  <c r="N343" i="12"/>
  <c r="F343" i="12"/>
  <c r="M302" i="12"/>
  <c r="M343" i="12"/>
  <c r="G302" i="12"/>
  <c r="K302" i="12"/>
  <c r="R343" i="12"/>
  <c r="P343" i="12"/>
  <c r="X302" i="12"/>
  <c r="K343" i="12"/>
  <c r="X343" i="12"/>
  <c r="W329" i="12"/>
  <c r="J343" i="12"/>
  <c r="H302" i="12"/>
  <c r="J302" i="12"/>
  <c r="W343" i="12"/>
  <c r="V343" i="12"/>
  <c r="U302" i="12"/>
  <c r="W302" i="12"/>
  <c r="V329" i="12"/>
  <c r="M329" i="12"/>
  <c r="P329" i="12"/>
  <c r="F330" i="14"/>
  <c r="I330" i="14"/>
  <c r="N330" i="14"/>
  <c r="K329" i="12"/>
  <c r="Q329" i="12"/>
  <c r="H329" i="12"/>
  <c r="S330" i="14"/>
  <c r="V330" i="14"/>
  <c r="X329" i="12"/>
  <c r="S288" i="12"/>
  <c r="I329" i="12"/>
  <c r="H288" i="12"/>
  <c r="P287" i="12"/>
  <c r="F287" i="12"/>
  <c r="M330" i="14"/>
  <c r="O315" i="14"/>
  <c r="Q315" i="14"/>
  <c r="P315" i="14"/>
  <c r="J329" i="12"/>
  <c r="N329" i="12"/>
  <c r="F329" i="12"/>
  <c r="W330" i="14"/>
  <c r="S315" i="14"/>
  <c r="K315" i="14"/>
  <c r="H315" i="14"/>
  <c r="Q330" i="14"/>
  <c r="U343" i="12"/>
  <c r="L343" i="12"/>
  <c r="L329" i="12"/>
  <c r="S329" i="12"/>
  <c r="T329" i="12"/>
  <c r="J288" i="12"/>
  <c r="O287" i="12"/>
  <c r="H330" i="14"/>
  <c r="G315" i="14"/>
  <c r="N302" i="14"/>
  <c r="O302" i="14"/>
  <c r="O329" i="12"/>
  <c r="U329" i="12"/>
  <c r="G329" i="12"/>
  <c r="U330" i="14"/>
  <c r="K330" i="14"/>
  <c r="F315" i="14"/>
  <c r="X315" i="14"/>
  <c r="H302" i="14"/>
  <c r="X330" i="14"/>
  <c r="W315" i="14"/>
  <c r="O330" i="14"/>
  <c r="V302" i="14"/>
  <c r="U288" i="12"/>
  <c r="P288" i="12"/>
  <c r="T288" i="12"/>
  <c r="I288" i="12"/>
  <c r="K288" i="12"/>
  <c r="I344" i="13"/>
  <c r="M344" i="13"/>
  <c r="I302" i="14"/>
  <c r="P302" i="14"/>
  <c r="V288" i="12"/>
  <c r="X288" i="12"/>
  <c r="G343" i="12"/>
  <c r="I343" i="12"/>
  <c r="Q288" i="12"/>
  <c r="U344" i="13"/>
  <c r="O344" i="13"/>
  <c r="P344" i="13"/>
  <c r="V344" i="13"/>
  <c r="S302" i="14"/>
  <c r="U302" i="14"/>
  <c r="W302" i="14"/>
  <c r="L302" i="14"/>
  <c r="H344" i="12"/>
  <c r="K344" i="12"/>
  <c r="O344" i="12"/>
  <c r="T343" i="12"/>
  <c r="Q343" i="12"/>
  <c r="T302" i="12"/>
  <c r="I302" i="12"/>
  <c r="N302" i="12"/>
  <c r="O302" i="12"/>
  <c r="S302" i="12"/>
  <c r="S287" i="12"/>
  <c r="Q287" i="12"/>
  <c r="R315" i="13"/>
  <c r="I315" i="13"/>
  <c r="H315" i="13"/>
  <c r="K343" i="14"/>
  <c r="G330" i="14"/>
  <c r="L330" i="14"/>
  <c r="X302" i="14"/>
  <c r="M302" i="14"/>
  <c r="U344" i="12"/>
  <c r="J344" i="12"/>
  <c r="V302" i="12"/>
  <c r="L288" i="12"/>
  <c r="R287" i="12"/>
  <c r="X287" i="12"/>
  <c r="T344" i="13"/>
  <c r="S315" i="13"/>
  <c r="W315" i="13"/>
  <c r="M315" i="13"/>
  <c r="Q315" i="13"/>
  <c r="R330" i="14"/>
  <c r="T330" i="14"/>
  <c r="E213" i="10" a="1"/>
  <c r="Z215" i="10" s="1"/>
  <c r="E29" i="7" a="1"/>
  <c r="W29" i="7" s="1"/>
  <c r="J302" i="14"/>
  <c r="R302" i="14"/>
  <c r="E207" i="13" a="1"/>
  <c r="J316" i="12"/>
  <c r="E12" i="6" a="1"/>
  <c r="E11" i="6" a="1"/>
  <c r="S343" i="14"/>
  <c r="E207" i="14" a="1"/>
  <c r="P207" i="14" s="1"/>
  <c r="E235" i="14" a="1"/>
  <c r="W235" i="14" s="1"/>
  <c r="E6" i="7" a="1"/>
  <c r="E263" i="14" a="1"/>
  <c r="J263" i="14" s="1"/>
  <c r="E249" i="14" a="1"/>
  <c r="AE249" i="14" s="1"/>
  <c r="AV36" i="10"/>
  <c r="AW107" i="10"/>
  <c r="AK36" i="10"/>
  <c r="O107" i="10"/>
  <c r="J107" i="10"/>
  <c r="AW37" i="10"/>
  <c r="AJ105" i="10"/>
  <c r="AK107" i="10"/>
  <c r="W105" i="10"/>
  <c r="V36" i="10"/>
  <c r="BC35" i="10"/>
  <c r="AG35" i="10"/>
  <c r="BC37" i="10"/>
  <c r="BC107" i="10"/>
  <c r="L107" i="10"/>
  <c r="AJ106" i="10"/>
  <c r="AX105" i="10"/>
  <c r="I107" i="10"/>
  <c r="AV106" i="10"/>
  <c r="N106" i="10"/>
  <c r="X107" i="10"/>
  <c r="AJ35" i="10"/>
  <c r="Y37" i="10"/>
  <c r="AK106" i="10"/>
  <c r="AV35" i="10"/>
  <c r="AK37" i="10"/>
  <c r="V35" i="10"/>
  <c r="BD106" i="10"/>
  <c r="AG105" i="10"/>
  <c r="AW105" i="10"/>
  <c r="AH105" i="10"/>
  <c r="AE105" i="10"/>
  <c r="AE106" i="10"/>
  <c r="T106" i="10"/>
  <c r="AX106" i="10"/>
  <c r="AA107" i="10"/>
  <c r="Q107" i="10"/>
  <c r="N107" i="10"/>
  <c r="W106" i="10"/>
  <c r="AV37" i="10"/>
  <c r="AW35" i="10"/>
  <c r="AD35" i="10"/>
  <c r="AM35" i="10"/>
  <c r="AZ36" i="10"/>
  <c r="AL37" i="10"/>
  <c r="BD37" i="10"/>
  <c r="AD37" i="10"/>
  <c r="X36" i="10"/>
  <c r="U35" i="10"/>
  <c r="AO36" i="10"/>
  <c r="N37" i="10"/>
  <c r="M36" i="10"/>
  <c r="U107" i="10"/>
  <c r="AM105" i="10"/>
  <c r="BD105" i="10"/>
  <c r="AS106" i="10"/>
  <c r="H106" i="10"/>
  <c r="AO107" i="10"/>
  <c r="S107" i="10"/>
  <c r="S105" i="10"/>
  <c r="P105" i="10"/>
  <c r="AM107" i="10"/>
  <c r="AK35" i="10"/>
  <c r="AF36" i="10"/>
  <c r="Z36" i="10"/>
  <c r="AZ37" i="10"/>
  <c r="AC37" i="10"/>
  <c r="AE37" i="10"/>
  <c r="K37" i="10"/>
  <c r="L36" i="10"/>
  <c r="Q36" i="10"/>
  <c r="R37" i="10"/>
  <c r="T35" i="10"/>
  <c r="AI105" i="10"/>
  <c r="AO105" i="10"/>
  <c r="AA106" i="10"/>
  <c r="AH106" i="10"/>
  <c r="U105" i="10"/>
  <c r="R105" i="10"/>
  <c r="AI107" i="10"/>
  <c r="BA107" i="10"/>
  <c r="AZ35" i="10"/>
  <c r="AT36" i="10"/>
  <c r="AN36" i="10"/>
  <c r="BA36" i="10"/>
  <c r="AQ37" i="10"/>
  <c r="AF37" i="10"/>
  <c r="K35" i="10"/>
  <c r="P36" i="10"/>
  <c r="J36" i="10"/>
  <c r="O36" i="10"/>
  <c r="Y106" i="10"/>
  <c r="AY105" i="10"/>
  <c r="AQ105" i="10"/>
  <c r="AO106" i="10"/>
  <c r="AG106" i="10"/>
  <c r="S106" i="10"/>
  <c r="BA106" i="10"/>
  <c r="I105" i="10"/>
  <c r="AF107" i="10"/>
  <c r="AY107" i="10"/>
  <c r="V107" i="10"/>
  <c r="T107" i="10"/>
  <c r="Z35" i="10"/>
  <c r="Y35" i="10"/>
  <c r="BA35" i="10"/>
  <c r="AQ35" i="10"/>
  <c r="BB36" i="10"/>
  <c r="Z37" i="10"/>
  <c r="AG37" i="10"/>
  <c r="J35" i="10"/>
  <c r="AC36" i="10"/>
  <c r="Q35" i="10"/>
  <c r="X37" i="10"/>
  <c r="Z105" i="10"/>
  <c r="AA105" i="10"/>
  <c r="BC106" i="10"/>
  <c r="AU106" i="10"/>
  <c r="AM106" i="10"/>
  <c r="AS105" i="10"/>
  <c r="K105" i="10"/>
  <c r="T105" i="10"/>
  <c r="AT107" i="10"/>
  <c r="M107" i="10"/>
  <c r="K106" i="10"/>
  <c r="P107" i="10"/>
  <c r="AL35" i="10"/>
  <c r="AE35" i="10"/>
  <c r="AN35" i="10"/>
  <c r="AY35" i="10"/>
  <c r="AG36" i="10"/>
  <c r="AC35" i="10"/>
  <c r="AN37" i="10"/>
  <c r="AA36" i="10"/>
  <c r="AR37" i="10"/>
  <c r="BD36" i="10"/>
  <c r="T37" i="10"/>
  <c r="O35" i="10"/>
  <c r="Q37" i="10"/>
  <c r="S37" i="10"/>
  <c r="AW106" i="10"/>
  <c r="AU105" i="10"/>
  <c r="AB106" i="10"/>
  <c r="AI106" i="10"/>
  <c r="R106" i="10"/>
  <c r="M106" i="10"/>
  <c r="AB107" i="10"/>
  <c r="H105" i="10"/>
  <c r="AG107" i="10"/>
  <c r="O105" i="10"/>
  <c r="X105" i="10"/>
  <c r="AX35" i="10"/>
  <c r="AS35" i="10"/>
  <c r="BB35" i="10"/>
  <c r="AD36" i="10"/>
  <c r="AU36" i="10"/>
  <c r="BC36" i="10"/>
  <c r="BB37" i="10"/>
  <c r="N36" i="10"/>
  <c r="I36" i="10"/>
  <c r="M35" i="10"/>
  <c r="AJ107" i="10"/>
  <c r="BB105" i="10"/>
  <c r="AB105" i="10"/>
  <c r="AP106" i="10"/>
  <c r="AY106" i="10"/>
  <c r="AN106" i="10"/>
  <c r="BB106" i="10"/>
  <c r="AP107" i="10"/>
  <c r="AD107" i="10"/>
  <c r="AU107" i="10"/>
  <c r="AL107" i="10"/>
  <c r="R107" i="10"/>
  <c r="M105" i="10"/>
  <c r="AJ36" i="10"/>
  <c r="AA35" i="10"/>
  <c r="AR36" i="10"/>
  <c r="AH37" i="10"/>
  <c r="AS37" i="10"/>
  <c r="L37" i="10"/>
  <c r="S35" i="10"/>
  <c r="W36" i="10"/>
  <c r="I37" i="10"/>
  <c r="AV107" i="10"/>
  <c r="AR105" i="10"/>
  <c r="AZ105" i="10"/>
  <c r="AL106" i="10"/>
  <c r="Q106" i="10"/>
  <c r="X106" i="10"/>
  <c r="BD107" i="10"/>
  <c r="AR107" i="10"/>
  <c r="AZ107" i="10"/>
  <c r="AF35" i="10"/>
  <c r="AO35" i="10"/>
  <c r="AH36" i="10"/>
  <c r="AX37" i="10"/>
  <c r="AA37" i="10"/>
  <c r="AT37" i="10"/>
  <c r="T36" i="10"/>
  <c r="AM36" i="10"/>
  <c r="N35" i="10"/>
  <c r="AC105" i="10"/>
  <c r="AC106" i="10"/>
  <c r="AZ106" i="10"/>
  <c r="AR106" i="10"/>
  <c r="L106" i="10"/>
  <c r="V105" i="10"/>
  <c r="Q105" i="10"/>
  <c r="Z107" i="10"/>
  <c r="K107" i="10"/>
  <c r="Y36" i="10"/>
  <c r="AT35" i="10"/>
  <c r="AI35" i="10"/>
  <c r="AX36" i="10"/>
  <c r="AP36" i="10"/>
  <c r="AO37" i="10"/>
  <c r="AU37" i="10"/>
  <c r="I35" i="10"/>
  <c r="K36" i="10"/>
  <c r="M37" i="10"/>
  <c r="H37" i="10"/>
  <c r="W35" i="10"/>
  <c r="AV105" i="10"/>
  <c r="BA105" i="10"/>
  <c r="AD106" i="10"/>
  <c r="P106" i="10"/>
  <c r="Z106" i="10"/>
  <c r="J105" i="10"/>
  <c r="AE107" i="10"/>
  <c r="N105" i="10"/>
  <c r="AN107" i="10"/>
  <c r="AB35" i="10"/>
  <c r="AE36" i="10"/>
  <c r="AI36" i="10"/>
  <c r="AI37" i="10"/>
  <c r="AB36" i="10"/>
  <c r="P37" i="10"/>
  <c r="H35" i="10"/>
  <c r="R35" i="10"/>
  <c r="U36" i="10"/>
  <c r="U37" i="10"/>
  <c r="U106" i="10"/>
  <c r="W37" i="10"/>
  <c r="AQ106" i="10"/>
  <c r="Y105" i="10"/>
  <c r="AF105" i="10"/>
  <c r="AD105" i="10"/>
  <c r="I106" i="10"/>
  <c r="AT106" i="10"/>
  <c r="V106" i="10"/>
  <c r="AC107" i="10"/>
  <c r="AS107" i="10"/>
  <c r="AH107" i="10"/>
  <c r="BB107" i="10"/>
  <c r="H107" i="10"/>
  <c r="AW36" i="10"/>
  <c r="AU35" i="10"/>
  <c r="AP35" i="10"/>
  <c r="AS36" i="10"/>
  <c r="AY36" i="10"/>
  <c r="AY37" i="10"/>
  <c r="AB37" i="10"/>
  <c r="BA37" i="10"/>
  <c r="V37" i="10"/>
  <c r="R36" i="10"/>
  <c r="S36" i="10"/>
  <c r="H36" i="10"/>
  <c r="L35" i="10"/>
  <c r="AK105" i="10"/>
  <c r="AT105" i="10"/>
  <c r="AL105" i="10"/>
  <c r="BC105" i="10"/>
  <c r="AP105" i="10"/>
  <c r="AF106" i="10"/>
  <c r="O106" i="10"/>
  <c r="J106" i="10"/>
  <c r="AQ107" i="10"/>
  <c r="AX107" i="10"/>
  <c r="L105" i="10"/>
  <c r="W107" i="10"/>
  <c r="AJ37" i="10"/>
  <c r="AH35" i="10"/>
  <c r="BD35" i="10"/>
  <c r="AL36" i="10"/>
  <c r="AQ36" i="10"/>
  <c r="AP37" i="10"/>
  <c r="J37" i="10"/>
  <c r="P35" i="10"/>
  <c r="X35" i="10"/>
  <c r="AM37" i="10"/>
  <c r="O37" i="10"/>
  <c r="E250" i="14" a="1"/>
  <c r="O250" i="14" s="1"/>
  <c r="E221" i="14" a="1"/>
  <c r="Z221" i="14" s="1"/>
  <c r="E208" i="14" a="1"/>
  <c r="T208" i="14" s="1"/>
  <c r="E189" i="10" a="1"/>
  <c r="E189" i="10" s="1"/>
  <c r="E236" i="14" a="1"/>
  <c r="Y236" i="14" s="1"/>
  <c r="E250" i="13" a="1"/>
  <c r="U250" i="13" s="1"/>
  <c r="E264" i="13" a="1"/>
  <c r="AC264" i="13" s="1"/>
  <c r="E201" i="10" a="1"/>
  <c r="E264" i="14" a="1"/>
  <c r="F264" i="14" s="1"/>
  <c r="E222" i="14" a="1"/>
  <c r="AI222" i="14" s="1"/>
  <c r="E221" i="13" a="1"/>
  <c r="AC221" i="13" s="1"/>
  <c r="Q207" i="14"/>
  <c r="F207" i="14"/>
  <c r="R207" i="14"/>
  <c r="AD207" i="14"/>
  <c r="G207" i="14"/>
  <c r="S207" i="14"/>
  <c r="AC207" i="14"/>
  <c r="AE207" i="14"/>
  <c r="F93" i="14"/>
  <c r="AD249" i="14"/>
  <c r="E65" i="14"/>
  <c r="F65" i="14" s="1"/>
  <c r="O288" i="14"/>
  <c r="F288" i="14"/>
  <c r="W288" i="14"/>
  <c r="L288" i="14"/>
  <c r="G302" i="14"/>
  <c r="F302" i="14"/>
  <c r="K302" i="14"/>
  <c r="T302" i="14"/>
  <c r="V343" i="14"/>
  <c r="P343" i="14"/>
  <c r="F343" i="14"/>
  <c r="R288" i="14"/>
  <c r="H343" i="14"/>
  <c r="W343" i="14"/>
  <c r="G288" i="14"/>
  <c r="J288" i="14"/>
  <c r="X288" i="14"/>
  <c r="T221" i="14"/>
  <c r="P288" i="14"/>
  <c r="S288" i="14"/>
  <c r="V288" i="14"/>
  <c r="Q288" i="14"/>
  <c r="L343" i="14"/>
  <c r="G343" i="14"/>
  <c r="X343" i="14"/>
  <c r="H288" i="14"/>
  <c r="M288" i="14"/>
  <c r="M343" i="14"/>
  <c r="T288" i="14"/>
  <c r="R343" i="14"/>
  <c r="N288" i="14"/>
  <c r="T343" i="14"/>
  <c r="I288" i="14"/>
  <c r="I343" i="14"/>
  <c r="U288" i="14"/>
  <c r="F149" i="14"/>
  <c r="E121" i="14"/>
  <c r="F121" i="14" s="1"/>
  <c r="P263" i="14"/>
  <c r="AH263" i="14"/>
  <c r="AM263" i="14"/>
  <c r="X263" i="14"/>
  <c r="Q263" i="14"/>
  <c r="I263" i="14"/>
  <c r="AG263" i="14"/>
  <c r="AN263" i="14"/>
  <c r="AC263" i="14"/>
  <c r="AL263" i="14"/>
  <c r="O263" i="14"/>
  <c r="Y263" i="14"/>
  <c r="F263" i="14"/>
  <c r="W263" i="14"/>
  <c r="AF263" i="14"/>
  <c r="R263" i="14"/>
  <c r="H263" i="14"/>
  <c r="N263" i="14"/>
  <c r="AD263" i="14"/>
  <c r="AK263" i="14"/>
  <c r="AB263" i="14"/>
  <c r="K263" i="14"/>
  <c r="G263" i="14"/>
  <c r="V263" i="14"/>
  <c r="M263" i="14"/>
  <c r="S263" i="14"/>
  <c r="AJ263" i="14"/>
  <c r="AA263" i="14"/>
  <c r="AE263" i="14"/>
  <c r="U263" i="14"/>
  <c r="L263" i="14"/>
  <c r="AI263" i="14"/>
  <c r="E263" i="14"/>
  <c r="T263" i="14"/>
  <c r="Z263" i="14"/>
  <c r="R250" i="14"/>
  <c r="Y207" i="14"/>
  <c r="AN207" i="14"/>
  <c r="E207" i="14"/>
  <c r="AH207" i="14"/>
  <c r="L207" i="14"/>
  <c r="AF207" i="14"/>
  <c r="Z207" i="14"/>
  <c r="AK207" i="14"/>
  <c r="AG207" i="14"/>
  <c r="W207" i="14"/>
  <c r="V207" i="14"/>
  <c r="T207" i="14"/>
  <c r="AI207" i="14"/>
  <c r="M207" i="14"/>
  <c r="K207" i="14"/>
  <c r="J207" i="14"/>
  <c r="H207" i="14"/>
  <c r="I207" i="14"/>
  <c r="AA207" i="14"/>
  <c r="O207" i="14"/>
  <c r="AJ207" i="14"/>
  <c r="U207" i="14"/>
  <c r="AM207" i="14"/>
  <c r="V221" i="14"/>
  <c r="N207" i="14"/>
  <c r="AL207" i="14"/>
  <c r="X207" i="14"/>
  <c r="AB207" i="14"/>
  <c r="AL249" i="14"/>
  <c r="AB249" i="14"/>
  <c r="AG249" i="14"/>
  <c r="AK249" i="14"/>
  <c r="X264" i="14"/>
  <c r="K264" i="14"/>
  <c r="AD221" i="13"/>
  <c r="P207" i="13"/>
  <c r="AA207" i="13"/>
  <c r="V207" i="13"/>
  <c r="W207" i="13"/>
  <c r="E249" i="13" a="1"/>
  <c r="AK249" i="13" s="1"/>
  <c r="E222" i="13" a="1"/>
  <c r="H222" i="13" s="1"/>
  <c r="E236" i="13" a="1"/>
  <c r="G236" i="13" s="1"/>
  <c r="E263" i="13" a="1"/>
  <c r="AM263" i="13" s="1"/>
  <c r="E208" i="13" a="1"/>
  <c r="K208" i="13" s="1"/>
  <c r="E235" i="13" a="1"/>
  <c r="AN235" i="13" s="1"/>
  <c r="E177" i="10" a="1"/>
  <c r="M302" i="13"/>
  <c r="J302" i="13"/>
  <c r="G302" i="13"/>
  <c r="V302" i="13"/>
  <c r="S302" i="13"/>
  <c r="K302" i="13"/>
  <c r="H302" i="13"/>
  <c r="W302" i="13"/>
  <c r="P302" i="13"/>
  <c r="T302" i="13"/>
  <c r="I302" i="13"/>
  <c r="L302" i="13"/>
  <c r="U302" i="13"/>
  <c r="X302" i="13"/>
  <c r="F302" i="13"/>
  <c r="R302" i="13"/>
  <c r="O302" i="13"/>
  <c r="F93" i="13"/>
  <c r="E65" i="13"/>
  <c r="F65" i="13" s="1"/>
  <c r="G65" i="13" s="1"/>
  <c r="F149" i="13"/>
  <c r="E121" i="13"/>
  <c r="F121" i="13" s="1"/>
  <c r="L344" i="13"/>
  <c r="Y221" i="13"/>
  <c r="AD207" i="13"/>
  <c r="J207" i="13"/>
  <c r="O207" i="13"/>
  <c r="G207" i="13"/>
  <c r="AH207" i="13"/>
  <c r="AM207" i="13"/>
  <c r="S207" i="13"/>
  <c r="L207" i="13"/>
  <c r="AE207" i="13"/>
  <c r="X207" i="13"/>
  <c r="AN207" i="13"/>
  <c r="AI207" i="13"/>
  <c r="AJ207" i="13"/>
  <c r="E207" i="13"/>
  <c r="H207" i="13"/>
  <c r="Z207" i="13"/>
  <c r="Q207" i="13"/>
  <c r="T207" i="13"/>
  <c r="M207" i="13"/>
  <c r="AB207" i="13"/>
  <c r="AC207" i="13"/>
  <c r="AF207" i="13"/>
  <c r="Y207" i="13"/>
  <c r="K207" i="13"/>
  <c r="I207" i="13"/>
  <c r="AK207" i="13"/>
  <c r="F207" i="13"/>
  <c r="U207" i="13"/>
  <c r="N207" i="13"/>
  <c r="R207" i="13"/>
  <c r="AG207" i="13"/>
  <c r="AL207" i="13"/>
  <c r="G221" i="13"/>
  <c r="AA221" i="13"/>
  <c r="AM221" i="13"/>
  <c r="E264" i="12" a="1"/>
  <c r="AB264" i="12" s="1"/>
  <c r="E263" i="12" a="1"/>
  <c r="I263" i="12" s="1"/>
  <c r="E250" i="12" a="1"/>
  <c r="AE250" i="12" s="1"/>
  <c r="E222" i="12" a="1"/>
  <c r="AF222" i="12" s="1"/>
  <c r="E235" i="12" a="1"/>
  <c r="AB235" i="12" s="1"/>
  <c r="E165" i="10" a="1"/>
  <c r="E221" i="12" a="1"/>
  <c r="AH221" i="12" s="1"/>
  <c r="E236" i="12" a="1"/>
  <c r="N236" i="12" s="1"/>
  <c r="E153" i="10" a="1"/>
  <c r="E249" i="12" a="1"/>
  <c r="O249" i="12" s="1"/>
  <c r="E208" i="12" a="1"/>
  <c r="U208" i="12" s="1"/>
  <c r="E207" i="12" a="1"/>
  <c r="M207" i="12" s="1"/>
  <c r="Y107" i="10"/>
  <c r="L316" i="12"/>
  <c r="W316" i="12"/>
  <c r="O316" i="12"/>
  <c r="M316" i="12"/>
  <c r="H316" i="12"/>
  <c r="F316" i="12"/>
  <c r="T316" i="12"/>
  <c r="K316" i="12"/>
  <c r="X316" i="12"/>
  <c r="P316" i="12"/>
  <c r="U316" i="12"/>
  <c r="V316" i="12"/>
  <c r="N316" i="12"/>
  <c r="S316" i="12"/>
  <c r="I316" i="12"/>
  <c r="G316" i="12"/>
  <c r="M287" i="12"/>
  <c r="U287" i="12"/>
  <c r="I287" i="12"/>
  <c r="N287" i="12"/>
  <c r="G288" i="12"/>
  <c r="E65" i="12"/>
  <c r="F65" i="12" s="1"/>
  <c r="G65" i="12" s="1"/>
  <c r="H65" i="12" s="1"/>
  <c r="I65" i="12" s="1"/>
  <c r="J65" i="12" s="1"/>
  <c r="K65" i="12" s="1"/>
  <c r="L65" i="12" s="1"/>
  <c r="M65" i="12" s="1"/>
  <c r="N65" i="12" s="1"/>
  <c r="O65" i="12" s="1"/>
  <c r="P65" i="12" s="1"/>
  <c r="Q65" i="12" s="1"/>
  <c r="R65" i="12" s="1"/>
  <c r="S65" i="12" s="1"/>
  <c r="T65" i="12" s="1"/>
  <c r="U65" i="12" s="1"/>
  <c r="V65" i="12" s="1"/>
  <c r="W65" i="12" s="1"/>
  <c r="X65" i="12" s="1"/>
  <c r="Y65" i="12" s="1"/>
  <c r="Z65" i="12" s="1"/>
  <c r="AA65" i="12" s="1"/>
  <c r="AB65" i="12" s="1"/>
  <c r="AC65" i="12" s="1"/>
  <c r="AD65" i="12" s="1"/>
  <c r="AE65" i="12" s="1"/>
  <c r="AF65" i="12" s="1"/>
  <c r="AG65" i="12" s="1"/>
  <c r="AH65" i="12" s="1"/>
  <c r="AI65" i="12" s="1"/>
  <c r="AJ65" i="12" s="1"/>
  <c r="AK65" i="12" s="1"/>
  <c r="AL65" i="12" s="1"/>
  <c r="AM65" i="12" s="1"/>
  <c r="AN65" i="12" s="1"/>
  <c r="F93" i="12"/>
  <c r="R316" i="12"/>
  <c r="E121" i="12"/>
  <c r="F121" i="12" s="1"/>
  <c r="G121" i="12" s="1"/>
  <c r="H121" i="12" s="1"/>
  <c r="I121" i="12" s="1"/>
  <c r="J121" i="12" s="1"/>
  <c r="K121" i="12" s="1"/>
  <c r="L121" i="12" s="1"/>
  <c r="M121" i="12" s="1"/>
  <c r="N121" i="12" s="1"/>
  <c r="O121" i="12" s="1"/>
  <c r="P121" i="12" s="1"/>
  <c r="Q121" i="12" s="1"/>
  <c r="R121" i="12" s="1"/>
  <c r="S121" i="12" s="1"/>
  <c r="T121" i="12" s="1"/>
  <c r="U121" i="12" s="1"/>
  <c r="V121" i="12" s="1"/>
  <c r="W121" i="12" s="1"/>
  <c r="X121" i="12" s="1"/>
  <c r="Y121" i="12" s="1"/>
  <c r="Z121" i="12" s="1"/>
  <c r="AA121" i="12" s="1"/>
  <c r="AB121" i="12" s="1"/>
  <c r="AC121" i="12" s="1"/>
  <c r="AD121" i="12" s="1"/>
  <c r="AE121" i="12" s="1"/>
  <c r="AF121" i="12" s="1"/>
  <c r="AG121" i="12" s="1"/>
  <c r="AH121" i="12" s="1"/>
  <c r="AI121" i="12" s="1"/>
  <c r="AJ121" i="12" s="1"/>
  <c r="AK121" i="12" s="1"/>
  <c r="AL121" i="12" s="1"/>
  <c r="AM121" i="12" s="1"/>
  <c r="AN121" i="12" s="1"/>
  <c r="F149" i="12"/>
  <c r="BE107" i="10"/>
  <c r="BF105" i="10"/>
  <c r="G105" i="10"/>
  <c r="BG105" i="10"/>
  <c r="BE106" i="10"/>
  <c r="G106" i="10"/>
  <c r="BF37" i="10"/>
  <c r="BG37" i="10"/>
  <c r="E37" i="10"/>
  <c r="F105" i="10"/>
  <c r="BF36" i="10"/>
  <c r="F36" i="10"/>
  <c r="F106" i="10"/>
  <c r="BF107" i="10"/>
  <c r="BE35" i="10"/>
  <c r="G35" i="10"/>
  <c r="G37" i="10"/>
  <c r="BG106" i="10"/>
  <c r="BG35" i="10"/>
  <c r="E36" i="10"/>
  <c r="F37" i="10"/>
  <c r="BG36" i="10"/>
  <c r="BG107" i="10"/>
  <c r="F107" i="10"/>
  <c r="BE36" i="10"/>
  <c r="G36" i="10"/>
  <c r="BE105" i="10"/>
  <c r="E106" i="10"/>
  <c r="BF106" i="10"/>
  <c r="G107" i="10"/>
  <c r="F35" i="10"/>
  <c r="E107" i="10"/>
  <c r="E105" i="10"/>
  <c r="BE37" i="10"/>
  <c r="E7" i="10" a="1"/>
  <c r="V7" i="10" s="1"/>
  <c r="AR35" i="10"/>
  <c r="BF35" i="10"/>
  <c r="E77" i="10" a="1"/>
  <c r="AN105" i="10"/>
  <c r="O221" i="13" l="1"/>
  <c r="V208" i="14"/>
  <c r="AG235" i="12"/>
  <c r="AK221" i="13"/>
  <c r="AH221" i="13"/>
  <c r="S208" i="14"/>
  <c r="I221" i="13"/>
  <c r="AK208" i="14"/>
  <c r="AF208" i="14"/>
  <c r="I208" i="14"/>
  <c r="AJ221" i="13"/>
  <c r="V249" i="14"/>
  <c r="AJ249" i="14"/>
  <c r="H249" i="14"/>
  <c r="P249" i="14"/>
  <c r="M249" i="14"/>
  <c r="Z249" i="14"/>
  <c r="E249" i="14"/>
  <c r="G249" i="14"/>
  <c r="J249" i="14"/>
  <c r="E221" i="13"/>
  <c r="W221" i="13"/>
  <c r="Y249" i="14"/>
  <c r="X221" i="13"/>
  <c r="AG221" i="13"/>
  <c r="I249" i="14"/>
  <c r="N208" i="14"/>
  <c r="P236" i="12"/>
  <c r="AJ264" i="13"/>
  <c r="U249" i="14"/>
  <c r="X249" i="14"/>
  <c r="O249" i="14"/>
  <c r="T249" i="14"/>
  <c r="Q249" i="14"/>
  <c r="AC249" i="14"/>
  <c r="L249" i="14"/>
  <c r="AN249" i="14"/>
  <c r="AI249" i="14"/>
  <c r="R249" i="14"/>
  <c r="S249" i="14"/>
  <c r="AA249" i="14"/>
  <c r="AM249" i="14"/>
  <c r="AH249" i="14"/>
  <c r="M221" i="13"/>
  <c r="AF249" i="14"/>
  <c r="K249" i="14"/>
  <c r="W249" i="14"/>
  <c r="N249" i="14"/>
  <c r="AG222" i="14"/>
  <c r="E221" i="14"/>
  <c r="I221" i="14"/>
  <c r="X221" i="14"/>
  <c r="H221" i="14"/>
  <c r="AG264" i="14"/>
  <c r="AE250" i="14"/>
  <c r="U250" i="14"/>
  <c r="I250" i="14"/>
  <c r="AI264" i="14"/>
  <c r="AH250" i="14"/>
  <c r="Q264" i="14"/>
  <c r="O264" i="13"/>
  <c r="E236" i="13"/>
  <c r="O264" i="14"/>
  <c r="AA208" i="14"/>
  <c r="E250" i="13"/>
  <c r="AB221" i="13"/>
  <c r="K221" i="13"/>
  <c r="T221" i="13"/>
  <c r="F221" i="13"/>
  <c r="K250" i="14"/>
  <c r="AL208" i="14"/>
  <c r="AE264" i="14"/>
  <c r="AN236" i="13"/>
  <c r="AK264" i="14"/>
  <c r="AB250" i="14"/>
  <c r="AI250" i="14"/>
  <c r="AD264" i="13"/>
  <c r="AG250" i="14"/>
  <c r="AI264" i="13"/>
  <c r="F264" i="13"/>
  <c r="I208" i="12"/>
  <c r="G263" i="13"/>
  <c r="AK264" i="13"/>
  <c r="W221" i="14"/>
  <c r="AL264" i="13"/>
  <c r="I222" i="12"/>
  <c r="I264" i="13"/>
  <c r="X264" i="13"/>
  <c r="AK236" i="14"/>
  <c r="L208" i="14"/>
  <c r="AD208" i="14"/>
  <c r="S264" i="13"/>
  <c r="M264" i="14"/>
  <c r="J250" i="14"/>
  <c r="AC236" i="13"/>
  <c r="AB222" i="12"/>
  <c r="U236" i="12"/>
  <c r="AM236" i="13"/>
  <c r="X236" i="12"/>
  <c r="AE236" i="13"/>
  <c r="Y236" i="12"/>
  <c r="Z236" i="12"/>
  <c r="J208" i="12"/>
  <c r="H250" i="12"/>
  <c r="W264" i="13"/>
  <c r="J264" i="13"/>
  <c r="H264" i="14"/>
  <c r="L250" i="14"/>
  <c r="P222" i="14"/>
  <c r="AI263" i="13"/>
  <c r="AN263" i="13"/>
  <c r="AM222" i="12"/>
  <c r="X208" i="12"/>
  <c r="Q221" i="12"/>
  <c r="L264" i="13"/>
  <c r="Z264" i="13"/>
  <c r="AN264" i="14"/>
  <c r="AJ221" i="14"/>
  <c r="N250" i="14"/>
  <c r="G250" i="14"/>
  <c r="AN250" i="14"/>
  <c r="W221" i="12"/>
  <c r="AA221" i="12"/>
  <c r="K221" i="12"/>
  <c r="AN264" i="12"/>
  <c r="AE221" i="12"/>
  <c r="AB221" i="12"/>
  <c r="AF264" i="12"/>
  <c r="R221" i="12"/>
  <c r="J264" i="12"/>
  <c r="E236" i="14"/>
  <c r="R221" i="14"/>
  <c r="T221" i="12"/>
  <c r="AE235" i="12"/>
  <c r="P250" i="13"/>
  <c r="F236" i="13"/>
  <c r="AF250" i="13"/>
  <c r="AB208" i="13"/>
  <c r="AG263" i="13"/>
  <c r="M264" i="13"/>
  <c r="AE264" i="13"/>
  <c r="R264" i="13"/>
  <c r="Q264" i="13"/>
  <c r="AJ222" i="12"/>
  <c r="X235" i="12"/>
  <c r="G236" i="12"/>
  <c r="T235" i="12"/>
  <c r="AF249" i="13"/>
  <c r="M250" i="13"/>
  <c r="V236" i="13"/>
  <c r="AJ263" i="13"/>
  <c r="AI221" i="13"/>
  <c r="W250" i="13"/>
  <c r="AF264" i="13"/>
  <c r="AM264" i="13"/>
  <c r="AH264" i="13"/>
  <c r="Z221" i="13"/>
  <c r="P221" i="14"/>
  <c r="Z208" i="14"/>
  <c r="AE221" i="14"/>
  <c r="AG264" i="13"/>
  <c r="P264" i="13"/>
  <c r="K264" i="13"/>
  <c r="T264" i="13"/>
  <c r="AN264" i="13"/>
  <c r="E264" i="13"/>
  <c r="AA264" i="13"/>
  <c r="AH222" i="12"/>
  <c r="X264" i="12"/>
  <c r="F235" i="12"/>
  <c r="AJ236" i="13"/>
  <c r="Z263" i="13"/>
  <c r="AN250" i="13"/>
  <c r="Q236" i="13"/>
  <c r="AK250" i="13"/>
  <c r="N264" i="13"/>
  <c r="G264" i="13"/>
  <c r="V264" i="13"/>
  <c r="Y264" i="13"/>
  <c r="O222" i="12"/>
  <c r="E236" i="12"/>
  <c r="S264" i="12"/>
  <c r="V235" i="12"/>
  <c r="H221" i="13"/>
  <c r="N221" i="13"/>
  <c r="U221" i="13"/>
  <c r="L221" i="13"/>
  <c r="J263" i="13"/>
  <c r="AF236" i="13"/>
  <c r="AN221" i="13"/>
  <c r="AB264" i="13"/>
  <c r="H264" i="13"/>
  <c r="U264" i="13"/>
  <c r="Y221" i="14"/>
  <c r="M208" i="14"/>
  <c r="AM208" i="14"/>
  <c r="I222" i="14"/>
  <c r="AC208" i="14"/>
  <c r="I249" i="13"/>
  <c r="U249" i="13"/>
  <c r="AK236" i="13"/>
  <c r="T249" i="13"/>
  <c r="AD208" i="13"/>
  <c r="R249" i="13"/>
  <c r="AI236" i="13"/>
  <c r="V250" i="13"/>
  <c r="AH264" i="14"/>
  <c r="AA264" i="14"/>
  <c r="AL264" i="14"/>
  <c r="AJ250" i="14"/>
  <c r="AL250" i="14"/>
  <c r="AC250" i="14"/>
  <c r="X250" i="14"/>
  <c r="R264" i="14"/>
  <c r="I235" i="12"/>
  <c r="L235" i="12"/>
  <c r="AE264" i="12"/>
  <c r="AC264" i="12"/>
  <c r="AI235" i="12"/>
  <c r="AN235" i="12"/>
  <c r="AC249" i="13"/>
  <c r="O250" i="13"/>
  <c r="S221" i="13"/>
  <c r="T264" i="14"/>
  <c r="Z264" i="14"/>
  <c r="W264" i="14"/>
  <c r="AM250" i="14"/>
  <c r="V250" i="14"/>
  <c r="X208" i="14"/>
  <c r="AJ208" i="14"/>
  <c r="AF250" i="14"/>
  <c r="AB208" i="14"/>
  <c r="G208" i="14"/>
  <c r="AE208" i="14"/>
  <c r="AC264" i="14"/>
  <c r="J235" i="12"/>
  <c r="L264" i="12"/>
  <c r="AK264" i="12"/>
  <c r="S235" i="12"/>
  <c r="AC235" i="12"/>
  <c r="T208" i="12"/>
  <c r="AK235" i="12"/>
  <c r="W235" i="12"/>
  <c r="W264" i="12"/>
  <c r="M264" i="12"/>
  <c r="G235" i="12"/>
  <c r="O235" i="12"/>
  <c r="O249" i="13"/>
  <c r="Y249" i="13"/>
  <c r="G249" i="13"/>
  <c r="AM249" i="13"/>
  <c r="AC208" i="13"/>
  <c r="AJ235" i="12"/>
  <c r="Y235" i="12"/>
  <c r="AF221" i="13"/>
  <c r="V249" i="13"/>
  <c r="AB249" i="13"/>
  <c r="AN249" i="13"/>
  <c r="N249" i="13"/>
  <c r="AB236" i="13"/>
  <c r="AD249" i="13"/>
  <c r="AJ249" i="13"/>
  <c r="H236" i="13"/>
  <c r="I250" i="13"/>
  <c r="J221" i="13"/>
  <c r="AA236" i="13"/>
  <c r="AI250" i="13"/>
  <c r="AF264" i="14"/>
  <c r="Y264" i="14"/>
  <c r="V264" i="14"/>
  <c r="E208" i="14"/>
  <c r="P208" i="14"/>
  <c r="AA250" i="14"/>
  <c r="Q250" i="14"/>
  <c r="T250" i="14"/>
  <c r="F208" i="14"/>
  <c r="S264" i="14"/>
  <c r="U235" i="12"/>
  <c r="Z235" i="12"/>
  <c r="AA235" i="12"/>
  <c r="Q235" i="12"/>
  <c r="E249" i="13"/>
  <c r="W249" i="13"/>
  <c r="M249" i="13"/>
  <c r="Q208" i="13"/>
  <c r="Q249" i="13"/>
  <c r="V208" i="12"/>
  <c r="AM235" i="12"/>
  <c r="E235" i="12"/>
  <c r="O264" i="12"/>
  <c r="Z250" i="12"/>
  <c r="H235" i="12"/>
  <c r="AF208" i="12"/>
  <c r="K235" i="12"/>
  <c r="G264" i="12"/>
  <c r="AF235" i="12"/>
  <c r="R235" i="12"/>
  <c r="Q264" i="12"/>
  <c r="AH249" i="13"/>
  <c r="AI249" i="13"/>
  <c r="K249" i="13"/>
  <c r="E208" i="13"/>
  <c r="N264" i="14"/>
  <c r="J264" i="14"/>
  <c r="AJ264" i="14"/>
  <c r="S250" i="14"/>
  <c r="F250" i="14"/>
  <c r="X249" i="13"/>
  <c r="V221" i="13"/>
  <c r="AL249" i="13"/>
  <c r="O208" i="13"/>
  <c r="J249" i="13"/>
  <c r="AM250" i="13"/>
  <c r="P221" i="13"/>
  <c r="T236" i="13"/>
  <c r="Z250" i="13"/>
  <c r="AC250" i="13"/>
  <c r="AB264" i="14"/>
  <c r="AM264" i="14"/>
  <c r="U264" i="14"/>
  <c r="P250" i="14"/>
  <c r="AI208" i="14"/>
  <c r="E250" i="14"/>
  <c r="K208" i="14"/>
  <c r="J208" i="14"/>
  <c r="Q208" i="14"/>
  <c r="L263" i="12"/>
  <c r="Y263" i="12"/>
  <c r="E263" i="12"/>
  <c r="AI263" i="12"/>
  <c r="AN263" i="12"/>
  <c r="AC263" i="12"/>
  <c r="AB263" i="12"/>
  <c r="P263" i="12"/>
  <c r="S263" i="12"/>
  <c r="AE263" i="12"/>
  <c r="H263" i="12"/>
  <c r="M221" i="12"/>
  <c r="J221" i="12"/>
  <c r="Y221" i="12"/>
  <c r="AA263" i="12"/>
  <c r="O263" i="12"/>
  <c r="V263" i="12"/>
  <c r="H221" i="12"/>
  <c r="AD263" i="12"/>
  <c r="AG222" i="12"/>
  <c r="AJ263" i="12"/>
  <c r="Z263" i="12"/>
  <c r="N263" i="12"/>
  <c r="AL236" i="12"/>
  <c r="Q263" i="12"/>
  <c r="AL221" i="12"/>
  <c r="AD221" i="12"/>
  <c r="R263" i="12"/>
  <c r="AG222" i="13"/>
  <c r="N263" i="13"/>
  <c r="Y222" i="13"/>
  <c r="AL222" i="13"/>
  <c r="AH263" i="13"/>
  <c r="X250" i="13"/>
  <c r="V222" i="13"/>
  <c r="K222" i="13"/>
  <c r="AE250" i="13"/>
  <c r="G250" i="13"/>
  <c r="V235" i="13"/>
  <c r="AH250" i="13"/>
  <c r="AL221" i="14"/>
  <c r="AD221" i="14"/>
  <c r="AF221" i="14"/>
  <c r="AK263" i="12"/>
  <c r="X263" i="12"/>
  <c r="AG263" i="12"/>
  <c r="AB250" i="13"/>
  <c r="U236" i="13"/>
  <c r="P263" i="13"/>
  <c r="K263" i="13"/>
  <c r="AL263" i="13"/>
  <c r="Y236" i="13"/>
  <c r="W263" i="13"/>
  <c r="Y250" i="13"/>
  <c r="L263" i="13"/>
  <c r="AC222" i="13"/>
  <c r="N236" i="13"/>
  <c r="AD250" i="13"/>
  <c r="E222" i="13"/>
  <c r="P264" i="14"/>
  <c r="L264" i="14"/>
  <c r="I264" i="14"/>
  <c r="E264" i="14"/>
  <c r="N221" i="14"/>
  <c r="AM221" i="14"/>
  <c r="Y250" i="14"/>
  <c r="Z250" i="14"/>
  <c r="W250" i="14"/>
  <c r="AD250" i="14"/>
  <c r="M250" i="14"/>
  <c r="N222" i="12"/>
  <c r="M263" i="12"/>
  <c r="W263" i="12"/>
  <c r="I221" i="12"/>
  <c r="N221" i="12"/>
  <c r="AB263" i="13"/>
  <c r="N250" i="13"/>
  <c r="AA263" i="13"/>
  <c r="S250" i="13"/>
  <c r="J250" i="13"/>
  <c r="F250" i="13"/>
  <c r="O222" i="13"/>
  <c r="N222" i="13"/>
  <c r="AF222" i="13"/>
  <c r="I222" i="13"/>
  <c r="R250" i="13"/>
  <c r="M221" i="14"/>
  <c r="K221" i="14"/>
  <c r="AC221" i="14"/>
  <c r="AJ250" i="13"/>
  <c r="AL250" i="13"/>
  <c r="AF263" i="13"/>
  <c r="L250" i="13"/>
  <c r="AG250" i="13"/>
  <c r="T250" i="13"/>
  <c r="L222" i="12"/>
  <c r="J263" i="12"/>
  <c r="AM263" i="12"/>
  <c r="F222" i="12"/>
  <c r="AM236" i="12"/>
  <c r="G263" i="12"/>
  <c r="O221" i="12"/>
  <c r="Z221" i="12"/>
  <c r="U263" i="12"/>
  <c r="AA250" i="13"/>
  <c r="AL236" i="13"/>
  <c r="M263" i="13"/>
  <c r="U222" i="13"/>
  <c r="AE222" i="13"/>
  <c r="X236" i="13"/>
  <c r="H250" i="13"/>
  <c r="K250" i="13"/>
  <c r="Q250" i="13"/>
  <c r="X222" i="13"/>
  <c r="J221" i="14"/>
  <c r="O221" i="14"/>
  <c r="U221" i="14"/>
  <c r="AI221" i="14"/>
  <c r="G221" i="14"/>
  <c r="Q221" i="14"/>
  <c r="AI222" i="13"/>
  <c r="AJ222" i="13"/>
  <c r="AP29" i="7"/>
  <c r="R29" i="7"/>
  <c r="BD29" i="7"/>
  <c r="R216" i="10"/>
  <c r="AF216" i="10"/>
  <c r="N216" i="10"/>
  <c r="J216" i="10"/>
  <c r="S215" i="10"/>
  <c r="Y215" i="10"/>
  <c r="AG214" i="10"/>
  <c r="E215" i="10"/>
  <c r="W215" i="10"/>
  <c r="S216" i="10"/>
  <c r="Y216" i="10"/>
  <c r="AH213" i="10"/>
  <c r="F215" i="10"/>
  <c r="AJ214" i="10"/>
  <c r="T215" i="10"/>
  <c r="AL214" i="10"/>
  <c r="AH214" i="10"/>
  <c r="F216" i="10"/>
  <c r="S214" i="10"/>
  <c r="Y214" i="10"/>
  <c r="AG213" i="10"/>
  <c r="E214" i="10"/>
  <c r="P215" i="10"/>
  <c r="T213" i="10"/>
  <c r="AN217" i="10"/>
  <c r="AN216" i="10"/>
  <c r="F214" i="10"/>
  <c r="AJ213" i="10"/>
  <c r="T214" i="10"/>
  <c r="AL217" i="10"/>
  <c r="AH217" i="10"/>
  <c r="G213" i="10"/>
  <c r="M213" i="10"/>
  <c r="AA217" i="10"/>
  <c r="AM217" i="10"/>
  <c r="K213" i="10"/>
  <c r="O215" i="10"/>
  <c r="O214" i="10"/>
  <c r="L216" i="10"/>
  <c r="AN213" i="10"/>
  <c r="AB213" i="10"/>
  <c r="AG217" i="10"/>
  <c r="F217" i="10"/>
  <c r="AJ216" i="10"/>
  <c r="T217" i="10"/>
  <c r="AL216" i="10"/>
  <c r="AH216" i="10"/>
  <c r="AM215" i="10"/>
  <c r="AJ217" i="10"/>
  <c r="U215" i="10"/>
  <c r="AC215" i="10"/>
  <c r="K216" i="10"/>
  <c r="G217" i="10"/>
  <c r="M217" i="10"/>
  <c r="U216" i="10"/>
  <c r="AC216" i="10"/>
  <c r="X215" i="10"/>
  <c r="H216" i="10"/>
  <c r="E213" i="10"/>
  <c r="T216" i="10"/>
  <c r="AL215" i="10"/>
  <c r="K214" i="10"/>
  <c r="G215" i="10"/>
  <c r="M215" i="10"/>
  <c r="U214" i="10"/>
  <c r="AC214" i="10"/>
  <c r="K215" i="10"/>
  <c r="G216" i="10"/>
  <c r="Z213" i="10"/>
  <c r="V213" i="10"/>
  <c r="AD214" i="10"/>
  <c r="X214" i="10"/>
  <c r="H215" i="10"/>
  <c r="Z214" i="10"/>
  <c r="V214" i="10"/>
  <c r="AE213" i="10"/>
  <c r="AK213" i="10"/>
  <c r="I213" i="10"/>
  <c r="U213" i="10"/>
  <c r="AC217" i="10"/>
  <c r="AA214" i="10"/>
  <c r="H213" i="10"/>
  <c r="P217" i="10"/>
  <c r="P214" i="10"/>
  <c r="AD213" i="10"/>
  <c r="X213" i="10"/>
  <c r="AM214" i="10"/>
  <c r="Z217" i="10"/>
  <c r="V217" i="10"/>
  <c r="AB216" i="10"/>
  <c r="AB214" i="10"/>
  <c r="O217" i="10"/>
  <c r="AA216" i="10"/>
  <c r="AI216" i="10"/>
  <c r="AE217" i="10"/>
  <c r="AK217" i="10"/>
  <c r="I217" i="10"/>
  <c r="V215" i="10"/>
  <c r="AD216" i="10"/>
  <c r="X216" i="10"/>
  <c r="H217" i="10"/>
  <c r="Z216" i="10"/>
  <c r="V216" i="10"/>
  <c r="AD217" i="10"/>
  <c r="AK215" i="10"/>
  <c r="I215" i="10"/>
  <c r="Q215" i="10"/>
  <c r="AI215" i="10"/>
  <c r="AE216" i="10"/>
  <c r="AK216" i="10"/>
  <c r="I216" i="10"/>
  <c r="R215" i="10"/>
  <c r="L215" i="10"/>
  <c r="AF215" i="10"/>
  <c r="N215" i="10"/>
  <c r="J215" i="10"/>
  <c r="M214" i="10"/>
  <c r="Q213" i="10"/>
  <c r="AI213" i="10"/>
  <c r="AE214" i="10"/>
  <c r="AK214" i="10"/>
  <c r="I214" i="10"/>
  <c r="Q214" i="10"/>
  <c r="AI214" i="10"/>
  <c r="AF213" i="10"/>
  <c r="N213" i="10"/>
  <c r="J213" i="10"/>
  <c r="R214" i="10"/>
  <c r="L214" i="10"/>
  <c r="AF214" i="10"/>
  <c r="N214" i="10"/>
  <c r="AA213" i="10"/>
  <c r="S213" i="10"/>
  <c r="Y213" i="10"/>
  <c r="AN214" i="10"/>
  <c r="AN215" i="10"/>
  <c r="W213" i="10"/>
  <c r="Q217" i="10"/>
  <c r="AI217" i="10"/>
  <c r="AB217" i="10"/>
  <c r="P216" i="10"/>
  <c r="AA215" i="10"/>
  <c r="R213" i="10"/>
  <c r="L217" i="10"/>
  <c r="AF217" i="10"/>
  <c r="N217" i="10"/>
  <c r="J217" i="10"/>
  <c r="P213" i="10"/>
  <c r="AM213" i="10"/>
  <c r="AM216" i="10"/>
  <c r="E216" i="10"/>
  <c r="W216" i="10"/>
  <c r="S217" i="10"/>
  <c r="Y217" i="10"/>
  <c r="AG216" i="10"/>
  <c r="E217" i="10"/>
  <c r="W217" i="10"/>
  <c r="U217" i="10"/>
  <c r="AC213" i="10"/>
  <c r="AH215" i="10"/>
  <c r="F213" i="10"/>
  <c r="W214" i="10"/>
  <c r="R217" i="10"/>
  <c r="L213" i="10"/>
  <c r="AE215" i="10"/>
  <c r="X217" i="10"/>
  <c r="H214" i="10"/>
  <c r="M216" i="10"/>
  <c r="O216" i="10"/>
  <c r="AL213" i="10"/>
  <c r="AG215" i="10"/>
  <c r="O213" i="10"/>
  <c r="J214" i="10"/>
  <c r="Q216" i="10"/>
  <c r="AB215" i="10"/>
  <c r="AD215" i="10"/>
  <c r="K217" i="10"/>
  <c r="G214" i="10"/>
  <c r="AJ215" i="10"/>
  <c r="L29" i="7"/>
  <c r="J29" i="7"/>
  <c r="AA29" i="7"/>
  <c r="BG29" i="7"/>
  <c r="V29" i="7"/>
  <c r="AI29" i="7"/>
  <c r="AY29" i="7"/>
  <c r="T29" i="7"/>
  <c r="H29" i="7"/>
  <c r="AO29" i="7"/>
  <c r="AF29" i="7"/>
  <c r="BB29" i="7"/>
  <c r="Y29" i="7"/>
  <c r="I29" i="7"/>
  <c r="Q29" i="7"/>
  <c r="E29" i="7"/>
  <c r="Z29" i="7"/>
  <c r="AL29" i="7"/>
  <c r="AV29" i="7"/>
  <c r="O29" i="7"/>
  <c r="P29" i="7"/>
  <c r="AS29" i="7"/>
  <c r="X29" i="7"/>
  <c r="AH29" i="7"/>
  <c r="AZ29" i="7"/>
  <c r="AK29" i="7"/>
  <c r="AT29" i="7"/>
  <c r="AC29" i="7"/>
  <c r="AJ29" i="7"/>
  <c r="BC29" i="7"/>
  <c r="U29" i="7"/>
  <c r="BA29" i="7"/>
  <c r="AG29" i="7"/>
  <c r="K29" i="7"/>
  <c r="AX29" i="7"/>
  <c r="AN29" i="7"/>
  <c r="N29" i="7"/>
  <c r="BE29" i="7"/>
  <c r="F29" i="7"/>
  <c r="S29" i="7"/>
  <c r="AW29" i="7"/>
  <c r="AQ29" i="7"/>
  <c r="AE29" i="7"/>
  <c r="M29" i="7"/>
  <c r="BF29" i="7"/>
  <c r="AU29" i="7"/>
  <c r="P207" i="12"/>
  <c r="AM235" i="13"/>
  <c r="X235" i="13"/>
  <c r="L235" i="13"/>
  <c r="H235" i="13"/>
  <c r="E235" i="13"/>
  <c r="AJ208" i="12"/>
  <c r="E208" i="12"/>
  <c r="AA235" i="13"/>
  <c r="M235" i="13"/>
  <c r="AE236" i="14"/>
  <c r="I236" i="14"/>
  <c r="AH236" i="14"/>
  <c r="U236" i="14"/>
  <c r="M236" i="14"/>
  <c r="G236" i="14"/>
  <c r="L236" i="14"/>
  <c r="AM236" i="14"/>
  <c r="P236" i="14"/>
  <c r="T236" i="14"/>
  <c r="AJ236" i="14"/>
  <c r="Q236" i="14"/>
  <c r="AA236" i="14"/>
  <c r="AI236" i="14"/>
  <c r="N236" i="14"/>
  <c r="F236" i="14"/>
  <c r="W236" i="14"/>
  <c r="AD236" i="14"/>
  <c r="J236" i="14"/>
  <c r="AB236" i="14"/>
  <c r="AC236" i="14"/>
  <c r="K236" i="14"/>
  <c r="AN236" i="14"/>
  <c r="S236" i="14"/>
  <c r="Z236" i="14"/>
  <c r="AG236" i="14"/>
  <c r="O236" i="14"/>
  <c r="AH208" i="12"/>
  <c r="AM208" i="12"/>
  <c r="O207" i="12"/>
  <c r="AA264" i="12"/>
  <c r="AG264" i="12"/>
  <c r="P235" i="13"/>
  <c r="S236" i="13"/>
  <c r="J236" i="13"/>
  <c r="I236" i="13"/>
  <c r="Z236" i="13"/>
  <c r="AD236" i="13"/>
  <c r="M236" i="13"/>
  <c r="K236" i="13"/>
  <c r="O236" i="13"/>
  <c r="W236" i="13"/>
  <c r="AG236" i="13"/>
  <c r="L236" i="13"/>
  <c r="AH236" i="13"/>
  <c r="X236" i="14"/>
  <c r="AL236" i="14"/>
  <c r="R221" i="13"/>
  <c r="AL221" i="13"/>
  <c r="Q221" i="13"/>
  <c r="AE221" i="13"/>
  <c r="T222" i="13"/>
  <c r="W222" i="13"/>
  <c r="Z222" i="13"/>
  <c r="AA222" i="13"/>
  <c r="AF236" i="14"/>
  <c r="V236" i="14"/>
  <c r="H11" i="6"/>
  <c r="AA11" i="6"/>
  <c r="Z11" i="6"/>
  <c r="BA11" i="6"/>
  <c r="I11" i="6"/>
  <c r="F11" i="6"/>
  <c r="S11" i="6"/>
  <c r="AK11" i="6"/>
  <c r="AS11" i="6"/>
  <c r="AC11" i="6"/>
  <c r="AP11" i="6"/>
  <c r="BF11" i="6"/>
  <c r="T11" i="6"/>
  <c r="AM11" i="6"/>
  <c r="AN11" i="6"/>
  <c r="X11" i="6"/>
  <c r="BB11" i="6"/>
  <c r="G11" i="6"/>
  <c r="AV11" i="6"/>
  <c r="N11" i="6"/>
  <c r="AH11" i="6"/>
  <c r="AL11" i="6"/>
  <c r="K11" i="6"/>
  <c r="E11" i="6"/>
  <c r="W11" i="6"/>
  <c r="O11" i="6"/>
  <c r="P11" i="6"/>
  <c r="AB11" i="6"/>
  <c r="AT11" i="6"/>
  <c r="AW11" i="6"/>
  <c r="BG11" i="6"/>
  <c r="AR11" i="6"/>
  <c r="AO11" i="6"/>
  <c r="AI11" i="6"/>
  <c r="AQ11" i="6"/>
  <c r="BE11" i="6"/>
  <c r="L11" i="6"/>
  <c r="AD11" i="6"/>
  <c r="AG11" i="6"/>
  <c r="V11" i="6"/>
  <c r="AE11" i="6"/>
  <c r="BD11" i="6"/>
  <c r="AU11" i="6"/>
  <c r="R11" i="6"/>
  <c r="J11" i="6"/>
  <c r="AX11" i="6"/>
  <c r="M11" i="6"/>
  <c r="AJ11" i="6"/>
  <c r="Q11" i="6"/>
  <c r="AZ11" i="6"/>
  <c r="U11" i="6"/>
  <c r="AY11" i="6"/>
  <c r="AF11" i="6"/>
  <c r="Y11" i="6"/>
  <c r="BC11" i="6"/>
  <c r="H12" i="6"/>
  <c r="F12" i="6"/>
  <c r="AL12" i="6"/>
  <c r="AQ12" i="6"/>
  <c r="AM12" i="6"/>
  <c r="W12" i="6"/>
  <c r="AS12" i="6"/>
  <c r="Q12" i="6"/>
  <c r="AW12" i="6"/>
  <c r="AP12" i="6"/>
  <c r="Z12" i="6"/>
  <c r="BF12" i="6"/>
  <c r="U12" i="6"/>
  <c r="T12" i="6"/>
  <c r="BA12" i="6"/>
  <c r="N12" i="6"/>
  <c r="G12" i="6"/>
  <c r="O12" i="6"/>
  <c r="K12" i="6"/>
  <c r="AG12" i="6"/>
  <c r="BC12" i="6"/>
  <c r="AA12" i="6"/>
  <c r="AN12" i="6"/>
  <c r="J12" i="6"/>
  <c r="AX12" i="6"/>
  <c r="P12" i="6"/>
  <c r="BE12" i="6"/>
  <c r="S12" i="6"/>
  <c r="AZ12" i="6"/>
  <c r="AK12" i="6"/>
  <c r="R12" i="6"/>
  <c r="AJ12" i="6"/>
  <c r="AT12" i="6"/>
  <c r="I12" i="6"/>
  <c r="E12" i="6"/>
  <c r="AY12" i="6"/>
  <c r="AC12" i="6"/>
  <c r="L12" i="6"/>
  <c r="V12" i="6"/>
  <c r="AD12" i="6"/>
  <c r="AB12" i="6"/>
  <c r="Y12" i="6"/>
  <c r="AO12" i="6"/>
  <c r="X12" i="6"/>
  <c r="AH12" i="6"/>
  <c r="BD12" i="6"/>
  <c r="M12" i="6"/>
  <c r="AR12" i="6"/>
  <c r="AE12" i="6"/>
  <c r="AV12" i="6"/>
  <c r="BG12" i="6"/>
  <c r="AF12" i="6"/>
  <c r="BB12" i="6"/>
  <c r="AI12" i="6"/>
  <c r="AU12" i="6"/>
  <c r="L221" i="14"/>
  <c r="AB221" i="14"/>
  <c r="AN221" i="14"/>
  <c r="AK221" i="14"/>
  <c r="AA221" i="14"/>
  <c r="AN208" i="14"/>
  <c r="AG208" i="14"/>
  <c r="R208" i="14"/>
  <c r="AH221" i="14"/>
  <c r="AG221" i="14"/>
  <c r="U208" i="14"/>
  <c r="Y222" i="14"/>
  <c r="AH208" i="14"/>
  <c r="Y208" i="14"/>
  <c r="O208" i="14"/>
  <c r="S221" i="14"/>
  <c r="F221" i="14"/>
  <c r="AD29" i="7"/>
  <c r="G29" i="7"/>
  <c r="AR29" i="7"/>
  <c r="AM29" i="7"/>
  <c r="AB29" i="7"/>
  <c r="AF250" i="12"/>
  <c r="L250" i="12"/>
  <c r="AK235" i="14"/>
  <c r="K249" i="12"/>
  <c r="X221" i="12"/>
  <c r="E264" i="12"/>
  <c r="F264" i="12"/>
  <c r="AF221" i="12"/>
  <c r="AK221" i="12"/>
  <c r="U221" i="12"/>
  <c r="T250" i="12"/>
  <c r="F250" i="12"/>
  <c r="AL235" i="12"/>
  <c r="Z235" i="14"/>
  <c r="W207" i="12"/>
  <c r="AB250" i="12"/>
  <c r="AI250" i="12"/>
  <c r="G221" i="12"/>
  <c r="AL250" i="12"/>
  <c r="F221" i="12"/>
  <c r="O235" i="14"/>
  <c r="M235" i="14"/>
  <c r="N235" i="14"/>
  <c r="Z222" i="14"/>
  <c r="AK222" i="14"/>
  <c r="AC222" i="14"/>
  <c r="AL222" i="14"/>
  <c r="U222" i="14"/>
  <c r="X222" i="14"/>
  <c r="AH222" i="14"/>
  <c r="E222" i="14"/>
  <c r="M222" i="14"/>
  <c r="AE222" i="14"/>
  <c r="F222" i="14"/>
  <c r="W222" i="14"/>
  <c r="AJ222" i="14"/>
  <c r="Q222" i="14"/>
  <c r="V222" i="14"/>
  <c r="N222" i="14"/>
  <c r="S222" i="14"/>
  <c r="K222" i="14"/>
  <c r="L222" i="14"/>
  <c r="AM222" i="14"/>
  <c r="G235" i="14"/>
  <c r="U208" i="13"/>
  <c r="AL208" i="13"/>
  <c r="X208" i="13"/>
  <c r="AM208" i="13"/>
  <c r="H208" i="13"/>
  <c r="AF208" i="13"/>
  <c r="Y208" i="13"/>
  <c r="M250" i="12"/>
  <c r="AC250" i="12"/>
  <c r="W250" i="12"/>
  <c r="AN250" i="12"/>
  <c r="K263" i="12"/>
  <c r="AL263" i="12"/>
  <c r="Q222" i="12"/>
  <c r="AD222" i="12"/>
  <c r="AA236" i="12"/>
  <c r="AF263" i="12"/>
  <c r="V207" i="12"/>
  <c r="AH264" i="12"/>
  <c r="AG250" i="12"/>
  <c r="AM221" i="12"/>
  <c r="L221" i="12"/>
  <c r="AJ250" i="12"/>
  <c r="G250" i="12"/>
  <c r="N235" i="12"/>
  <c r="AH235" i="12"/>
  <c r="O222" i="14"/>
  <c r="AC235" i="14"/>
  <c r="AA235" i="14"/>
  <c r="Q235" i="14"/>
  <c r="AH235" i="14"/>
  <c r="AI235" i="14"/>
  <c r="AF235" i="14"/>
  <c r="P235" i="14"/>
  <c r="AB235" i="14"/>
  <c r="T235" i="14"/>
  <c r="J235" i="14"/>
  <c r="E235" i="14"/>
  <c r="H235" i="14"/>
  <c r="AG235" i="14"/>
  <c r="AL235" i="14"/>
  <c r="AE235" i="14"/>
  <c r="I235" i="14"/>
  <c r="X235" i="14"/>
  <c r="AJ235" i="14"/>
  <c r="V235" i="14"/>
  <c r="Y235" i="14"/>
  <c r="S235" i="14"/>
  <c r="AD235" i="14"/>
  <c r="U235" i="14"/>
  <c r="AN235" i="14"/>
  <c r="L235" i="14"/>
  <c r="R235" i="14"/>
  <c r="AM235" i="14"/>
  <c r="K235" i="14"/>
  <c r="F235" i="14"/>
  <c r="AM250" i="12"/>
  <c r="O250" i="12"/>
  <c r="Q207" i="12"/>
  <c r="S250" i="12"/>
  <c r="Q250" i="12"/>
  <c r="X250" i="12"/>
  <c r="M235" i="12"/>
  <c r="P235" i="12"/>
  <c r="H236" i="12"/>
  <c r="R207" i="12"/>
  <c r="AD264" i="12"/>
  <c r="Y250" i="12"/>
  <c r="V221" i="12"/>
  <c r="F263" i="12"/>
  <c r="AH250" i="12"/>
  <c r="I250" i="12"/>
  <c r="AD235" i="12"/>
  <c r="Y264" i="12"/>
  <c r="N250" i="12"/>
  <c r="AI236" i="12"/>
  <c r="AI264" i="12"/>
  <c r="Z264" i="12"/>
  <c r="AA250" i="12"/>
  <c r="AJ221" i="12"/>
  <c r="P250" i="12"/>
  <c r="E250" i="12"/>
  <c r="U264" i="12"/>
  <c r="P222" i="13"/>
  <c r="J222" i="13"/>
  <c r="AK222" i="13"/>
  <c r="E6" i="7"/>
  <c r="F6" i="7"/>
  <c r="AS6" i="7"/>
  <c r="AL6" i="7"/>
  <c r="AP6" i="7"/>
  <c r="AI6" i="7"/>
  <c r="AN6" i="7"/>
  <c r="AE6" i="7"/>
  <c r="X6" i="7"/>
  <c r="AD6" i="7"/>
  <c r="T6" i="7"/>
  <c r="G6" i="7"/>
  <c r="AT6" i="7"/>
  <c r="O6" i="7"/>
  <c r="BF6" i="7"/>
  <c r="BE6" i="7"/>
  <c r="J6" i="7"/>
  <c r="R6" i="7"/>
  <c r="Z6" i="7"/>
  <c r="AX6" i="7"/>
  <c r="AV6" i="7"/>
  <c r="AF6" i="7"/>
  <c r="AR6" i="7"/>
  <c r="AQ6" i="7"/>
  <c r="AY6" i="7"/>
  <c r="BA6" i="7"/>
  <c r="U6" i="7"/>
  <c r="V6" i="7"/>
  <c r="S6" i="7"/>
  <c r="AW6" i="7"/>
  <c r="H6" i="7"/>
  <c r="AH6" i="7"/>
  <c r="P6" i="7"/>
  <c r="AB6" i="7"/>
  <c r="AA6" i="7"/>
  <c r="AK6" i="7"/>
  <c r="AO6" i="7"/>
  <c r="AM6" i="7"/>
  <c r="L6" i="7"/>
  <c r="N6" i="7"/>
  <c r="M6" i="7"/>
  <c r="W6" i="7"/>
  <c r="AC6" i="7"/>
  <c r="AJ6" i="7"/>
  <c r="I6" i="7"/>
  <c r="Q6" i="7"/>
  <c r="BD6" i="7"/>
  <c r="BC6" i="7"/>
  <c r="Y6" i="7"/>
  <c r="AG6" i="7"/>
  <c r="AU6" i="7"/>
  <c r="BG6" i="7"/>
  <c r="K6" i="7"/>
  <c r="AZ6" i="7"/>
  <c r="BB6" i="7"/>
  <c r="F249" i="14"/>
  <c r="M222" i="13"/>
  <c r="L222" i="13"/>
  <c r="T235" i="13"/>
  <c r="AD222" i="13"/>
  <c r="AH222" i="13"/>
  <c r="AM222" i="13"/>
  <c r="AK190" i="10"/>
  <c r="J191" i="10"/>
  <c r="Y191" i="10"/>
  <c r="L189" i="10"/>
  <c r="AJ189" i="10"/>
  <c r="AL191" i="10"/>
  <c r="N193" i="10"/>
  <c r="Q193" i="10"/>
  <c r="AD193" i="10"/>
  <c r="Z192" i="10"/>
  <c r="AI189" i="10"/>
  <c r="AM192" i="10"/>
  <c r="K191" i="10"/>
  <c r="W191" i="10"/>
  <c r="R192" i="10"/>
  <c r="AI191" i="10"/>
  <c r="K189" i="10"/>
  <c r="S191" i="10"/>
  <c r="X190" i="10"/>
  <c r="K193" i="10"/>
  <c r="W190" i="10"/>
  <c r="AK193" i="10"/>
  <c r="O192" i="10"/>
  <c r="N191" i="10"/>
  <c r="S189" i="10"/>
  <c r="P193" i="10"/>
  <c r="AM193" i="10"/>
  <c r="AH193" i="10"/>
  <c r="AE190" i="10"/>
  <c r="G192" i="10"/>
  <c r="W192" i="10"/>
  <c r="Z193" i="10"/>
  <c r="AI193" i="10"/>
  <c r="I189" i="10"/>
  <c r="V192" i="10"/>
  <c r="AE192" i="10"/>
  <c r="S193" i="10"/>
  <c r="R191" i="10"/>
  <c r="AN193" i="10"/>
  <c r="AA193" i="10"/>
  <c r="AK192" i="10"/>
  <c r="AM190" i="10"/>
  <c r="L191" i="10"/>
  <c r="I192" i="10"/>
  <c r="AB190" i="10"/>
  <c r="AC189" i="10"/>
  <c r="AB189" i="10"/>
  <c r="AN191" i="10"/>
  <c r="AN189" i="10"/>
  <c r="W189" i="10"/>
  <c r="AG192" i="10"/>
  <c r="U189" i="10"/>
  <c r="Q190" i="10"/>
  <c r="E191" i="10"/>
  <c r="AE189" i="10"/>
  <c r="E192" i="10"/>
  <c r="M191" i="10"/>
  <c r="K190" i="10"/>
  <c r="AI190" i="10"/>
  <c r="T191" i="10"/>
  <c r="G189" i="10"/>
  <c r="U191" i="10"/>
  <c r="G190" i="10"/>
  <c r="AL189" i="10"/>
  <c r="AK191" i="10"/>
  <c r="X193" i="10"/>
  <c r="I190" i="10"/>
  <c r="AG190" i="10"/>
  <c r="J190" i="10"/>
  <c r="H193" i="10"/>
  <c r="AD191" i="10"/>
  <c r="Z190" i="10"/>
  <c r="Y192" i="10"/>
  <c r="P190" i="10"/>
  <c r="V189" i="10"/>
  <c r="N189" i="10"/>
  <c r="U193" i="10"/>
  <c r="AC191" i="10"/>
  <c r="F191" i="10"/>
  <c r="L192" i="10"/>
  <c r="H190" i="10"/>
  <c r="AA189" i="10"/>
  <c r="AG189" i="10"/>
  <c r="AD189" i="10"/>
  <c r="AK189" i="10"/>
  <c r="AF192" i="10"/>
  <c r="AA192" i="10"/>
  <c r="AD192" i="10"/>
  <c r="U190" i="10"/>
  <c r="P192" i="10"/>
  <c r="AI192" i="10"/>
  <c r="H189" i="10"/>
  <c r="Q192" i="10"/>
  <c r="AL193" i="10"/>
  <c r="X192" i="10"/>
  <c r="V191" i="10"/>
  <c r="T190" i="10"/>
  <c r="AC193" i="10"/>
  <c r="AM189" i="10"/>
  <c r="AJ193" i="10"/>
  <c r="AH192" i="10"/>
  <c r="AF191" i="10"/>
  <c r="F190" i="10"/>
  <c r="O191" i="10"/>
  <c r="M190" i="10"/>
  <c r="P191" i="10"/>
  <c r="AG191" i="10"/>
  <c r="S190" i="10"/>
  <c r="AB193" i="10"/>
  <c r="N190" i="10"/>
  <c r="AN190" i="10"/>
  <c r="I193" i="10"/>
  <c r="AE191" i="10"/>
  <c r="E190" i="10"/>
  <c r="Z191" i="10"/>
  <c r="L190" i="10"/>
  <c r="J189" i="10"/>
  <c r="G193" i="10"/>
  <c r="Q191" i="10"/>
  <c r="AL192" i="10"/>
  <c r="X191" i="10"/>
  <c r="V190" i="10"/>
  <c r="T189" i="10"/>
  <c r="AC192" i="10"/>
  <c r="P189" i="10"/>
  <c r="AJ192" i="10"/>
  <c r="AH191" i="10"/>
  <c r="AF190" i="10"/>
  <c r="F189" i="10"/>
  <c r="O190" i="10"/>
  <c r="M189" i="10"/>
  <c r="J193" i="10"/>
  <c r="H192" i="10"/>
  <c r="R190" i="10"/>
  <c r="AA191" i="10"/>
  <c r="Y190" i="10"/>
  <c r="T193" i="10"/>
  <c r="F193" i="10"/>
  <c r="M193" i="10"/>
  <c r="AB192" i="10"/>
  <c r="AJ191" i="10"/>
  <c r="AH190" i="10"/>
  <c r="AF189" i="10"/>
  <c r="E193" i="10"/>
  <c r="O189" i="10"/>
  <c r="L193" i="10"/>
  <c r="J192" i="10"/>
  <c r="H191" i="10"/>
  <c r="R189" i="10"/>
  <c r="AA190" i="10"/>
  <c r="Y189" i="10"/>
  <c r="V193" i="10"/>
  <c r="T192" i="10"/>
  <c r="AD190" i="10"/>
  <c r="AM191" i="10"/>
  <c r="AF193" i="10"/>
  <c r="F192" i="10"/>
  <c r="O193" i="10"/>
  <c r="M192" i="10"/>
  <c r="R193" i="10"/>
  <c r="AB191" i="10"/>
  <c r="Y193" i="10"/>
  <c r="K192" i="10"/>
  <c r="I191" i="10"/>
  <c r="AN192" i="10"/>
  <c r="Z189" i="10"/>
  <c r="W193" i="10"/>
  <c r="U192" i="10"/>
  <c r="G191" i="10"/>
  <c r="Q189" i="10"/>
  <c r="AL190" i="10"/>
  <c r="X189" i="10"/>
  <c r="AG193" i="10"/>
  <c r="S192" i="10"/>
  <c r="AC190" i="10"/>
  <c r="N192" i="10"/>
  <c r="AJ190" i="10"/>
  <c r="AH189" i="10"/>
  <c r="AE193" i="10"/>
  <c r="H236" i="14"/>
  <c r="R236" i="14"/>
  <c r="AC222" i="12"/>
  <c r="K207" i="12"/>
  <c r="H207" i="12"/>
  <c r="Z222" i="12"/>
  <c r="W222" i="12"/>
  <c r="AE207" i="12"/>
  <c r="L208" i="13"/>
  <c r="AH208" i="13"/>
  <c r="AK208" i="13"/>
  <c r="AK250" i="14"/>
  <c r="H250" i="14"/>
  <c r="X222" i="12"/>
  <c r="H222" i="12"/>
  <c r="G222" i="12"/>
  <c r="V236" i="12"/>
  <c r="AB236" i="12"/>
  <c r="X207" i="12"/>
  <c r="I207" i="12"/>
  <c r="S207" i="12"/>
  <c r="P208" i="13"/>
  <c r="N208" i="13"/>
  <c r="AN208" i="13"/>
  <c r="AA222" i="14"/>
  <c r="R222" i="14"/>
  <c r="AL207" i="12"/>
  <c r="G207" i="12"/>
  <c r="U222" i="12"/>
  <c r="AM207" i="12"/>
  <c r="L207" i="12"/>
  <c r="AE236" i="12"/>
  <c r="J208" i="13"/>
  <c r="M208" i="13"/>
  <c r="AI208" i="13"/>
  <c r="AE208" i="13"/>
  <c r="G222" i="14"/>
  <c r="H222" i="14"/>
  <c r="J222" i="14"/>
  <c r="AD264" i="14"/>
  <c r="G264" i="14"/>
  <c r="W208" i="14"/>
  <c r="H208" i="14"/>
  <c r="E207" i="12"/>
  <c r="AF207" i="12"/>
  <c r="T222" i="12"/>
  <c r="AK207" i="12"/>
  <c r="O236" i="12"/>
  <c r="AK236" i="12"/>
  <c r="S236" i="12"/>
  <c r="AH207" i="12"/>
  <c r="I208" i="13"/>
  <c r="AG208" i="13"/>
  <c r="S208" i="13"/>
  <c r="N207" i="12"/>
  <c r="AJ207" i="12"/>
  <c r="AD207" i="12"/>
  <c r="AG207" i="12"/>
  <c r="Y207" i="12"/>
  <c r="AA208" i="13"/>
  <c r="Z208" i="13"/>
  <c r="R208" i="13"/>
  <c r="W208" i="13"/>
  <c r="Z235" i="13"/>
  <c r="E201" i="10"/>
  <c r="P201" i="10"/>
  <c r="O202" i="10"/>
  <c r="Z203" i="10"/>
  <c r="AK204" i="10"/>
  <c r="AN201" i="10"/>
  <c r="L202" i="10"/>
  <c r="W203" i="10"/>
  <c r="J205" i="10"/>
  <c r="J201" i="10"/>
  <c r="U202" i="10"/>
  <c r="AF203" i="10"/>
  <c r="G205" i="10"/>
  <c r="G201" i="10"/>
  <c r="R202" i="10"/>
  <c r="AC204" i="10"/>
  <c r="AM205" i="10"/>
  <c r="AM201" i="10"/>
  <c r="N203" i="10"/>
  <c r="Y204" i="10"/>
  <c r="AJ205" i="10"/>
  <c r="AJ201" i="10"/>
  <c r="K203" i="10"/>
  <c r="AH204" i="10"/>
  <c r="AB203" i="10"/>
  <c r="I202" i="10"/>
  <c r="T203" i="10"/>
  <c r="AE204" i="10"/>
  <c r="P204" i="10"/>
  <c r="F202" i="10"/>
  <c r="Q204" i="10"/>
  <c r="AA205" i="10"/>
  <c r="AA201" i="10"/>
  <c r="AL202" i="10"/>
  <c r="M204" i="10"/>
  <c r="X205" i="10"/>
  <c r="X201" i="10"/>
  <c r="AI202" i="10"/>
  <c r="V204" i="10"/>
  <c r="AG205" i="10"/>
  <c r="AG201" i="10"/>
  <c r="H203" i="10"/>
  <c r="S204" i="10"/>
  <c r="AD205" i="10"/>
  <c r="AD201" i="10"/>
  <c r="E204" i="10"/>
  <c r="O205" i="10"/>
  <c r="O201" i="10"/>
  <c r="Z202" i="10"/>
  <c r="AK203" i="10"/>
  <c r="L205" i="10"/>
  <c r="L201" i="10"/>
  <c r="W202" i="10"/>
  <c r="J204" i="10"/>
  <c r="U205" i="10"/>
  <c r="U201" i="10"/>
  <c r="AF202" i="10"/>
  <c r="G204" i="10"/>
  <c r="R205" i="10"/>
  <c r="R201" i="10"/>
  <c r="AC203" i="10"/>
  <c r="AM204" i="10"/>
  <c r="AB201" i="10"/>
  <c r="N202" i="10"/>
  <c r="Y203" i="10"/>
  <c r="AJ204" i="10"/>
  <c r="P203" i="10"/>
  <c r="K202" i="10"/>
  <c r="AH203" i="10"/>
  <c r="I205" i="10"/>
  <c r="I201" i="10"/>
  <c r="T202" i="10"/>
  <c r="AE203" i="10"/>
  <c r="F205" i="10"/>
  <c r="F201" i="10"/>
  <c r="Q203" i="10"/>
  <c r="AA204" i="10"/>
  <c r="AL205" i="10"/>
  <c r="AL201" i="10"/>
  <c r="M203" i="10"/>
  <c r="X204" i="10"/>
  <c r="AI205" i="10"/>
  <c r="AI201" i="10"/>
  <c r="V203" i="10"/>
  <c r="AG204" i="10"/>
  <c r="AN202" i="10"/>
  <c r="H202" i="10"/>
  <c r="S203" i="10"/>
  <c r="AD204" i="10"/>
  <c r="AN205" i="10"/>
  <c r="E203" i="10"/>
  <c r="O204" i="10"/>
  <c r="Z205" i="10"/>
  <c r="Z201" i="10"/>
  <c r="AK202" i="10"/>
  <c r="L204" i="10"/>
  <c r="W205" i="10"/>
  <c r="W201" i="10"/>
  <c r="J203" i="10"/>
  <c r="U204" i="10"/>
  <c r="AF205" i="10"/>
  <c r="AF201" i="10"/>
  <c r="G203" i="10"/>
  <c r="R204" i="10"/>
  <c r="AB205" i="10"/>
  <c r="AC202" i="10"/>
  <c r="AM203" i="10"/>
  <c r="N205" i="10"/>
  <c r="N201" i="10"/>
  <c r="Y202" i="10"/>
  <c r="AJ203" i="10"/>
  <c r="K205" i="10"/>
  <c r="K201" i="10"/>
  <c r="AH202" i="10"/>
  <c r="I204" i="10"/>
  <c r="T205" i="10"/>
  <c r="T201" i="10"/>
  <c r="AE202" i="10"/>
  <c r="F204" i="10"/>
  <c r="AN204" i="10"/>
  <c r="Q202" i="10"/>
  <c r="AA203" i="10"/>
  <c r="AL204" i="10"/>
  <c r="P202" i="10"/>
  <c r="M202" i="10"/>
  <c r="X203" i="10"/>
  <c r="AI204" i="10"/>
  <c r="P205" i="10"/>
  <c r="V202" i="10"/>
  <c r="AG203" i="10"/>
  <c r="H205" i="10"/>
  <c r="H201" i="10"/>
  <c r="S202" i="10"/>
  <c r="AD203" i="10"/>
  <c r="AN203" i="10"/>
  <c r="E202" i="10"/>
  <c r="O203" i="10"/>
  <c r="Z204" i="10"/>
  <c r="AK205" i="10"/>
  <c r="AK201" i="10"/>
  <c r="L203" i="10"/>
  <c r="W204" i="10"/>
  <c r="AB202" i="10"/>
  <c r="J202" i="10"/>
  <c r="U203" i="10"/>
  <c r="AF204" i="10"/>
  <c r="AB204" i="10"/>
  <c r="G202" i="10"/>
  <c r="R203" i="10"/>
  <c r="AC205" i="10"/>
  <c r="AC201" i="10"/>
  <c r="AM202" i="10"/>
  <c r="N204" i="10"/>
  <c r="Y205" i="10"/>
  <c r="Y201" i="10"/>
  <c r="AJ202" i="10"/>
  <c r="K204" i="10"/>
  <c r="AH205" i="10"/>
  <c r="AH201" i="10"/>
  <c r="I203" i="10"/>
  <c r="T204" i="10"/>
  <c r="AE205" i="10"/>
  <c r="AE201" i="10"/>
  <c r="F203" i="10"/>
  <c r="Q205" i="10"/>
  <c r="Q201" i="10"/>
  <c r="AA202" i="10"/>
  <c r="AL203" i="10"/>
  <c r="M205" i="10"/>
  <c r="M201" i="10"/>
  <c r="X202" i="10"/>
  <c r="AI203" i="10"/>
  <c r="V205" i="10"/>
  <c r="V201" i="10"/>
  <c r="AG202" i="10"/>
  <c r="H204" i="10"/>
  <c r="S205" i="10"/>
  <c r="S201" i="10"/>
  <c r="AD202" i="10"/>
  <c r="E205" i="10"/>
  <c r="V222" i="12"/>
  <c r="Z207" i="12"/>
  <c r="AC207" i="12"/>
  <c r="T207" i="12"/>
  <c r="G208" i="13"/>
  <c r="AN222" i="12"/>
  <c r="AI222" i="12"/>
  <c r="AE222" i="12"/>
  <c r="AA207" i="12"/>
  <c r="K222" i="12"/>
  <c r="P222" i="12"/>
  <c r="J236" i="12"/>
  <c r="I236" i="12"/>
  <c r="F236" i="12"/>
  <c r="R236" i="12"/>
  <c r="T208" i="13"/>
  <c r="F208" i="13"/>
  <c r="G235" i="13"/>
  <c r="AB222" i="14"/>
  <c r="T222" i="14"/>
  <c r="AN222" i="14"/>
  <c r="AD222" i="14"/>
  <c r="AF222" i="14"/>
  <c r="F86" i="14"/>
  <c r="G65" i="14"/>
  <c r="F142" i="14"/>
  <c r="G121" i="14"/>
  <c r="H121" i="14" s="1"/>
  <c r="I121" i="14" s="1"/>
  <c r="J121" i="14" s="1"/>
  <c r="K121" i="14" s="1"/>
  <c r="L121" i="14" s="1"/>
  <c r="M121" i="14" s="1"/>
  <c r="N121" i="14" s="1"/>
  <c r="O121" i="14" s="1"/>
  <c r="P121" i="14" s="1"/>
  <c r="Q121" i="14" s="1"/>
  <c r="R121" i="14" s="1"/>
  <c r="S121" i="14" s="1"/>
  <c r="T121" i="14" s="1"/>
  <c r="U121" i="14" s="1"/>
  <c r="V121" i="14" s="1"/>
  <c r="W121" i="14" s="1"/>
  <c r="X121" i="14" s="1"/>
  <c r="Y121" i="14" s="1"/>
  <c r="E167" i="14" a="1"/>
  <c r="AE167" i="14" s="1"/>
  <c r="E163" i="14" a="1"/>
  <c r="P249" i="12"/>
  <c r="E177" i="10"/>
  <c r="AB180" i="10"/>
  <c r="AA181" i="10"/>
  <c r="AA177" i="10"/>
  <c r="Z178" i="10"/>
  <c r="Y179" i="10"/>
  <c r="X180" i="10"/>
  <c r="W181" i="10"/>
  <c r="W177" i="10"/>
  <c r="V178" i="10"/>
  <c r="U179" i="10"/>
  <c r="T180" i="10"/>
  <c r="S181" i="10"/>
  <c r="S177" i="10"/>
  <c r="R178" i="10"/>
  <c r="Q179" i="10"/>
  <c r="P180" i="10"/>
  <c r="O181" i="10"/>
  <c r="O177" i="10"/>
  <c r="N178" i="10"/>
  <c r="M179" i="10"/>
  <c r="L180" i="10"/>
  <c r="K181" i="10"/>
  <c r="K177" i="10"/>
  <c r="J178" i="10"/>
  <c r="I179" i="10"/>
  <c r="H180" i="10"/>
  <c r="G181" i="10"/>
  <c r="G177" i="10"/>
  <c r="F178" i="10"/>
  <c r="E179" i="10"/>
  <c r="AN179" i="10"/>
  <c r="AM180" i="10"/>
  <c r="AL181" i="10"/>
  <c r="AL177" i="10"/>
  <c r="AK178" i="10"/>
  <c r="AJ179" i="10"/>
  <c r="AI180" i="10"/>
  <c r="AH181" i="10"/>
  <c r="AH177" i="10"/>
  <c r="AG178" i="10"/>
  <c r="AF179" i="10"/>
  <c r="AE180" i="10"/>
  <c r="AD181" i="10"/>
  <c r="AD177" i="10"/>
  <c r="AC178" i="10"/>
  <c r="AB179" i="10"/>
  <c r="AA180" i="10"/>
  <c r="Z181" i="10"/>
  <c r="Z177" i="10"/>
  <c r="Y178" i="10"/>
  <c r="X179" i="10"/>
  <c r="W180" i="10"/>
  <c r="V181" i="10"/>
  <c r="V177" i="10"/>
  <c r="U178" i="10"/>
  <c r="T179" i="10"/>
  <c r="S180" i="10"/>
  <c r="R181" i="10"/>
  <c r="R177" i="10"/>
  <c r="Q178" i="10"/>
  <c r="P179" i="10"/>
  <c r="O180" i="10"/>
  <c r="N181" i="10"/>
  <c r="N177" i="10"/>
  <c r="M178" i="10"/>
  <c r="L179" i="10"/>
  <c r="K180" i="10"/>
  <c r="J181" i="10"/>
  <c r="J177" i="10"/>
  <c r="I178" i="10"/>
  <c r="H179" i="10"/>
  <c r="G180" i="10"/>
  <c r="F181" i="10"/>
  <c r="F177" i="10"/>
  <c r="E178" i="10"/>
  <c r="AN178" i="10"/>
  <c r="AM179" i="10"/>
  <c r="AL180" i="10"/>
  <c r="AK181" i="10"/>
  <c r="AK177" i="10"/>
  <c r="AJ178" i="10"/>
  <c r="AI179" i="10"/>
  <c r="AH180" i="10"/>
  <c r="AG181" i="10"/>
  <c r="AG177" i="10"/>
  <c r="AF178" i="10"/>
  <c r="AE179" i="10"/>
  <c r="AD180" i="10"/>
  <c r="AC181" i="10"/>
  <c r="AC177" i="10"/>
  <c r="AB178" i="10"/>
  <c r="AA179" i="10"/>
  <c r="Z180" i="10"/>
  <c r="Y181" i="10"/>
  <c r="Y177" i="10"/>
  <c r="X178" i="10"/>
  <c r="W179" i="10"/>
  <c r="V180" i="10"/>
  <c r="U181" i="10"/>
  <c r="U177" i="10"/>
  <c r="T178" i="10"/>
  <c r="S179" i="10"/>
  <c r="R180" i="10"/>
  <c r="Q181" i="10"/>
  <c r="Q177" i="10"/>
  <c r="P178" i="10"/>
  <c r="O179" i="10"/>
  <c r="N180" i="10"/>
  <c r="M181" i="10"/>
  <c r="M177" i="10"/>
  <c r="L178" i="10"/>
  <c r="K179" i="10"/>
  <c r="J180" i="10"/>
  <c r="I181" i="10"/>
  <c r="I177" i="10"/>
  <c r="H178" i="10"/>
  <c r="G179" i="10"/>
  <c r="F180" i="10"/>
  <c r="E181" i="10"/>
  <c r="AN181" i="10"/>
  <c r="AN177" i="10"/>
  <c r="AM178" i="10"/>
  <c r="AL179" i="10"/>
  <c r="AK180" i="10"/>
  <c r="AJ181" i="10"/>
  <c r="AJ177" i="10"/>
  <c r="AI178" i="10"/>
  <c r="AH179" i="10"/>
  <c r="AG180" i="10"/>
  <c r="AF181" i="10"/>
  <c r="AF177" i="10"/>
  <c r="AE178" i="10"/>
  <c r="AD179" i="10"/>
  <c r="AC180" i="10"/>
  <c r="AB181" i="10"/>
  <c r="AB177" i="10"/>
  <c r="AA178" i="10"/>
  <c r="Z179" i="10"/>
  <c r="Y180" i="10"/>
  <c r="X181" i="10"/>
  <c r="X177" i="10"/>
  <c r="W178" i="10"/>
  <c r="V179" i="10"/>
  <c r="U180" i="10"/>
  <c r="T181" i="10"/>
  <c r="T177" i="10"/>
  <c r="S178" i="10"/>
  <c r="R179" i="10"/>
  <c r="Q180" i="10"/>
  <c r="P181" i="10"/>
  <c r="P177" i="10"/>
  <c r="O178" i="10"/>
  <c r="N179" i="10"/>
  <c r="M180" i="10"/>
  <c r="L181" i="10"/>
  <c r="L177" i="10"/>
  <c r="K178" i="10"/>
  <c r="J179" i="10"/>
  <c r="I180" i="10"/>
  <c r="H181" i="10"/>
  <c r="H177" i="10"/>
  <c r="G178" i="10"/>
  <c r="F179" i="10"/>
  <c r="E180" i="10"/>
  <c r="AN180" i="10"/>
  <c r="AM181" i="10"/>
  <c r="AM177" i="10"/>
  <c r="AL178" i="10"/>
  <c r="AK179" i="10"/>
  <c r="AJ180" i="10"/>
  <c r="AI181" i="10"/>
  <c r="AI177" i="10"/>
  <c r="AH178" i="10"/>
  <c r="AG179" i="10"/>
  <c r="AF180" i="10"/>
  <c r="AE181" i="10"/>
  <c r="AE177" i="10"/>
  <c r="AD178" i="10"/>
  <c r="AC179" i="10"/>
  <c r="G249" i="12"/>
  <c r="Y249" i="12"/>
  <c r="AA249" i="12"/>
  <c r="AL249" i="12"/>
  <c r="AI249" i="12"/>
  <c r="AK249" i="12"/>
  <c r="S249" i="12"/>
  <c r="AG249" i="12"/>
  <c r="AH236" i="12"/>
  <c r="K236" i="12"/>
  <c r="Q236" i="12"/>
  <c r="M236" i="12"/>
  <c r="AM264" i="12"/>
  <c r="K264" i="12"/>
  <c r="N264" i="12"/>
  <c r="I264" i="12"/>
  <c r="X263" i="13"/>
  <c r="N235" i="13"/>
  <c r="N249" i="12"/>
  <c r="F249" i="12"/>
  <c r="Q249" i="12"/>
  <c r="AF249" i="12"/>
  <c r="AD249" i="12"/>
  <c r="P236" i="13"/>
  <c r="R236" i="13"/>
  <c r="AN222" i="13"/>
  <c r="Q222" i="13"/>
  <c r="S222" i="13"/>
  <c r="AB222" i="13"/>
  <c r="G222" i="13"/>
  <c r="R222" i="13"/>
  <c r="F222" i="13"/>
  <c r="AJ249" i="12"/>
  <c r="I249" i="12"/>
  <c r="L236" i="12"/>
  <c r="AG236" i="12"/>
  <c r="AF236" i="12"/>
  <c r="AD236" i="12"/>
  <c r="T263" i="12"/>
  <c r="T264" i="12"/>
  <c r="AL264" i="12"/>
  <c r="U250" i="12"/>
  <c r="E221" i="12"/>
  <c r="P221" i="12"/>
  <c r="AG221" i="12"/>
  <c r="AH263" i="12"/>
  <c r="AK250" i="12"/>
  <c r="AD250" i="12"/>
  <c r="Z249" i="13"/>
  <c r="AG249" i="13"/>
  <c r="AJ208" i="13"/>
  <c r="I235" i="13"/>
  <c r="V208" i="13"/>
  <c r="O263" i="13"/>
  <c r="O235" i="13"/>
  <c r="K235" i="13"/>
  <c r="AG235" i="13"/>
  <c r="AH235" i="13"/>
  <c r="AE235" i="13"/>
  <c r="U235" i="13"/>
  <c r="S235" i="13"/>
  <c r="AK235" i="13"/>
  <c r="AD235" i="13"/>
  <c r="W235" i="13"/>
  <c r="R235" i="13"/>
  <c r="AL235" i="13"/>
  <c r="F235" i="13"/>
  <c r="J235" i="13"/>
  <c r="AC235" i="13"/>
  <c r="Y235" i="13"/>
  <c r="Q235" i="13"/>
  <c r="AB235" i="13"/>
  <c r="AF235" i="13"/>
  <c r="I263" i="13"/>
  <c r="F263" i="13"/>
  <c r="AC263" i="13"/>
  <c r="Q263" i="13"/>
  <c r="AE263" i="13"/>
  <c r="S263" i="13"/>
  <c r="AD263" i="13"/>
  <c r="R263" i="13"/>
  <c r="L249" i="13"/>
  <c r="AE249" i="13"/>
  <c r="S249" i="13"/>
  <c r="F249" i="13"/>
  <c r="M249" i="12"/>
  <c r="V249" i="12"/>
  <c r="W249" i="12"/>
  <c r="L249" i="12"/>
  <c r="AM249" i="12"/>
  <c r="J250" i="12"/>
  <c r="AA249" i="13"/>
  <c r="H249" i="13"/>
  <c r="P249" i="13"/>
  <c r="Y263" i="13"/>
  <c r="T263" i="13"/>
  <c r="V263" i="13"/>
  <c r="AK263" i="13"/>
  <c r="E263" i="13"/>
  <c r="Z249" i="12"/>
  <c r="X249" i="12"/>
  <c r="J249" i="12"/>
  <c r="E249" i="12"/>
  <c r="U249" i="12"/>
  <c r="AE249" i="12"/>
  <c r="AN249" i="12"/>
  <c r="H264" i="12"/>
  <c r="V264" i="12"/>
  <c r="AH249" i="12"/>
  <c r="AC249" i="12"/>
  <c r="H249" i="12"/>
  <c r="AB249" i="12"/>
  <c r="R249" i="12"/>
  <c r="AN236" i="12"/>
  <c r="AC236" i="12"/>
  <c r="W236" i="12"/>
  <c r="AJ264" i="12"/>
  <c r="P264" i="12"/>
  <c r="R264" i="12"/>
  <c r="V250" i="12"/>
  <c r="AI221" i="12"/>
  <c r="S221" i="12"/>
  <c r="AC221" i="12"/>
  <c r="AN221" i="12"/>
  <c r="U263" i="13"/>
  <c r="AJ235" i="13"/>
  <c r="H263" i="13"/>
  <c r="AI235" i="13"/>
  <c r="F86" i="13"/>
  <c r="H65" i="13"/>
  <c r="G121" i="13"/>
  <c r="H121" i="13" s="1"/>
  <c r="F142" i="13"/>
  <c r="E163" i="13" a="1"/>
  <c r="E153" i="10"/>
  <c r="O157" i="10"/>
  <c r="O153" i="10"/>
  <c r="AL154" i="10"/>
  <c r="Y156" i="10"/>
  <c r="AJ157" i="10"/>
  <c r="AJ153" i="10"/>
  <c r="K155" i="10"/>
  <c r="V156" i="10"/>
  <c r="AG157" i="10"/>
  <c r="AG153" i="10"/>
  <c r="T155" i="10"/>
  <c r="AE156" i="10"/>
  <c r="AB157" i="10"/>
  <c r="R154" i="10"/>
  <c r="AC155" i="10"/>
  <c r="AM156" i="10"/>
  <c r="AN157" i="10"/>
  <c r="Z154" i="10"/>
  <c r="M156" i="10"/>
  <c r="X157" i="10"/>
  <c r="X153" i="10"/>
  <c r="AI154" i="10"/>
  <c r="J156" i="10"/>
  <c r="U157" i="10"/>
  <c r="U153" i="10"/>
  <c r="H155" i="10"/>
  <c r="S156" i="10"/>
  <c r="P155" i="10"/>
  <c r="F154" i="10"/>
  <c r="Q155" i="10"/>
  <c r="AA156" i="10"/>
  <c r="P154" i="10"/>
  <c r="N154" i="10"/>
  <c r="AK155" i="10"/>
  <c r="L157" i="10"/>
  <c r="L153" i="10"/>
  <c r="W154" i="10"/>
  <c r="AH155" i="10"/>
  <c r="I157" i="10"/>
  <c r="I153" i="10"/>
  <c r="AF154" i="10"/>
  <c r="G156" i="10"/>
  <c r="AD157" i="10"/>
  <c r="AD153" i="10"/>
  <c r="E155" i="10"/>
  <c r="O156" i="10"/>
  <c r="AL157" i="10"/>
  <c r="AL153" i="10"/>
  <c r="Y155" i="10"/>
  <c r="AJ156" i="10"/>
  <c r="P153" i="10"/>
  <c r="K154" i="10"/>
  <c r="V155" i="10"/>
  <c r="AG156" i="10"/>
  <c r="P157" i="10"/>
  <c r="T154" i="10"/>
  <c r="AE155" i="10"/>
  <c r="R157" i="10"/>
  <c r="R153" i="10"/>
  <c r="AC154" i="10"/>
  <c r="AM155" i="10"/>
  <c r="Z157" i="10"/>
  <c r="Z153" i="10"/>
  <c r="M155" i="10"/>
  <c r="X156" i="10"/>
  <c r="AI157" i="10"/>
  <c r="AI153" i="10"/>
  <c r="J155" i="10"/>
  <c r="U156" i="10"/>
  <c r="P156" i="10"/>
  <c r="H154" i="10"/>
  <c r="S155" i="10"/>
  <c r="F157" i="10"/>
  <c r="F153" i="10"/>
  <c r="Q154" i="10"/>
  <c r="AA155" i="10"/>
  <c r="N157" i="10"/>
  <c r="N153" i="10"/>
  <c r="AK154" i="10"/>
  <c r="L156" i="10"/>
  <c r="W157" i="10"/>
  <c r="W153" i="10"/>
  <c r="AH154" i="10"/>
  <c r="I156" i="10"/>
  <c r="AF157" i="10"/>
  <c r="AF153" i="10"/>
  <c r="G155" i="10"/>
  <c r="AD156" i="10"/>
  <c r="AB154" i="10"/>
  <c r="E154" i="10"/>
  <c r="O155" i="10"/>
  <c r="AL156" i="10"/>
  <c r="AN156" i="10"/>
  <c r="Y154" i="10"/>
  <c r="AJ155" i="10"/>
  <c r="K157" i="10"/>
  <c r="K153" i="10"/>
  <c r="V154" i="10"/>
  <c r="AG155" i="10"/>
  <c r="T157" i="10"/>
  <c r="T153" i="10"/>
  <c r="AE154" i="10"/>
  <c r="R156" i="10"/>
  <c r="AC157" i="10"/>
  <c r="AC153" i="10"/>
  <c r="AM154" i="10"/>
  <c r="Z156" i="10"/>
  <c r="AN155" i="10"/>
  <c r="M154" i="10"/>
  <c r="X155" i="10"/>
  <c r="AI156" i="10"/>
  <c r="AB153" i="10"/>
  <c r="J154" i="10"/>
  <c r="U155" i="10"/>
  <c r="H157" i="10"/>
  <c r="H153" i="10"/>
  <c r="S154" i="10"/>
  <c r="F156" i="10"/>
  <c r="Q157" i="10"/>
  <c r="Q153" i="10"/>
  <c r="AA154" i="10"/>
  <c r="N156" i="10"/>
  <c r="AK157" i="10"/>
  <c r="AK153" i="10"/>
  <c r="L155" i="10"/>
  <c r="W156" i="10"/>
  <c r="AH157" i="10"/>
  <c r="AH153" i="10"/>
  <c r="I155" i="10"/>
  <c r="AF156" i="10"/>
  <c r="AN154" i="10"/>
  <c r="G154" i="10"/>
  <c r="AD155" i="10"/>
  <c r="E157" i="10"/>
  <c r="AB156" i="10"/>
  <c r="O154" i="10"/>
  <c r="AL155" i="10"/>
  <c r="Y157" i="10"/>
  <c r="Y153" i="10"/>
  <c r="AJ154" i="10"/>
  <c r="K156" i="10"/>
  <c r="V157" i="10"/>
  <c r="V153" i="10"/>
  <c r="AG154" i="10"/>
  <c r="T156" i="10"/>
  <c r="AE157" i="10"/>
  <c r="AE153" i="10"/>
  <c r="R155" i="10"/>
  <c r="AC156" i="10"/>
  <c r="AM157" i="10"/>
  <c r="AM153" i="10"/>
  <c r="Z155" i="10"/>
  <c r="M157" i="10"/>
  <c r="M153" i="10"/>
  <c r="X154" i="10"/>
  <c r="AI155" i="10"/>
  <c r="J157" i="10"/>
  <c r="J153" i="10"/>
  <c r="U154" i="10"/>
  <c r="AA157" i="10"/>
  <c r="AA153" i="10"/>
  <c r="N155" i="10"/>
  <c r="AK156" i="10"/>
  <c r="AB155" i="10"/>
  <c r="L154" i="10"/>
  <c r="W155" i="10"/>
  <c r="AH156" i="10"/>
  <c r="AN153" i="10"/>
  <c r="I154" i="10"/>
  <c r="AF155" i="10"/>
  <c r="G157" i="10"/>
  <c r="G153" i="10"/>
  <c r="AD154" i="10"/>
  <c r="E156" i="10"/>
  <c r="H156" i="10"/>
  <c r="S157" i="10"/>
  <c r="S153" i="10"/>
  <c r="F155" i="10"/>
  <c r="Q156" i="10"/>
  <c r="K250" i="12"/>
  <c r="R250" i="12"/>
  <c r="E165" i="10"/>
  <c r="AA169" i="10"/>
  <c r="AA165" i="10"/>
  <c r="N167" i="10"/>
  <c r="Y168" i="10"/>
  <c r="AJ169" i="10"/>
  <c r="AJ165" i="10"/>
  <c r="K167" i="10"/>
  <c r="V168" i="10"/>
  <c r="AG169" i="10"/>
  <c r="AG165" i="10"/>
  <c r="T168" i="10"/>
  <c r="AE169" i="10"/>
  <c r="AE165" i="10"/>
  <c r="F167" i="10"/>
  <c r="E168" i="10"/>
  <c r="O169" i="10"/>
  <c r="O165" i="10"/>
  <c r="AL166" i="10"/>
  <c r="M168" i="10"/>
  <c r="X169" i="10"/>
  <c r="X165" i="10"/>
  <c r="AI166" i="10"/>
  <c r="J168" i="10"/>
  <c r="U169" i="10"/>
  <c r="U165" i="10"/>
  <c r="H168" i="10"/>
  <c r="S169" i="10"/>
  <c r="S165" i="10"/>
  <c r="AD166" i="10"/>
  <c r="AC167" i="10"/>
  <c r="AM168" i="10"/>
  <c r="AN168" i="10"/>
  <c r="Z166" i="10"/>
  <c r="AK167" i="10"/>
  <c r="L169" i="10"/>
  <c r="L165" i="10"/>
  <c r="W166" i="10"/>
  <c r="AH167" i="10"/>
  <c r="I169" i="10"/>
  <c r="I165" i="10"/>
  <c r="AF167" i="10"/>
  <c r="G169" i="10"/>
  <c r="G165" i="10"/>
  <c r="R166" i="10"/>
  <c r="Q167" i="10"/>
  <c r="AA168" i="10"/>
  <c r="P165" i="10"/>
  <c r="N166" i="10"/>
  <c r="Y167" i="10"/>
  <c r="AJ168" i="10"/>
  <c r="AN166" i="10"/>
  <c r="K166" i="10"/>
  <c r="V167" i="10"/>
  <c r="AG168" i="10"/>
  <c r="AN169" i="10"/>
  <c r="T167" i="10"/>
  <c r="AE168" i="10"/>
  <c r="AB167" i="10"/>
  <c r="F166" i="10"/>
  <c r="E167" i="10"/>
  <c r="O168" i="10"/>
  <c r="AL169" i="10"/>
  <c r="AL165" i="10"/>
  <c r="M167" i="10"/>
  <c r="X168" i="10"/>
  <c r="AI169" i="10"/>
  <c r="AI165" i="10"/>
  <c r="J167" i="10"/>
  <c r="U168" i="10"/>
  <c r="AB169" i="10"/>
  <c r="H167" i="10"/>
  <c r="S168" i="10"/>
  <c r="AD169" i="10"/>
  <c r="AD165" i="10"/>
  <c r="AC166" i="10"/>
  <c r="AM167" i="10"/>
  <c r="Z169" i="10"/>
  <c r="Z165" i="10"/>
  <c r="AK166" i="10"/>
  <c r="L168" i="10"/>
  <c r="W169" i="10"/>
  <c r="W165" i="10"/>
  <c r="AH166" i="10"/>
  <c r="I168" i="10"/>
  <c r="P169" i="10"/>
  <c r="AF166" i="10"/>
  <c r="G168" i="10"/>
  <c r="R169" i="10"/>
  <c r="R165" i="10"/>
  <c r="Q166" i="10"/>
  <c r="AA167" i="10"/>
  <c r="N169" i="10"/>
  <c r="N165" i="10"/>
  <c r="Y166" i="10"/>
  <c r="AJ167" i="10"/>
  <c r="K169" i="10"/>
  <c r="K165" i="10"/>
  <c r="V166" i="10"/>
  <c r="AG167" i="10"/>
  <c r="AB168" i="10"/>
  <c r="T166" i="10"/>
  <c r="AE167" i="10"/>
  <c r="F169" i="10"/>
  <c r="F165" i="10"/>
  <c r="E166" i="10"/>
  <c r="O167" i="10"/>
  <c r="AL168" i="10"/>
  <c r="AB165" i="10"/>
  <c r="M166" i="10"/>
  <c r="X167" i="10"/>
  <c r="AI168" i="10"/>
  <c r="AN165" i="10"/>
  <c r="J166" i="10"/>
  <c r="U167" i="10"/>
  <c r="AB166" i="10"/>
  <c r="H166" i="10"/>
  <c r="S167" i="10"/>
  <c r="AD168" i="10"/>
  <c r="AC169" i="10"/>
  <c r="AC165" i="10"/>
  <c r="AM166" i="10"/>
  <c r="Z168" i="10"/>
  <c r="AK169" i="10"/>
  <c r="AK165" i="10"/>
  <c r="L167" i="10"/>
  <c r="W168" i="10"/>
  <c r="AH169" i="10"/>
  <c r="AH165" i="10"/>
  <c r="I167" i="10"/>
  <c r="AF169" i="10"/>
  <c r="AF165" i="10"/>
  <c r="G167" i="10"/>
  <c r="R168" i="10"/>
  <c r="Q169" i="10"/>
  <c r="Q165" i="10"/>
  <c r="AA166" i="10"/>
  <c r="N168" i="10"/>
  <c r="Y169" i="10"/>
  <c r="Y165" i="10"/>
  <c r="AJ166" i="10"/>
  <c r="K168" i="10"/>
  <c r="V169" i="10"/>
  <c r="V165" i="10"/>
  <c r="AG166" i="10"/>
  <c r="T169" i="10"/>
  <c r="T165" i="10"/>
  <c r="AE166" i="10"/>
  <c r="F168" i="10"/>
  <c r="E169" i="10"/>
  <c r="P167" i="10"/>
  <c r="O166" i="10"/>
  <c r="AL167" i="10"/>
  <c r="M169" i="10"/>
  <c r="M165" i="10"/>
  <c r="X166" i="10"/>
  <c r="AI167" i="10"/>
  <c r="J169" i="10"/>
  <c r="J165" i="10"/>
  <c r="U166" i="10"/>
  <c r="H169" i="10"/>
  <c r="H165" i="10"/>
  <c r="S166" i="10"/>
  <c r="AD167" i="10"/>
  <c r="AC168" i="10"/>
  <c r="AM169" i="10"/>
  <c r="AM165" i="10"/>
  <c r="Z167" i="10"/>
  <c r="AK168" i="10"/>
  <c r="AN167" i="10"/>
  <c r="L166" i="10"/>
  <c r="W167" i="10"/>
  <c r="AH168" i="10"/>
  <c r="P166" i="10"/>
  <c r="I166" i="10"/>
  <c r="AF168" i="10"/>
  <c r="P168" i="10"/>
  <c r="G166" i="10"/>
  <c r="R167" i="10"/>
  <c r="Q168" i="10"/>
  <c r="AK222" i="12"/>
  <c r="M222" i="12"/>
  <c r="E222" i="12"/>
  <c r="T249" i="12"/>
  <c r="L208" i="12"/>
  <c r="S222" i="12"/>
  <c r="AA208" i="12"/>
  <c r="AL208" i="12"/>
  <c r="AB207" i="12"/>
  <c r="T236" i="12"/>
  <c r="AJ236" i="12"/>
  <c r="J207" i="12"/>
  <c r="AI207" i="12"/>
  <c r="AB208" i="12"/>
  <c r="AC208" i="12"/>
  <c r="Q208" i="12"/>
  <c r="AE208" i="12"/>
  <c r="S208" i="12"/>
  <c r="G208" i="12"/>
  <c r="AD208" i="12"/>
  <c r="F208" i="12"/>
  <c r="R208" i="12"/>
  <c r="J222" i="12"/>
  <c r="AL222" i="12"/>
  <c r="H208" i="12"/>
  <c r="AN207" i="12"/>
  <c r="K208" i="12"/>
  <c r="F207" i="12"/>
  <c r="U207" i="12"/>
  <c r="AN208" i="12"/>
  <c r="M208" i="12"/>
  <c r="AG208" i="12"/>
  <c r="AI208" i="12"/>
  <c r="Z208" i="12"/>
  <c r="N208" i="12"/>
  <c r="R222" i="12"/>
  <c r="O208" i="12"/>
  <c r="P208" i="12"/>
  <c r="AK208" i="12"/>
  <c r="Y222" i="12"/>
  <c r="AA222" i="12"/>
  <c r="W208" i="12"/>
  <c r="Y208" i="12"/>
  <c r="F86" i="12"/>
  <c r="F142" i="12"/>
  <c r="E103" i="10" a="1"/>
  <c r="E103" i="10" s="1"/>
  <c r="AD7" i="10"/>
  <c r="Y7" i="10"/>
  <c r="AB7" i="10"/>
  <c r="AN7" i="10"/>
  <c r="H7" i="10"/>
  <c r="AG7" i="10"/>
  <c r="Q7" i="10"/>
  <c r="AJ7" i="10"/>
  <c r="F7" i="10"/>
  <c r="M7" i="10"/>
  <c r="N7" i="10"/>
  <c r="U7" i="10"/>
  <c r="AK7" i="10"/>
  <c r="AE7" i="10"/>
  <c r="X7" i="10"/>
  <c r="T7" i="10"/>
  <c r="K7" i="10"/>
  <c r="R7" i="10"/>
  <c r="AF7" i="10"/>
  <c r="J7" i="10"/>
  <c r="E7" i="10"/>
  <c r="P7" i="10"/>
  <c r="S7" i="10"/>
  <c r="AL7" i="10"/>
  <c r="W7" i="10"/>
  <c r="AI7" i="10"/>
  <c r="L7" i="10"/>
  <c r="G7" i="10"/>
  <c r="I7" i="10"/>
  <c r="Z7" i="10"/>
  <c r="AM7" i="10"/>
  <c r="O7" i="10"/>
  <c r="AH7" i="10"/>
  <c r="AC7" i="10"/>
  <c r="AA7" i="10"/>
  <c r="E33" i="10" a="1"/>
  <c r="BE33" i="10" s="1"/>
  <c r="E77" i="10"/>
  <c r="N77" i="10"/>
  <c r="AB77" i="10"/>
  <c r="AL77" i="10"/>
  <c r="AK77" i="10"/>
  <c r="V77" i="10"/>
  <c r="AI77" i="10"/>
  <c r="AJ77" i="10"/>
  <c r="W77" i="10"/>
  <c r="I77" i="10"/>
  <c r="O77" i="10"/>
  <c r="AD77" i="10"/>
  <c r="K77" i="10"/>
  <c r="AN77" i="10"/>
  <c r="AC77" i="10"/>
  <c r="J77" i="10"/>
  <c r="AA77" i="10"/>
  <c r="L77" i="10"/>
  <c r="R77" i="10"/>
  <c r="F77" i="10"/>
  <c r="AM77" i="10"/>
  <c r="AG77" i="10"/>
  <c r="H77" i="10"/>
  <c r="X77" i="10"/>
  <c r="G77" i="10"/>
  <c r="U77" i="10"/>
  <c r="P77" i="10"/>
  <c r="AE77" i="10"/>
  <c r="AH77" i="10"/>
  <c r="M77" i="10"/>
  <c r="S77" i="10"/>
  <c r="T77" i="10"/>
  <c r="Z77" i="10"/>
  <c r="Q77" i="10"/>
  <c r="AF77" i="10"/>
  <c r="Y77" i="10"/>
  <c r="E166" i="14" l="1" a="1"/>
  <c r="E173" i="14" a="1"/>
  <c r="E174" i="13" a="1"/>
  <c r="G174" i="13" s="1"/>
  <c r="E164" i="13" a="1"/>
  <c r="E173" i="13" a="1"/>
  <c r="H173" i="13" s="1"/>
  <c r="E164" i="14" a="1"/>
  <c r="J164" i="14" s="1"/>
  <c r="M213" i="14"/>
  <c r="E170" i="14" a="1"/>
  <c r="F170" i="14" s="1"/>
  <c r="E172" i="14" a="1"/>
  <c r="E172" i="13" a="1"/>
  <c r="L172" i="13" s="1"/>
  <c r="M255" i="12"/>
  <c r="E7" i="6" a="1"/>
  <c r="E6" i="6" a="1"/>
  <c r="P227" i="14"/>
  <c r="L227" i="12"/>
  <c r="N227" i="12"/>
  <c r="M241" i="13"/>
  <c r="O227" i="13"/>
  <c r="O269" i="12"/>
  <c r="Q227" i="14"/>
  <c r="M213" i="12"/>
  <c r="P269" i="12"/>
  <c r="O227" i="12"/>
  <c r="AD227" i="13"/>
  <c r="K227" i="13"/>
  <c r="AG227" i="14"/>
  <c r="I213" i="13"/>
  <c r="P213" i="14"/>
  <c r="M241" i="14"/>
  <c r="Q255" i="14"/>
  <c r="AC213" i="13"/>
  <c r="P255" i="13"/>
  <c r="L269" i="14"/>
  <c r="M227" i="14"/>
  <c r="M269" i="12"/>
  <c r="O213" i="13"/>
  <c r="L255" i="13"/>
  <c r="O269" i="13"/>
  <c r="Q241" i="12"/>
  <c r="L213" i="13"/>
  <c r="L227" i="13"/>
  <c r="L255" i="12"/>
  <c r="R255" i="12"/>
  <c r="O213" i="14"/>
  <c r="O213" i="12"/>
  <c r="M255" i="14"/>
  <c r="M255" i="13"/>
  <c r="P213" i="12"/>
  <c r="P241" i="13"/>
  <c r="Q213" i="14"/>
  <c r="P241" i="12"/>
  <c r="K255" i="14"/>
  <c r="N213" i="13"/>
  <c r="Q269" i="12"/>
  <c r="L255" i="14"/>
  <c r="P227" i="13"/>
  <c r="O255" i="13"/>
  <c r="L213" i="14"/>
  <c r="M269" i="14"/>
  <c r="L241" i="13"/>
  <c r="L241" i="12"/>
  <c r="P241" i="14"/>
  <c r="N213" i="14"/>
  <c r="M213" i="13"/>
  <c r="N269" i="12"/>
  <c r="N227" i="14"/>
  <c r="M227" i="13"/>
  <c r="O255" i="14"/>
  <c r="P255" i="14"/>
  <c r="P213" i="13"/>
  <c r="AN227" i="13"/>
  <c r="AE241" i="14"/>
  <c r="I227" i="12"/>
  <c r="L227" i="14"/>
  <c r="N269" i="14"/>
  <c r="O269" i="14"/>
  <c r="AG213" i="13"/>
  <c r="H213" i="14"/>
  <c r="AB213" i="14"/>
  <c r="G269" i="12"/>
  <c r="AI255" i="13"/>
  <c r="G227" i="12"/>
  <c r="AI227" i="14"/>
  <c r="Y227" i="14"/>
  <c r="AA213" i="13"/>
  <c r="G269" i="13"/>
  <c r="AJ213" i="13"/>
  <c r="AD241" i="14"/>
  <c r="Q269" i="14"/>
  <c r="N255" i="13"/>
  <c r="AA227" i="14"/>
  <c r="AF227" i="14"/>
  <c r="AD227" i="14"/>
  <c r="I241" i="13"/>
  <c r="Z213" i="12"/>
  <c r="V269" i="14"/>
  <c r="AG241" i="13"/>
  <c r="P269" i="14"/>
  <c r="Q241" i="13"/>
  <c r="J213" i="14"/>
  <c r="AB255" i="13"/>
  <c r="AE269" i="13"/>
  <c r="N255" i="14"/>
  <c r="Q227" i="12"/>
  <c r="W255" i="14"/>
  <c r="E227" i="14"/>
  <c r="AK241" i="12"/>
  <c r="AI269" i="14"/>
  <c r="Q255" i="13"/>
  <c r="N241" i="14"/>
  <c r="AC255" i="13"/>
  <c r="W269" i="14"/>
  <c r="F241" i="14"/>
  <c r="AK269" i="12"/>
  <c r="AG269" i="12"/>
  <c r="Z241" i="12"/>
  <c r="AC269" i="14"/>
  <c r="W241" i="14"/>
  <c r="R227" i="14"/>
  <c r="U241" i="14"/>
  <c r="AC227" i="12"/>
  <c r="AA269" i="12"/>
  <c r="AL255" i="14"/>
  <c r="AM269" i="13"/>
  <c r="F269" i="12"/>
  <c r="L213" i="12"/>
  <c r="V241" i="13"/>
  <c r="O241" i="12"/>
  <c r="AH213" i="14"/>
  <c r="Q241" i="14"/>
  <c r="U227" i="13"/>
  <c r="X255" i="14"/>
  <c r="Q213" i="13"/>
  <c r="AM255" i="12"/>
  <c r="H227" i="12"/>
  <c r="G213" i="13"/>
  <c r="K269" i="12"/>
  <c r="J241" i="13"/>
  <c r="F255" i="13"/>
  <c r="E255" i="13"/>
  <c r="H241" i="12"/>
  <c r="AB213" i="12"/>
  <c r="AC213" i="12"/>
  <c r="J227" i="13"/>
  <c r="J213" i="12"/>
  <c r="AE255" i="12"/>
  <c r="X241" i="14"/>
  <c r="AA255" i="13"/>
  <c r="W255" i="13"/>
  <c r="AI255" i="14"/>
  <c r="AI241" i="13"/>
  <c r="AF269" i="14"/>
  <c r="AE269" i="12"/>
  <c r="AH241" i="14"/>
  <c r="Y241" i="14"/>
  <c r="AK241" i="14"/>
  <c r="AL213" i="13"/>
  <c r="V213" i="13"/>
  <c r="S241" i="14"/>
  <c r="T241" i="13"/>
  <c r="Y227" i="12"/>
  <c r="K227" i="12"/>
  <c r="E269" i="13"/>
  <c r="AB227" i="13"/>
  <c r="AD269" i="13"/>
  <c r="AE227" i="14"/>
  <c r="V255" i="14"/>
  <c r="AD213" i="14"/>
  <c r="AM269" i="14"/>
  <c r="F227" i="13"/>
  <c r="G255" i="14"/>
  <c r="V227" i="14"/>
  <c r="AA255" i="14"/>
  <c r="F227" i="14"/>
  <c r="AC213" i="14"/>
  <c r="F213" i="14"/>
  <c r="S227" i="14"/>
  <c r="Y255" i="13"/>
  <c r="AE213" i="13"/>
  <c r="U213" i="12"/>
  <c r="H255" i="12"/>
  <c r="K241" i="14"/>
  <c r="H213" i="13"/>
  <c r="J241" i="14"/>
  <c r="G241" i="14"/>
  <c r="H269" i="13"/>
  <c r="AH255" i="12"/>
  <c r="T241" i="12"/>
  <c r="G213" i="12"/>
  <c r="AM255" i="13"/>
  <c r="Z227" i="12"/>
  <c r="AD269" i="12"/>
  <c r="AC255" i="14"/>
  <c r="AH255" i="13"/>
  <c r="AK213" i="13"/>
  <c r="AJ241" i="14"/>
  <c r="V255" i="12"/>
  <c r="AJ241" i="13"/>
  <c r="AG255" i="13"/>
  <c r="AJ255" i="14"/>
  <c r="AH269" i="14"/>
  <c r="AI241" i="14"/>
  <c r="T213" i="12"/>
  <c r="AC255" i="12"/>
  <c r="U255" i="13"/>
  <c r="R269" i="14"/>
  <c r="U241" i="12"/>
  <c r="I241" i="14"/>
  <c r="V241" i="12"/>
  <c r="AB213" i="13"/>
  <c r="R227" i="13"/>
  <c r="X227" i="14"/>
  <c r="Z213" i="13"/>
  <c r="AJ227" i="14"/>
  <c r="U213" i="14"/>
  <c r="R213" i="14"/>
  <c r="U227" i="14"/>
  <c r="W227" i="14"/>
  <c r="K227" i="14"/>
  <c r="AK227" i="14"/>
  <c r="AL255" i="13"/>
  <c r="AF269" i="12"/>
  <c r="AM213" i="12"/>
  <c r="H227" i="14"/>
  <c r="F269" i="14"/>
  <c r="H269" i="12"/>
  <c r="F213" i="13"/>
  <c r="E269" i="12"/>
  <c r="AJ227" i="12"/>
  <c r="AF241" i="12"/>
  <c r="R213" i="12"/>
  <c r="X255" i="13"/>
  <c r="E227" i="12"/>
  <c r="I241" i="12"/>
  <c r="AN255" i="12"/>
  <c r="AH227" i="14"/>
  <c r="Z255" i="13"/>
  <c r="AE241" i="13"/>
  <c r="AH241" i="13"/>
  <c r="Y241" i="13"/>
  <c r="AL269" i="14"/>
  <c r="AJ269" i="14"/>
  <c r="AE255" i="14"/>
  <c r="V241" i="14"/>
  <c r="U269" i="13"/>
  <c r="R255" i="13"/>
  <c r="R241" i="14"/>
  <c r="AD213" i="13"/>
  <c r="AN241" i="12"/>
  <c r="Z269" i="12"/>
  <c r="AK227" i="13"/>
  <c r="AB255" i="12"/>
  <c r="X213" i="14"/>
  <c r="AN213" i="14"/>
  <c r="AF213" i="14"/>
  <c r="AC227" i="14"/>
  <c r="Y269" i="14"/>
  <c r="J227" i="14"/>
  <c r="AC241" i="14"/>
  <c r="AD255" i="12"/>
  <c r="X255" i="12"/>
  <c r="E213" i="13"/>
  <c r="H269" i="14"/>
  <c r="H255" i="14"/>
  <c r="K269" i="14"/>
  <c r="J255" i="13"/>
  <c r="E269" i="14"/>
  <c r="AE255" i="13"/>
  <c r="J213" i="13"/>
  <c r="Y269" i="12"/>
  <c r="X213" i="12"/>
  <c r="AE269" i="14"/>
  <c r="Z241" i="13"/>
  <c r="AD255" i="13"/>
  <c r="AF241" i="14"/>
  <c r="AK241" i="13"/>
  <c r="AK255" i="12"/>
  <c r="AF255" i="14"/>
  <c r="AH269" i="12"/>
  <c r="X269" i="14"/>
  <c r="AK213" i="12"/>
  <c r="U269" i="14"/>
  <c r="Y213" i="13"/>
  <c r="AF269" i="13"/>
  <c r="K213" i="12"/>
  <c r="AM227" i="13"/>
  <c r="E213" i="14"/>
  <c r="AA241" i="14"/>
  <c r="T213" i="14"/>
  <c r="AL213" i="14"/>
  <c r="AB241" i="14"/>
  <c r="AB227" i="14"/>
  <c r="Y255" i="14"/>
  <c r="AM227" i="14"/>
  <c r="AD255" i="14"/>
  <c r="Z255" i="14"/>
  <c r="AL227" i="14"/>
  <c r="AL227" i="13"/>
  <c r="AH227" i="12"/>
  <c r="K241" i="13"/>
  <c r="K255" i="13"/>
  <c r="I269" i="14"/>
  <c r="F227" i="12"/>
  <c r="AG241" i="12"/>
  <c r="Z255" i="12"/>
  <c r="W227" i="12"/>
  <c r="E213" i="12"/>
  <c r="H241" i="14"/>
  <c r="AK227" i="12"/>
  <c r="S213" i="12"/>
  <c r="AG255" i="14"/>
  <c r="AL227" i="12"/>
  <c r="AA241" i="13"/>
  <c r="AG241" i="14"/>
  <c r="AK255" i="13"/>
  <c r="AI213" i="13"/>
  <c r="X213" i="13"/>
  <c r="AF241" i="13"/>
  <c r="AA255" i="12"/>
  <c r="AD213" i="12"/>
  <c r="G255" i="13"/>
  <c r="E241" i="14"/>
  <c r="X227" i="12"/>
  <c r="T241" i="14"/>
  <c r="R227" i="12"/>
  <c r="T269" i="14"/>
  <c r="S269" i="14"/>
  <c r="AA227" i="12"/>
  <c r="AA227" i="13"/>
  <c r="J227" i="12"/>
  <c r="AL255" i="12"/>
  <c r="AD227" i="12"/>
  <c r="AB269" i="14"/>
  <c r="X269" i="12"/>
  <c r="S241" i="13"/>
  <c r="T255" i="13"/>
  <c r="U255" i="12"/>
  <c r="U213" i="13"/>
  <c r="U255" i="14"/>
  <c r="X269" i="13"/>
  <c r="I213" i="14"/>
  <c r="V269" i="13"/>
  <c r="AB241" i="12"/>
  <c r="H241" i="13"/>
  <c r="J269" i="14"/>
  <c r="F255" i="12"/>
  <c r="I255" i="14"/>
  <c r="R255" i="14"/>
  <c r="R241" i="13"/>
  <c r="AF227" i="12"/>
  <c r="W213" i="12"/>
  <c r="S241" i="12"/>
  <c r="AA269" i="14"/>
  <c r="AK255" i="14"/>
  <c r="AG227" i="12"/>
  <c r="AH255" i="14"/>
  <c r="AL241" i="13"/>
  <c r="W241" i="13"/>
  <c r="AA213" i="14"/>
  <c r="G227" i="14"/>
  <c r="AE213" i="14"/>
  <c r="X241" i="13"/>
  <c r="V213" i="14"/>
  <c r="W269" i="12"/>
  <c r="Z227" i="14"/>
  <c r="I227" i="14"/>
  <c r="AJ269" i="13"/>
  <c r="I269" i="12"/>
  <c r="AL269" i="12"/>
  <c r="K213" i="13"/>
  <c r="J255" i="14"/>
  <c r="G269" i="14"/>
  <c r="F255" i="14"/>
  <c r="J269" i="12"/>
  <c r="S213" i="14"/>
  <c r="H213" i="12"/>
  <c r="AF213" i="12"/>
  <c r="AB255" i="14"/>
  <c r="AF213" i="13"/>
  <c r="Z241" i="14"/>
  <c r="AG269" i="14"/>
  <c r="AK269" i="14"/>
  <c r="AH213" i="13"/>
  <c r="AC241" i="13"/>
  <c r="Z269" i="14"/>
  <c r="AB269" i="12"/>
  <c r="W213" i="13"/>
  <c r="T269" i="12"/>
  <c r="T213" i="13"/>
  <c r="T255" i="14"/>
  <c r="S213" i="13"/>
  <c r="AJ269" i="12"/>
  <c r="AN241" i="13"/>
  <c r="I213" i="12"/>
  <c r="E241" i="12"/>
  <c r="Y213" i="12"/>
  <c r="AL213" i="12"/>
  <c r="S255" i="13"/>
  <c r="T255" i="12"/>
  <c r="AG213" i="12"/>
  <c r="S227" i="12"/>
  <c r="AE227" i="13"/>
  <c r="R269" i="12"/>
  <c r="AC269" i="13"/>
  <c r="AN227" i="14"/>
  <c r="AI255" i="12"/>
  <c r="O255" i="12"/>
  <c r="AM241" i="12"/>
  <c r="AE213" i="12"/>
  <c r="AH269" i="13"/>
  <c r="I255" i="12"/>
  <c r="R269" i="13"/>
  <c r="AA269" i="13"/>
  <c r="N255" i="12"/>
  <c r="V255" i="13"/>
  <c r="F241" i="12"/>
  <c r="M241" i="12"/>
  <c r="AE241" i="12"/>
  <c r="I227" i="13"/>
  <c r="O227" i="14"/>
  <c r="Q255" i="12"/>
  <c r="AG213" i="14"/>
  <c r="H255" i="13"/>
  <c r="P269" i="13"/>
  <c r="F269" i="13"/>
  <c r="N241" i="12"/>
  <c r="S255" i="14"/>
  <c r="S255" i="12"/>
  <c r="Y255" i="12"/>
  <c r="J241" i="12"/>
  <c r="O241" i="14"/>
  <c r="X227" i="13"/>
  <c r="AJ227" i="13"/>
  <c r="AC241" i="12"/>
  <c r="L269" i="13"/>
  <c r="K213" i="14"/>
  <c r="AJ255" i="13"/>
  <c r="AB269" i="13"/>
  <c r="J269" i="13"/>
  <c r="N213" i="12"/>
  <c r="AJ213" i="12"/>
  <c r="U269" i="12"/>
  <c r="M227" i="12"/>
  <c r="W255" i="12"/>
  <c r="H227" i="13"/>
  <c r="L241" i="14"/>
  <c r="E241" i="13"/>
  <c r="AJ241" i="12"/>
  <c r="AI227" i="13"/>
  <c r="S227" i="13"/>
  <c r="AG227" i="13"/>
  <c r="AC269" i="12"/>
  <c r="T227" i="14"/>
  <c r="Z213" i="14"/>
  <c r="AK269" i="13"/>
  <c r="Y269" i="13"/>
  <c r="K269" i="13"/>
  <c r="AL241" i="12"/>
  <c r="AB241" i="13"/>
  <c r="AD241" i="12"/>
  <c r="AN269" i="12"/>
  <c r="L269" i="12"/>
  <c r="E255" i="14"/>
  <c r="O241" i="13"/>
  <c r="K255" i="12"/>
  <c r="T227" i="13"/>
  <c r="Q227" i="13"/>
  <c r="N227" i="13"/>
  <c r="P227" i="12"/>
  <c r="AI213" i="14"/>
  <c r="AK213" i="14"/>
  <c r="AG269" i="13"/>
  <c r="N269" i="13"/>
  <c r="M269" i="13"/>
  <c r="AH213" i="12"/>
  <c r="AI269" i="12"/>
  <c r="AB227" i="12"/>
  <c r="P255" i="12"/>
  <c r="Y213" i="14"/>
  <c r="I269" i="13"/>
  <c r="Z269" i="13"/>
  <c r="Q269" i="13"/>
  <c r="S269" i="12"/>
  <c r="G255" i="12"/>
  <c r="U227" i="12"/>
  <c r="F213" i="12"/>
  <c r="AH241" i="12"/>
  <c r="AM213" i="13"/>
  <c r="X241" i="12"/>
  <c r="AG255" i="12"/>
  <c r="N241" i="13"/>
  <c r="V227" i="13"/>
  <c r="G227" i="13"/>
  <c r="AA241" i="12"/>
  <c r="G241" i="12"/>
  <c r="AM213" i="14"/>
  <c r="I255" i="13"/>
  <c r="S269" i="13"/>
  <c r="AL269" i="13"/>
  <c r="AN213" i="13"/>
  <c r="AM227" i="12"/>
  <c r="AN269" i="14"/>
  <c r="AN241" i="14"/>
  <c r="E227" i="13"/>
  <c r="AN255" i="14"/>
  <c r="R213" i="13"/>
  <c r="R241" i="12"/>
  <c r="K241" i="12"/>
  <c r="W269" i="13"/>
  <c r="U241" i="13"/>
  <c r="V213" i="12"/>
  <c r="V269" i="12"/>
  <c r="Q213" i="12"/>
  <c r="AD269" i="14"/>
  <c r="E165" i="14" a="1"/>
  <c r="G165" i="14" s="1"/>
  <c r="E165" i="12" a="1"/>
  <c r="W165" i="12" s="1"/>
  <c r="E171" i="14" a="1"/>
  <c r="AF171" i="14" s="1"/>
  <c r="AF227" i="13"/>
  <c r="AF255" i="13"/>
  <c r="AF255" i="12"/>
  <c r="AI269" i="13"/>
  <c r="AE227" i="12"/>
  <c r="AI227" i="12"/>
  <c r="W213" i="14"/>
  <c r="F241" i="13"/>
  <c r="T269" i="13"/>
  <c r="AC227" i="13"/>
  <c r="E255" i="12"/>
  <c r="G241" i="13"/>
  <c r="AN269" i="13"/>
  <c r="AN227" i="12"/>
  <c r="AM241" i="14"/>
  <c r="Y227" i="13"/>
  <c r="AI213" i="12"/>
  <c r="AD241" i="13"/>
  <c r="AM269" i="12"/>
  <c r="W241" i="12"/>
  <c r="AM241" i="13"/>
  <c r="AL241" i="14"/>
  <c r="AH227" i="13"/>
  <c r="AN213" i="12"/>
  <c r="E174" i="14" a="1"/>
  <c r="AG174" i="14" s="1"/>
  <c r="AN255" i="13"/>
  <c r="AJ255" i="12"/>
  <c r="Y241" i="12"/>
  <c r="Z227" i="13"/>
  <c r="AM255" i="14"/>
  <c r="W227" i="13"/>
  <c r="V227" i="12"/>
  <c r="T227" i="12"/>
  <c r="AA213" i="12"/>
  <c r="J255" i="12"/>
  <c r="AJ213" i="14"/>
  <c r="G213" i="14"/>
  <c r="AI241" i="12"/>
  <c r="AC225" i="12"/>
  <c r="AC267" i="14"/>
  <c r="AC225" i="13"/>
  <c r="AC239" i="14"/>
  <c r="AC211" i="12"/>
  <c r="AC225" i="14"/>
  <c r="AC211" i="14"/>
  <c r="AC253" i="13"/>
  <c r="AC239" i="13"/>
  <c r="AC211" i="13"/>
  <c r="AC239" i="12"/>
  <c r="AC267" i="12"/>
  <c r="AC267" i="13"/>
  <c r="AC253" i="14"/>
  <c r="AC253" i="12"/>
  <c r="H253" i="14"/>
  <c r="H267" i="13"/>
  <c r="H225" i="14"/>
  <c r="H239" i="14"/>
  <c r="H211" i="12"/>
  <c r="H253" i="13"/>
  <c r="H211" i="13"/>
  <c r="H211" i="14"/>
  <c r="H267" i="14"/>
  <c r="H253" i="12"/>
  <c r="H225" i="12"/>
  <c r="H239" i="12"/>
  <c r="H225" i="13"/>
  <c r="H239" i="13"/>
  <c r="H267" i="12"/>
  <c r="Z239" i="13"/>
  <c r="Z253" i="14"/>
  <c r="Z211" i="14"/>
  <c r="Z225" i="14"/>
  <c r="Z211" i="13"/>
  <c r="Z267" i="12"/>
  <c r="Z267" i="14"/>
  <c r="Z239" i="14"/>
  <c r="Z225" i="13"/>
  <c r="Z267" i="13"/>
  <c r="Z239" i="12"/>
  <c r="Z253" i="13"/>
  <c r="Z225" i="12"/>
  <c r="Z253" i="12"/>
  <c r="Z211" i="12"/>
  <c r="AN239" i="13"/>
  <c r="AN211" i="14"/>
  <c r="AN239" i="14"/>
  <c r="AN225" i="14"/>
  <c r="AN253" i="14"/>
  <c r="AN267" i="14"/>
  <c r="AN211" i="13"/>
  <c r="AN267" i="12"/>
  <c r="AN211" i="12"/>
  <c r="AN253" i="12"/>
  <c r="AN253" i="13"/>
  <c r="AN239" i="12"/>
  <c r="AN225" i="12"/>
  <c r="AN225" i="13"/>
  <c r="AN267" i="13"/>
  <c r="W211" i="13"/>
  <c r="W239" i="13"/>
  <c r="W239" i="14"/>
  <c r="W225" i="14"/>
  <c r="W253" i="14"/>
  <c r="W267" i="14"/>
  <c r="W211" i="14"/>
  <c r="W267" i="13"/>
  <c r="W211" i="12"/>
  <c r="W225" i="12"/>
  <c r="W253" i="13"/>
  <c r="W267" i="12"/>
  <c r="W225" i="13"/>
  <c r="W253" i="12"/>
  <c r="W239" i="12"/>
  <c r="R267" i="14"/>
  <c r="R253" i="12"/>
  <c r="R239" i="14"/>
  <c r="R211" i="13"/>
  <c r="R239" i="13"/>
  <c r="R211" i="14"/>
  <c r="R253" i="13"/>
  <c r="R239" i="12"/>
  <c r="R211" i="12"/>
  <c r="R253" i="14"/>
  <c r="R267" i="12"/>
  <c r="R225" i="13"/>
  <c r="R225" i="14"/>
  <c r="R225" i="12"/>
  <c r="R267" i="13"/>
  <c r="AI225" i="13"/>
  <c r="AI239" i="14"/>
  <c r="AI267" i="13"/>
  <c r="AI239" i="12"/>
  <c r="AI267" i="14"/>
  <c r="AI253" i="14"/>
  <c r="AI239" i="13"/>
  <c r="AI253" i="13"/>
  <c r="AI225" i="14"/>
  <c r="AI211" i="12"/>
  <c r="AI225" i="12"/>
  <c r="AI267" i="12"/>
  <c r="AI211" i="13"/>
  <c r="AI211" i="14"/>
  <c r="AI253" i="12"/>
  <c r="K211" i="12"/>
  <c r="K211" i="13"/>
  <c r="K267" i="14"/>
  <c r="K239" i="13"/>
  <c r="K267" i="13"/>
  <c r="K253" i="14"/>
  <c r="K253" i="13"/>
  <c r="K239" i="14"/>
  <c r="K211" i="14"/>
  <c r="K239" i="12"/>
  <c r="K225" i="12"/>
  <c r="K225" i="14"/>
  <c r="K267" i="12"/>
  <c r="K253" i="12"/>
  <c r="K225" i="13"/>
  <c r="M225" i="13"/>
  <c r="M253" i="14"/>
  <c r="M211" i="14"/>
  <c r="M253" i="13"/>
  <c r="M225" i="14"/>
  <c r="M239" i="14"/>
  <c r="M267" i="14"/>
  <c r="M267" i="13"/>
  <c r="M211" i="13"/>
  <c r="M239" i="12"/>
  <c r="M225" i="12"/>
  <c r="M267" i="12"/>
  <c r="M239" i="13"/>
  <c r="M211" i="12"/>
  <c r="M253" i="12"/>
  <c r="S225" i="14"/>
  <c r="S267" i="13"/>
  <c r="S253" i="13"/>
  <c r="S225" i="13"/>
  <c r="S239" i="14"/>
  <c r="S211" i="14"/>
  <c r="S253" i="14"/>
  <c r="S211" i="13"/>
  <c r="S239" i="12"/>
  <c r="S267" i="14"/>
  <c r="S211" i="12"/>
  <c r="S253" i="12"/>
  <c r="S267" i="12"/>
  <c r="S239" i="13"/>
  <c r="S225" i="12"/>
  <c r="J253" i="14"/>
  <c r="J267" i="14"/>
  <c r="J267" i="12"/>
  <c r="J225" i="13"/>
  <c r="J211" i="14"/>
  <c r="J211" i="13"/>
  <c r="J267" i="13"/>
  <c r="J253" i="13"/>
  <c r="J239" i="12"/>
  <c r="J253" i="12"/>
  <c r="J239" i="14"/>
  <c r="J239" i="13"/>
  <c r="J225" i="12"/>
  <c r="J211" i="12"/>
  <c r="J225" i="14"/>
  <c r="N211" i="14"/>
  <c r="N225" i="13"/>
  <c r="N225" i="14"/>
  <c r="N267" i="13"/>
  <c r="N211" i="13"/>
  <c r="N267" i="14"/>
  <c r="N239" i="14"/>
  <c r="N253" i="14"/>
  <c r="N253" i="12"/>
  <c r="N253" i="13"/>
  <c r="N239" i="12"/>
  <c r="N267" i="12"/>
  <c r="N225" i="12"/>
  <c r="N211" i="12"/>
  <c r="N239" i="13"/>
  <c r="V267" i="14"/>
  <c r="V225" i="13"/>
  <c r="V211" i="13"/>
  <c r="V253" i="13"/>
  <c r="V253" i="12"/>
  <c r="V225" i="14"/>
  <c r="V239" i="14"/>
  <c r="V253" i="14"/>
  <c r="V267" i="13"/>
  <c r="V211" i="12"/>
  <c r="V267" i="12"/>
  <c r="V225" i="12"/>
  <c r="V211" i="14"/>
  <c r="V239" i="12"/>
  <c r="V239" i="13"/>
  <c r="AL253" i="14"/>
  <c r="AL239" i="13"/>
  <c r="AL211" i="13"/>
  <c r="AL211" i="14"/>
  <c r="AL267" i="13"/>
  <c r="AL253" i="12"/>
  <c r="AL267" i="14"/>
  <c r="AL253" i="13"/>
  <c r="AL239" i="14"/>
  <c r="AL225" i="14"/>
  <c r="AL211" i="12"/>
  <c r="AL239" i="12"/>
  <c r="AL267" i="12"/>
  <c r="AL225" i="13"/>
  <c r="AL225" i="12"/>
  <c r="AG253" i="14"/>
  <c r="AG211" i="14"/>
  <c r="AG267" i="12"/>
  <c r="AG225" i="14"/>
  <c r="AG267" i="14"/>
  <c r="AG239" i="14"/>
  <c r="AG211" i="13"/>
  <c r="AG239" i="12"/>
  <c r="AG253" i="13"/>
  <c r="AG225" i="13"/>
  <c r="AG225" i="12"/>
  <c r="AG253" i="12"/>
  <c r="AG267" i="13"/>
  <c r="AG239" i="13"/>
  <c r="AG211" i="12"/>
  <c r="AM253" i="14"/>
  <c r="AM253" i="13"/>
  <c r="AM211" i="14"/>
  <c r="AM239" i="13"/>
  <c r="AM239" i="14"/>
  <c r="AM267" i="14"/>
  <c r="AM211" i="13"/>
  <c r="AM225" i="13"/>
  <c r="AM267" i="13"/>
  <c r="AM239" i="12"/>
  <c r="AM267" i="12"/>
  <c r="AM225" i="12"/>
  <c r="AM225" i="14"/>
  <c r="AM253" i="12"/>
  <c r="AM211" i="12"/>
  <c r="O211" i="13"/>
  <c r="O225" i="14"/>
  <c r="O225" i="12"/>
  <c r="O253" i="14"/>
  <c r="O211" i="14"/>
  <c r="O267" i="13"/>
  <c r="O267" i="14"/>
  <c r="O225" i="13"/>
  <c r="O239" i="13"/>
  <c r="O239" i="12"/>
  <c r="O267" i="12"/>
  <c r="O239" i="14"/>
  <c r="O253" i="12"/>
  <c r="O253" i="13"/>
  <c r="O211" i="12"/>
  <c r="F253" i="14"/>
  <c r="F267" i="14"/>
  <c r="F225" i="14"/>
  <c r="F225" i="12"/>
  <c r="F225" i="13"/>
  <c r="F239" i="14"/>
  <c r="F211" i="14"/>
  <c r="F211" i="13"/>
  <c r="F253" i="13"/>
  <c r="F211" i="12"/>
  <c r="F253" i="12"/>
  <c r="F239" i="13"/>
  <c r="F267" i="12"/>
  <c r="F267" i="13"/>
  <c r="F239" i="12"/>
  <c r="Y239" i="14"/>
  <c r="Y239" i="13"/>
  <c r="Y267" i="14"/>
  <c r="Y225" i="13"/>
  <c r="Y211" i="12"/>
  <c r="Y239" i="12"/>
  <c r="Y211" i="14"/>
  <c r="Y267" i="13"/>
  <c r="Y267" i="12"/>
  <c r="Y253" i="12"/>
  <c r="Y253" i="14"/>
  <c r="Y211" i="13"/>
  <c r="Y253" i="13"/>
  <c r="Y225" i="12"/>
  <c r="Y225" i="14"/>
  <c r="E239" i="14"/>
  <c r="E225" i="14"/>
  <c r="E253" i="14"/>
  <c r="E211" i="14"/>
  <c r="E253" i="13"/>
  <c r="E239" i="12"/>
  <c r="E225" i="13"/>
  <c r="E267" i="12"/>
  <c r="E267" i="14"/>
  <c r="E211" i="13"/>
  <c r="E267" i="13"/>
  <c r="E225" i="12"/>
  <c r="E239" i="13"/>
  <c r="E253" i="12"/>
  <c r="E211" i="12"/>
  <c r="AK211" i="14"/>
  <c r="AK211" i="13"/>
  <c r="AK239" i="13"/>
  <c r="AK225" i="13"/>
  <c r="AK211" i="12"/>
  <c r="AK253" i="14"/>
  <c r="AK267" i="14"/>
  <c r="AK239" i="14"/>
  <c r="AK239" i="12"/>
  <c r="AK267" i="12"/>
  <c r="AK225" i="14"/>
  <c r="AK225" i="12"/>
  <c r="AK267" i="13"/>
  <c r="AK253" i="12"/>
  <c r="AK253" i="13"/>
  <c r="G211" i="14"/>
  <c r="G239" i="13"/>
  <c r="G225" i="14"/>
  <c r="G225" i="12"/>
  <c r="G239" i="14"/>
  <c r="G253" i="14"/>
  <c r="G267" i="14"/>
  <c r="G253" i="13"/>
  <c r="G225" i="13"/>
  <c r="G211" i="13"/>
  <c r="G253" i="12"/>
  <c r="G239" i="12"/>
  <c r="G267" i="12"/>
  <c r="G267" i="13"/>
  <c r="G211" i="12"/>
  <c r="E166" i="12" a="1"/>
  <c r="H166" i="12" s="1"/>
  <c r="L239" i="13"/>
  <c r="L225" i="14"/>
  <c r="L267" i="13"/>
  <c r="L253" i="13"/>
  <c r="L211" i="13"/>
  <c r="L225" i="13"/>
  <c r="L211" i="14"/>
  <c r="L225" i="12"/>
  <c r="L253" i="14"/>
  <c r="L267" i="14"/>
  <c r="L239" i="12"/>
  <c r="L253" i="12"/>
  <c r="L239" i="14"/>
  <c r="L211" i="12"/>
  <c r="L267" i="12"/>
  <c r="U267" i="12"/>
  <c r="U211" i="13"/>
  <c r="U211" i="12"/>
  <c r="U211" i="14"/>
  <c r="U225" i="14"/>
  <c r="U267" i="14"/>
  <c r="U225" i="13"/>
  <c r="U253" i="14"/>
  <c r="U239" i="14"/>
  <c r="U267" i="13"/>
  <c r="U239" i="12"/>
  <c r="U253" i="13"/>
  <c r="U253" i="12"/>
  <c r="U225" i="12"/>
  <c r="U239" i="13"/>
  <c r="AA225" i="14"/>
  <c r="AA253" i="14"/>
  <c r="AA225" i="12"/>
  <c r="AA211" i="13"/>
  <c r="AA267" i="14"/>
  <c r="AA239" i="14"/>
  <c r="AA239" i="13"/>
  <c r="AA211" i="14"/>
  <c r="AA239" i="12"/>
  <c r="AA253" i="13"/>
  <c r="AA253" i="12"/>
  <c r="AA267" i="13"/>
  <c r="AA211" i="12"/>
  <c r="AA225" i="13"/>
  <c r="AA267" i="12"/>
  <c r="T239" i="13"/>
  <c r="T267" i="14"/>
  <c r="T225" i="14"/>
  <c r="T211" i="14"/>
  <c r="T253" i="14"/>
  <c r="T211" i="13"/>
  <c r="T239" i="14"/>
  <c r="T225" i="13"/>
  <c r="T225" i="12"/>
  <c r="T267" i="12"/>
  <c r="T253" i="12"/>
  <c r="T253" i="13"/>
  <c r="T267" i="13"/>
  <c r="T211" i="12"/>
  <c r="T239" i="12"/>
  <c r="E167" i="13" a="1"/>
  <c r="AK167" i="13" s="1"/>
  <c r="E170" i="13" a="1"/>
  <c r="G170" i="13" s="1"/>
  <c r="Q239" i="13"/>
  <c r="Q267" i="14"/>
  <c r="Q253" i="12"/>
  <c r="Q225" i="13"/>
  <c r="Q239" i="14"/>
  <c r="Q211" i="14"/>
  <c r="Q211" i="13"/>
  <c r="Q239" i="12"/>
  <c r="Q253" i="14"/>
  <c r="Q267" i="13"/>
  <c r="Q253" i="13"/>
  <c r="Q211" i="12"/>
  <c r="Q225" i="14"/>
  <c r="Q267" i="12"/>
  <c r="Q225" i="12"/>
  <c r="AB267" i="14"/>
  <c r="AB267" i="13"/>
  <c r="AB211" i="14"/>
  <c r="AB225" i="14"/>
  <c r="AB225" i="12"/>
  <c r="AB239" i="12"/>
  <c r="AB267" i="12"/>
  <c r="AB239" i="13"/>
  <c r="AB253" i="14"/>
  <c r="AB211" i="12"/>
  <c r="AB225" i="13"/>
  <c r="AB211" i="13"/>
  <c r="AB253" i="13"/>
  <c r="AB253" i="12"/>
  <c r="AB239" i="14"/>
  <c r="AF211" i="14"/>
  <c r="AF225" i="14"/>
  <c r="AF239" i="14"/>
  <c r="AF253" i="12"/>
  <c r="AF253" i="14"/>
  <c r="AF267" i="14"/>
  <c r="AF267" i="13"/>
  <c r="AF211" i="12"/>
  <c r="AF211" i="13"/>
  <c r="AF253" i="13"/>
  <c r="AF225" i="12"/>
  <c r="AF239" i="13"/>
  <c r="AF267" i="12"/>
  <c r="AF225" i="13"/>
  <c r="AF239" i="12"/>
  <c r="AD267" i="14"/>
  <c r="AD253" i="13"/>
  <c r="AD211" i="14"/>
  <c r="AD239" i="13"/>
  <c r="AD225" i="14"/>
  <c r="AD239" i="14"/>
  <c r="AD253" i="14"/>
  <c r="AD267" i="12"/>
  <c r="AD225" i="13"/>
  <c r="AD239" i="12"/>
  <c r="AD211" i="13"/>
  <c r="AD225" i="12"/>
  <c r="AD211" i="12"/>
  <c r="AD267" i="13"/>
  <c r="AD253" i="12"/>
  <c r="E167" i="12" a="1"/>
  <c r="E167" i="12" s="1"/>
  <c r="E164" i="12" a="1"/>
  <c r="AD164" i="12" s="1"/>
  <c r="E171" i="13" a="1"/>
  <c r="AI171" i="13" s="1"/>
  <c r="E174" i="12" a="1"/>
  <c r="E174" i="12" s="1"/>
  <c r="I267" i="14"/>
  <c r="I225" i="14"/>
  <c r="I239" i="13"/>
  <c r="I253" i="13"/>
  <c r="I211" i="14"/>
  <c r="I253" i="14"/>
  <c r="I239" i="14"/>
  <c r="I267" i="13"/>
  <c r="I211" i="13"/>
  <c r="I211" i="12"/>
  <c r="I267" i="12"/>
  <c r="I225" i="12"/>
  <c r="I253" i="12"/>
  <c r="I239" i="12"/>
  <c r="I225" i="13"/>
  <c r="P239" i="13"/>
  <c r="P211" i="14"/>
  <c r="P267" i="14"/>
  <c r="P225" i="13"/>
  <c r="P253" i="14"/>
  <c r="P239" i="12"/>
  <c r="P225" i="14"/>
  <c r="P239" i="14"/>
  <c r="P267" i="13"/>
  <c r="P211" i="12"/>
  <c r="P253" i="12"/>
  <c r="P211" i="13"/>
  <c r="P253" i="13"/>
  <c r="P267" i="12"/>
  <c r="P225" i="12"/>
  <c r="X239" i="12"/>
  <c r="X267" i="14"/>
  <c r="X225" i="12"/>
  <c r="X239" i="14"/>
  <c r="X253" i="14"/>
  <c r="X225" i="14"/>
  <c r="X239" i="13"/>
  <c r="X267" i="12"/>
  <c r="X267" i="13"/>
  <c r="X211" i="14"/>
  <c r="X211" i="13"/>
  <c r="X211" i="12"/>
  <c r="X225" i="13"/>
  <c r="X253" i="12"/>
  <c r="X253" i="13"/>
  <c r="AJ225" i="13"/>
  <c r="AJ239" i="13"/>
  <c r="AJ239" i="14"/>
  <c r="AJ211" i="13"/>
  <c r="AJ211" i="14"/>
  <c r="AJ253" i="14"/>
  <c r="AJ225" i="14"/>
  <c r="AJ239" i="12"/>
  <c r="AJ211" i="12"/>
  <c r="AJ267" i="12"/>
  <c r="AJ253" i="12"/>
  <c r="AJ225" i="12"/>
  <c r="AJ267" i="13"/>
  <c r="AJ253" i="13"/>
  <c r="AJ267" i="14"/>
  <c r="AH211" i="13"/>
  <c r="AH267" i="14"/>
  <c r="AH225" i="14"/>
  <c r="AH239" i="13"/>
  <c r="AH225" i="13"/>
  <c r="AH239" i="14"/>
  <c r="AH253" i="14"/>
  <c r="AH225" i="12"/>
  <c r="AH253" i="13"/>
  <c r="AH239" i="12"/>
  <c r="AH211" i="14"/>
  <c r="AH267" i="13"/>
  <c r="AH253" i="12"/>
  <c r="AH267" i="12"/>
  <c r="AH211" i="12"/>
  <c r="AE225" i="13"/>
  <c r="AE211" i="14"/>
  <c r="AE267" i="14"/>
  <c r="AE253" i="14"/>
  <c r="AE239" i="13"/>
  <c r="AE239" i="14"/>
  <c r="AE225" i="14"/>
  <c r="AE253" i="13"/>
  <c r="AE267" i="12"/>
  <c r="AE211" i="13"/>
  <c r="AE253" i="12"/>
  <c r="AE267" i="13"/>
  <c r="AE211" i="12"/>
  <c r="AE225" i="12"/>
  <c r="AE239" i="12"/>
  <c r="E171" i="12" a="1"/>
  <c r="AF171" i="12" s="1"/>
  <c r="E172" i="12" a="1"/>
  <c r="E172" i="12" s="1"/>
  <c r="E173" i="12" a="1"/>
  <c r="E173" i="12" s="1"/>
  <c r="E163" i="12" a="1"/>
  <c r="E163" i="12" s="1"/>
  <c r="E165" i="13" a="1"/>
  <c r="E165" i="13" s="1"/>
  <c r="E166" i="13" a="1"/>
  <c r="AE166" i="13" s="1"/>
  <c r="H65" i="14"/>
  <c r="Z121" i="14"/>
  <c r="R167" i="14"/>
  <c r="F167" i="14"/>
  <c r="AA167" i="14"/>
  <c r="Z167" i="14"/>
  <c r="N167" i="14"/>
  <c r="W167" i="14"/>
  <c r="V167" i="14"/>
  <c r="J167" i="14"/>
  <c r="S167" i="14"/>
  <c r="AL167" i="14"/>
  <c r="AH167" i="14"/>
  <c r="AD167" i="14"/>
  <c r="Y167" i="14"/>
  <c r="U167" i="14"/>
  <c r="Q167" i="14"/>
  <c r="M167" i="14"/>
  <c r="I167" i="14"/>
  <c r="E167" i="14"/>
  <c r="AK167" i="14"/>
  <c r="AG167" i="14"/>
  <c r="AB167" i="14"/>
  <c r="X167" i="14"/>
  <c r="T167" i="14"/>
  <c r="P167" i="14"/>
  <c r="L167" i="14"/>
  <c r="H167" i="14"/>
  <c r="AC167" i="14"/>
  <c r="AN167" i="14"/>
  <c r="AJ167" i="14"/>
  <c r="AF167" i="14"/>
  <c r="O167" i="14"/>
  <c r="K167" i="14"/>
  <c r="G167" i="14"/>
  <c r="AM167" i="14"/>
  <c r="AI167" i="14"/>
  <c r="Q166" i="14"/>
  <c r="O166" i="14"/>
  <c r="AB166" i="14"/>
  <c r="P166" i="14"/>
  <c r="AE166" i="14"/>
  <c r="E166" i="14"/>
  <c r="R166" i="14"/>
  <c r="AF166" i="14"/>
  <c r="F166" i="14"/>
  <c r="S166" i="14"/>
  <c r="AG166" i="14"/>
  <c r="G166" i="14"/>
  <c r="T166" i="14"/>
  <c r="AH166" i="14"/>
  <c r="H166" i="14"/>
  <c r="U166" i="14"/>
  <c r="AI166" i="14"/>
  <c r="I166" i="14"/>
  <c r="V166" i="14"/>
  <c r="AJ166" i="14"/>
  <c r="J166" i="14"/>
  <c r="W166" i="14"/>
  <c r="AK166" i="14"/>
  <c r="K166" i="14"/>
  <c r="X166" i="14"/>
  <c r="AL166" i="14"/>
  <c r="L166" i="14"/>
  <c r="Y166" i="14"/>
  <c r="AM166" i="14"/>
  <c r="M166" i="14"/>
  <c r="Z166" i="14"/>
  <c r="AN166" i="14"/>
  <c r="N166" i="14"/>
  <c r="AA166" i="14"/>
  <c r="AD166" i="14"/>
  <c r="AC166" i="14"/>
  <c r="E163" i="14"/>
  <c r="I163" i="14"/>
  <c r="V163" i="14"/>
  <c r="AJ163" i="14"/>
  <c r="J163" i="14"/>
  <c r="W163" i="14"/>
  <c r="AK163" i="14"/>
  <c r="K163" i="14"/>
  <c r="X163" i="14"/>
  <c r="AL163" i="14"/>
  <c r="L163" i="14"/>
  <c r="Y163" i="14"/>
  <c r="AM163" i="14"/>
  <c r="M163" i="14"/>
  <c r="Z163" i="14"/>
  <c r="AN163" i="14"/>
  <c r="N163" i="14"/>
  <c r="AA163" i="14"/>
  <c r="O163" i="14"/>
  <c r="AB163" i="14"/>
  <c r="P163" i="14"/>
  <c r="AE163" i="14"/>
  <c r="R163" i="14"/>
  <c r="AF163" i="14"/>
  <c r="F163" i="14"/>
  <c r="S163" i="14"/>
  <c r="AG163" i="14"/>
  <c r="G163" i="14"/>
  <c r="T163" i="14"/>
  <c r="AH163" i="14"/>
  <c r="H163" i="14"/>
  <c r="U163" i="14"/>
  <c r="AI163" i="14"/>
  <c r="AD163" i="14"/>
  <c r="AC163" i="14"/>
  <c r="Q163" i="14"/>
  <c r="T165" i="14"/>
  <c r="AH165" i="14"/>
  <c r="I165" i="14"/>
  <c r="W165" i="14"/>
  <c r="AM165" i="14"/>
  <c r="L165" i="14"/>
  <c r="O165" i="14"/>
  <c r="AE165" i="14"/>
  <c r="E172" i="14"/>
  <c r="J172" i="14"/>
  <c r="W172" i="14"/>
  <c r="AJ172" i="14"/>
  <c r="V172" i="14"/>
  <c r="K172" i="14"/>
  <c r="X172" i="14"/>
  <c r="AK172" i="14"/>
  <c r="L172" i="14"/>
  <c r="Y172" i="14"/>
  <c r="AL172" i="14"/>
  <c r="AI172" i="14"/>
  <c r="M172" i="14"/>
  <c r="Z172" i="14"/>
  <c r="AM172" i="14"/>
  <c r="N172" i="14"/>
  <c r="AA172" i="14"/>
  <c r="AN172" i="14"/>
  <c r="O172" i="14"/>
  <c r="AB172" i="14"/>
  <c r="P172" i="14"/>
  <c r="AD172" i="14"/>
  <c r="I172" i="14"/>
  <c r="R172" i="14"/>
  <c r="AE172" i="14"/>
  <c r="F172" i="14"/>
  <c r="S172" i="14"/>
  <c r="AF172" i="14"/>
  <c r="G172" i="14"/>
  <c r="T172" i="14"/>
  <c r="AG172" i="14"/>
  <c r="H172" i="14"/>
  <c r="U172" i="14"/>
  <c r="AH172" i="14"/>
  <c r="AC172" i="14"/>
  <c r="Q172" i="14"/>
  <c r="AL171" i="14"/>
  <c r="Y171" i="14"/>
  <c r="AN171" i="14"/>
  <c r="R171" i="14"/>
  <c r="E173" i="14"/>
  <c r="I173" i="14"/>
  <c r="V173" i="14"/>
  <c r="AI173" i="14"/>
  <c r="J173" i="14"/>
  <c r="W173" i="14"/>
  <c r="AJ173" i="14"/>
  <c r="K173" i="14"/>
  <c r="X173" i="14"/>
  <c r="AK173" i="14"/>
  <c r="L173" i="14"/>
  <c r="Y173" i="14"/>
  <c r="AL173" i="14"/>
  <c r="M173" i="14"/>
  <c r="Z173" i="14"/>
  <c r="AM173" i="14"/>
  <c r="N173" i="14"/>
  <c r="AA173" i="14"/>
  <c r="AN173" i="14"/>
  <c r="O173" i="14"/>
  <c r="AB173" i="14"/>
  <c r="P173" i="14"/>
  <c r="AD173" i="14"/>
  <c r="AH173" i="14"/>
  <c r="R173" i="14"/>
  <c r="AE173" i="14"/>
  <c r="U173" i="14"/>
  <c r="F173" i="14"/>
  <c r="S173" i="14"/>
  <c r="AF173" i="14"/>
  <c r="H173" i="14"/>
  <c r="G173" i="14"/>
  <c r="T173" i="14"/>
  <c r="AG173" i="14"/>
  <c r="AC173" i="14"/>
  <c r="Q173" i="14"/>
  <c r="AE174" i="14"/>
  <c r="AA174" i="14"/>
  <c r="T174" i="14"/>
  <c r="E170" i="12" a="1"/>
  <c r="R170" i="12" s="1"/>
  <c r="I65" i="13"/>
  <c r="I121" i="13"/>
  <c r="AJ174" i="13"/>
  <c r="AA174" i="13"/>
  <c r="AN174" i="13"/>
  <c r="U174" i="13"/>
  <c r="AG174" i="13"/>
  <c r="Y174" i="13"/>
  <c r="J174" i="13"/>
  <c r="F174" i="13"/>
  <c r="M173" i="13"/>
  <c r="P174" i="13"/>
  <c r="W174" i="13"/>
  <c r="AC174" i="13"/>
  <c r="T174" i="13"/>
  <c r="AB174" i="13"/>
  <c r="S174" i="13"/>
  <c r="AL174" i="13"/>
  <c r="X174" i="13"/>
  <c r="G172" i="13"/>
  <c r="M174" i="13"/>
  <c r="AF174" i="13"/>
  <c r="M172" i="13"/>
  <c r="Z171" i="13"/>
  <c r="J172" i="13"/>
  <c r="AD170" i="13"/>
  <c r="AK174" i="13"/>
  <c r="E174" i="13"/>
  <c r="S171" i="13"/>
  <c r="V170" i="13"/>
  <c r="AE174" i="13"/>
  <c r="I174" i="13"/>
  <c r="Q172" i="13"/>
  <c r="AL172" i="13"/>
  <c r="N174" i="13"/>
  <c r="AH174" i="13"/>
  <c r="AI172" i="13"/>
  <c r="Z174" i="13"/>
  <c r="V174" i="13"/>
  <c r="R174" i="13"/>
  <c r="T172" i="13"/>
  <c r="Q173" i="13"/>
  <c r="Q174" i="13"/>
  <c r="AM174" i="13"/>
  <c r="AI174" i="13"/>
  <c r="AF172" i="13"/>
  <c r="AD167" i="13"/>
  <c r="AB172" i="13"/>
  <c r="AD174" i="13"/>
  <c r="L174" i="13"/>
  <c r="H174" i="13"/>
  <c r="AC172" i="13"/>
  <c r="N172" i="13"/>
  <c r="O167" i="13"/>
  <c r="AM172" i="13"/>
  <c r="Z172" i="13"/>
  <c r="N173" i="13"/>
  <c r="O174" i="13"/>
  <c r="K174" i="13"/>
  <c r="AA167" i="13"/>
  <c r="W167" i="13"/>
  <c r="F167" i="13"/>
  <c r="W172" i="13"/>
  <c r="H172" i="13"/>
  <c r="AK172" i="13"/>
  <c r="S172" i="13"/>
  <c r="E172" i="13"/>
  <c r="F172" i="13"/>
  <c r="I172" i="13"/>
  <c r="P172" i="13"/>
  <c r="R172" i="13"/>
  <c r="AJ172" i="13"/>
  <c r="AE172" i="13"/>
  <c r="N170" i="13"/>
  <c r="AD172" i="13"/>
  <c r="V172" i="13"/>
  <c r="O172" i="13"/>
  <c r="R173" i="13"/>
  <c r="O173" i="13"/>
  <c r="E163" i="13"/>
  <c r="N163" i="13"/>
  <c r="AA163" i="13"/>
  <c r="O163" i="13"/>
  <c r="AB163" i="13"/>
  <c r="P163" i="13"/>
  <c r="AE163" i="13"/>
  <c r="R163" i="13"/>
  <c r="AF163" i="13"/>
  <c r="F163" i="13"/>
  <c r="S163" i="13"/>
  <c r="AG163" i="13"/>
  <c r="G163" i="13"/>
  <c r="T163" i="13"/>
  <c r="AH163" i="13"/>
  <c r="H163" i="13"/>
  <c r="U163" i="13"/>
  <c r="AI163" i="13"/>
  <c r="I163" i="13"/>
  <c r="V163" i="13"/>
  <c r="AJ163" i="13"/>
  <c r="J163" i="13"/>
  <c r="W163" i="13"/>
  <c r="AK163" i="13"/>
  <c r="L163" i="13"/>
  <c r="Y163" i="13"/>
  <c r="AM163" i="13"/>
  <c r="K163" i="13"/>
  <c r="X163" i="13"/>
  <c r="AL163" i="13"/>
  <c r="M163" i="13"/>
  <c r="Z163" i="13"/>
  <c r="AN163" i="13"/>
  <c r="AD163" i="13"/>
  <c r="AC163" i="13"/>
  <c r="Q163" i="13"/>
  <c r="E164" i="13"/>
  <c r="K164" i="13"/>
  <c r="Y164" i="13"/>
  <c r="AM164" i="13"/>
  <c r="L164" i="13"/>
  <c r="Z164" i="13"/>
  <c r="AN164" i="13"/>
  <c r="M164" i="13"/>
  <c r="AA164" i="13"/>
  <c r="N164" i="13"/>
  <c r="AB164" i="13"/>
  <c r="O164" i="13"/>
  <c r="AE164" i="13"/>
  <c r="P164" i="13"/>
  <c r="AF164" i="13"/>
  <c r="W164" i="13"/>
  <c r="S164" i="13"/>
  <c r="AG164" i="13"/>
  <c r="F164" i="13"/>
  <c r="T164" i="13"/>
  <c r="AH164" i="13"/>
  <c r="I164" i="13"/>
  <c r="G164" i="13"/>
  <c r="U164" i="13"/>
  <c r="AI164" i="13"/>
  <c r="AK164" i="13"/>
  <c r="H164" i="13"/>
  <c r="V164" i="13"/>
  <c r="AJ164" i="13"/>
  <c r="J164" i="13"/>
  <c r="X164" i="13"/>
  <c r="AL164" i="13"/>
  <c r="Q164" i="13"/>
  <c r="AD164" i="13"/>
  <c r="R164" i="13"/>
  <c r="AC164" i="13"/>
  <c r="K172" i="13"/>
  <c r="U172" i="13"/>
  <c r="AA172" i="13"/>
  <c r="X172" i="13"/>
  <c r="AH172" i="13"/>
  <c r="AN172" i="13"/>
  <c r="Y172" i="13"/>
  <c r="AG172" i="13"/>
  <c r="AB165" i="12"/>
  <c r="N165" i="12"/>
  <c r="AJ165" i="12"/>
  <c r="K165" i="12"/>
  <c r="V165" i="12"/>
  <c r="AL165" i="12"/>
  <c r="H165" i="12"/>
  <c r="X165" i="12"/>
  <c r="P165" i="12"/>
  <c r="AE165" i="12"/>
  <c r="AI165" i="12"/>
  <c r="J165" i="12"/>
  <c r="AH165" i="12"/>
  <c r="I165" i="12"/>
  <c r="T165" i="12"/>
  <c r="E165" i="12"/>
  <c r="O165" i="12"/>
  <c r="AN165" i="12"/>
  <c r="Q165" i="12"/>
  <c r="F165" i="12"/>
  <c r="Z165" i="12"/>
  <c r="L165" i="12"/>
  <c r="R165" i="12"/>
  <c r="S165" i="12"/>
  <c r="AM165" i="12"/>
  <c r="AC165" i="12"/>
  <c r="AG165" i="12"/>
  <c r="AD165" i="12"/>
  <c r="AF165" i="12"/>
  <c r="Y165" i="12"/>
  <c r="G164" i="12"/>
  <c r="O164" i="12"/>
  <c r="U165" i="12"/>
  <c r="AA165" i="12"/>
  <c r="AK165" i="12"/>
  <c r="G165" i="12"/>
  <c r="M165" i="12"/>
  <c r="S164" i="12"/>
  <c r="K164" i="12"/>
  <c r="AM164" i="12"/>
  <c r="AI164" i="12"/>
  <c r="AH164" i="12"/>
  <c r="M164" i="12"/>
  <c r="AN164" i="12"/>
  <c r="J164" i="12"/>
  <c r="AG164" i="12"/>
  <c r="L164" i="12"/>
  <c r="E164" i="12"/>
  <c r="Q164" i="12"/>
  <c r="AE164" i="12"/>
  <c r="I164" i="12"/>
  <c r="G167" i="12"/>
  <c r="V167" i="12"/>
  <c r="Z167" i="12"/>
  <c r="AC167" i="12"/>
  <c r="M103" i="10"/>
  <c r="AZ103" i="10"/>
  <c r="AO103" i="10"/>
  <c r="AY103" i="10"/>
  <c r="AJ103" i="10"/>
  <c r="Y103" i="10"/>
  <c r="BE103" i="10"/>
  <c r="O103" i="10"/>
  <c r="W103" i="10"/>
  <c r="BC103" i="10"/>
  <c r="Q103" i="10"/>
  <c r="BG103" i="10"/>
  <c r="X103" i="10"/>
  <c r="V103" i="10"/>
  <c r="AS103" i="10"/>
  <c r="J103" i="10"/>
  <c r="R103" i="10"/>
  <c r="P103" i="10"/>
  <c r="L103" i="10"/>
  <c r="AF103" i="10"/>
  <c r="AM103" i="10"/>
  <c r="U103" i="10"/>
  <c r="I103" i="10"/>
  <c r="BB103" i="10"/>
  <c r="BA103" i="10"/>
  <c r="F103" i="10"/>
  <c r="BF103" i="10"/>
  <c r="AE103" i="10"/>
  <c r="AQ103" i="10"/>
  <c r="AG103" i="10"/>
  <c r="AT103" i="10"/>
  <c r="AV103" i="10"/>
  <c r="AH103" i="10"/>
  <c r="AL103" i="10"/>
  <c r="AB103" i="10"/>
  <c r="S103" i="10"/>
  <c r="N103" i="10"/>
  <c r="AI103" i="10"/>
  <c r="AC103" i="10"/>
  <c r="G103" i="10"/>
  <c r="AX103" i="10"/>
  <c r="AW103" i="10"/>
  <c r="AP103" i="10"/>
  <c r="AR103" i="10"/>
  <c r="AK103" i="10"/>
  <c r="BD103" i="10"/>
  <c r="T103" i="10"/>
  <c r="AA103" i="10"/>
  <c r="K103" i="10"/>
  <c r="AN103" i="10"/>
  <c r="AU103" i="10"/>
  <c r="H103" i="10"/>
  <c r="Z103" i="10"/>
  <c r="AD103" i="10"/>
  <c r="G33" i="10"/>
  <c r="AC33" i="10"/>
  <c r="BG33" i="10"/>
  <c r="M33" i="10"/>
  <c r="N33" i="10"/>
  <c r="L33" i="10"/>
  <c r="AQ33" i="10"/>
  <c r="AZ33" i="10"/>
  <c r="AK33" i="10"/>
  <c r="AM33" i="10"/>
  <c r="BD33" i="10"/>
  <c r="BB33" i="10"/>
  <c r="BC33" i="10"/>
  <c r="AG33" i="10"/>
  <c r="AN33" i="10"/>
  <c r="AA33" i="10"/>
  <c r="AW33" i="10"/>
  <c r="J33" i="10"/>
  <c r="I33" i="10"/>
  <c r="AY33" i="10"/>
  <c r="AD33" i="10"/>
  <c r="K33" i="10"/>
  <c r="AP33" i="10"/>
  <c r="AV33" i="10"/>
  <c r="AF33" i="10"/>
  <c r="AJ33" i="10"/>
  <c r="BA33" i="10"/>
  <c r="BF33" i="10"/>
  <c r="AO33" i="10"/>
  <c r="AH33" i="10"/>
  <c r="T33" i="10"/>
  <c r="Q33" i="10"/>
  <c r="O33" i="10"/>
  <c r="X33" i="10"/>
  <c r="E33" i="10"/>
  <c r="V33" i="10"/>
  <c r="P33" i="10"/>
  <c r="AX33" i="10"/>
  <c r="AU33" i="10"/>
  <c r="AR33" i="10"/>
  <c r="F33" i="10"/>
  <c r="Z33" i="10"/>
  <c r="U33" i="10"/>
  <c r="AL33" i="10"/>
  <c r="AE33" i="10"/>
  <c r="AT33" i="10"/>
  <c r="AB33" i="10"/>
  <c r="Y33" i="10"/>
  <c r="W33" i="10"/>
  <c r="R33" i="10"/>
  <c r="H33" i="10"/>
  <c r="AS33" i="10"/>
  <c r="S33" i="10"/>
  <c r="AI33" i="10"/>
  <c r="O167" i="12" l="1"/>
  <c r="Y167" i="12"/>
  <c r="AJ167" i="12"/>
  <c r="S167" i="12"/>
  <c r="AD167" i="12"/>
  <c r="AL167" i="12"/>
  <c r="I167" i="12"/>
  <c r="AF167" i="12"/>
  <c r="L167" i="12"/>
  <c r="AN167" i="12"/>
  <c r="AK167" i="12"/>
  <c r="AH167" i="12"/>
  <c r="AE167" i="12"/>
  <c r="W167" i="12"/>
  <c r="F167" i="12"/>
  <c r="AA167" i="12"/>
  <c r="X167" i="12"/>
  <c r="U167" i="12"/>
  <c r="R167" i="12"/>
  <c r="O170" i="12"/>
  <c r="N167" i="12"/>
  <c r="K167" i="12"/>
  <c r="H167" i="12"/>
  <c r="P167" i="12"/>
  <c r="Q167" i="12"/>
  <c r="AM167" i="12"/>
  <c r="J167" i="12"/>
  <c r="T167" i="12"/>
  <c r="Q171" i="13"/>
  <c r="T173" i="12"/>
  <c r="I167" i="13"/>
  <c r="U171" i="13"/>
  <c r="AJ164" i="12"/>
  <c r="Z164" i="12"/>
  <c r="AB164" i="12"/>
  <c r="AM171" i="13"/>
  <c r="AH171" i="13"/>
  <c r="T171" i="13"/>
  <c r="V164" i="12"/>
  <c r="R164" i="12"/>
  <c r="T164" i="12"/>
  <c r="H164" i="12"/>
  <c r="J171" i="13"/>
  <c r="AK171" i="13"/>
  <c r="G171" i="13"/>
  <c r="AC164" i="12"/>
  <c r="W164" i="12"/>
  <c r="X164" i="12"/>
  <c r="Y164" i="12"/>
  <c r="N164" i="12"/>
  <c r="P164" i="12"/>
  <c r="AK164" i="12"/>
  <c r="AL164" i="12"/>
  <c r="AG171" i="13"/>
  <c r="AE173" i="12"/>
  <c r="G174" i="14"/>
  <c r="L166" i="12"/>
  <c r="Y173" i="13"/>
  <c r="T171" i="14"/>
  <c r="AA164" i="14"/>
  <c r="AM166" i="12"/>
  <c r="AA173" i="13"/>
  <c r="AH171" i="14"/>
  <c r="Y164" i="14"/>
  <c r="T166" i="12"/>
  <c r="G173" i="13"/>
  <c r="E173" i="13"/>
  <c r="AB173" i="13"/>
  <c r="L164" i="14"/>
  <c r="AB166" i="12"/>
  <c r="P171" i="14"/>
  <c r="F166" i="12"/>
  <c r="AF164" i="12"/>
  <c r="F164" i="12"/>
  <c r="AA164" i="12"/>
  <c r="U164" i="12"/>
  <c r="R174" i="14"/>
  <c r="N171" i="14"/>
  <c r="AC166" i="12"/>
  <c r="AC170" i="14"/>
  <c r="M170" i="14"/>
  <c r="AL166" i="12"/>
  <c r="AF174" i="14"/>
  <c r="AK164" i="14"/>
  <c r="S170" i="12"/>
  <c r="W166" i="12"/>
  <c r="AJ173" i="13"/>
  <c r="AM173" i="13"/>
  <c r="H170" i="14"/>
  <c r="Q174" i="14"/>
  <c r="W171" i="14"/>
  <c r="K171" i="14"/>
  <c r="S164" i="14"/>
  <c r="AI164" i="14"/>
  <c r="R166" i="12"/>
  <c r="I166" i="12"/>
  <c r="AN173" i="13"/>
  <c r="AF170" i="14"/>
  <c r="AN174" i="14"/>
  <c r="H171" i="14"/>
  <c r="AB171" i="14"/>
  <c r="F164" i="14"/>
  <c r="V164" i="14"/>
  <c r="AE166" i="12"/>
  <c r="AJ166" i="12"/>
  <c r="T173" i="13"/>
  <c r="I173" i="13"/>
  <c r="K171" i="13"/>
  <c r="N171" i="13"/>
  <c r="Y171" i="13"/>
  <c r="AJ174" i="14"/>
  <c r="P174" i="14"/>
  <c r="S171" i="14"/>
  <c r="AK171" i="14"/>
  <c r="M171" i="14"/>
  <c r="O164" i="14"/>
  <c r="I164" i="14"/>
  <c r="AN170" i="12"/>
  <c r="AI171" i="12"/>
  <c r="Q166" i="12"/>
  <c r="AK170" i="14"/>
  <c r="AF164" i="14"/>
  <c r="O166" i="12"/>
  <c r="AH166" i="12"/>
  <c r="M174" i="14"/>
  <c r="I174" i="14"/>
  <c r="F171" i="14"/>
  <c r="AI171" i="14"/>
  <c r="AN164" i="14"/>
  <c r="AD170" i="14"/>
  <c r="W170" i="14"/>
  <c r="R170" i="14"/>
  <c r="N166" i="12"/>
  <c r="E166" i="12"/>
  <c r="E22" i="12" s="1"/>
  <c r="O170" i="14"/>
  <c r="AJ170" i="14"/>
  <c r="Y174" i="14"/>
  <c r="AL174" i="14"/>
  <c r="Q164" i="14"/>
  <c r="N164" i="14"/>
  <c r="AH164" i="14"/>
  <c r="L173" i="13"/>
  <c r="W174" i="14"/>
  <c r="X166" i="12"/>
  <c r="K174" i="14"/>
  <c r="AG166" i="12"/>
  <c r="AA166" i="12"/>
  <c r="J166" i="12"/>
  <c r="AI166" i="12"/>
  <c r="K173" i="13"/>
  <c r="S173" i="13"/>
  <c r="U173" i="13"/>
  <c r="AD173" i="13"/>
  <c r="AA170" i="14"/>
  <c r="V170" i="14"/>
  <c r="AD174" i="14"/>
  <c r="N174" i="14"/>
  <c r="AD171" i="14"/>
  <c r="V171" i="14"/>
  <c r="AA171" i="14"/>
  <c r="AC164" i="14"/>
  <c r="AM164" i="14"/>
  <c r="U164" i="14"/>
  <c r="S166" i="12"/>
  <c r="M166" i="12"/>
  <c r="U166" i="12"/>
  <c r="AG173" i="13"/>
  <c r="AK173" i="13"/>
  <c r="AL173" i="13"/>
  <c r="P173" i="13"/>
  <c r="V173" i="13"/>
  <c r="J173" i="13"/>
  <c r="N170" i="14"/>
  <c r="AL170" i="14"/>
  <c r="I170" i="14"/>
  <c r="AG170" i="14"/>
  <c r="AI174" i="14"/>
  <c r="AK174" i="14"/>
  <c r="V174" i="14"/>
  <c r="AH174" i="14"/>
  <c r="AB174" i="14"/>
  <c r="AE171" i="14"/>
  <c r="AM171" i="14"/>
  <c r="G171" i="14"/>
  <c r="AG171" i="14"/>
  <c r="L171" i="14"/>
  <c r="AG164" i="14"/>
  <c r="AD164" i="14"/>
  <c r="Z164" i="14"/>
  <c r="AJ164" i="14"/>
  <c r="H164" i="14"/>
  <c r="L170" i="14"/>
  <c r="G170" i="14"/>
  <c r="Z174" i="14"/>
  <c r="E174" i="14"/>
  <c r="J171" i="14"/>
  <c r="Z171" i="14"/>
  <c r="R164" i="14"/>
  <c r="K164" i="14"/>
  <c r="Y166" i="12"/>
  <c r="AE171" i="12"/>
  <c r="AF166" i="12"/>
  <c r="AN166" i="12"/>
  <c r="K166" i="12"/>
  <c r="G166" i="12"/>
  <c r="AH173" i="13"/>
  <c r="AI173" i="13"/>
  <c r="AE173" i="13"/>
  <c r="AC173" i="13"/>
  <c r="AF173" i="13"/>
  <c r="AN170" i="14"/>
  <c r="X170" i="14"/>
  <c r="AI170" i="14"/>
  <c r="S170" i="14"/>
  <c r="L174" i="14"/>
  <c r="H174" i="14"/>
  <c r="U174" i="14"/>
  <c r="J174" i="14"/>
  <c r="F174" i="14"/>
  <c r="Q171" i="14"/>
  <c r="X171" i="14"/>
  <c r="AJ171" i="14"/>
  <c r="O171" i="14"/>
  <c r="E171" i="14"/>
  <c r="T164" i="14"/>
  <c r="P164" i="14"/>
  <c r="M164" i="14"/>
  <c r="W164" i="14"/>
  <c r="E164" i="14"/>
  <c r="AE170" i="14"/>
  <c r="P170" i="14"/>
  <c r="AB170" i="14"/>
  <c r="AM170" i="14"/>
  <c r="J170" i="14"/>
  <c r="AH170" i="14"/>
  <c r="E170" i="14"/>
  <c r="AD166" i="12"/>
  <c r="V166" i="12"/>
  <c r="Y170" i="14"/>
  <c r="T170" i="14"/>
  <c r="AM174" i="14"/>
  <c r="AC174" i="14"/>
  <c r="AE164" i="14"/>
  <c r="X164" i="14"/>
  <c r="AN171" i="12"/>
  <c r="P166" i="12"/>
  <c r="Z166" i="12"/>
  <c r="AK166" i="12"/>
  <c r="W173" i="13"/>
  <c r="X173" i="13"/>
  <c r="F173" i="13"/>
  <c r="Z173" i="13"/>
  <c r="Q170" i="14"/>
  <c r="Z170" i="14"/>
  <c r="K170" i="14"/>
  <c r="U170" i="14"/>
  <c r="X174" i="14"/>
  <c r="O174" i="14"/>
  <c r="S174" i="14"/>
  <c r="AC171" i="14"/>
  <c r="I171" i="14"/>
  <c r="U171" i="14"/>
  <c r="G164" i="14"/>
  <c r="AB164" i="14"/>
  <c r="AL164" i="14"/>
  <c r="T171" i="12"/>
  <c r="F171" i="12"/>
  <c r="U171" i="12"/>
  <c r="G165" i="13"/>
  <c r="AL170" i="12"/>
  <c r="J170" i="12"/>
  <c r="O173" i="12"/>
  <c r="S173" i="12"/>
  <c r="AB171" i="12"/>
  <c r="W171" i="12"/>
  <c r="AI170" i="12"/>
  <c r="Z171" i="12"/>
  <c r="P171" i="12"/>
  <c r="AJ170" i="12"/>
  <c r="Y171" i="12"/>
  <c r="E171" i="12"/>
  <c r="J171" i="12"/>
  <c r="R171" i="12"/>
  <c r="L165" i="13"/>
  <c r="N171" i="12"/>
  <c r="I171" i="12"/>
  <c r="AC172" i="12"/>
  <c r="AM171" i="12"/>
  <c r="AH171" i="12"/>
  <c r="F173" i="12"/>
  <c r="AC166" i="13"/>
  <c r="Z170" i="12"/>
  <c r="L170" i="12"/>
  <c r="U170" i="12"/>
  <c r="E170" i="12"/>
  <c r="AH170" i="12"/>
  <c r="T170" i="12"/>
  <c r="F170" i="12"/>
  <c r="G170" i="12"/>
  <c r="Q170" i="12"/>
  <c r="AG170" i="12"/>
  <c r="AM170" i="12"/>
  <c r="AF170" i="12"/>
  <c r="AK170" i="12"/>
  <c r="W170" i="12"/>
  <c r="AC170" i="12"/>
  <c r="AD170" i="12"/>
  <c r="N170" i="12"/>
  <c r="V170" i="12"/>
  <c r="AE170" i="12"/>
  <c r="M170" i="12"/>
  <c r="P170" i="12"/>
  <c r="AJ173" i="12"/>
  <c r="AG173" i="12"/>
  <c r="V173" i="12"/>
  <c r="AL173" i="12"/>
  <c r="Q173" i="12"/>
  <c r="AG172" i="12"/>
  <c r="L174" i="12"/>
  <c r="T174" i="12"/>
  <c r="Z166" i="13"/>
  <c r="Z172" i="12"/>
  <c r="X174" i="12"/>
  <c r="H174" i="12"/>
  <c r="AI172" i="12"/>
  <c r="AN166" i="13"/>
  <c r="J165" i="13"/>
  <c r="R170" i="13"/>
  <c r="F170" i="13"/>
  <c r="S174" i="12"/>
  <c r="AG165" i="13"/>
  <c r="AN174" i="12"/>
  <c r="Y170" i="13"/>
  <c r="W174" i="12"/>
  <c r="R174" i="12"/>
  <c r="J174" i="12"/>
  <c r="S165" i="13"/>
  <c r="AK165" i="13"/>
  <c r="AK166" i="13"/>
  <c r="M167" i="13"/>
  <c r="AI167" i="13"/>
  <c r="F171" i="13"/>
  <c r="U167" i="13"/>
  <c r="AH170" i="13"/>
  <c r="AA170" i="13"/>
  <c r="AH167" i="13"/>
  <c r="AB171" i="13"/>
  <c r="X171" i="13"/>
  <c r="R171" i="13"/>
  <c r="AD171" i="13"/>
  <c r="W171" i="13"/>
  <c r="K174" i="12"/>
  <c r="AA173" i="12"/>
  <c r="W165" i="13"/>
  <c r="AM167" i="13"/>
  <c r="X170" i="13"/>
  <c r="L167" i="13"/>
  <c r="U170" i="13"/>
  <c r="AJ170" i="13"/>
  <c r="Q167" i="13"/>
  <c r="AE171" i="13"/>
  <c r="Z170" i="13"/>
  <c r="AJ171" i="13"/>
  <c r="L171" i="13"/>
  <c r="O171" i="13"/>
  <c r="AC165" i="14"/>
  <c r="N165" i="14"/>
  <c r="K165" i="14"/>
  <c r="V165" i="14"/>
  <c r="AG165" i="14"/>
  <c r="G174" i="12"/>
  <c r="AN163" i="12"/>
  <c r="M174" i="12"/>
  <c r="AM174" i="12"/>
  <c r="AE174" i="12"/>
  <c r="N174" i="12"/>
  <c r="K170" i="13"/>
  <c r="AE165" i="13"/>
  <c r="W166" i="13"/>
  <c r="G167" i="13"/>
  <c r="H170" i="13"/>
  <c r="K170" i="12"/>
  <c r="X170" i="12"/>
  <c r="Y170" i="12"/>
  <c r="AB170" i="12"/>
  <c r="AH174" i="12"/>
  <c r="AG174" i="12"/>
  <c r="J173" i="12"/>
  <c r="AC174" i="12"/>
  <c r="AF173" i="12"/>
  <c r="AC173" i="12"/>
  <c r="P170" i="13"/>
  <c r="N165" i="13"/>
  <c r="I165" i="13"/>
  <c r="H166" i="13"/>
  <c r="AE167" i="13"/>
  <c r="S167" i="13"/>
  <c r="AJ167" i="13"/>
  <c r="AG167" i="13"/>
  <c r="AF170" i="13"/>
  <c r="AC167" i="13"/>
  <c r="E167" i="13"/>
  <c r="L170" i="13"/>
  <c r="V171" i="13"/>
  <c r="AE170" i="13"/>
  <c r="S170" i="13"/>
  <c r="AL170" i="13"/>
  <c r="AN170" i="13"/>
  <c r="P171" i="13"/>
  <c r="R165" i="14"/>
  <c r="AA165" i="14"/>
  <c r="AL165" i="14"/>
  <c r="H165" i="14"/>
  <c r="S165" i="14"/>
  <c r="Z174" i="12"/>
  <c r="E170" i="13"/>
  <c r="Q165" i="14"/>
  <c r="AB165" i="14"/>
  <c r="Y165" i="14"/>
  <c r="AJ165" i="14"/>
  <c r="F165" i="14"/>
  <c r="I174" i="12"/>
  <c r="AL174" i="12"/>
  <c r="AJ174" i="12"/>
  <c r="AB173" i="12"/>
  <c r="Q174" i="12"/>
  <c r="Y173" i="12"/>
  <c r="AK174" i="12"/>
  <c r="AA165" i="13"/>
  <c r="AJ165" i="13"/>
  <c r="AH166" i="13"/>
  <c r="V167" i="13"/>
  <c r="J167" i="13"/>
  <c r="I170" i="13"/>
  <c r="AN167" i="13"/>
  <c r="X167" i="13"/>
  <c r="AB167" i="13"/>
  <c r="AG170" i="13"/>
  <c r="AN171" i="13"/>
  <c r="E171" i="13"/>
  <c r="Y167" i="13"/>
  <c r="AC170" i="13"/>
  <c r="M170" i="13"/>
  <c r="AD165" i="14"/>
  <c r="M165" i="14"/>
  <c r="X165" i="14"/>
  <c r="AI165" i="14"/>
  <c r="E165" i="14"/>
  <c r="R167" i="13"/>
  <c r="AB174" i="12"/>
  <c r="O174" i="12"/>
  <c r="AA174" i="12"/>
  <c r="Y174" i="12"/>
  <c r="U174" i="12"/>
  <c r="Q165" i="13"/>
  <c r="AN165" i="13"/>
  <c r="Q166" i="13"/>
  <c r="Z167" i="13"/>
  <c r="N167" i="13"/>
  <c r="AB170" i="13"/>
  <c r="T167" i="13"/>
  <c r="P167" i="13"/>
  <c r="H167" i="13"/>
  <c r="AL167" i="13"/>
  <c r="AI170" i="13"/>
  <c r="I171" i="13"/>
  <c r="W170" i="13"/>
  <c r="AM170" i="13"/>
  <c r="M171" i="13"/>
  <c r="AC171" i="13"/>
  <c r="AL171" i="13"/>
  <c r="AF165" i="14"/>
  <c r="AN165" i="14"/>
  <c r="J165" i="14"/>
  <c r="U165" i="14"/>
  <c r="P174" i="12"/>
  <c r="AI174" i="12"/>
  <c r="AD174" i="12"/>
  <c r="AF174" i="12"/>
  <c r="V174" i="12"/>
  <c r="F174" i="12"/>
  <c r="U165" i="13"/>
  <c r="Z165" i="13"/>
  <c r="AK170" i="13"/>
  <c r="AF167" i="13"/>
  <c r="K167" i="13"/>
  <c r="O170" i="13"/>
  <c r="AA171" i="13"/>
  <c r="T170" i="13"/>
  <c r="J170" i="13"/>
  <c r="Q170" i="13"/>
  <c r="H171" i="13"/>
  <c r="AF171" i="13"/>
  <c r="P165" i="14"/>
  <c r="Z165" i="14"/>
  <c r="AK165" i="14"/>
  <c r="W172" i="12"/>
  <c r="AF172" i="12"/>
  <c r="M172" i="12"/>
  <c r="I172" i="12"/>
  <c r="P172" i="12"/>
  <c r="AL172" i="12"/>
  <c r="AE172" i="12"/>
  <c r="AD171" i="12"/>
  <c r="L171" i="12"/>
  <c r="AK171" i="12"/>
  <c r="G171" i="12"/>
  <c r="Q172" i="12"/>
  <c r="H172" i="12"/>
  <c r="X172" i="12"/>
  <c r="AN172" i="12"/>
  <c r="U172" i="12"/>
  <c r="AG171" i="12"/>
  <c r="O172" i="12"/>
  <c r="AC165" i="13"/>
  <c r="O165" i="13"/>
  <c r="V165" i="13"/>
  <c r="O171" i="12"/>
  <c r="AJ171" i="12"/>
  <c r="Y172" i="12"/>
  <c r="G172" i="12"/>
  <c r="AA171" i="12"/>
  <c r="V171" i="12"/>
  <c r="AH172" i="12"/>
  <c r="F165" i="13"/>
  <c r="Y165" i="13"/>
  <c r="AM172" i="12"/>
  <c r="K171" i="12"/>
  <c r="AM165" i="13"/>
  <c r="Q171" i="12"/>
  <c r="AL171" i="12"/>
  <c r="S171" i="12"/>
  <c r="K172" i="12"/>
  <c r="J172" i="12"/>
  <c r="T165" i="13"/>
  <c r="AA170" i="12"/>
  <c r="H170" i="12"/>
  <c r="I170" i="12"/>
  <c r="AC171" i="12"/>
  <c r="M171" i="12"/>
  <c r="X171" i="12"/>
  <c r="H171" i="12"/>
  <c r="AK172" i="12"/>
  <c r="T172" i="12"/>
  <c r="AA172" i="12"/>
  <c r="AB167" i="12"/>
  <c r="M167" i="12"/>
  <c r="AI167" i="12"/>
  <c r="AG167" i="12"/>
  <c r="AD173" i="12"/>
  <c r="AI165" i="13"/>
  <c r="AB165" i="13"/>
  <c r="K165" i="13"/>
  <c r="L173" i="12"/>
  <c r="U173" i="12"/>
  <c r="AI173" i="12"/>
  <c r="Z173" i="12"/>
  <c r="P173" i="12"/>
  <c r="H173" i="12"/>
  <c r="AD166" i="13"/>
  <c r="M166" i="13"/>
  <c r="J166" i="13"/>
  <c r="T166" i="13"/>
  <c r="AF166" i="13"/>
  <c r="AM166" i="13"/>
  <c r="AJ166" i="13"/>
  <c r="G166" i="13"/>
  <c r="R166" i="13"/>
  <c r="Y166" i="13"/>
  <c r="V166" i="13"/>
  <c r="AG166" i="13"/>
  <c r="AJ163" i="12"/>
  <c r="R173" i="12"/>
  <c r="AK173" i="12"/>
  <c r="AM173" i="12"/>
  <c r="G173" i="12"/>
  <c r="AB166" i="13"/>
  <c r="L166" i="13"/>
  <c r="P166" i="13"/>
  <c r="S166" i="13"/>
  <c r="R172" i="12"/>
  <c r="AJ172" i="12"/>
  <c r="F172" i="12"/>
  <c r="AB172" i="12"/>
  <c r="L172" i="12"/>
  <c r="AF163" i="12"/>
  <c r="AH173" i="12"/>
  <c r="AN173" i="12"/>
  <c r="W173" i="12"/>
  <c r="R165" i="13"/>
  <c r="AF165" i="13"/>
  <c r="M165" i="13"/>
  <c r="AL165" i="13"/>
  <c r="H165" i="13"/>
  <c r="O166" i="13"/>
  <c r="X166" i="13"/>
  <c r="AI166" i="13"/>
  <c r="F166" i="13"/>
  <c r="AD172" i="12"/>
  <c r="V172" i="12"/>
  <c r="S172" i="12"/>
  <c r="N172" i="12"/>
  <c r="X173" i="12"/>
  <c r="I173" i="12"/>
  <c r="K173" i="12"/>
  <c r="N173" i="12"/>
  <c r="M173" i="12"/>
  <c r="AD165" i="13"/>
  <c r="P165" i="13"/>
  <c r="AH165" i="13"/>
  <c r="X165" i="13"/>
  <c r="N166" i="13"/>
  <c r="K166" i="13"/>
  <c r="U166" i="13"/>
  <c r="E166" i="13"/>
  <c r="E6" i="6"/>
  <c r="AJ6" i="6"/>
  <c r="BG6" i="6"/>
  <c r="X6" i="6"/>
  <c r="AY6" i="6"/>
  <c r="BF6" i="6"/>
  <c r="BE6" i="6"/>
  <c r="AA6" i="6"/>
  <c r="AN6" i="6"/>
  <c r="AE6" i="6"/>
  <c r="U6" i="6"/>
  <c r="F6" i="6"/>
  <c r="H6" i="6"/>
  <c r="AG6" i="6"/>
  <c r="BD6" i="6"/>
  <c r="AI6" i="6"/>
  <c r="AC6" i="6"/>
  <c r="AB6" i="6"/>
  <c r="AT6" i="6"/>
  <c r="AL6" i="6"/>
  <c r="N6" i="6"/>
  <c r="AV6" i="6"/>
  <c r="Z6" i="6"/>
  <c r="AF6" i="6"/>
  <c r="AW6" i="6"/>
  <c r="G6" i="6"/>
  <c r="AZ6" i="6"/>
  <c r="R6" i="6"/>
  <c r="V6" i="6"/>
  <c r="M6" i="6"/>
  <c r="AP6" i="6"/>
  <c r="Y6" i="6"/>
  <c r="J6" i="6"/>
  <c r="AH6" i="6"/>
  <c r="I6" i="6"/>
  <c r="L6" i="6"/>
  <c r="AR6" i="6"/>
  <c r="S6" i="6"/>
  <c r="BA6" i="6"/>
  <c r="O6" i="6"/>
  <c r="BB6" i="6"/>
  <c r="AU6" i="6"/>
  <c r="AQ6" i="6"/>
  <c r="K6" i="6"/>
  <c r="Q6" i="6"/>
  <c r="W6" i="6"/>
  <c r="AM6" i="6"/>
  <c r="P6" i="6"/>
  <c r="BC6" i="6"/>
  <c r="AO6" i="6"/>
  <c r="AS6" i="6"/>
  <c r="AX6" i="6"/>
  <c r="T6" i="6"/>
  <c r="AD6" i="6"/>
  <c r="AK6" i="6"/>
  <c r="AN7" i="6"/>
  <c r="W7" i="6"/>
  <c r="P7" i="6"/>
  <c r="BD7" i="6"/>
  <c r="BB7" i="6"/>
  <c r="AJ7" i="6"/>
  <c r="AD7" i="6"/>
  <c r="AK7" i="6"/>
  <c r="AA7" i="6"/>
  <c r="AS7" i="6"/>
  <c r="S7" i="6"/>
  <c r="Z7" i="6"/>
  <c r="BF7" i="6"/>
  <c r="AW7" i="6"/>
  <c r="AU7" i="6"/>
  <c r="AQ7" i="6"/>
  <c r="T7" i="6"/>
  <c r="AO7" i="6"/>
  <c r="X7" i="6"/>
  <c r="U7" i="6"/>
  <c r="V7" i="6"/>
  <c r="J7" i="6"/>
  <c r="F7" i="6"/>
  <c r="E7" i="6"/>
  <c r="AX7" i="6"/>
  <c r="AT7" i="6"/>
  <c r="Q7" i="6"/>
  <c r="I7" i="6"/>
  <c r="O7" i="6"/>
  <c r="AB7" i="6"/>
  <c r="L7" i="6"/>
  <c r="AV7" i="6"/>
  <c r="AR7" i="6"/>
  <c r="AP7" i="6"/>
  <c r="AM7" i="6"/>
  <c r="AE7" i="6"/>
  <c r="Y7" i="6"/>
  <c r="H7" i="6"/>
  <c r="K7" i="6"/>
  <c r="G7" i="6"/>
  <c r="N7" i="6"/>
  <c r="BC7" i="6"/>
  <c r="BA7" i="6"/>
  <c r="AI7" i="6"/>
  <c r="AZ7" i="6"/>
  <c r="AG7" i="6"/>
  <c r="AC7" i="6"/>
  <c r="AH7" i="6"/>
  <c r="R7" i="6"/>
  <c r="M7" i="6"/>
  <c r="BE7" i="6"/>
  <c r="BG7" i="6"/>
  <c r="AF7" i="6"/>
  <c r="AL7" i="6"/>
  <c r="AY7" i="6"/>
  <c r="E226" i="14" a="1"/>
  <c r="E226" i="14" s="1"/>
  <c r="E212" i="13" a="1"/>
  <c r="E212" i="13" s="1"/>
  <c r="E268" i="14" a="1"/>
  <c r="X268" i="14" s="1"/>
  <c r="E268" i="12" a="1"/>
  <c r="E268" i="12" s="1"/>
  <c r="E254" i="14" a="1"/>
  <c r="E254" i="14" s="1"/>
  <c r="E212" i="14" a="1"/>
  <c r="E212" i="14" s="1"/>
  <c r="E240" i="14" a="1"/>
  <c r="E240" i="14" s="1"/>
  <c r="E212" i="12" a="1"/>
  <c r="E212" i="12" s="1"/>
  <c r="E226" i="13" a="1"/>
  <c r="E226" i="13" s="1"/>
  <c r="E254" i="13" a="1"/>
  <c r="E254" i="13" s="1"/>
  <c r="E268" i="13" a="1"/>
  <c r="E268" i="13" s="1"/>
  <c r="E254" i="12" a="1"/>
  <c r="AJ254" i="12" s="1"/>
  <c r="E226" i="12" a="1"/>
  <c r="F226" i="12" s="1"/>
  <c r="E240" i="13" a="1"/>
  <c r="E240" i="13" s="1"/>
  <c r="E240" i="12" a="1"/>
  <c r="AM240" i="12" s="1"/>
  <c r="AA166" i="13"/>
  <c r="AL166" i="13"/>
  <c r="I166" i="13"/>
  <c r="E252" i="12" a="1"/>
  <c r="AL252" i="12" s="1"/>
  <c r="E252" i="13" a="1"/>
  <c r="E224" i="14" a="1"/>
  <c r="E210" i="14" a="1"/>
  <c r="E210" i="12" a="1"/>
  <c r="E252" i="14" a="1"/>
  <c r="E238" i="13" a="1"/>
  <c r="E238" i="14" a="1"/>
  <c r="E224" i="12" a="1"/>
  <c r="E266" i="13" a="1"/>
  <c r="E210" i="13" a="1"/>
  <c r="E266" i="14" a="1"/>
  <c r="E266" i="12" a="1"/>
  <c r="E224" i="13" a="1"/>
  <c r="E238" i="12" a="1"/>
  <c r="L163" i="12"/>
  <c r="H163" i="12"/>
  <c r="O163" i="12"/>
  <c r="Q163" i="12"/>
  <c r="X163" i="12"/>
  <c r="T163" i="12"/>
  <c r="AC163" i="12"/>
  <c r="K163" i="12"/>
  <c r="G163" i="12"/>
  <c r="AA163" i="12"/>
  <c r="S163" i="12"/>
  <c r="W163" i="12"/>
  <c r="Z163" i="12"/>
  <c r="V163" i="12"/>
  <c r="R163" i="12"/>
  <c r="N163" i="12"/>
  <c r="J163" i="12"/>
  <c r="F163" i="12"/>
  <c r="AM163" i="12"/>
  <c r="AI163" i="12"/>
  <c r="AE163" i="12"/>
  <c r="M163" i="12"/>
  <c r="I163" i="12"/>
  <c r="AD163" i="12"/>
  <c r="AL163" i="12"/>
  <c r="AH163" i="12"/>
  <c r="P163" i="12"/>
  <c r="Y163" i="12"/>
  <c r="U163" i="12"/>
  <c r="AB163" i="12"/>
  <c r="AK163" i="12"/>
  <c r="AG163" i="12"/>
  <c r="I65" i="14"/>
  <c r="AA121" i="14"/>
  <c r="J65" i="13"/>
  <c r="J121" i="13"/>
  <c r="E22" i="14" l="1"/>
  <c r="E23" i="14"/>
  <c r="E23" i="12"/>
  <c r="E23" i="13"/>
  <c r="E22" i="13"/>
  <c r="AM218" i="12"/>
  <c r="AM274" i="13"/>
  <c r="AM218" i="14"/>
  <c r="AM246" i="12"/>
  <c r="AM232" i="14"/>
  <c r="AM232" i="13"/>
  <c r="AM260" i="12"/>
  <c r="AM274" i="12"/>
  <c r="AM260" i="13"/>
  <c r="AM232" i="12"/>
  <c r="AM274" i="14"/>
  <c r="AM246" i="14"/>
  <c r="AM218" i="13"/>
  <c r="AM260" i="14"/>
  <c r="AM246" i="13"/>
  <c r="Q218" i="14"/>
  <c r="Q232" i="14"/>
  <c r="Q232" i="13"/>
  <c r="Q274" i="13"/>
  <c r="Q246" i="12"/>
  <c r="Q218" i="12"/>
  <c r="Q260" i="14"/>
  <c r="Q232" i="12"/>
  <c r="Q274" i="12"/>
  <c r="Q274" i="14"/>
  <c r="Q260" i="12"/>
  <c r="Q246" i="13"/>
  <c r="Q218" i="13"/>
  <c r="Q246" i="14"/>
  <c r="Q260" i="13"/>
  <c r="X218" i="14"/>
  <c r="X232" i="14"/>
  <c r="X246" i="12"/>
  <c r="X260" i="13"/>
  <c r="X274" i="13"/>
  <c r="X246" i="14"/>
  <c r="X274" i="12"/>
  <c r="X274" i="14"/>
  <c r="X232" i="12"/>
  <c r="X260" i="12"/>
  <c r="X260" i="14"/>
  <c r="X232" i="13"/>
  <c r="X246" i="13"/>
  <c r="X218" i="12"/>
  <c r="X218" i="13"/>
  <c r="S218" i="12"/>
  <c r="S218" i="14"/>
  <c r="S274" i="14"/>
  <c r="S232" i="13"/>
  <c r="S274" i="13"/>
  <c r="S218" i="13"/>
  <c r="S246" i="13"/>
  <c r="S232" i="14"/>
  <c r="S274" i="12"/>
  <c r="S260" i="12"/>
  <c r="S246" i="14"/>
  <c r="S232" i="12"/>
  <c r="S260" i="14"/>
  <c r="S246" i="12"/>
  <c r="S260" i="13"/>
  <c r="P274" i="13"/>
  <c r="P246" i="12"/>
  <c r="P232" i="14"/>
  <c r="P218" i="12"/>
  <c r="P260" i="14"/>
  <c r="P232" i="13"/>
  <c r="P274" i="14"/>
  <c r="P218" i="13"/>
  <c r="P218" i="14"/>
  <c r="P274" i="12"/>
  <c r="P246" i="13"/>
  <c r="P260" i="12"/>
  <c r="P246" i="14"/>
  <c r="P232" i="12"/>
  <c r="P260" i="13"/>
  <c r="AH272" i="12"/>
  <c r="AH216" i="14"/>
  <c r="AH216" i="13"/>
  <c r="AH258" i="13"/>
  <c r="AH230" i="14"/>
  <c r="AH272" i="14"/>
  <c r="AH230" i="13"/>
  <c r="AH244" i="13"/>
  <c r="AH216" i="12"/>
  <c r="AH244" i="14"/>
  <c r="AH244" i="12"/>
  <c r="AH272" i="13"/>
  <c r="AH258" i="12"/>
  <c r="AH258" i="14"/>
  <c r="AH230" i="12"/>
  <c r="G216" i="12"/>
  <c r="G272" i="14"/>
  <c r="G230" i="12"/>
  <c r="G244" i="13"/>
  <c r="G216" i="13"/>
  <c r="G230" i="14"/>
  <c r="G230" i="13"/>
  <c r="G216" i="14"/>
  <c r="G244" i="12"/>
  <c r="G258" i="14"/>
  <c r="G272" i="12"/>
  <c r="G258" i="13"/>
  <c r="G258" i="12"/>
  <c r="G244" i="14"/>
  <c r="G272" i="13"/>
  <c r="AB216" i="12"/>
  <c r="AB272" i="14"/>
  <c r="AB272" i="12"/>
  <c r="AB230" i="12"/>
  <c r="AB216" i="13"/>
  <c r="AB258" i="12"/>
  <c r="AB258" i="13"/>
  <c r="AB244" i="12"/>
  <c r="AB272" i="13"/>
  <c r="AB230" i="14"/>
  <c r="AB258" i="14"/>
  <c r="AB244" i="14"/>
  <c r="AB230" i="13"/>
  <c r="AB216" i="14"/>
  <c r="AB244" i="13"/>
  <c r="AE216" i="12"/>
  <c r="AE272" i="14"/>
  <c r="AE244" i="13"/>
  <c r="AE272" i="12"/>
  <c r="AE216" i="13"/>
  <c r="AE230" i="12"/>
  <c r="AE258" i="14"/>
  <c r="AE244" i="14"/>
  <c r="AE230" i="14"/>
  <c r="AE230" i="13"/>
  <c r="AE216" i="14"/>
  <c r="AE244" i="12"/>
  <c r="AE272" i="13"/>
  <c r="AE258" i="12"/>
  <c r="AE258" i="13"/>
  <c r="AJ216" i="12"/>
  <c r="AJ272" i="14"/>
  <c r="AJ258" i="14"/>
  <c r="AJ230" i="13"/>
  <c r="AJ244" i="12"/>
  <c r="AJ230" i="14"/>
  <c r="AJ244" i="13"/>
  <c r="AJ244" i="14"/>
  <c r="AJ258" i="12"/>
  <c r="AJ216" i="14"/>
  <c r="AJ272" i="12"/>
  <c r="AJ258" i="13"/>
  <c r="AJ230" i="12"/>
  <c r="AJ216" i="13"/>
  <c r="AJ272" i="13"/>
  <c r="M232" i="14"/>
  <c r="M274" i="13"/>
  <c r="M218" i="12"/>
  <c r="M274" i="12"/>
  <c r="M218" i="13"/>
  <c r="M260" i="12"/>
  <c r="M260" i="13"/>
  <c r="M218" i="14"/>
  <c r="M246" i="13"/>
  <c r="M232" i="13"/>
  <c r="M274" i="14"/>
  <c r="M246" i="12"/>
  <c r="M260" i="14"/>
  <c r="M232" i="12"/>
  <c r="M246" i="14"/>
  <c r="AD232" i="14"/>
  <c r="W260" i="14"/>
  <c r="W246" i="14"/>
  <c r="W246" i="12"/>
  <c r="W218" i="14"/>
  <c r="W232" i="14"/>
  <c r="W274" i="12"/>
  <c r="W232" i="13"/>
  <c r="W274" i="13"/>
  <c r="W260" i="13"/>
  <c r="W218" i="13"/>
  <c r="W218" i="12"/>
  <c r="W260" i="12"/>
  <c r="W246" i="13"/>
  <c r="W274" i="14"/>
  <c r="W232" i="12"/>
  <c r="J244" i="14"/>
  <c r="J258" i="13"/>
  <c r="J216" i="13"/>
  <c r="J258" i="12"/>
  <c r="J272" i="14"/>
  <c r="J230" i="14"/>
  <c r="J230" i="13"/>
  <c r="J272" i="13"/>
  <c r="J244" i="13"/>
  <c r="J244" i="12"/>
  <c r="J216" i="12"/>
  <c r="J216" i="14"/>
  <c r="J230" i="12"/>
  <c r="J258" i="14"/>
  <c r="J272" i="12"/>
  <c r="AC216" i="12"/>
  <c r="AC272" i="14"/>
  <c r="AC244" i="12"/>
  <c r="AC272" i="12"/>
  <c r="AC258" i="14"/>
  <c r="AC230" i="12"/>
  <c r="AC216" i="14"/>
  <c r="AC258" i="13"/>
  <c r="AC244" i="14"/>
  <c r="AC230" i="14"/>
  <c r="AC272" i="13"/>
  <c r="AC244" i="13"/>
  <c r="AC216" i="13"/>
  <c r="AC258" i="12"/>
  <c r="AC230" i="13"/>
  <c r="AN216" i="12"/>
  <c r="AN272" i="14"/>
  <c r="AN258" i="14"/>
  <c r="AN216" i="14"/>
  <c r="AN244" i="13"/>
  <c r="AN272" i="13"/>
  <c r="AN244" i="12"/>
  <c r="AN244" i="14"/>
  <c r="AN216" i="13"/>
  <c r="AN258" i="12"/>
  <c r="AN258" i="13"/>
  <c r="AN272" i="12"/>
  <c r="AN230" i="12"/>
  <c r="AN230" i="14"/>
  <c r="AN230" i="13"/>
  <c r="E272" i="14"/>
  <c r="E216" i="12"/>
  <c r="E216" i="13"/>
  <c r="E272" i="12"/>
  <c r="E244" i="13"/>
  <c r="E230" i="12"/>
  <c r="E272" i="13"/>
  <c r="E244" i="12"/>
  <c r="E258" i="14"/>
  <c r="E216" i="14"/>
  <c r="E258" i="12"/>
  <c r="E244" i="14"/>
  <c r="E230" i="13"/>
  <c r="E258" i="13"/>
  <c r="E230" i="14"/>
  <c r="R218" i="14"/>
  <c r="R218" i="13"/>
  <c r="R218" i="12"/>
  <c r="R246" i="13"/>
  <c r="R274" i="14"/>
  <c r="R232" i="12"/>
  <c r="R246" i="12"/>
  <c r="R260" i="14"/>
  <c r="R232" i="14"/>
  <c r="R246" i="14"/>
  <c r="R232" i="13"/>
  <c r="R260" i="13"/>
  <c r="R260" i="12"/>
  <c r="R274" i="13"/>
  <c r="R274" i="12"/>
  <c r="N218" i="12"/>
  <c r="N274" i="13"/>
  <c r="N232" i="14"/>
  <c r="N218" i="14"/>
  <c r="N232" i="13"/>
  <c r="N246" i="12"/>
  <c r="N274" i="12"/>
  <c r="N246" i="13"/>
  <c r="N260" i="13"/>
  <c r="N232" i="12"/>
  <c r="N246" i="14"/>
  <c r="N260" i="12"/>
  <c r="N274" i="14"/>
  <c r="N260" i="14"/>
  <c r="N218" i="13"/>
  <c r="T260" i="13"/>
  <c r="T260" i="12"/>
  <c r="T274" i="13"/>
  <c r="T232" i="13"/>
  <c r="T232" i="12"/>
  <c r="T218" i="14"/>
  <c r="T246" i="13"/>
  <c r="T260" i="14"/>
  <c r="T274" i="12"/>
  <c r="T246" i="12"/>
  <c r="T232" i="14"/>
  <c r="T246" i="14"/>
  <c r="T218" i="13"/>
  <c r="T218" i="12"/>
  <c r="T274" i="14"/>
  <c r="AA274" i="14"/>
  <c r="AA218" i="12"/>
  <c r="AA260" i="13"/>
  <c r="AA274" i="13"/>
  <c r="AA246" i="13"/>
  <c r="AA246" i="12"/>
  <c r="AA260" i="12"/>
  <c r="AA274" i="12"/>
  <c r="AA232" i="12"/>
  <c r="AA260" i="14"/>
  <c r="AA218" i="13"/>
  <c r="AA218" i="14"/>
  <c r="AA232" i="14"/>
  <c r="AA232" i="13"/>
  <c r="AA246" i="14"/>
  <c r="AN274" i="13"/>
  <c r="AN246" i="12"/>
  <c r="AN260" i="14"/>
  <c r="AN274" i="12"/>
  <c r="AN274" i="14"/>
  <c r="AN232" i="13"/>
  <c r="AN246" i="14"/>
  <c r="AN218" i="14"/>
  <c r="AN232" i="12"/>
  <c r="AN232" i="14"/>
  <c r="AN246" i="13"/>
  <c r="AN260" i="13"/>
  <c r="AN218" i="13"/>
  <c r="AN218" i="12"/>
  <c r="AN260" i="12"/>
  <c r="P272" i="14"/>
  <c r="P244" i="14"/>
  <c r="P244" i="13"/>
  <c r="P258" i="14"/>
  <c r="P258" i="12"/>
  <c r="P216" i="13"/>
  <c r="P244" i="12"/>
  <c r="P230" i="13"/>
  <c r="P230" i="12"/>
  <c r="P216" i="12"/>
  <c r="P230" i="14"/>
  <c r="P272" i="12"/>
  <c r="P272" i="13"/>
  <c r="P216" i="14"/>
  <c r="P258" i="13"/>
  <c r="O244" i="14"/>
  <c r="O216" i="14"/>
  <c r="O272" i="13"/>
  <c r="O258" i="14"/>
  <c r="O230" i="13"/>
  <c r="O216" i="12"/>
  <c r="O258" i="13"/>
  <c r="O216" i="13"/>
  <c r="O230" i="14"/>
  <c r="O272" i="12"/>
  <c r="O272" i="14"/>
  <c r="O230" i="12"/>
  <c r="O244" i="13"/>
  <c r="O258" i="12"/>
  <c r="O244" i="12"/>
  <c r="Y216" i="12"/>
  <c r="Y258" i="13"/>
  <c r="Y230" i="12"/>
  <c r="Y244" i="14"/>
  <c r="Y230" i="14"/>
  <c r="Y230" i="13"/>
  <c r="Y216" i="13"/>
  <c r="Y258" i="14"/>
  <c r="Y272" i="14"/>
  <c r="Y216" i="14"/>
  <c r="Y258" i="12"/>
  <c r="Y244" i="13"/>
  <c r="Y272" i="13"/>
  <c r="Y272" i="12"/>
  <c r="Y244" i="12"/>
  <c r="AF272" i="14"/>
  <c r="AF216" i="12"/>
  <c r="AF244" i="13"/>
  <c r="AF258" i="12"/>
  <c r="AF230" i="13"/>
  <c r="AF230" i="12"/>
  <c r="AF230" i="14"/>
  <c r="AF244" i="12"/>
  <c r="AF272" i="12"/>
  <c r="AF258" i="14"/>
  <c r="AF272" i="13"/>
  <c r="AF258" i="13"/>
  <c r="AF216" i="13"/>
  <c r="AF244" i="14"/>
  <c r="AF216" i="14"/>
  <c r="AI216" i="12"/>
  <c r="AI272" i="14"/>
  <c r="AI216" i="14"/>
  <c r="AI272" i="13"/>
  <c r="AI244" i="14"/>
  <c r="AI230" i="12"/>
  <c r="AI230" i="14"/>
  <c r="AI244" i="12"/>
  <c r="AI230" i="13"/>
  <c r="AI272" i="12"/>
  <c r="AI258" i="12"/>
  <c r="AI258" i="13"/>
  <c r="AI216" i="13"/>
  <c r="AI258" i="14"/>
  <c r="AI244" i="13"/>
  <c r="AA272" i="14"/>
  <c r="AA216" i="12"/>
  <c r="AA258" i="13"/>
  <c r="AA230" i="12"/>
  <c r="AA230" i="14"/>
  <c r="AA230" i="13"/>
  <c r="AA244" i="12"/>
  <c r="AA244" i="14"/>
  <c r="AA244" i="13"/>
  <c r="AA216" i="14"/>
  <c r="AA272" i="13"/>
  <c r="AA258" i="14"/>
  <c r="AA258" i="12"/>
  <c r="AA216" i="13"/>
  <c r="AA272" i="12"/>
  <c r="AH232" i="13"/>
  <c r="AH232" i="14"/>
  <c r="AH274" i="14"/>
  <c r="AH260" i="12"/>
  <c r="AH246" i="14"/>
  <c r="AH274" i="12"/>
  <c r="AH260" i="14"/>
  <c r="AH218" i="13"/>
  <c r="AH246" i="12"/>
  <c r="AH218" i="14"/>
  <c r="AH246" i="13"/>
  <c r="AH218" i="12"/>
  <c r="AH274" i="13"/>
  <c r="AH260" i="13"/>
  <c r="AH232" i="12"/>
  <c r="G232" i="13"/>
  <c r="G218" i="12"/>
  <c r="G274" i="13"/>
  <c r="G246" i="12"/>
  <c r="G232" i="14"/>
  <c r="G218" i="14"/>
  <c r="G246" i="14"/>
  <c r="G246" i="13"/>
  <c r="G218" i="13"/>
  <c r="G260" i="12"/>
  <c r="G232" i="12"/>
  <c r="G260" i="13"/>
  <c r="G274" i="12"/>
  <c r="G260" i="14"/>
  <c r="G274" i="14"/>
  <c r="E232" i="13"/>
  <c r="E218" i="12"/>
  <c r="E274" i="13"/>
  <c r="E232" i="14"/>
  <c r="E246" i="12"/>
  <c r="E218" i="14"/>
  <c r="E260" i="13"/>
  <c r="E260" i="12"/>
  <c r="E274" i="12"/>
  <c r="E218" i="13"/>
  <c r="E274" i="14"/>
  <c r="E232" i="12"/>
  <c r="E260" i="14"/>
  <c r="E246" i="14"/>
  <c r="E246" i="13"/>
  <c r="AK218" i="14"/>
  <c r="AK246" i="12"/>
  <c r="AK274" i="14"/>
  <c r="AK218" i="13"/>
  <c r="AK246" i="14"/>
  <c r="AK274" i="12"/>
  <c r="AK232" i="14"/>
  <c r="AK232" i="12"/>
  <c r="AK246" i="13"/>
  <c r="AK232" i="13"/>
  <c r="AK218" i="12"/>
  <c r="AK260" i="13"/>
  <c r="AK274" i="13"/>
  <c r="AK260" i="14"/>
  <c r="AK260" i="12"/>
  <c r="AK230" i="14"/>
  <c r="AK216" i="12"/>
  <c r="AK258" i="13"/>
  <c r="AK216" i="13"/>
  <c r="AK272" i="13"/>
  <c r="AK244" i="13"/>
  <c r="AK216" i="14"/>
  <c r="AK230" i="12"/>
  <c r="AK244" i="14"/>
  <c r="AK244" i="12"/>
  <c r="AK258" i="14"/>
  <c r="AK272" i="12"/>
  <c r="AK272" i="14"/>
  <c r="AK230" i="13"/>
  <c r="AK258" i="12"/>
  <c r="AM216" i="14"/>
  <c r="AM258" i="13"/>
  <c r="AM230" i="13"/>
  <c r="AM272" i="12"/>
  <c r="AM272" i="13"/>
  <c r="AM216" i="13"/>
  <c r="AM244" i="13"/>
  <c r="AM216" i="12"/>
  <c r="AM230" i="14"/>
  <c r="AM258" i="12"/>
  <c r="AM272" i="14"/>
  <c r="AM258" i="14"/>
  <c r="AM244" i="12"/>
  <c r="AM230" i="12"/>
  <c r="AM244" i="14"/>
  <c r="Z216" i="12"/>
  <c r="Z272" i="14"/>
  <c r="Z216" i="14"/>
  <c r="Z258" i="14"/>
  <c r="Z244" i="13"/>
  <c r="Z230" i="14"/>
  <c r="Z216" i="13"/>
  <c r="Z244" i="14"/>
  <c r="Z272" i="13"/>
  <c r="Z258" i="13"/>
  <c r="Z230" i="12"/>
  <c r="Z230" i="13"/>
  <c r="Z272" i="12"/>
  <c r="Z244" i="12"/>
  <c r="Z258" i="12"/>
  <c r="AC246" i="12"/>
  <c r="AC232" i="13"/>
  <c r="AC246" i="13"/>
  <c r="AC218" i="14"/>
  <c r="AC218" i="13"/>
  <c r="AC274" i="13"/>
  <c r="AC232" i="14"/>
  <c r="AC274" i="12"/>
  <c r="AC260" i="14"/>
  <c r="AC260" i="12"/>
  <c r="AC274" i="14"/>
  <c r="AC246" i="14"/>
  <c r="AC218" i="12"/>
  <c r="AC232" i="12"/>
  <c r="AC260" i="13"/>
  <c r="K232" i="14"/>
  <c r="K246" i="12"/>
  <c r="K274" i="13"/>
  <c r="K232" i="13"/>
  <c r="K218" i="14"/>
  <c r="K218" i="12"/>
  <c r="K260" i="12"/>
  <c r="K260" i="14"/>
  <c r="K246" i="13"/>
  <c r="K246" i="14"/>
  <c r="K218" i="13"/>
  <c r="K260" i="13"/>
  <c r="K274" i="14"/>
  <c r="K274" i="12"/>
  <c r="K232" i="12"/>
  <c r="L232" i="14"/>
  <c r="L218" i="14"/>
  <c r="L218" i="12"/>
  <c r="L274" i="13"/>
  <c r="L232" i="13"/>
  <c r="L246" i="12"/>
  <c r="L218" i="13"/>
  <c r="L274" i="14"/>
  <c r="L260" i="13"/>
  <c r="L246" i="14"/>
  <c r="L260" i="12"/>
  <c r="L274" i="12"/>
  <c r="L260" i="14"/>
  <c r="L232" i="12"/>
  <c r="L246" i="13"/>
  <c r="F218" i="14"/>
  <c r="F232" i="14"/>
  <c r="F218" i="12"/>
  <c r="F232" i="13"/>
  <c r="F246" i="12"/>
  <c r="F274" i="13"/>
  <c r="F260" i="13"/>
  <c r="F274" i="12"/>
  <c r="F274" i="14"/>
  <c r="F218" i="13"/>
  <c r="F260" i="12"/>
  <c r="F260" i="14"/>
  <c r="F232" i="12"/>
  <c r="F246" i="14"/>
  <c r="F246" i="13"/>
  <c r="AD246" i="13"/>
  <c r="AD260" i="12"/>
  <c r="AD260" i="13"/>
  <c r="AD274" i="13"/>
  <c r="AD232" i="13"/>
  <c r="AD218" i="13"/>
  <c r="AD232" i="12"/>
  <c r="AD260" i="14"/>
  <c r="AD218" i="12"/>
  <c r="AD246" i="12"/>
  <c r="AD218" i="14"/>
  <c r="AD274" i="14"/>
  <c r="AD246" i="14"/>
  <c r="AD274" i="12"/>
  <c r="AD272" i="14"/>
  <c r="AD230" i="14"/>
  <c r="AD258" i="12"/>
  <c r="AD216" i="12"/>
  <c r="AD244" i="14"/>
  <c r="AD230" i="13"/>
  <c r="AD244" i="13"/>
  <c r="AD216" i="14"/>
  <c r="AD216" i="13"/>
  <c r="AD230" i="12"/>
  <c r="AD272" i="12"/>
  <c r="AD244" i="12"/>
  <c r="AD258" i="14"/>
  <c r="AD258" i="13"/>
  <c r="AD272" i="13"/>
  <c r="W216" i="12"/>
  <c r="W258" i="13"/>
  <c r="W272" i="14"/>
  <c r="W272" i="13"/>
  <c r="W244" i="14"/>
  <c r="W230" i="13"/>
  <c r="W216" i="14"/>
  <c r="W216" i="13"/>
  <c r="W258" i="12"/>
  <c r="W244" i="13"/>
  <c r="W258" i="14"/>
  <c r="W244" i="12"/>
  <c r="W230" i="14"/>
  <c r="W230" i="12"/>
  <c r="W272" i="12"/>
  <c r="S216" i="14"/>
  <c r="S230" i="14"/>
  <c r="S258" i="14"/>
  <c r="S272" i="13"/>
  <c r="S244" i="13"/>
  <c r="S258" i="12"/>
  <c r="S258" i="13"/>
  <c r="S230" i="12"/>
  <c r="S244" i="14"/>
  <c r="S272" i="12"/>
  <c r="S216" i="12"/>
  <c r="S230" i="13"/>
  <c r="S216" i="13"/>
  <c r="S272" i="14"/>
  <c r="S244" i="12"/>
  <c r="M216" i="12"/>
  <c r="M244" i="14"/>
  <c r="M272" i="12"/>
  <c r="M272" i="14"/>
  <c r="M258" i="14"/>
  <c r="M244" i="13"/>
  <c r="M230" i="14"/>
  <c r="M272" i="13"/>
  <c r="M258" i="13"/>
  <c r="M244" i="12"/>
  <c r="M216" i="14"/>
  <c r="M230" i="12"/>
  <c r="M216" i="13"/>
  <c r="M230" i="13"/>
  <c r="M258" i="12"/>
  <c r="AG216" i="12"/>
  <c r="AG272" i="14"/>
  <c r="AG230" i="14"/>
  <c r="AG258" i="13"/>
  <c r="AG258" i="12"/>
  <c r="AG230" i="13"/>
  <c r="AG272" i="13"/>
  <c r="AG244" i="12"/>
  <c r="AG230" i="12"/>
  <c r="AG216" i="14"/>
  <c r="AG244" i="13"/>
  <c r="AG244" i="14"/>
  <c r="AG216" i="13"/>
  <c r="AG258" i="14"/>
  <c r="AG272" i="12"/>
  <c r="AL232" i="13"/>
  <c r="AL274" i="14"/>
  <c r="AL274" i="13"/>
  <c r="AL260" i="14"/>
  <c r="AL218" i="12"/>
  <c r="AL274" i="12"/>
  <c r="AL218" i="14"/>
  <c r="AL232" i="14"/>
  <c r="AL232" i="12"/>
  <c r="AL246" i="13"/>
  <c r="AL260" i="13"/>
  <c r="AL218" i="13"/>
  <c r="AL246" i="12"/>
  <c r="AL246" i="14"/>
  <c r="AL260" i="12"/>
  <c r="AG232" i="14"/>
  <c r="AG218" i="12"/>
  <c r="AG246" i="13"/>
  <c r="AG274" i="12"/>
  <c r="AG218" i="14"/>
  <c r="AG246" i="14"/>
  <c r="AG232" i="13"/>
  <c r="AG218" i="13"/>
  <c r="AG246" i="12"/>
  <c r="AG274" i="13"/>
  <c r="AG260" i="14"/>
  <c r="AG274" i="14"/>
  <c r="AG260" i="13"/>
  <c r="AG260" i="12"/>
  <c r="AG232" i="12"/>
  <c r="H274" i="13"/>
  <c r="H232" i="14"/>
  <c r="H218" i="12"/>
  <c r="H246" i="12"/>
  <c r="H232" i="13"/>
  <c r="H218" i="14"/>
  <c r="H218" i="13"/>
  <c r="H246" i="13"/>
  <c r="H260" i="13"/>
  <c r="H274" i="14"/>
  <c r="H260" i="14"/>
  <c r="H260" i="12"/>
  <c r="H274" i="12"/>
  <c r="H246" i="14"/>
  <c r="H232" i="12"/>
  <c r="AB218" i="12"/>
  <c r="AB218" i="14"/>
  <c r="AB246" i="12"/>
  <c r="AB232" i="14"/>
  <c r="AB274" i="13"/>
  <c r="AB232" i="13"/>
  <c r="AB260" i="12"/>
  <c r="AB274" i="12"/>
  <c r="AB260" i="14"/>
  <c r="AB232" i="12"/>
  <c r="AB246" i="14"/>
  <c r="AB218" i="13"/>
  <c r="AB260" i="13"/>
  <c r="AB274" i="14"/>
  <c r="AB246" i="13"/>
  <c r="J274" i="13"/>
  <c r="J218" i="14"/>
  <c r="J232" i="14"/>
  <c r="J246" i="12"/>
  <c r="J218" i="12"/>
  <c r="J232" i="13"/>
  <c r="J218" i="13"/>
  <c r="J274" i="14"/>
  <c r="J246" i="13"/>
  <c r="J232" i="12"/>
  <c r="J246" i="14"/>
  <c r="J260" i="12"/>
  <c r="J260" i="14"/>
  <c r="J274" i="12"/>
  <c r="J260" i="13"/>
  <c r="AJ260" i="13"/>
  <c r="AJ232" i="14"/>
  <c r="AJ218" i="12"/>
  <c r="AJ260" i="12"/>
  <c r="AJ232" i="12"/>
  <c r="AJ246" i="12"/>
  <c r="AJ246" i="13"/>
  <c r="AJ218" i="14"/>
  <c r="AJ274" i="14"/>
  <c r="AJ246" i="14"/>
  <c r="AJ260" i="14"/>
  <c r="AJ232" i="13"/>
  <c r="AJ274" i="12"/>
  <c r="AJ274" i="13"/>
  <c r="AJ218" i="13"/>
  <c r="T244" i="13"/>
  <c r="T244" i="12"/>
  <c r="T216" i="13"/>
  <c r="T272" i="12"/>
  <c r="T258" i="13"/>
  <c r="T230" i="12"/>
  <c r="T272" i="14"/>
  <c r="T272" i="13"/>
  <c r="T216" i="14"/>
  <c r="T244" i="14"/>
  <c r="T216" i="12"/>
  <c r="T230" i="13"/>
  <c r="T230" i="14"/>
  <c r="T258" i="14"/>
  <c r="T258" i="12"/>
  <c r="Q216" i="13"/>
  <c r="Q244" i="12"/>
  <c r="Q230" i="13"/>
  <c r="Q244" i="13"/>
  <c r="Q258" i="13"/>
  <c r="Q258" i="12"/>
  <c r="Q244" i="14"/>
  <c r="Q230" i="12"/>
  <c r="Q272" i="14"/>
  <c r="Q216" i="12"/>
  <c r="Q230" i="14"/>
  <c r="Q216" i="14"/>
  <c r="Q272" i="12"/>
  <c r="Q258" i="14"/>
  <c r="Q272" i="13"/>
  <c r="V216" i="14"/>
  <c r="V258" i="12"/>
  <c r="V272" i="14"/>
  <c r="V272" i="13"/>
  <c r="V244" i="12"/>
  <c r="V216" i="13"/>
  <c r="V244" i="13"/>
  <c r="V230" i="12"/>
  <c r="V258" i="14"/>
  <c r="V258" i="13"/>
  <c r="V216" i="12"/>
  <c r="V244" i="14"/>
  <c r="V230" i="14"/>
  <c r="V272" i="12"/>
  <c r="V230" i="13"/>
  <c r="N216" i="12"/>
  <c r="N272" i="14"/>
  <c r="N230" i="13"/>
  <c r="N216" i="13"/>
  <c r="N258" i="13"/>
  <c r="N244" i="14"/>
  <c r="N244" i="13"/>
  <c r="N258" i="14"/>
  <c r="N272" i="12"/>
  <c r="N216" i="14"/>
  <c r="N258" i="12"/>
  <c r="N230" i="14"/>
  <c r="N230" i="12"/>
  <c r="N272" i="13"/>
  <c r="N244" i="12"/>
  <c r="H272" i="14"/>
  <c r="H216" i="12"/>
  <c r="H272" i="13"/>
  <c r="H244" i="12"/>
  <c r="H230" i="13"/>
  <c r="H230" i="14"/>
  <c r="H258" i="12"/>
  <c r="H244" i="14"/>
  <c r="H244" i="13"/>
  <c r="H258" i="14"/>
  <c r="H258" i="13"/>
  <c r="H216" i="14"/>
  <c r="H272" i="12"/>
  <c r="H216" i="13"/>
  <c r="H230" i="12"/>
  <c r="AF218" i="12"/>
  <c r="AF232" i="14"/>
  <c r="AF218" i="14"/>
  <c r="AF274" i="14"/>
  <c r="AF232" i="12"/>
  <c r="AF246" i="14"/>
  <c r="AF260" i="13"/>
  <c r="AF246" i="12"/>
  <c r="AF260" i="14"/>
  <c r="AF232" i="13"/>
  <c r="AF246" i="13"/>
  <c r="AF260" i="12"/>
  <c r="AF218" i="13"/>
  <c r="AF274" i="13"/>
  <c r="AF274" i="12"/>
  <c r="Y218" i="14"/>
  <c r="Y246" i="12"/>
  <c r="Y218" i="12"/>
  <c r="Y232" i="14"/>
  <c r="Y232" i="13"/>
  <c r="Y274" i="13"/>
  <c r="Y274" i="14"/>
  <c r="Y246" i="13"/>
  <c r="Y260" i="14"/>
  <c r="Y246" i="14"/>
  <c r="Y260" i="13"/>
  <c r="Y218" i="13"/>
  <c r="Y232" i="12"/>
  <c r="Y260" i="12"/>
  <c r="Y274" i="12"/>
  <c r="O232" i="13"/>
  <c r="O274" i="13"/>
  <c r="O232" i="14"/>
  <c r="O218" i="12"/>
  <c r="O218" i="14"/>
  <c r="O246" i="12"/>
  <c r="O274" i="14"/>
  <c r="O274" i="12"/>
  <c r="O246" i="13"/>
  <c r="O260" i="14"/>
  <c r="O260" i="12"/>
  <c r="O218" i="13"/>
  <c r="O232" i="12"/>
  <c r="O260" i="13"/>
  <c r="O246" i="14"/>
  <c r="V218" i="14"/>
  <c r="V274" i="13"/>
  <c r="V260" i="14"/>
  <c r="V260" i="12"/>
  <c r="V232" i="14"/>
  <c r="V218" i="13"/>
  <c r="V274" i="14"/>
  <c r="V232" i="13"/>
  <c r="V218" i="12"/>
  <c r="V260" i="13"/>
  <c r="V246" i="12"/>
  <c r="V246" i="13"/>
  <c r="V246" i="14"/>
  <c r="V274" i="12"/>
  <c r="V232" i="12"/>
  <c r="K244" i="13"/>
  <c r="K272" i="12"/>
  <c r="K258" i="12"/>
  <c r="K272" i="13"/>
  <c r="K216" i="12"/>
  <c r="K230" i="12"/>
  <c r="K258" i="13"/>
  <c r="K244" i="14"/>
  <c r="K216" i="14"/>
  <c r="K230" i="13"/>
  <c r="K258" i="14"/>
  <c r="K216" i="13"/>
  <c r="K230" i="14"/>
  <c r="K244" i="12"/>
  <c r="L216" i="12"/>
  <c r="L258" i="14"/>
  <c r="L258" i="12"/>
  <c r="L244" i="12"/>
  <c r="L230" i="12"/>
  <c r="L244" i="14"/>
  <c r="L244" i="13"/>
  <c r="L216" i="13"/>
  <c r="L216" i="14"/>
  <c r="L230" i="13"/>
  <c r="L272" i="14"/>
  <c r="L258" i="13"/>
  <c r="L272" i="12"/>
  <c r="L230" i="14"/>
  <c r="L272" i="13"/>
  <c r="K272" i="14"/>
  <c r="R244" i="13"/>
  <c r="R230" i="13"/>
  <c r="R258" i="14"/>
  <c r="R230" i="14"/>
  <c r="R272" i="14"/>
  <c r="R216" i="12"/>
  <c r="R230" i="12"/>
  <c r="R258" i="13"/>
  <c r="R244" i="14"/>
  <c r="R216" i="14"/>
  <c r="R272" i="12"/>
  <c r="R272" i="13"/>
  <c r="R258" i="12"/>
  <c r="R244" i="12"/>
  <c r="R216" i="13"/>
  <c r="AL216" i="12"/>
  <c r="AL272" i="14"/>
  <c r="AL230" i="14"/>
  <c r="AL230" i="13"/>
  <c r="AL216" i="14"/>
  <c r="AL230" i="12"/>
  <c r="AL244" i="14"/>
  <c r="AL258" i="14"/>
  <c r="AL244" i="13"/>
  <c r="AL258" i="12"/>
  <c r="AL216" i="13"/>
  <c r="AL244" i="12"/>
  <c r="AL272" i="13"/>
  <c r="AL258" i="13"/>
  <c r="AL272" i="12"/>
  <c r="F216" i="12"/>
  <c r="F272" i="14"/>
  <c r="F230" i="14"/>
  <c r="F272" i="13"/>
  <c r="F258" i="14"/>
  <c r="F216" i="13"/>
  <c r="F244" i="14"/>
  <c r="F258" i="13"/>
  <c r="F216" i="14"/>
  <c r="F272" i="12"/>
  <c r="F244" i="13"/>
  <c r="F258" i="12"/>
  <c r="F244" i="12"/>
  <c r="F230" i="12"/>
  <c r="F230" i="13"/>
  <c r="X272" i="14"/>
  <c r="X216" i="12"/>
  <c r="X216" i="13"/>
  <c r="X258" i="12"/>
  <c r="X258" i="13"/>
  <c r="X244" i="13"/>
  <c r="X230" i="12"/>
  <c r="X244" i="14"/>
  <c r="X230" i="14"/>
  <c r="X258" i="14"/>
  <c r="X272" i="12"/>
  <c r="X216" i="14"/>
  <c r="X230" i="13"/>
  <c r="X272" i="13"/>
  <c r="X244" i="12"/>
  <c r="AI274" i="13"/>
  <c r="AI218" i="12"/>
  <c r="AI274" i="12"/>
  <c r="AI218" i="13"/>
  <c r="AI246" i="12"/>
  <c r="AI260" i="12"/>
  <c r="AI260" i="13"/>
  <c r="AI232" i="14"/>
  <c r="AI232" i="13"/>
  <c r="AI246" i="14"/>
  <c r="AI232" i="12"/>
  <c r="AI218" i="14"/>
  <c r="AI274" i="14"/>
  <c r="AI260" i="14"/>
  <c r="AI246" i="13"/>
  <c r="AE246" i="12"/>
  <c r="AE274" i="13"/>
  <c r="AE218" i="14"/>
  <c r="AE232" i="13"/>
  <c r="AE232" i="14"/>
  <c r="AE218" i="12"/>
  <c r="AE232" i="12"/>
  <c r="AE274" i="14"/>
  <c r="AE274" i="12"/>
  <c r="AE260" i="14"/>
  <c r="AE246" i="14"/>
  <c r="AE218" i="13"/>
  <c r="AE260" i="13"/>
  <c r="AE260" i="12"/>
  <c r="AE246" i="13"/>
  <c r="I218" i="14"/>
  <c r="I274" i="13"/>
  <c r="I218" i="12"/>
  <c r="I232" i="14"/>
  <c r="I232" i="13"/>
  <c r="I246" i="12"/>
  <c r="I260" i="13"/>
  <c r="I274" i="12"/>
  <c r="I246" i="14"/>
  <c r="I260" i="12"/>
  <c r="I260" i="14"/>
  <c r="I232" i="12"/>
  <c r="I274" i="14"/>
  <c r="I218" i="13"/>
  <c r="I246" i="13"/>
  <c r="U232" i="13"/>
  <c r="U260" i="14"/>
  <c r="U218" i="14"/>
  <c r="U246" i="12"/>
  <c r="U246" i="14"/>
  <c r="U274" i="13"/>
  <c r="U232" i="14"/>
  <c r="U246" i="13"/>
  <c r="U232" i="12"/>
  <c r="U218" i="13"/>
  <c r="U274" i="12"/>
  <c r="U260" i="13"/>
  <c r="U218" i="12"/>
  <c r="U274" i="14"/>
  <c r="U260" i="12"/>
  <c r="Z218" i="14"/>
  <c r="Z260" i="13"/>
  <c r="Z232" i="14"/>
  <c r="Z274" i="13"/>
  <c r="Z218" i="12"/>
  <c r="Z260" i="12"/>
  <c r="Z274" i="14"/>
  <c r="Z274" i="12"/>
  <c r="Z246" i="14"/>
  <c r="Z232" i="12"/>
  <c r="Z246" i="12"/>
  <c r="Z260" i="14"/>
  <c r="Z232" i="13"/>
  <c r="Z246" i="13"/>
  <c r="Z218" i="13"/>
  <c r="I272" i="14"/>
  <c r="I230" i="14"/>
  <c r="I230" i="12"/>
  <c r="I216" i="13"/>
  <c r="I244" i="13"/>
  <c r="I272" i="13"/>
  <c r="I258" i="14"/>
  <c r="I244" i="12"/>
  <c r="I216" i="14"/>
  <c r="I258" i="13"/>
  <c r="I244" i="14"/>
  <c r="I258" i="12"/>
  <c r="I216" i="12"/>
  <c r="I230" i="13"/>
  <c r="I272" i="12"/>
  <c r="U216" i="12"/>
  <c r="U272" i="14"/>
  <c r="U272" i="12"/>
  <c r="U272" i="13"/>
  <c r="U244" i="12"/>
  <c r="U230" i="12"/>
  <c r="U216" i="13"/>
  <c r="U244" i="13"/>
  <c r="U230" i="13"/>
  <c r="U216" i="14"/>
  <c r="U258" i="12"/>
  <c r="U230" i="14"/>
  <c r="U258" i="14"/>
  <c r="U258" i="13"/>
  <c r="U244" i="14"/>
  <c r="AB212" i="13"/>
  <c r="L212" i="13"/>
  <c r="AG212" i="13"/>
  <c r="W212" i="13"/>
  <c r="AA212" i="13"/>
  <c r="AI212" i="13"/>
  <c r="AD212" i="13"/>
  <c r="G212" i="13"/>
  <c r="AC212" i="13"/>
  <c r="Y212" i="13"/>
  <c r="K212" i="13"/>
  <c r="M212" i="13"/>
  <c r="AJ212" i="13"/>
  <c r="P212" i="13"/>
  <c r="S212" i="13"/>
  <c r="AE212" i="13"/>
  <c r="N212" i="13"/>
  <c r="U212" i="13"/>
  <c r="AK212" i="13"/>
  <c r="V226" i="14"/>
  <c r="L226" i="14"/>
  <c r="J226" i="14"/>
  <c r="M226" i="14"/>
  <c r="AE226" i="14"/>
  <c r="W226" i="14"/>
  <c r="I226" i="14"/>
  <c r="AK226" i="14"/>
  <c r="Z226" i="14"/>
  <c r="AF226" i="14"/>
  <c r="X226" i="14"/>
  <c r="Y226" i="14"/>
  <c r="R226" i="14"/>
  <c r="P226" i="14"/>
  <c r="AA226" i="14"/>
  <c r="AD226" i="14"/>
  <c r="H226" i="14"/>
  <c r="AB226" i="14"/>
  <c r="O226" i="14"/>
  <c r="U226" i="14"/>
  <c r="F226" i="14"/>
  <c r="AG226" i="14"/>
  <c r="AM226" i="14"/>
  <c r="S226" i="14"/>
  <c r="G226" i="14"/>
  <c r="AI226" i="14"/>
  <c r="AH226" i="14"/>
  <c r="Q226" i="14"/>
  <c r="AL226" i="14"/>
  <c r="K226" i="14"/>
  <c r="AN226" i="14"/>
  <c r="N226" i="14"/>
  <c r="T226" i="14"/>
  <c r="AJ226" i="14"/>
  <c r="AC226" i="14"/>
  <c r="N268" i="14"/>
  <c r="AA268" i="14"/>
  <c r="AF268" i="14"/>
  <c r="U268" i="14"/>
  <c r="Q268" i="14"/>
  <c r="Y268" i="14"/>
  <c r="Z268" i="14"/>
  <c r="G268" i="14"/>
  <c r="M268" i="14"/>
  <c r="E268" i="14"/>
  <c r="AB268" i="14"/>
  <c r="I268" i="14"/>
  <c r="AI268" i="14"/>
  <c r="Z212" i="14"/>
  <c r="V268" i="14"/>
  <c r="S268" i="14"/>
  <c r="AE268" i="12"/>
  <c r="L268" i="12"/>
  <c r="AN268" i="12"/>
  <c r="AH268" i="12"/>
  <c r="AM268" i="12"/>
  <c r="F268" i="12"/>
  <c r="AA268" i="12"/>
  <c r="AB268" i="12"/>
  <c r="Q268" i="12"/>
  <c r="AK268" i="12"/>
  <c r="R268" i="12"/>
  <c r="AC268" i="12"/>
  <c r="AN212" i="13"/>
  <c r="T212" i="13"/>
  <c r="AL268" i="12"/>
  <c r="J268" i="12"/>
  <c r="Z212" i="13"/>
  <c r="AL212" i="13"/>
  <c r="V212" i="13"/>
  <c r="O212" i="13"/>
  <c r="V268" i="12"/>
  <c r="AM212" i="13"/>
  <c r="AF212" i="13"/>
  <c r="W268" i="12"/>
  <c r="AJ268" i="12"/>
  <c r="U268" i="12"/>
  <c r="P268" i="12"/>
  <c r="M268" i="12"/>
  <c r="G268" i="12"/>
  <c r="AF268" i="12"/>
  <c r="H268" i="12"/>
  <c r="K268" i="12"/>
  <c r="I268" i="12"/>
  <c r="Y268" i="12"/>
  <c r="AD268" i="12"/>
  <c r="AI268" i="12"/>
  <c r="O268" i="12"/>
  <c r="AG268" i="12"/>
  <c r="Z268" i="12"/>
  <c r="N268" i="12"/>
  <c r="X268" i="12"/>
  <c r="T268" i="12"/>
  <c r="S268" i="12"/>
  <c r="AM268" i="14"/>
  <c r="AD268" i="14"/>
  <c r="AG268" i="14"/>
  <c r="F268" i="14"/>
  <c r="K268" i="14"/>
  <c r="AL268" i="14"/>
  <c r="AH268" i="14"/>
  <c r="J268" i="14"/>
  <c r="AN268" i="14"/>
  <c r="W268" i="14"/>
  <c r="W212" i="14"/>
  <c r="I212" i="13"/>
  <c r="AJ268" i="14"/>
  <c r="AK268" i="14"/>
  <c r="L268" i="14"/>
  <c r="AC268" i="14"/>
  <c r="R268" i="14"/>
  <c r="F212" i="13"/>
  <c r="X212" i="13"/>
  <c r="J212" i="13"/>
  <c r="AH212" i="13"/>
  <c r="O268" i="14"/>
  <c r="H268" i="14"/>
  <c r="AE268" i="14"/>
  <c r="P268" i="14"/>
  <c r="T268" i="14"/>
  <c r="R212" i="13"/>
  <c r="Q212" i="13"/>
  <c r="H212" i="13"/>
  <c r="P212" i="14"/>
  <c r="AH254" i="14"/>
  <c r="AJ254" i="14"/>
  <c r="Q254" i="14"/>
  <c r="X254" i="14"/>
  <c r="AK254" i="14"/>
  <c r="V254" i="14"/>
  <c r="AN254" i="14"/>
  <c r="S254" i="14"/>
  <c r="AC254" i="14"/>
  <c r="Y254" i="14"/>
  <c r="R254" i="14"/>
  <c r="J254" i="14"/>
  <c r="U254" i="14"/>
  <c r="F254" i="14"/>
  <c r="G254" i="14"/>
  <c r="T254" i="14"/>
  <c r="P254" i="14"/>
  <c r="AB254" i="14"/>
  <c r="K254" i="14"/>
  <c r="Z254" i="14"/>
  <c r="H254" i="14"/>
  <c r="AE254" i="14"/>
  <c r="AD254" i="14"/>
  <c r="AM254" i="14"/>
  <c r="AI254" i="14"/>
  <c r="W254" i="14"/>
  <c r="I254" i="14"/>
  <c r="M254" i="14"/>
  <c r="O254" i="14"/>
  <c r="AL254" i="14"/>
  <c r="AA254" i="14"/>
  <c r="L254" i="14"/>
  <c r="AG254" i="14"/>
  <c r="N254" i="14"/>
  <c r="AF254" i="14"/>
  <c r="V212" i="14"/>
  <c r="K212" i="14"/>
  <c r="AF212" i="14"/>
  <c r="AK212" i="14"/>
  <c r="H212" i="14"/>
  <c r="AB212" i="14"/>
  <c r="AL212" i="14"/>
  <c r="AD212" i="14"/>
  <c r="N212" i="14"/>
  <c r="F212" i="14"/>
  <c r="R212" i="14"/>
  <c r="T212" i="14"/>
  <c r="S212" i="14"/>
  <c r="Y212" i="14"/>
  <c r="U212" i="14"/>
  <c r="J212" i="14"/>
  <c r="AH212" i="14"/>
  <c r="AJ212" i="14"/>
  <c r="AC212" i="14"/>
  <c r="AM212" i="14"/>
  <c r="I212" i="14"/>
  <c r="AI212" i="14"/>
  <c r="AA212" i="14"/>
  <c r="Q212" i="14"/>
  <c r="AE212" i="14"/>
  <c r="AG212" i="14"/>
  <c r="G212" i="14"/>
  <c r="X212" i="14"/>
  <c r="O212" i="14"/>
  <c r="M212" i="14"/>
  <c r="AN212" i="14"/>
  <c r="L212" i="14"/>
  <c r="E254" i="12"/>
  <c r="AA212" i="12"/>
  <c r="AB212" i="12"/>
  <c r="AL212" i="12"/>
  <c r="AG212" i="12"/>
  <c r="AJ212" i="12"/>
  <c r="H212" i="12"/>
  <c r="Y212" i="12"/>
  <c r="S212" i="12"/>
  <c r="AM212" i="12"/>
  <c r="G212" i="12"/>
  <c r="T212" i="12"/>
  <c r="Q212" i="12"/>
  <c r="L212" i="12"/>
  <c r="O212" i="12"/>
  <c r="M212" i="12"/>
  <c r="W212" i="12"/>
  <c r="I212" i="12"/>
  <c r="P212" i="12"/>
  <c r="Z212" i="12"/>
  <c r="J212" i="12"/>
  <c r="K212" i="12"/>
  <c r="AE212" i="12"/>
  <c r="N212" i="12"/>
  <c r="R212" i="12"/>
  <c r="V212" i="12"/>
  <c r="AK212" i="12"/>
  <c r="AH212" i="12"/>
  <c r="AC212" i="12"/>
  <c r="AN212" i="12"/>
  <c r="F212" i="12"/>
  <c r="AD212" i="12"/>
  <c r="AL240" i="14"/>
  <c r="Y240" i="14"/>
  <c r="AJ240" i="14"/>
  <c r="O240" i="14"/>
  <c r="T240" i="14"/>
  <c r="AE240" i="14"/>
  <c r="J240" i="14"/>
  <c r="R240" i="14"/>
  <c r="Q240" i="14"/>
  <c r="I240" i="14"/>
  <c r="AH240" i="14"/>
  <c r="S240" i="14"/>
  <c r="AM240" i="14"/>
  <c r="F240" i="14"/>
  <c r="AD240" i="14"/>
  <c r="L240" i="14"/>
  <c r="AN254" i="12"/>
  <c r="T254" i="12"/>
  <c r="AN240" i="14"/>
  <c r="AC240" i="14"/>
  <c r="X240" i="14"/>
  <c r="AI240" i="14"/>
  <c r="M240" i="14"/>
  <c r="N240" i="14"/>
  <c r="V240" i="14"/>
  <c r="G240" i="14"/>
  <c r="AG240" i="14"/>
  <c r="X212" i="12"/>
  <c r="AI212" i="12"/>
  <c r="U212" i="12"/>
  <c r="AF212" i="12"/>
  <c r="AK240" i="14"/>
  <c r="W240" i="14"/>
  <c r="P240" i="14"/>
  <c r="AB240" i="14"/>
  <c r="H240" i="14"/>
  <c r="Z240" i="14"/>
  <c r="AA240" i="14"/>
  <c r="K240" i="14"/>
  <c r="U240" i="14"/>
  <c r="AF240" i="14"/>
  <c r="R226" i="12"/>
  <c r="K226" i="12"/>
  <c r="G226" i="12"/>
  <c r="Q268" i="13"/>
  <c r="Q254" i="12"/>
  <c r="AG254" i="13"/>
  <c r="G254" i="13"/>
  <c r="F254" i="13"/>
  <c r="J226" i="12"/>
  <c r="AB254" i="13"/>
  <c r="AK254" i="13"/>
  <c r="AM254" i="13"/>
  <c r="S254" i="13"/>
  <c r="X254" i="13"/>
  <c r="Y254" i="13"/>
  <c r="P254" i="13"/>
  <c r="Q254" i="13"/>
  <c r="AL254" i="13"/>
  <c r="AH254" i="13"/>
  <c r="AE226" i="12"/>
  <c r="O268" i="13"/>
  <c r="AA226" i="12"/>
  <c r="K254" i="13"/>
  <c r="M254" i="13"/>
  <c r="AN254" i="13"/>
  <c r="AI254" i="13"/>
  <c r="AF254" i="13"/>
  <c r="S254" i="12"/>
  <c r="I254" i="12"/>
  <c r="X226" i="12"/>
  <c r="Q226" i="12"/>
  <c r="N268" i="13"/>
  <c r="AN226" i="12"/>
  <c r="V254" i="13"/>
  <c r="O254" i="13"/>
  <c r="AC254" i="13"/>
  <c r="L268" i="13"/>
  <c r="T226" i="12"/>
  <c r="R254" i="12"/>
  <c r="Y226" i="13"/>
  <c r="Q226" i="13"/>
  <c r="H226" i="13"/>
  <c r="AE226" i="13"/>
  <c r="G226" i="13"/>
  <c r="AK226" i="13"/>
  <c r="R226" i="13"/>
  <c r="X226" i="13"/>
  <c r="F226" i="13"/>
  <c r="T226" i="13"/>
  <c r="Z226" i="13"/>
  <c r="N226" i="13"/>
  <c r="M226" i="13"/>
  <c r="S226" i="13"/>
  <c r="AJ226" i="13"/>
  <c r="I226" i="13"/>
  <c r="W226" i="13"/>
  <c r="AC226" i="13"/>
  <c r="AI226" i="13"/>
  <c r="AH226" i="13"/>
  <c r="AN226" i="13"/>
  <c r="K226" i="13"/>
  <c r="O226" i="13"/>
  <c r="AL226" i="13"/>
  <c r="L226" i="13"/>
  <c r="AA226" i="13"/>
  <c r="J226" i="13"/>
  <c r="U226" i="13"/>
  <c r="AG226" i="13"/>
  <c r="AM226" i="13"/>
  <c r="P226" i="13"/>
  <c r="AB226" i="13"/>
  <c r="V226" i="13"/>
  <c r="AF226" i="13"/>
  <c r="AD226" i="13"/>
  <c r="H254" i="13"/>
  <c r="J254" i="13"/>
  <c r="N254" i="13"/>
  <c r="AA254" i="13"/>
  <c r="L226" i="12"/>
  <c r="H226" i="12"/>
  <c r="M226" i="12"/>
  <c r="Z226" i="12"/>
  <c r="Y226" i="12"/>
  <c r="U226" i="12"/>
  <c r="AG226" i="12"/>
  <c r="N226" i="12"/>
  <c r="AL226" i="12"/>
  <c r="R254" i="13"/>
  <c r="U254" i="13"/>
  <c r="AJ254" i="13"/>
  <c r="Z254" i="13"/>
  <c r="S226" i="12"/>
  <c r="AB226" i="12"/>
  <c r="AM226" i="12"/>
  <c r="L254" i="13"/>
  <c r="AC226" i="12"/>
  <c r="AF226" i="12"/>
  <c r="I226" i="12"/>
  <c r="AD226" i="12"/>
  <c r="T240" i="13"/>
  <c r="AD254" i="13"/>
  <c r="W254" i="13"/>
  <c r="T254" i="13"/>
  <c r="AE254" i="13"/>
  <c r="I254" i="13"/>
  <c r="H268" i="13"/>
  <c r="AK268" i="13"/>
  <c r="AA268" i="13"/>
  <c r="AG268" i="13"/>
  <c r="AC268" i="13"/>
  <c r="V268" i="13"/>
  <c r="G268" i="13"/>
  <c r="F268" i="13"/>
  <c r="Y268" i="13"/>
  <c r="X268" i="13"/>
  <c r="AJ268" i="13"/>
  <c r="Z268" i="13"/>
  <c r="AE268" i="13"/>
  <c r="AM268" i="13"/>
  <c r="AL268" i="13"/>
  <c r="AH268" i="13"/>
  <c r="AN268" i="13"/>
  <c r="U268" i="13"/>
  <c r="AB268" i="13"/>
  <c r="P268" i="13"/>
  <c r="T268" i="13"/>
  <c r="AD268" i="13"/>
  <c r="AI268" i="13"/>
  <c r="J268" i="13"/>
  <c r="I268" i="13"/>
  <c r="K268" i="13"/>
  <c r="AF268" i="13"/>
  <c r="R268" i="13"/>
  <c r="W268" i="13"/>
  <c r="S268" i="13"/>
  <c r="M268" i="13"/>
  <c r="S240" i="13"/>
  <c r="AF240" i="13"/>
  <c r="P240" i="13"/>
  <c r="AC240" i="13"/>
  <c r="X240" i="13"/>
  <c r="AB240" i="13"/>
  <c r="M240" i="13"/>
  <c r="R240" i="13"/>
  <c r="AK226" i="12"/>
  <c r="AH226" i="12"/>
  <c r="E226" i="12"/>
  <c r="H240" i="13"/>
  <c r="L254" i="12"/>
  <c r="K254" i="12"/>
  <c r="G240" i="13"/>
  <c r="U240" i="13"/>
  <c r="AF254" i="12"/>
  <c r="AA254" i="12"/>
  <c r="G254" i="12"/>
  <c r="AK240" i="13"/>
  <c r="AB254" i="12"/>
  <c r="AG254" i="12"/>
  <c r="M254" i="12"/>
  <c r="AK254" i="12"/>
  <c r="P254" i="12"/>
  <c r="N254" i="12"/>
  <c r="AC254" i="12"/>
  <c r="AM254" i="12"/>
  <c r="Z254" i="12"/>
  <c r="AH254" i="12"/>
  <c r="AD240" i="13"/>
  <c r="AE240" i="13"/>
  <c r="O240" i="13"/>
  <c r="H254" i="12"/>
  <c r="J254" i="12"/>
  <c r="AE254" i="12"/>
  <c r="O254" i="12"/>
  <c r="W254" i="12"/>
  <c r="Z240" i="13"/>
  <c r="J240" i="13"/>
  <c r="N240" i="13"/>
  <c r="AN240" i="13"/>
  <c r="AL240" i="13"/>
  <c r="K240" i="13"/>
  <c r="X254" i="12"/>
  <c r="AD254" i="12"/>
  <c r="AI254" i="12"/>
  <c r="Y254" i="12"/>
  <c r="V254" i="12"/>
  <c r="AJ226" i="12"/>
  <c r="O226" i="12"/>
  <c r="V226" i="12"/>
  <c r="P226" i="12"/>
  <c r="W240" i="13"/>
  <c r="Q240" i="13"/>
  <c r="I240" i="13"/>
  <c r="AJ240" i="13"/>
  <c r="AL254" i="12"/>
  <c r="U254" i="12"/>
  <c r="F254" i="12"/>
  <c r="AI226" i="12"/>
  <c r="W226" i="12"/>
  <c r="Y240" i="13"/>
  <c r="AL240" i="12"/>
  <c r="X240" i="12"/>
  <c r="Z240" i="12"/>
  <c r="V240" i="13"/>
  <c r="AH240" i="13"/>
  <c r="F240" i="13"/>
  <c r="AM240" i="13"/>
  <c r="AG240" i="13"/>
  <c r="AI240" i="12"/>
  <c r="L240" i="13"/>
  <c r="H240" i="12"/>
  <c r="AI240" i="13"/>
  <c r="AG240" i="12"/>
  <c r="P240" i="12"/>
  <c r="AA240" i="13"/>
  <c r="AE240" i="12"/>
  <c r="Y240" i="12"/>
  <c r="AC240" i="12"/>
  <c r="T240" i="12"/>
  <c r="V240" i="12"/>
  <c r="AH240" i="12"/>
  <c r="AJ240" i="12"/>
  <c r="AN240" i="12"/>
  <c r="AB240" i="12"/>
  <c r="F240" i="12"/>
  <c r="O240" i="12"/>
  <c r="L240" i="12"/>
  <c r="J240" i="12"/>
  <c r="AF240" i="12"/>
  <c r="M240" i="12"/>
  <c r="I240" i="12"/>
  <c r="N240" i="12"/>
  <c r="S240" i="12"/>
  <c r="U240" i="12"/>
  <c r="K240" i="12"/>
  <c r="AD240" i="12"/>
  <c r="R240" i="12"/>
  <c r="Q240" i="12"/>
  <c r="W240" i="12"/>
  <c r="E240" i="12"/>
  <c r="G240" i="12"/>
  <c r="AA240" i="12"/>
  <c r="AK240" i="12"/>
  <c r="O252" i="12"/>
  <c r="I252" i="12"/>
  <c r="T252" i="12"/>
  <c r="V252" i="12"/>
  <c r="K252" i="12"/>
  <c r="AH252" i="12"/>
  <c r="AE252" i="12"/>
  <c r="H252" i="12"/>
  <c r="Z252" i="12"/>
  <c r="Y252" i="12"/>
  <c r="AG252" i="12"/>
  <c r="AN252" i="12"/>
  <c r="G252" i="12"/>
  <c r="U252" i="12"/>
  <c r="AB252" i="12"/>
  <c r="AC252" i="12"/>
  <c r="Q252" i="12"/>
  <c r="X252" i="12"/>
  <c r="P252" i="12"/>
  <c r="AA252" i="12"/>
  <c r="S252" i="12"/>
  <c r="L252" i="12"/>
  <c r="AF252" i="12"/>
  <c r="AI252" i="12"/>
  <c r="F252" i="12"/>
  <c r="AM252" i="12"/>
  <c r="R252" i="12"/>
  <c r="AD252" i="12"/>
  <c r="N252" i="12"/>
  <c r="AK252" i="12"/>
  <c r="E252" i="12"/>
  <c r="W252" i="12"/>
  <c r="J252" i="12"/>
  <c r="AJ252" i="12"/>
  <c r="M252" i="12"/>
  <c r="F266" i="12"/>
  <c r="AE266" i="12"/>
  <c r="AI266" i="12"/>
  <c r="J266" i="12"/>
  <c r="AN266" i="12"/>
  <c r="O266" i="12"/>
  <c r="Q266" i="12"/>
  <c r="M266" i="12"/>
  <c r="V266" i="12"/>
  <c r="K266" i="12"/>
  <c r="G266" i="12"/>
  <c r="S266" i="12"/>
  <c r="AJ266" i="12"/>
  <c r="AB266" i="12"/>
  <c r="T266" i="12"/>
  <c r="Z266" i="12"/>
  <c r="I266" i="12"/>
  <c r="AA266" i="12"/>
  <c r="R266" i="12"/>
  <c r="N266" i="12"/>
  <c r="AM266" i="12"/>
  <c r="AC266" i="12"/>
  <c r="AF266" i="12"/>
  <c r="U266" i="12"/>
  <c r="X266" i="12"/>
  <c r="E266" i="12"/>
  <c r="AG266" i="12"/>
  <c r="H266" i="12"/>
  <c r="W266" i="12"/>
  <c r="AL266" i="12"/>
  <c r="AK266" i="12"/>
  <c r="AH266" i="12"/>
  <c r="AD266" i="12"/>
  <c r="P266" i="12"/>
  <c r="Y266" i="12"/>
  <c r="L266" i="12"/>
  <c r="E266" i="13"/>
  <c r="V266" i="13"/>
  <c r="AG266" i="13"/>
  <c r="AH266" i="13"/>
  <c r="W266" i="13"/>
  <c r="F266" i="13"/>
  <c r="U266" i="13"/>
  <c r="Y266" i="13"/>
  <c r="AC266" i="13"/>
  <c r="AM266" i="13"/>
  <c r="S266" i="13"/>
  <c r="AD266" i="13"/>
  <c r="N266" i="13"/>
  <c r="O266" i="13"/>
  <c r="G266" i="13"/>
  <c r="AI266" i="13"/>
  <c r="L266" i="13"/>
  <c r="X266" i="13"/>
  <c r="Q266" i="13"/>
  <c r="AJ266" i="13"/>
  <c r="AF266" i="13"/>
  <c r="AN266" i="13"/>
  <c r="M266" i="13"/>
  <c r="Z266" i="13"/>
  <c r="H266" i="13"/>
  <c r="AK266" i="13"/>
  <c r="AL266" i="13"/>
  <c r="P266" i="13"/>
  <c r="J266" i="13"/>
  <c r="K266" i="13"/>
  <c r="AB266" i="13"/>
  <c r="T266" i="13"/>
  <c r="I266" i="13"/>
  <c r="AA266" i="13"/>
  <c r="AE266" i="13"/>
  <c r="R266" i="13"/>
  <c r="E238" i="12"/>
  <c r="F238" i="12"/>
  <c r="Y238" i="12"/>
  <c r="AG238" i="12"/>
  <c r="G238" i="12"/>
  <c r="AK238" i="12"/>
  <c r="V238" i="12"/>
  <c r="AD238" i="12"/>
  <c r="AB238" i="12"/>
  <c r="K238" i="12"/>
  <c r="AE238" i="12"/>
  <c r="M238" i="12"/>
  <c r="AF238" i="12"/>
  <c r="AA238" i="12"/>
  <c r="T238" i="12"/>
  <c r="W238" i="12"/>
  <c r="AC238" i="12"/>
  <c r="J238" i="12"/>
  <c r="AH238" i="12"/>
  <c r="O238" i="12"/>
  <c r="L238" i="12"/>
  <c r="X238" i="12"/>
  <c r="S238" i="12"/>
  <c r="AL238" i="12"/>
  <c r="U238" i="12"/>
  <c r="AJ238" i="12"/>
  <c r="N238" i="12"/>
  <c r="AI238" i="12"/>
  <c r="Q238" i="12"/>
  <c r="AN238" i="12"/>
  <c r="AM238" i="12"/>
  <c r="R238" i="12"/>
  <c r="I238" i="12"/>
  <c r="H238" i="12"/>
  <c r="P238" i="12"/>
  <c r="Z238" i="12"/>
  <c r="E210" i="14"/>
  <c r="Y210" i="14"/>
  <c r="AN210" i="14"/>
  <c r="AD210" i="14"/>
  <c r="P210" i="14"/>
  <c r="AK210" i="14"/>
  <c r="W210" i="14"/>
  <c r="G210" i="14"/>
  <c r="X210" i="14"/>
  <c r="AB210" i="14"/>
  <c r="AL210" i="14"/>
  <c r="AC210" i="14"/>
  <c r="AH210" i="14"/>
  <c r="T210" i="14"/>
  <c r="AM210" i="14"/>
  <c r="N210" i="14"/>
  <c r="AE210" i="14"/>
  <c r="M210" i="14"/>
  <c r="V210" i="14"/>
  <c r="AA210" i="14"/>
  <c r="AJ210" i="14"/>
  <c r="AG210" i="14"/>
  <c r="AF210" i="14"/>
  <c r="L210" i="14"/>
  <c r="Z210" i="14"/>
  <c r="O210" i="14"/>
  <c r="U210" i="14"/>
  <c r="Q210" i="14"/>
  <c r="AI210" i="14"/>
  <c r="H210" i="14"/>
  <c r="F210" i="14"/>
  <c r="I210" i="14"/>
  <c r="J210" i="14"/>
  <c r="R210" i="14"/>
  <c r="S210" i="14"/>
  <c r="K210" i="14"/>
  <c r="E266" i="14"/>
  <c r="H266" i="14"/>
  <c r="AF266" i="14"/>
  <c r="AJ266" i="14"/>
  <c r="U266" i="14"/>
  <c r="M266" i="14"/>
  <c r="O266" i="14"/>
  <c r="Q266" i="14"/>
  <c r="AE266" i="14"/>
  <c r="Y266" i="14"/>
  <c r="G266" i="14"/>
  <c r="V266" i="14"/>
  <c r="AG266" i="14"/>
  <c r="F266" i="14"/>
  <c r="W266" i="14"/>
  <c r="S266" i="14"/>
  <c r="AB266" i="14"/>
  <c r="J266" i="14"/>
  <c r="AD266" i="14"/>
  <c r="AN266" i="14"/>
  <c r="AA266" i="14"/>
  <c r="AK266" i="14"/>
  <c r="AC266" i="14"/>
  <c r="K266" i="14"/>
  <c r="AM266" i="14"/>
  <c r="T266" i="14"/>
  <c r="N266" i="14"/>
  <c r="P266" i="14"/>
  <c r="AH266" i="14"/>
  <c r="L266" i="14"/>
  <c r="I266" i="14"/>
  <c r="Z266" i="14"/>
  <c r="X266" i="14"/>
  <c r="AI266" i="14"/>
  <c r="AL266" i="14"/>
  <c r="R266" i="14"/>
  <c r="E238" i="14"/>
  <c r="H238" i="14"/>
  <c r="AK238" i="14"/>
  <c r="Q238" i="14"/>
  <c r="AF238" i="14"/>
  <c r="J238" i="14"/>
  <c r="R238" i="14"/>
  <c r="V238" i="14"/>
  <c r="W238" i="14"/>
  <c r="I238" i="14"/>
  <c r="M238" i="14"/>
  <c r="G238" i="14"/>
  <c r="O238" i="14"/>
  <c r="AE238" i="14"/>
  <c r="P238" i="14"/>
  <c r="AJ238" i="14"/>
  <c r="L238" i="14"/>
  <c r="AG238" i="14"/>
  <c r="AM238" i="14"/>
  <c r="AN238" i="14"/>
  <c r="AC238" i="14"/>
  <c r="AL238" i="14"/>
  <c r="N238" i="14"/>
  <c r="AH238" i="14"/>
  <c r="S238" i="14"/>
  <c r="K238" i="14"/>
  <c r="Z238" i="14"/>
  <c r="AB238" i="14"/>
  <c r="AA238" i="14"/>
  <c r="X238" i="14"/>
  <c r="AI238" i="14"/>
  <c r="Y238" i="14"/>
  <c r="U238" i="14"/>
  <c r="F238" i="14"/>
  <c r="T238" i="14"/>
  <c r="AD238" i="14"/>
  <c r="E224" i="12"/>
  <c r="Y224" i="12"/>
  <c r="H224" i="12"/>
  <c r="O224" i="12"/>
  <c r="AE224" i="12"/>
  <c r="L224" i="12"/>
  <c r="AN224" i="12"/>
  <c r="AC224" i="12"/>
  <c r="F224" i="12"/>
  <c r="P224" i="12"/>
  <c r="X224" i="12"/>
  <c r="AH224" i="12"/>
  <c r="J224" i="12"/>
  <c r="G224" i="12"/>
  <c r="AK224" i="12"/>
  <c r="AG224" i="12"/>
  <c r="AA224" i="12"/>
  <c r="N224" i="12"/>
  <c r="AF224" i="12"/>
  <c r="W224" i="12"/>
  <c r="AB224" i="12"/>
  <c r="V224" i="12"/>
  <c r="AJ224" i="12"/>
  <c r="Z224" i="12"/>
  <c r="AI224" i="12"/>
  <c r="I224" i="12"/>
  <c r="AM224" i="12"/>
  <c r="AD224" i="12"/>
  <c r="R224" i="12"/>
  <c r="U224" i="12"/>
  <c r="K224" i="12"/>
  <c r="S224" i="12"/>
  <c r="AL224" i="12"/>
  <c r="Q224" i="12"/>
  <c r="M224" i="12"/>
  <c r="T224" i="12"/>
  <c r="E238" i="13"/>
  <c r="AF238" i="13"/>
  <c r="AH238" i="13"/>
  <c r="M238" i="13"/>
  <c r="S238" i="13"/>
  <c r="AI238" i="13"/>
  <c r="O238" i="13"/>
  <c r="AL238" i="13"/>
  <c r="AC238" i="13"/>
  <c r="AD238" i="13"/>
  <c r="G238" i="13"/>
  <c r="AB238" i="13"/>
  <c r="T238" i="13"/>
  <c r="Y238" i="13"/>
  <c r="Z238" i="13"/>
  <c r="P238" i="13"/>
  <c r="N238" i="13"/>
  <c r="AA238" i="13"/>
  <c r="AM238" i="13"/>
  <c r="F238" i="13"/>
  <c r="AK238" i="13"/>
  <c r="AJ238" i="13"/>
  <c r="L238" i="13"/>
  <c r="V238" i="13"/>
  <c r="J238" i="13"/>
  <c r="K238" i="13"/>
  <c r="U238" i="13"/>
  <c r="Q238" i="13"/>
  <c r="W238" i="13"/>
  <c r="AE238" i="13"/>
  <c r="R238" i="13"/>
  <c r="X238" i="13"/>
  <c r="H238" i="13"/>
  <c r="AN238" i="13"/>
  <c r="AG238" i="13"/>
  <c r="I238" i="13"/>
  <c r="E224" i="14"/>
  <c r="Y224" i="14"/>
  <c r="AH224" i="14"/>
  <c r="AC224" i="14"/>
  <c r="W224" i="14"/>
  <c r="J224" i="14"/>
  <c r="AE224" i="14"/>
  <c r="AA224" i="14"/>
  <c r="K224" i="14"/>
  <c r="H224" i="14"/>
  <c r="V224" i="14"/>
  <c r="I224" i="14"/>
  <c r="F224" i="14"/>
  <c r="AL224" i="14"/>
  <c r="AD224" i="14"/>
  <c r="AB224" i="14"/>
  <c r="S224" i="14"/>
  <c r="X224" i="14"/>
  <c r="L224" i="14"/>
  <c r="U224" i="14"/>
  <c r="AN224" i="14"/>
  <c r="AM224" i="14"/>
  <c r="T224" i="14"/>
  <c r="Z224" i="14"/>
  <c r="AK224" i="14"/>
  <c r="M224" i="14"/>
  <c r="AI224" i="14"/>
  <c r="N224" i="14"/>
  <c r="G224" i="14"/>
  <c r="P224" i="14"/>
  <c r="AF224" i="14"/>
  <c r="AJ224" i="14"/>
  <c r="O224" i="14"/>
  <c r="AG224" i="14"/>
  <c r="R224" i="14"/>
  <c r="Q224" i="14"/>
  <c r="E252" i="13"/>
  <c r="AL252" i="13"/>
  <c r="N252" i="13"/>
  <c r="M252" i="13"/>
  <c r="AN252" i="13"/>
  <c r="AA252" i="13"/>
  <c r="AF252" i="13"/>
  <c r="H252" i="13"/>
  <c r="I252" i="13"/>
  <c r="U252" i="13"/>
  <c r="Z252" i="13"/>
  <c r="AM252" i="13"/>
  <c r="F252" i="13"/>
  <c r="AK252" i="13"/>
  <c r="AG252" i="13"/>
  <c r="P252" i="13"/>
  <c r="X252" i="13"/>
  <c r="J252" i="13"/>
  <c r="G252" i="13"/>
  <c r="Q252" i="13"/>
  <c r="S252" i="13"/>
  <c r="Y252" i="13"/>
  <c r="O252" i="13"/>
  <c r="K252" i="13"/>
  <c r="AH252" i="13"/>
  <c r="AE252" i="13"/>
  <c r="AI252" i="13"/>
  <c r="W252" i="13"/>
  <c r="T252" i="13"/>
  <c r="AD252" i="13"/>
  <c r="R252" i="13"/>
  <c r="L252" i="13"/>
  <c r="V252" i="13"/>
  <c r="AC252" i="13"/>
  <c r="AJ252" i="13"/>
  <c r="AB252" i="13"/>
  <c r="E210" i="13"/>
  <c r="V210" i="13"/>
  <c r="AG210" i="13"/>
  <c r="S210" i="13"/>
  <c r="AE210" i="13"/>
  <c r="W210" i="13"/>
  <c r="G210" i="13"/>
  <c r="AH210" i="13"/>
  <c r="U210" i="13"/>
  <c r="K210" i="13"/>
  <c r="H210" i="13"/>
  <c r="AA210" i="13"/>
  <c r="X210" i="13"/>
  <c r="AJ210" i="13"/>
  <c r="I210" i="13"/>
  <c r="R210" i="13"/>
  <c r="L210" i="13"/>
  <c r="M210" i="13"/>
  <c r="AB210" i="13"/>
  <c r="AL210" i="13"/>
  <c r="AC210" i="13"/>
  <c r="T210" i="13"/>
  <c r="J210" i="13"/>
  <c r="Q210" i="13"/>
  <c r="AN210" i="13"/>
  <c r="P210" i="13"/>
  <c r="Y210" i="13"/>
  <c r="O210" i="13"/>
  <c r="AM210" i="13"/>
  <c r="AF210" i="13"/>
  <c r="Z210" i="13"/>
  <c r="N210" i="13"/>
  <c r="F210" i="13"/>
  <c r="AD210" i="13"/>
  <c r="AI210" i="13"/>
  <c r="AK210" i="13"/>
  <c r="E224" i="13"/>
  <c r="Z224" i="13"/>
  <c r="H224" i="13"/>
  <c r="AD224" i="13"/>
  <c r="X224" i="13"/>
  <c r="Q224" i="13"/>
  <c r="I224" i="13"/>
  <c r="AJ224" i="13"/>
  <c r="W224" i="13"/>
  <c r="AI224" i="13"/>
  <c r="AA224" i="13"/>
  <c r="AG224" i="13"/>
  <c r="G224" i="13"/>
  <c r="AN224" i="13"/>
  <c r="AL224" i="13"/>
  <c r="AM224" i="13"/>
  <c r="F224" i="13"/>
  <c r="AC224" i="13"/>
  <c r="L224" i="13"/>
  <c r="M224" i="13"/>
  <c r="AH224" i="13"/>
  <c r="AE224" i="13"/>
  <c r="O224" i="13"/>
  <c r="J224" i="13"/>
  <c r="Y224" i="13"/>
  <c r="P224" i="13"/>
  <c r="N224" i="13"/>
  <c r="AB224" i="13"/>
  <c r="S224" i="13"/>
  <c r="U224" i="13"/>
  <c r="K224" i="13"/>
  <c r="AK224" i="13"/>
  <c r="T224" i="13"/>
  <c r="AF224" i="13"/>
  <c r="V224" i="13"/>
  <c r="R224" i="13"/>
  <c r="E252" i="14"/>
  <c r="AG252" i="14"/>
  <c r="V252" i="14"/>
  <c r="K252" i="14"/>
  <c r="S252" i="14"/>
  <c r="R252" i="14"/>
  <c r="AJ252" i="14"/>
  <c r="AH252" i="14"/>
  <c r="P252" i="14"/>
  <c r="M252" i="14"/>
  <c r="L252" i="14"/>
  <c r="T252" i="14"/>
  <c r="Y252" i="14"/>
  <c r="AB252" i="14"/>
  <c r="AF252" i="14"/>
  <c r="AC252" i="14"/>
  <c r="W252" i="14"/>
  <c r="AA252" i="14"/>
  <c r="H252" i="14"/>
  <c r="O252" i="14"/>
  <c r="AD252" i="14"/>
  <c r="X252" i="14"/>
  <c r="I252" i="14"/>
  <c r="G252" i="14"/>
  <c r="AK252" i="14"/>
  <c r="U252" i="14"/>
  <c r="J252" i="14"/>
  <c r="AI252" i="14"/>
  <c r="AE252" i="14"/>
  <c r="AN252" i="14"/>
  <c r="Q252" i="14"/>
  <c r="AM252" i="14"/>
  <c r="Z252" i="14"/>
  <c r="N252" i="14"/>
  <c r="F252" i="14"/>
  <c r="AL252" i="14"/>
  <c r="E210" i="12"/>
  <c r="I210" i="12"/>
  <c r="AF210" i="12"/>
  <c r="G210" i="12"/>
  <c r="X210" i="12"/>
  <c r="K210" i="12"/>
  <c r="F210" i="12"/>
  <c r="J210" i="12"/>
  <c r="AD210" i="12"/>
  <c r="T210" i="12"/>
  <c r="AN210" i="12"/>
  <c r="AA210" i="12"/>
  <c r="M210" i="12"/>
  <c r="L210" i="12"/>
  <c r="AM210" i="12"/>
  <c r="AG210" i="12"/>
  <c r="H210" i="12"/>
  <c r="V210" i="12"/>
  <c r="N210" i="12"/>
  <c r="Q210" i="12"/>
  <c r="AJ210" i="12"/>
  <c r="O210" i="12"/>
  <c r="Y210" i="12"/>
  <c r="Z210" i="12"/>
  <c r="AE210" i="12"/>
  <c r="P210" i="12"/>
  <c r="W210" i="12"/>
  <c r="AB210" i="12"/>
  <c r="AI210" i="12"/>
  <c r="U210" i="12"/>
  <c r="S210" i="12"/>
  <c r="R210" i="12"/>
  <c r="AL210" i="12"/>
  <c r="AH210" i="12"/>
  <c r="AC210" i="12"/>
  <c r="AK210" i="12"/>
  <c r="J65" i="14"/>
  <c r="AB121" i="14"/>
  <c r="K65" i="13"/>
  <c r="K121" i="13"/>
  <c r="E199" i="12" l="1" a="1"/>
  <c r="E199" i="14" a="1"/>
  <c r="E194" i="13" a="1"/>
  <c r="E192" i="12" a="1"/>
  <c r="E202" i="14" a="1"/>
  <c r="E202" i="13" a="1"/>
  <c r="E192" i="13" a="1"/>
  <c r="E193" i="13" a="1"/>
  <c r="E198" i="13" a="1"/>
  <c r="E198" i="12" a="1"/>
  <c r="E193" i="14" a="1"/>
  <c r="E195" i="12" a="1"/>
  <c r="E202" i="12" a="1"/>
  <c r="E199" i="13" a="1"/>
  <c r="E194" i="12" a="1"/>
  <c r="E191" i="13" a="1"/>
  <c r="E201" i="12" a="1"/>
  <c r="E191" i="14" a="1"/>
  <c r="E191" i="12" a="1"/>
  <c r="E200" i="13" a="1"/>
  <c r="E201" i="13" a="1"/>
  <c r="E194" i="14" a="1"/>
  <c r="E195" i="14" a="1"/>
  <c r="E200" i="14" a="1"/>
  <c r="E198" i="14" a="1"/>
  <c r="E193" i="12" a="1"/>
  <c r="E201" i="14" a="1"/>
  <c r="E200" i="12" a="1"/>
  <c r="E192" i="14" a="1"/>
  <c r="E195" i="13" a="1"/>
  <c r="E185" i="14" a="1"/>
  <c r="F185" i="14" s="1"/>
  <c r="E188" i="12" a="1"/>
  <c r="P188" i="12" s="1"/>
  <c r="E184" i="13" a="1"/>
  <c r="AB184" i="13" s="1"/>
  <c r="E188" i="14" a="1"/>
  <c r="AE188" i="14" s="1"/>
  <c r="E187" i="14" a="1"/>
  <c r="E187" i="14" s="1"/>
  <c r="E184" i="14" a="1"/>
  <c r="R184" i="14" s="1"/>
  <c r="E184" i="12" a="1"/>
  <c r="P184" i="12" s="1"/>
  <c r="E186" i="14" a="1"/>
  <c r="E186" i="14" s="1"/>
  <c r="E187" i="13" a="1"/>
  <c r="R187" i="13" s="1"/>
  <c r="E185" i="13" a="1"/>
  <c r="AC185" i="13" s="1"/>
  <c r="E188" i="13" a="1"/>
  <c r="AC188" i="13" s="1"/>
  <c r="E186" i="13" a="1"/>
  <c r="Q186" i="13" s="1"/>
  <c r="E185" i="12" a="1"/>
  <c r="P185" i="12" s="1"/>
  <c r="E187" i="12" a="1"/>
  <c r="R187" i="12" s="1"/>
  <c r="E186" i="12" a="1"/>
  <c r="AC186" i="12" s="1"/>
  <c r="E180" i="12" a="1"/>
  <c r="E181" i="12" a="1"/>
  <c r="E177" i="12" a="1"/>
  <c r="E180" i="14" a="1"/>
  <c r="E178" i="13" a="1"/>
  <c r="E177" i="13" a="1"/>
  <c r="E180" i="13" a="1"/>
  <c r="E178" i="14" a="1"/>
  <c r="E179" i="13" a="1"/>
  <c r="E178" i="12" a="1"/>
  <c r="E179" i="14" a="1"/>
  <c r="E181" i="14" a="1"/>
  <c r="E177" i="14" a="1"/>
  <c r="E179" i="12" a="1"/>
  <c r="E181" i="13" a="1"/>
  <c r="K65" i="14"/>
  <c r="AC121" i="14"/>
  <c r="L65" i="13"/>
  <c r="L121" i="13"/>
  <c r="Q200" i="14" l="1"/>
  <c r="F200" i="14"/>
  <c r="P200" i="14"/>
  <c r="H200" i="14"/>
  <c r="AF200" i="14"/>
  <c r="AD200" i="14"/>
  <c r="O200" i="14"/>
  <c r="Y200" i="14"/>
  <c r="I200" i="14"/>
  <c r="AG200" i="14"/>
  <c r="AC200" i="14"/>
  <c r="AI200" i="14"/>
  <c r="X200" i="14"/>
  <c r="S200" i="14"/>
  <c r="W200" i="14"/>
  <c r="G200" i="14"/>
  <c r="R200" i="14"/>
  <c r="Z200" i="14"/>
  <c r="U200" i="14"/>
  <c r="J200" i="14"/>
  <c r="N200" i="14"/>
  <c r="V200" i="14"/>
  <c r="AJ200" i="14"/>
  <c r="M200" i="14"/>
  <c r="AA200" i="14"/>
  <c r="AM200" i="14"/>
  <c r="AH200" i="14"/>
  <c r="E200" i="14"/>
  <c r="T200" i="14"/>
  <c r="L200" i="14"/>
  <c r="AE200" i="14"/>
  <c r="AN200" i="14"/>
  <c r="AK200" i="14"/>
  <c r="AL200" i="14"/>
  <c r="AB200" i="14"/>
  <c r="K200" i="14"/>
  <c r="W191" i="13"/>
  <c r="G191" i="13"/>
  <c r="AA191" i="13"/>
  <c r="K191" i="13"/>
  <c r="Y191" i="13"/>
  <c r="P191" i="13"/>
  <c r="AE191" i="13"/>
  <c r="O191" i="13"/>
  <c r="H191" i="13"/>
  <c r="N191" i="13"/>
  <c r="AG191" i="13"/>
  <c r="E191" i="13"/>
  <c r="AK191" i="13"/>
  <c r="Q191" i="13"/>
  <c r="X191" i="13"/>
  <c r="R191" i="13"/>
  <c r="AD191" i="13"/>
  <c r="V191" i="13"/>
  <c r="S191" i="13"/>
  <c r="AH191" i="13"/>
  <c r="F191" i="13"/>
  <c r="J191" i="13"/>
  <c r="Z191" i="13"/>
  <c r="U191" i="13"/>
  <c r="L191" i="13"/>
  <c r="AL191" i="13"/>
  <c r="AB191" i="13"/>
  <c r="I191" i="13"/>
  <c r="AF191" i="13"/>
  <c r="AJ191" i="13"/>
  <c r="AI191" i="13"/>
  <c r="M191" i="13"/>
  <c r="AM191" i="13"/>
  <c r="AC191" i="13"/>
  <c r="T191" i="13"/>
  <c r="AN191" i="13"/>
  <c r="F193" i="13"/>
  <c r="AL193" i="13"/>
  <c r="J193" i="13"/>
  <c r="AC193" i="13"/>
  <c r="Z193" i="13"/>
  <c r="AF193" i="13"/>
  <c r="AB193" i="13"/>
  <c r="AJ193" i="13"/>
  <c r="T193" i="13"/>
  <c r="Q193" i="13"/>
  <c r="AD193" i="13"/>
  <c r="S193" i="13"/>
  <c r="AK193" i="13"/>
  <c r="L193" i="13"/>
  <c r="AI193" i="13"/>
  <c r="AE193" i="13"/>
  <c r="AG193" i="13"/>
  <c r="V193" i="13"/>
  <c r="U193" i="13"/>
  <c r="AA193" i="13"/>
  <c r="I193" i="13"/>
  <c r="E193" i="13"/>
  <c r="G193" i="13"/>
  <c r="AH193" i="13"/>
  <c r="Y193" i="13"/>
  <c r="AN193" i="13"/>
  <c r="M193" i="13"/>
  <c r="K193" i="13"/>
  <c r="R193" i="13"/>
  <c r="H193" i="13"/>
  <c r="O193" i="13"/>
  <c r="AM193" i="13"/>
  <c r="W193" i="13"/>
  <c r="N193" i="13"/>
  <c r="P193" i="13"/>
  <c r="X193" i="13"/>
  <c r="P195" i="14"/>
  <c r="AF195" i="14"/>
  <c r="O195" i="14"/>
  <c r="Q195" i="14"/>
  <c r="N195" i="14"/>
  <c r="G195" i="14"/>
  <c r="X195" i="14"/>
  <c r="R195" i="14"/>
  <c r="I195" i="14"/>
  <c r="AG195" i="14"/>
  <c r="F195" i="14"/>
  <c r="K195" i="14"/>
  <c r="AE195" i="14"/>
  <c r="Y195" i="14"/>
  <c r="AM195" i="14"/>
  <c r="J195" i="14"/>
  <c r="AH195" i="14"/>
  <c r="U195" i="14"/>
  <c r="S195" i="14"/>
  <c r="AK195" i="14"/>
  <c r="AD195" i="14"/>
  <c r="T195" i="14"/>
  <c r="V195" i="14"/>
  <c r="AA195" i="14"/>
  <c r="AJ195" i="14"/>
  <c r="AI195" i="14"/>
  <c r="AB195" i="14"/>
  <c r="L195" i="14"/>
  <c r="M195" i="14"/>
  <c r="AN195" i="14"/>
  <c r="H195" i="14"/>
  <c r="AL195" i="14"/>
  <c r="Z195" i="14"/>
  <c r="AC195" i="14"/>
  <c r="E195" i="14"/>
  <c r="W195" i="14"/>
  <c r="AE194" i="12"/>
  <c r="AC194" i="12"/>
  <c r="U194" i="12"/>
  <c r="F194" i="12"/>
  <c r="M194" i="12"/>
  <c r="AB194" i="12"/>
  <c r="S194" i="12"/>
  <c r="AK194" i="12"/>
  <c r="AI194" i="12"/>
  <c r="V194" i="12"/>
  <c r="T194" i="12"/>
  <c r="AL194" i="12"/>
  <c r="W194" i="12"/>
  <c r="AN194" i="12"/>
  <c r="K194" i="12"/>
  <c r="R194" i="12"/>
  <c r="AM194" i="12"/>
  <c r="I194" i="12"/>
  <c r="AJ194" i="12"/>
  <c r="N194" i="12"/>
  <c r="X194" i="12"/>
  <c r="AA194" i="12"/>
  <c r="Z194" i="12"/>
  <c r="Q194" i="12"/>
  <c r="H194" i="12"/>
  <c r="AH194" i="12"/>
  <c r="Y194" i="12"/>
  <c r="G194" i="12"/>
  <c r="E194" i="12"/>
  <c r="P194" i="12"/>
  <c r="L194" i="12"/>
  <c r="AG194" i="12"/>
  <c r="O194" i="12"/>
  <c r="AD194" i="12"/>
  <c r="AF194" i="12"/>
  <c r="J194" i="12"/>
  <c r="J192" i="13"/>
  <c r="T192" i="13"/>
  <c r="I192" i="13"/>
  <c r="AE192" i="13"/>
  <c r="E192" i="13"/>
  <c r="AJ192" i="13"/>
  <c r="AK192" i="13"/>
  <c r="AB192" i="13"/>
  <c r="L192" i="13"/>
  <c r="AA192" i="13"/>
  <c r="F192" i="13"/>
  <c r="G192" i="13"/>
  <c r="M192" i="13"/>
  <c r="H192" i="13"/>
  <c r="R192" i="13"/>
  <c r="AM192" i="13"/>
  <c r="Y192" i="13"/>
  <c r="AL192" i="13"/>
  <c r="AG192" i="13"/>
  <c r="K192" i="13"/>
  <c r="AH192" i="13"/>
  <c r="AI192" i="13"/>
  <c r="P192" i="13"/>
  <c r="Z192" i="13"/>
  <c r="AC192" i="13"/>
  <c r="AD192" i="13"/>
  <c r="X192" i="13"/>
  <c r="AN192" i="13"/>
  <c r="AF192" i="13"/>
  <c r="O192" i="13"/>
  <c r="Q192" i="13"/>
  <c r="W192" i="13"/>
  <c r="V192" i="13"/>
  <c r="U192" i="13"/>
  <c r="N192" i="13"/>
  <c r="S192" i="13"/>
  <c r="Q195" i="13"/>
  <c r="F195" i="13"/>
  <c r="P195" i="13"/>
  <c r="X195" i="13"/>
  <c r="H195" i="13"/>
  <c r="AF195" i="13"/>
  <c r="AD195" i="13"/>
  <c r="O195" i="13"/>
  <c r="V195" i="13"/>
  <c r="AK195" i="13"/>
  <c r="L195" i="13"/>
  <c r="AJ195" i="13"/>
  <c r="M195" i="13"/>
  <c r="W195" i="13"/>
  <c r="AL195" i="13"/>
  <c r="AA195" i="13"/>
  <c r="AE195" i="13"/>
  <c r="R195" i="13"/>
  <c r="AN195" i="13"/>
  <c r="AI195" i="13"/>
  <c r="Z195" i="13"/>
  <c r="AC195" i="13"/>
  <c r="AM195" i="13"/>
  <c r="I195" i="13"/>
  <c r="S195" i="13"/>
  <c r="AH195" i="13"/>
  <c r="J195" i="13"/>
  <c r="Y195" i="13"/>
  <c r="U195" i="13"/>
  <c r="T195" i="13"/>
  <c r="AB195" i="13"/>
  <c r="K195" i="13"/>
  <c r="G195" i="13"/>
  <c r="E195" i="13"/>
  <c r="N195" i="13"/>
  <c r="AG195" i="13"/>
  <c r="AD194" i="14"/>
  <c r="AA194" i="14"/>
  <c r="AH194" i="14"/>
  <c r="W194" i="14"/>
  <c r="AB194" i="14"/>
  <c r="U194" i="14"/>
  <c r="E194" i="14"/>
  <c r="Y194" i="14"/>
  <c r="N194" i="14"/>
  <c r="G194" i="14"/>
  <c r="P194" i="14"/>
  <c r="V194" i="14"/>
  <c r="AK194" i="14"/>
  <c r="O194" i="14"/>
  <c r="L194" i="14"/>
  <c r="M194" i="14"/>
  <c r="F194" i="14"/>
  <c r="AG194" i="14"/>
  <c r="J194" i="14"/>
  <c r="K194" i="14"/>
  <c r="R194" i="14"/>
  <c r="I194" i="14"/>
  <c r="AI194" i="14"/>
  <c r="AJ194" i="14"/>
  <c r="AF194" i="14"/>
  <c r="AE194" i="14"/>
  <c r="AM194" i="14"/>
  <c r="Q194" i="14"/>
  <c r="AL194" i="14"/>
  <c r="H194" i="14"/>
  <c r="Z194" i="14"/>
  <c r="AN194" i="14"/>
  <c r="S194" i="14"/>
  <c r="T194" i="14"/>
  <c r="X194" i="14"/>
  <c r="AC194" i="14"/>
  <c r="AE199" i="13"/>
  <c r="R199" i="13"/>
  <c r="Q199" i="13"/>
  <c r="L199" i="13"/>
  <c r="J199" i="13"/>
  <c r="AG199" i="13"/>
  <c r="X199" i="13"/>
  <c r="T199" i="13"/>
  <c r="AN199" i="13"/>
  <c r="U199" i="13"/>
  <c r="AB199" i="13"/>
  <c r="K199" i="13"/>
  <c r="AM199" i="13"/>
  <c r="Z199" i="13"/>
  <c r="AF199" i="13"/>
  <c r="V199" i="13"/>
  <c r="F199" i="13"/>
  <c r="Y199" i="13"/>
  <c r="AI199" i="13"/>
  <c r="AC199" i="13"/>
  <c r="H199" i="13"/>
  <c r="W199" i="13"/>
  <c r="M199" i="13"/>
  <c r="P199" i="13"/>
  <c r="I199" i="13"/>
  <c r="O199" i="13"/>
  <c r="G199" i="13"/>
  <c r="AH199" i="13"/>
  <c r="E199" i="13"/>
  <c r="AL199" i="13"/>
  <c r="N199" i="13"/>
  <c r="AJ199" i="13"/>
  <c r="AK199" i="13"/>
  <c r="S199" i="13"/>
  <c r="AD199" i="13"/>
  <c r="AA199" i="13"/>
  <c r="R202" i="13"/>
  <c r="S202" i="13"/>
  <c r="AE202" i="13"/>
  <c r="Z202" i="13"/>
  <c r="X202" i="13"/>
  <c r="W202" i="13"/>
  <c r="AI202" i="13"/>
  <c r="AD202" i="13"/>
  <c r="U202" i="13"/>
  <c r="AL202" i="13"/>
  <c r="L202" i="13"/>
  <c r="T202" i="13"/>
  <c r="Q202" i="13"/>
  <c r="K202" i="13"/>
  <c r="F202" i="13"/>
  <c r="E202" i="13"/>
  <c r="AF202" i="13"/>
  <c r="P202" i="13"/>
  <c r="AM202" i="13"/>
  <c r="G202" i="13"/>
  <c r="N202" i="13"/>
  <c r="AK202" i="13"/>
  <c r="AB202" i="13"/>
  <c r="AA202" i="13"/>
  <c r="AJ202" i="13"/>
  <c r="O202" i="13"/>
  <c r="J202" i="13"/>
  <c r="M202" i="13"/>
  <c r="AG202" i="13"/>
  <c r="Y202" i="13"/>
  <c r="AN202" i="13"/>
  <c r="V202" i="13"/>
  <c r="I202" i="13"/>
  <c r="AH202" i="13"/>
  <c r="H202" i="13"/>
  <c r="AC202" i="13"/>
  <c r="F192" i="14"/>
  <c r="AL192" i="14"/>
  <c r="J192" i="14"/>
  <c r="Q192" i="14"/>
  <c r="R192" i="14"/>
  <c r="AF192" i="14"/>
  <c r="AB192" i="14"/>
  <c r="AJ192" i="14"/>
  <c r="H192" i="14"/>
  <c r="I192" i="14"/>
  <c r="L192" i="14"/>
  <c r="E192" i="14"/>
  <c r="T192" i="14"/>
  <c r="V192" i="14"/>
  <c r="X192" i="14"/>
  <c r="AI192" i="14"/>
  <c r="O192" i="14"/>
  <c r="G192" i="14"/>
  <c r="AE192" i="14"/>
  <c r="K192" i="14"/>
  <c r="AG192" i="14"/>
  <c r="AK192" i="14"/>
  <c r="W192" i="14"/>
  <c r="M192" i="14"/>
  <c r="N192" i="14"/>
  <c r="AM192" i="14"/>
  <c r="Z192" i="14"/>
  <c r="P192" i="14"/>
  <c r="AC192" i="14"/>
  <c r="AD192" i="14"/>
  <c r="AN192" i="14"/>
  <c r="S192" i="14"/>
  <c r="AA192" i="14"/>
  <c r="U192" i="14"/>
  <c r="AH192" i="14"/>
  <c r="Y192" i="14"/>
  <c r="AF202" i="12"/>
  <c r="L202" i="12"/>
  <c r="G202" i="12"/>
  <c r="Y202" i="12"/>
  <c r="AH202" i="12"/>
  <c r="W202" i="12"/>
  <c r="AL202" i="12"/>
  <c r="X202" i="12"/>
  <c r="AB202" i="12"/>
  <c r="AC202" i="12"/>
  <c r="P202" i="12"/>
  <c r="AK202" i="12"/>
  <c r="O202" i="12"/>
  <c r="AD202" i="12"/>
  <c r="E202" i="12"/>
  <c r="S202" i="12"/>
  <c r="R202" i="12"/>
  <c r="AM202" i="12"/>
  <c r="AG202" i="12"/>
  <c r="F202" i="12"/>
  <c r="AJ202" i="12"/>
  <c r="N202" i="12"/>
  <c r="AI202" i="12"/>
  <c r="H202" i="12"/>
  <c r="AN202" i="12"/>
  <c r="J202" i="12"/>
  <c r="Q202" i="12"/>
  <c r="AA202" i="12"/>
  <c r="I202" i="12"/>
  <c r="AE202" i="12"/>
  <c r="K202" i="12"/>
  <c r="Z202" i="12"/>
  <c r="V202" i="12"/>
  <c r="T202" i="12"/>
  <c r="U202" i="12"/>
  <c r="M202" i="12"/>
  <c r="P202" i="14"/>
  <c r="AG202" i="14"/>
  <c r="Y202" i="14"/>
  <c r="Q202" i="14"/>
  <c r="H202" i="14"/>
  <c r="AI202" i="14"/>
  <c r="AJ202" i="14"/>
  <c r="AN202" i="14"/>
  <c r="T202" i="14"/>
  <c r="AE202" i="14"/>
  <c r="F202" i="14"/>
  <c r="AF202" i="14"/>
  <c r="N202" i="14"/>
  <c r="AK202" i="14"/>
  <c r="V202" i="14"/>
  <c r="AA202" i="14"/>
  <c r="J202" i="14"/>
  <c r="R202" i="14"/>
  <c r="I202" i="14"/>
  <c r="S202" i="14"/>
  <c r="AM202" i="14"/>
  <c r="L202" i="14"/>
  <c r="G202" i="14"/>
  <c r="O202" i="14"/>
  <c r="AD202" i="14"/>
  <c r="M202" i="14"/>
  <c r="W202" i="14"/>
  <c r="AH202" i="14"/>
  <c r="Z202" i="14"/>
  <c r="AB202" i="14"/>
  <c r="AC202" i="14"/>
  <c r="U202" i="14"/>
  <c r="X202" i="14"/>
  <c r="K202" i="14"/>
  <c r="AL202" i="14"/>
  <c r="E202" i="14"/>
  <c r="AA192" i="12"/>
  <c r="Q192" i="12"/>
  <c r="AL192" i="12"/>
  <c r="R192" i="12"/>
  <c r="E192" i="12"/>
  <c r="H192" i="12"/>
  <c r="AG192" i="12"/>
  <c r="N192" i="12"/>
  <c r="AJ192" i="12"/>
  <c r="T192" i="12"/>
  <c r="AI192" i="12"/>
  <c r="I192" i="12"/>
  <c r="V192" i="12"/>
  <c r="AF192" i="12"/>
  <c r="P192" i="12"/>
  <c r="AM192" i="12"/>
  <c r="AE192" i="12"/>
  <c r="K192" i="12"/>
  <c r="AB192" i="12"/>
  <c r="AK192" i="12"/>
  <c r="M192" i="12"/>
  <c r="Z192" i="12"/>
  <c r="O192" i="12"/>
  <c r="AN192" i="12"/>
  <c r="F192" i="12"/>
  <c r="AD192" i="12"/>
  <c r="L192" i="12"/>
  <c r="G192" i="12"/>
  <c r="AC192" i="12"/>
  <c r="U192" i="12"/>
  <c r="S192" i="12"/>
  <c r="W192" i="12"/>
  <c r="J192" i="12"/>
  <c r="AH192" i="12"/>
  <c r="Y192" i="12"/>
  <c r="X192" i="12"/>
  <c r="U200" i="13"/>
  <c r="AN200" i="13"/>
  <c r="M200" i="13"/>
  <c r="Q200" i="13"/>
  <c r="N200" i="13"/>
  <c r="X200" i="13"/>
  <c r="V200" i="13"/>
  <c r="H200" i="13"/>
  <c r="P200" i="13"/>
  <c r="O200" i="13"/>
  <c r="AM200" i="13"/>
  <c r="I200" i="13"/>
  <c r="L200" i="13"/>
  <c r="AA200" i="13"/>
  <c r="R200" i="13"/>
  <c r="AE200" i="13"/>
  <c r="G200" i="13"/>
  <c r="Y200" i="13"/>
  <c r="F200" i="13"/>
  <c r="AL200" i="13"/>
  <c r="E200" i="13"/>
  <c r="AH200" i="13"/>
  <c r="AB200" i="13"/>
  <c r="AI200" i="13"/>
  <c r="AC200" i="13"/>
  <c r="AG200" i="13"/>
  <c r="T200" i="13"/>
  <c r="AF200" i="13"/>
  <c r="S200" i="13"/>
  <c r="AJ200" i="13"/>
  <c r="J200" i="13"/>
  <c r="K200" i="13"/>
  <c r="W200" i="13"/>
  <c r="AK200" i="13"/>
  <c r="Z200" i="13"/>
  <c r="AD200" i="13"/>
  <c r="F201" i="14"/>
  <c r="AL201" i="14"/>
  <c r="J201" i="14"/>
  <c r="Q201" i="14"/>
  <c r="R201" i="14"/>
  <c r="AF201" i="14"/>
  <c r="AB201" i="14"/>
  <c r="AJ201" i="14"/>
  <c r="H201" i="14"/>
  <c r="I201" i="14"/>
  <c r="AG201" i="14"/>
  <c r="V201" i="14"/>
  <c r="AK201" i="14"/>
  <c r="O201" i="14"/>
  <c r="Z201" i="14"/>
  <c r="P201" i="14"/>
  <c r="AH201" i="14"/>
  <c r="W201" i="14"/>
  <c r="X201" i="14"/>
  <c r="M201" i="14"/>
  <c r="AI201" i="14"/>
  <c r="N201" i="14"/>
  <c r="AM201" i="14"/>
  <c r="AN201" i="14"/>
  <c r="U201" i="14"/>
  <c r="AC201" i="14"/>
  <c r="L201" i="14"/>
  <c r="T201" i="14"/>
  <c r="AE201" i="14"/>
  <c r="Y201" i="14"/>
  <c r="G201" i="14"/>
  <c r="K201" i="14"/>
  <c r="S201" i="14"/>
  <c r="AA201" i="14"/>
  <c r="E201" i="14"/>
  <c r="AD201" i="14"/>
  <c r="AD191" i="12"/>
  <c r="K191" i="12"/>
  <c r="S191" i="12"/>
  <c r="AI191" i="12"/>
  <c r="AJ191" i="12"/>
  <c r="N191" i="12"/>
  <c r="AL191" i="12"/>
  <c r="G191" i="12"/>
  <c r="Z191" i="12"/>
  <c r="F191" i="12"/>
  <c r="AE191" i="12"/>
  <c r="AK191" i="12"/>
  <c r="L191" i="12"/>
  <c r="AG191" i="12"/>
  <c r="X191" i="12"/>
  <c r="AA191" i="12"/>
  <c r="Q191" i="12"/>
  <c r="H191" i="12"/>
  <c r="V191" i="12"/>
  <c r="M191" i="12"/>
  <c r="U191" i="12"/>
  <c r="O191" i="12"/>
  <c r="E191" i="12"/>
  <c r="W191" i="12"/>
  <c r="Y191" i="12"/>
  <c r="AN191" i="12"/>
  <c r="AC191" i="12"/>
  <c r="J191" i="12"/>
  <c r="AH191" i="12"/>
  <c r="R191" i="12"/>
  <c r="AM191" i="12"/>
  <c r="P191" i="12"/>
  <c r="AB191" i="12"/>
  <c r="AF191" i="12"/>
  <c r="I191" i="12"/>
  <c r="T191" i="12"/>
  <c r="W193" i="14"/>
  <c r="U193" i="14"/>
  <c r="AN193" i="14"/>
  <c r="M193" i="14"/>
  <c r="AH193" i="14"/>
  <c r="Z193" i="14"/>
  <c r="X193" i="14"/>
  <c r="V193" i="14"/>
  <c r="Y193" i="14"/>
  <c r="P193" i="14"/>
  <c r="O193" i="14"/>
  <c r="AM193" i="14"/>
  <c r="AF193" i="14"/>
  <c r="AB193" i="14"/>
  <c r="AE193" i="14"/>
  <c r="AG193" i="14"/>
  <c r="I193" i="14"/>
  <c r="K193" i="14"/>
  <c r="J193" i="14"/>
  <c r="N193" i="14"/>
  <c r="G193" i="14"/>
  <c r="AC193" i="14"/>
  <c r="R193" i="14"/>
  <c r="T193" i="14"/>
  <c r="S193" i="14"/>
  <c r="AI193" i="14"/>
  <c r="AK193" i="14"/>
  <c r="Q193" i="14"/>
  <c r="AD193" i="14"/>
  <c r="AJ193" i="14"/>
  <c r="H193" i="14"/>
  <c r="E193" i="14"/>
  <c r="F193" i="14"/>
  <c r="L193" i="14"/>
  <c r="AL193" i="14"/>
  <c r="AA193" i="14"/>
  <c r="J194" i="13"/>
  <c r="R194" i="13"/>
  <c r="V194" i="13"/>
  <c r="O194" i="13"/>
  <c r="L194" i="13"/>
  <c r="I194" i="13"/>
  <c r="M194" i="13"/>
  <c r="S194" i="13"/>
  <c r="Y194" i="13"/>
  <c r="T194" i="13"/>
  <c r="K194" i="13"/>
  <c r="AG194" i="13"/>
  <c r="N194" i="13"/>
  <c r="AM194" i="13"/>
  <c r="AF194" i="13"/>
  <c r="AD194" i="13"/>
  <c r="P194" i="13"/>
  <c r="Q194" i="13"/>
  <c r="W194" i="13"/>
  <c r="F194" i="13"/>
  <c r="G194" i="13"/>
  <c r="E194" i="13"/>
  <c r="AK194" i="13"/>
  <c r="X194" i="13"/>
  <c r="AE194" i="13"/>
  <c r="H194" i="13"/>
  <c r="AB194" i="13"/>
  <c r="U194" i="13"/>
  <c r="AJ194" i="13"/>
  <c r="AH194" i="13"/>
  <c r="AL194" i="13"/>
  <c r="AN194" i="13"/>
  <c r="AI194" i="13"/>
  <c r="AC194" i="13"/>
  <c r="AA194" i="13"/>
  <c r="Z194" i="13"/>
  <c r="AA201" i="13"/>
  <c r="AK201" i="13"/>
  <c r="Z201" i="13"/>
  <c r="AE201" i="13"/>
  <c r="Q201" i="13"/>
  <c r="F201" i="13"/>
  <c r="AB201" i="13"/>
  <c r="AD201" i="13"/>
  <c r="AH201" i="13"/>
  <c r="R201" i="13"/>
  <c r="AM201" i="13"/>
  <c r="AI201" i="13"/>
  <c r="T201" i="13"/>
  <c r="L201" i="13"/>
  <c r="Y201" i="13"/>
  <c r="I201" i="13"/>
  <c r="U201" i="13"/>
  <c r="AC201" i="13"/>
  <c r="V201" i="13"/>
  <c r="AN201" i="13"/>
  <c r="G201" i="13"/>
  <c r="AF201" i="13"/>
  <c r="P201" i="13"/>
  <c r="W201" i="13"/>
  <c r="AL201" i="13"/>
  <c r="S201" i="13"/>
  <c r="J201" i="13"/>
  <c r="AJ201" i="13"/>
  <c r="M201" i="13"/>
  <c r="N201" i="13"/>
  <c r="AG201" i="13"/>
  <c r="X201" i="13"/>
  <c r="O201" i="13"/>
  <c r="E201" i="13"/>
  <c r="K201" i="13"/>
  <c r="H201" i="13"/>
  <c r="P200" i="12"/>
  <c r="I200" i="12"/>
  <c r="AD200" i="12"/>
  <c r="V200" i="12"/>
  <c r="M200" i="12"/>
  <c r="AN200" i="12"/>
  <c r="K200" i="12"/>
  <c r="L200" i="12"/>
  <c r="AA200" i="12"/>
  <c r="S200" i="12"/>
  <c r="AF200" i="12"/>
  <c r="F200" i="12"/>
  <c r="Q200" i="12"/>
  <c r="AC200" i="12"/>
  <c r="Y200" i="12"/>
  <c r="AL200" i="12"/>
  <c r="AE200" i="12"/>
  <c r="O200" i="12"/>
  <c r="U200" i="12"/>
  <c r="T200" i="12"/>
  <c r="G200" i="12"/>
  <c r="N200" i="12"/>
  <c r="AB200" i="12"/>
  <c r="AK200" i="12"/>
  <c r="X200" i="12"/>
  <c r="AM200" i="12"/>
  <c r="Z200" i="12"/>
  <c r="AI200" i="12"/>
  <c r="AG200" i="12"/>
  <c r="H200" i="12"/>
  <c r="W200" i="12"/>
  <c r="E200" i="12"/>
  <c r="J200" i="12"/>
  <c r="AJ200" i="12"/>
  <c r="R200" i="12"/>
  <c r="AH200" i="12"/>
  <c r="W195" i="12"/>
  <c r="U195" i="12"/>
  <c r="AN195" i="12"/>
  <c r="AM195" i="12"/>
  <c r="T195" i="12"/>
  <c r="AF195" i="12"/>
  <c r="L195" i="12"/>
  <c r="AA195" i="12"/>
  <c r="AC195" i="12"/>
  <c r="N195" i="12"/>
  <c r="AL195" i="12"/>
  <c r="E195" i="12"/>
  <c r="S195" i="12"/>
  <c r="I195" i="12"/>
  <c r="X195" i="12"/>
  <c r="H195" i="12"/>
  <c r="Z195" i="12"/>
  <c r="AE195" i="12"/>
  <c r="P195" i="12"/>
  <c r="AD195" i="12"/>
  <c r="AK195" i="12"/>
  <c r="AI195" i="12"/>
  <c r="O195" i="12"/>
  <c r="AJ195" i="12"/>
  <c r="J195" i="12"/>
  <c r="Q195" i="12"/>
  <c r="AH195" i="12"/>
  <c r="M195" i="12"/>
  <c r="AB195" i="12"/>
  <c r="Y195" i="12"/>
  <c r="K195" i="12"/>
  <c r="F195" i="12"/>
  <c r="R195" i="12"/>
  <c r="G195" i="12"/>
  <c r="AG195" i="12"/>
  <c r="V195" i="12"/>
  <c r="S193" i="12"/>
  <c r="H193" i="12"/>
  <c r="W193" i="12"/>
  <c r="AI193" i="12"/>
  <c r="AD193" i="12"/>
  <c r="J193" i="12"/>
  <c r="AH193" i="12"/>
  <c r="AL193" i="12"/>
  <c r="N193" i="12"/>
  <c r="AG193" i="12"/>
  <c r="Q193" i="12"/>
  <c r="AC193" i="12"/>
  <c r="F193" i="12"/>
  <c r="M193" i="12"/>
  <c r="K193" i="12"/>
  <c r="AK193" i="12"/>
  <c r="AM193" i="12"/>
  <c r="R193" i="12"/>
  <c r="G193" i="12"/>
  <c r="E193" i="12"/>
  <c r="AJ193" i="12"/>
  <c r="T193" i="12"/>
  <c r="L193" i="12"/>
  <c r="I193" i="12"/>
  <c r="P193" i="12"/>
  <c r="AN193" i="12"/>
  <c r="X193" i="12"/>
  <c r="Z193" i="12"/>
  <c r="AA193" i="12"/>
  <c r="AF193" i="12"/>
  <c r="O193" i="12"/>
  <c r="AE193" i="12"/>
  <c r="AB193" i="12"/>
  <c r="U193" i="12"/>
  <c r="V193" i="12"/>
  <c r="Y193" i="12"/>
  <c r="M191" i="14"/>
  <c r="AJ191" i="14"/>
  <c r="AL191" i="14"/>
  <c r="J191" i="14"/>
  <c r="AI191" i="14"/>
  <c r="W191" i="14"/>
  <c r="X191" i="14"/>
  <c r="Y191" i="14"/>
  <c r="N191" i="14"/>
  <c r="AK191" i="14"/>
  <c r="I191" i="14"/>
  <c r="E191" i="14"/>
  <c r="AE191" i="14"/>
  <c r="S191" i="14"/>
  <c r="T191" i="14"/>
  <c r="V191" i="14"/>
  <c r="Z191" i="14"/>
  <c r="AH191" i="14"/>
  <c r="AM191" i="14"/>
  <c r="AF191" i="14"/>
  <c r="AB191" i="14"/>
  <c r="U191" i="14"/>
  <c r="G191" i="14"/>
  <c r="R191" i="14"/>
  <c r="L191" i="14"/>
  <c r="AN191" i="14"/>
  <c r="AG191" i="14"/>
  <c r="H191" i="14"/>
  <c r="K191" i="14"/>
  <c r="AD191" i="14"/>
  <c r="O191" i="14"/>
  <c r="AA191" i="14"/>
  <c r="AC191" i="14"/>
  <c r="Q191" i="14"/>
  <c r="P191" i="14"/>
  <c r="F191" i="14"/>
  <c r="G198" i="12"/>
  <c r="N198" i="12"/>
  <c r="AD198" i="12"/>
  <c r="M198" i="12"/>
  <c r="J198" i="12"/>
  <c r="AF198" i="12"/>
  <c r="AB198" i="12"/>
  <c r="AH198" i="12"/>
  <c r="T198" i="12"/>
  <c r="E198" i="12"/>
  <c r="F198" i="12"/>
  <c r="O198" i="12"/>
  <c r="AM198" i="12"/>
  <c r="S198" i="12"/>
  <c r="AE198" i="12"/>
  <c r="V198" i="12"/>
  <c r="AA198" i="12"/>
  <c r="AC198" i="12"/>
  <c r="K198" i="12"/>
  <c r="U198" i="12"/>
  <c r="AJ198" i="12"/>
  <c r="AG198" i="12"/>
  <c r="I198" i="12"/>
  <c r="AK198" i="12"/>
  <c r="AL198" i="12"/>
  <c r="W198" i="12"/>
  <c r="AN198" i="12"/>
  <c r="X198" i="12"/>
  <c r="AI198" i="12"/>
  <c r="L198" i="12"/>
  <c r="P198" i="12"/>
  <c r="H198" i="12"/>
  <c r="Y198" i="12"/>
  <c r="Q198" i="12"/>
  <c r="R198" i="12"/>
  <c r="Z198" i="12"/>
  <c r="Q199" i="14"/>
  <c r="Y199" i="14"/>
  <c r="AJ199" i="14"/>
  <c r="AG199" i="14"/>
  <c r="W199" i="14"/>
  <c r="I199" i="14"/>
  <c r="AA199" i="14"/>
  <c r="P199" i="14"/>
  <c r="M199" i="14"/>
  <c r="AF199" i="14"/>
  <c r="N199" i="14"/>
  <c r="F199" i="14"/>
  <c r="AL199" i="14"/>
  <c r="V199" i="14"/>
  <c r="AN199" i="14"/>
  <c r="AI199" i="14"/>
  <c r="AC199" i="14"/>
  <c r="Z199" i="14"/>
  <c r="E199" i="14"/>
  <c r="R199" i="14"/>
  <c r="K199" i="14"/>
  <c r="S199" i="14"/>
  <c r="X199" i="14"/>
  <c r="AK199" i="14"/>
  <c r="U199" i="14"/>
  <c r="J199" i="14"/>
  <c r="AB199" i="14"/>
  <c r="G199" i="14"/>
  <c r="H199" i="14"/>
  <c r="AH199" i="14"/>
  <c r="AM199" i="14"/>
  <c r="T199" i="14"/>
  <c r="O199" i="14"/>
  <c r="L199" i="14"/>
  <c r="AE199" i="14"/>
  <c r="AD199" i="14"/>
  <c r="Q198" i="14"/>
  <c r="AF198" i="14"/>
  <c r="AL198" i="14"/>
  <c r="AE198" i="14"/>
  <c r="AH198" i="14"/>
  <c r="AG198" i="14"/>
  <c r="T198" i="14"/>
  <c r="N198" i="14"/>
  <c r="R198" i="14"/>
  <c r="AC198" i="14"/>
  <c r="O198" i="14"/>
  <c r="M198" i="14"/>
  <c r="AM198" i="14"/>
  <c r="J198" i="14"/>
  <c r="V198" i="14"/>
  <c r="W198" i="14"/>
  <c r="U198" i="14"/>
  <c r="AI198" i="14"/>
  <c r="F198" i="14"/>
  <c r="AA198" i="14"/>
  <c r="AD198" i="14"/>
  <c r="S198" i="14"/>
  <c r="P198" i="14"/>
  <c r="I198" i="14"/>
  <c r="K198" i="14"/>
  <c r="H198" i="14"/>
  <c r="E198" i="14"/>
  <c r="AJ198" i="14"/>
  <c r="Y198" i="14"/>
  <c r="G198" i="14"/>
  <c r="AB198" i="14"/>
  <c r="X198" i="14"/>
  <c r="AK198" i="14"/>
  <c r="AN198" i="14"/>
  <c r="Z198" i="14"/>
  <c r="L198" i="14"/>
  <c r="J201" i="12"/>
  <c r="AA201" i="12"/>
  <c r="AH201" i="12"/>
  <c r="R201" i="12"/>
  <c r="X201" i="12"/>
  <c r="E201" i="12"/>
  <c r="Y201" i="12"/>
  <c r="AD201" i="12"/>
  <c r="AL201" i="12"/>
  <c r="V201" i="12"/>
  <c r="AK201" i="12"/>
  <c r="P201" i="12"/>
  <c r="AM201" i="12"/>
  <c r="N201" i="12"/>
  <c r="L201" i="12"/>
  <c r="AN201" i="12"/>
  <c r="G201" i="12"/>
  <c r="Z201" i="12"/>
  <c r="M201" i="12"/>
  <c r="F201" i="12"/>
  <c r="AF201" i="12"/>
  <c r="W201" i="12"/>
  <c r="H201" i="12"/>
  <c r="I201" i="12"/>
  <c r="Q201" i="12"/>
  <c r="T201" i="12"/>
  <c r="K201" i="12"/>
  <c r="U201" i="12"/>
  <c r="O201" i="12"/>
  <c r="AB201" i="12"/>
  <c r="AE201" i="12"/>
  <c r="AC201" i="12"/>
  <c r="AI201" i="12"/>
  <c r="S201" i="12"/>
  <c r="AJ201" i="12"/>
  <c r="AG201" i="12"/>
  <c r="AN198" i="13"/>
  <c r="Y198" i="13"/>
  <c r="N198" i="13"/>
  <c r="X198" i="13"/>
  <c r="AE198" i="13"/>
  <c r="S198" i="13"/>
  <c r="AC198" i="13"/>
  <c r="R198" i="13"/>
  <c r="O198" i="13"/>
  <c r="AJ198" i="13"/>
  <c r="F198" i="13"/>
  <c r="AG198" i="13"/>
  <c r="V198" i="13"/>
  <c r="Q198" i="13"/>
  <c r="E198" i="13"/>
  <c r="I198" i="13"/>
  <c r="AA198" i="13"/>
  <c r="AF198" i="13"/>
  <c r="M198" i="13"/>
  <c r="L198" i="13"/>
  <c r="W198" i="13"/>
  <c r="H198" i="13"/>
  <c r="AM198" i="13"/>
  <c r="Z198" i="13"/>
  <c r="AB198" i="13"/>
  <c r="AH198" i="13"/>
  <c r="T198" i="13"/>
  <c r="K198" i="13"/>
  <c r="AK198" i="13"/>
  <c r="J198" i="13"/>
  <c r="G198" i="13"/>
  <c r="P198" i="13"/>
  <c r="AL198" i="13"/>
  <c r="AD198" i="13"/>
  <c r="U198" i="13"/>
  <c r="AI198" i="13"/>
  <c r="R199" i="12"/>
  <c r="AI199" i="12"/>
  <c r="Q199" i="12"/>
  <c r="V199" i="12"/>
  <c r="I199" i="12"/>
  <c r="AB199" i="12"/>
  <c r="N199" i="12"/>
  <c r="L199" i="12"/>
  <c r="AF199" i="12"/>
  <c r="AD199" i="12"/>
  <c r="T199" i="12"/>
  <c r="AE199" i="12"/>
  <c r="AN199" i="12"/>
  <c r="X199" i="12"/>
  <c r="W199" i="12"/>
  <c r="H199" i="12"/>
  <c r="AK199" i="12"/>
  <c r="J199" i="12"/>
  <c r="K199" i="12"/>
  <c r="G199" i="12"/>
  <c r="M199" i="12"/>
  <c r="AM199" i="12"/>
  <c r="Y199" i="12"/>
  <c r="AC199" i="12"/>
  <c r="AG199" i="12"/>
  <c r="AJ199" i="12"/>
  <c r="U199" i="12"/>
  <c r="AA199" i="12"/>
  <c r="AH199" i="12"/>
  <c r="AL199" i="12"/>
  <c r="E199" i="12"/>
  <c r="O199" i="12"/>
  <c r="Z199" i="12"/>
  <c r="S199" i="12"/>
  <c r="P199" i="12"/>
  <c r="F199" i="12"/>
  <c r="W185" i="14"/>
  <c r="J185" i="14"/>
  <c r="N185" i="14"/>
  <c r="V185" i="14"/>
  <c r="AM185" i="14"/>
  <c r="E185" i="14"/>
  <c r="AJ185" i="14"/>
  <c r="AD185" i="14"/>
  <c r="G185" i="14"/>
  <c r="AF185" i="14"/>
  <c r="AI185" i="14"/>
  <c r="R185" i="14"/>
  <c r="AH188" i="12"/>
  <c r="AG188" i="12"/>
  <c r="AM188" i="12"/>
  <c r="AI188" i="12"/>
  <c r="AK188" i="12"/>
  <c r="AF188" i="12"/>
  <c r="AD188" i="12"/>
  <c r="I188" i="12"/>
  <c r="T185" i="14"/>
  <c r="W188" i="12"/>
  <c r="AC188" i="12"/>
  <c r="R188" i="12"/>
  <c r="Q188" i="12"/>
  <c r="E188" i="12"/>
  <c r="AJ188" i="12"/>
  <c r="O188" i="12"/>
  <c r="AB188" i="12"/>
  <c r="G188" i="12"/>
  <c r="H188" i="12"/>
  <c r="T188" i="12"/>
  <c r="AE188" i="12"/>
  <c r="Y188" i="12"/>
  <c r="L188" i="12"/>
  <c r="J188" i="12"/>
  <c r="AN188" i="12"/>
  <c r="U188" i="12"/>
  <c r="M188" i="12"/>
  <c r="AA188" i="12"/>
  <c r="Z188" i="12"/>
  <c r="V188" i="12"/>
  <c r="X188" i="12"/>
  <c r="AL188" i="12"/>
  <c r="AN188" i="14"/>
  <c r="N188" i="12"/>
  <c r="S188" i="12"/>
  <c r="K188" i="12"/>
  <c r="F188" i="12"/>
  <c r="AH185" i="14"/>
  <c r="M185" i="14"/>
  <c r="S185" i="14"/>
  <c r="O185" i="14"/>
  <c r="P185" i="14"/>
  <c r="U185" i="14"/>
  <c r="AL185" i="14"/>
  <c r="Q185" i="14"/>
  <c r="X185" i="14"/>
  <c r="AC185" i="14"/>
  <c r="I185" i="14"/>
  <c r="AB185" i="14"/>
  <c r="AG185" i="14"/>
  <c r="Y185" i="14"/>
  <c r="Z185" i="14"/>
  <c r="AN185" i="14"/>
  <c r="K185" i="14"/>
  <c r="AE185" i="14"/>
  <c r="AA185" i="14"/>
  <c r="L185" i="14"/>
  <c r="H185" i="14"/>
  <c r="AK185" i="14"/>
  <c r="E184" i="13"/>
  <c r="H184" i="13"/>
  <c r="T184" i="13"/>
  <c r="R184" i="13"/>
  <c r="AF184" i="13"/>
  <c r="AI184" i="13"/>
  <c r="S184" i="13"/>
  <c r="AN184" i="13"/>
  <c r="F184" i="13"/>
  <c r="AK184" i="13"/>
  <c r="AL184" i="13"/>
  <c r="G184" i="13"/>
  <c r="J184" i="13"/>
  <c r="AD184" i="13"/>
  <c r="P184" i="13"/>
  <c r="T188" i="14"/>
  <c r="L188" i="14"/>
  <c r="R188" i="14"/>
  <c r="Q188" i="14"/>
  <c r="F188" i="14"/>
  <c r="W188" i="14"/>
  <c r="AC188" i="14"/>
  <c r="I188" i="14"/>
  <c r="AB188" i="14"/>
  <c r="K188" i="14"/>
  <c r="AA188" i="14"/>
  <c r="AF188" i="14"/>
  <c r="AG184" i="13"/>
  <c r="N184" i="13"/>
  <c r="X184" i="13"/>
  <c r="AE184" i="13"/>
  <c r="K184" i="13"/>
  <c r="O184" i="13"/>
  <c r="AK188" i="14"/>
  <c r="AJ188" i="14"/>
  <c r="AH188" i="14"/>
  <c r="AI188" i="14"/>
  <c r="AA184" i="13"/>
  <c r="H188" i="14"/>
  <c r="X188" i="14"/>
  <c r="G188" i="14"/>
  <c r="E188" i="14"/>
  <c r="AD188" i="14"/>
  <c r="L184" i="13"/>
  <c r="AM184" i="13"/>
  <c r="M184" i="13"/>
  <c r="Q184" i="13"/>
  <c r="I184" i="13"/>
  <c r="V184" i="13"/>
  <c r="Z184" i="13"/>
  <c r="AJ184" i="13"/>
  <c r="AC184" i="13"/>
  <c r="Y184" i="13"/>
  <c r="W184" i="13"/>
  <c r="AH184" i="13"/>
  <c r="U184" i="13"/>
  <c r="Z188" i="14"/>
  <c r="U188" i="14"/>
  <c r="V188" i="14"/>
  <c r="O188" i="14"/>
  <c r="AM188" i="14"/>
  <c r="Y188" i="14"/>
  <c r="AL188" i="14"/>
  <c r="S188" i="14"/>
  <c r="P188" i="14"/>
  <c r="AG188" i="14"/>
  <c r="N188" i="14"/>
  <c r="J188" i="14"/>
  <c r="M188" i="14"/>
  <c r="H187" i="14"/>
  <c r="W187" i="14"/>
  <c r="Z187" i="14"/>
  <c r="G187" i="14"/>
  <c r="R187" i="14"/>
  <c r="Q187" i="14"/>
  <c r="U187" i="14"/>
  <c r="AC187" i="14"/>
  <c r="P187" i="14"/>
  <c r="AK187" i="14"/>
  <c r="AI187" i="14"/>
  <c r="AE187" i="14"/>
  <c r="AD187" i="14"/>
  <c r="AH187" i="14"/>
  <c r="AF187" i="14"/>
  <c r="O187" i="14"/>
  <c r="AJ187" i="14"/>
  <c r="L187" i="14"/>
  <c r="AM187" i="14"/>
  <c r="N187" i="14"/>
  <c r="F187" i="14"/>
  <c r="AG187" i="14"/>
  <c r="S187" i="14"/>
  <c r="Y187" i="14"/>
  <c r="K187" i="14"/>
  <c r="V187" i="14"/>
  <c r="AA187" i="14"/>
  <c r="J187" i="14"/>
  <c r="I187" i="14"/>
  <c r="AB187" i="14"/>
  <c r="X187" i="14"/>
  <c r="M187" i="14"/>
  <c r="AL187" i="14"/>
  <c r="AN187" i="14"/>
  <c r="T187" i="14"/>
  <c r="N184" i="14"/>
  <c r="AA184" i="14"/>
  <c r="E184" i="14"/>
  <c r="AN184" i="14"/>
  <c r="K184" i="14"/>
  <c r="Y184" i="14"/>
  <c r="Q184" i="14"/>
  <c r="F184" i="14"/>
  <c r="AG184" i="14"/>
  <c r="AD184" i="14"/>
  <c r="AH184" i="14"/>
  <c r="L184" i="14"/>
  <c r="AL184" i="14"/>
  <c r="P184" i="14"/>
  <c r="U184" i="14"/>
  <c r="O184" i="14"/>
  <c r="AJ184" i="14"/>
  <c r="AE184" i="14"/>
  <c r="I184" i="12"/>
  <c r="Y184" i="12"/>
  <c r="H184" i="14"/>
  <c r="M184" i="14"/>
  <c r="AL184" i="12"/>
  <c r="AC184" i="12"/>
  <c r="S184" i="14"/>
  <c r="X184" i="12"/>
  <c r="H184" i="12"/>
  <c r="AI184" i="12"/>
  <c r="M184" i="12"/>
  <c r="R184" i="12"/>
  <c r="AB184" i="12"/>
  <c r="Z184" i="12"/>
  <c r="AJ184" i="12"/>
  <c r="V184" i="14"/>
  <c r="AA184" i="12"/>
  <c r="W184" i="12"/>
  <c r="O184" i="12"/>
  <c r="AI184" i="14"/>
  <c r="N184" i="12"/>
  <c r="Z184" i="14"/>
  <c r="AF184" i="14"/>
  <c r="AM184" i="14"/>
  <c r="X184" i="14"/>
  <c r="AE184" i="12"/>
  <c r="J184" i="12"/>
  <c r="V186" i="14"/>
  <c r="W184" i="14"/>
  <c r="AK184" i="14"/>
  <c r="T184" i="14"/>
  <c r="AD184" i="12"/>
  <c r="AH184" i="12"/>
  <c r="AM184" i="12"/>
  <c r="I186" i="14"/>
  <c r="Q186" i="14"/>
  <c r="I184" i="14"/>
  <c r="G184" i="14"/>
  <c r="AB184" i="14"/>
  <c r="AC184" i="14"/>
  <c r="G186" i="14"/>
  <c r="E184" i="12"/>
  <c r="O186" i="14"/>
  <c r="J184" i="14"/>
  <c r="X186" i="14"/>
  <c r="H186" i="14"/>
  <c r="S186" i="14"/>
  <c r="K186" i="14"/>
  <c r="AH186" i="14"/>
  <c r="T186" i="14"/>
  <c r="T184" i="12"/>
  <c r="U186" i="14"/>
  <c r="Z186" i="14"/>
  <c r="AI186" i="14"/>
  <c r="AF186" i="14"/>
  <c r="AE186" i="14"/>
  <c r="AG186" i="14"/>
  <c r="AA186" i="14"/>
  <c r="N186" i="14"/>
  <c r="AB186" i="14"/>
  <c r="AK186" i="14"/>
  <c r="S184" i="12"/>
  <c r="AF184" i="12"/>
  <c r="L186" i="14"/>
  <c r="AM186" i="14"/>
  <c r="F186" i="14"/>
  <c r="M186" i="14"/>
  <c r="AC186" i="14"/>
  <c r="AJ186" i="14"/>
  <c r="U187" i="13"/>
  <c r="N187" i="13"/>
  <c r="V187" i="13"/>
  <c r="P187" i="13"/>
  <c r="AF187" i="13"/>
  <c r="AG187" i="13"/>
  <c r="J187" i="13"/>
  <c r="Z187" i="13"/>
  <c r="AC187" i="13"/>
  <c r="G184" i="12"/>
  <c r="Y186" i="14"/>
  <c r="AD186" i="14"/>
  <c r="AL186" i="14"/>
  <c r="J186" i="14"/>
  <c r="V184" i="12"/>
  <c r="U184" i="12"/>
  <c r="AN184" i="12"/>
  <c r="AG184" i="12"/>
  <c r="R186" i="14"/>
  <c r="AN186" i="14"/>
  <c r="P186" i="14"/>
  <c r="W186" i="14"/>
  <c r="Q184" i="12"/>
  <c r="AK184" i="12"/>
  <c r="L184" i="12"/>
  <c r="F184" i="12"/>
  <c r="K184" i="12"/>
  <c r="Y187" i="13"/>
  <c r="AE187" i="13"/>
  <c r="G185" i="13"/>
  <c r="AL187" i="13"/>
  <c r="X187" i="13"/>
  <c r="H187" i="13"/>
  <c r="AJ187" i="13"/>
  <c r="I187" i="13"/>
  <c r="F187" i="13"/>
  <c r="Q187" i="13"/>
  <c r="AH187" i="13"/>
  <c r="M187" i="13"/>
  <c r="W187" i="13"/>
  <c r="AM187" i="13"/>
  <c r="AN187" i="13"/>
  <c r="E187" i="13"/>
  <c r="K187" i="13"/>
  <c r="L185" i="13"/>
  <c r="H185" i="13"/>
  <c r="Q185" i="13"/>
  <c r="T187" i="13"/>
  <c r="AD187" i="13"/>
  <c r="AI187" i="13"/>
  <c r="G187" i="13"/>
  <c r="X185" i="13"/>
  <c r="AH185" i="13"/>
  <c r="U185" i="13"/>
  <c r="J185" i="13"/>
  <c r="O187" i="13"/>
  <c r="AK187" i="13"/>
  <c r="L187" i="13"/>
  <c r="S187" i="13"/>
  <c r="AB187" i="13"/>
  <c r="AA187" i="13"/>
  <c r="X185" i="12"/>
  <c r="AG185" i="12"/>
  <c r="AB185" i="13"/>
  <c r="Y185" i="13"/>
  <c r="N185" i="13"/>
  <c r="AI185" i="13"/>
  <c r="F185" i="13"/>
  <c r="M185" i="13"/>
  <c r="AE185" i="13"/>
  <c r="O185" i="13"/>
  <c r="W185" i="13"/>
  <c r="AN185" i="13"/>
  <c r="R185" i="13"/>
  <c r="K185" i="13"/>
  <c r="AG185" i="13"/>
  <c r="I185" i="13"/>
  <c r="AA185" i="13"/>
  <c r="AK185" i="13"/>
  <c r="P185" i="13"/>
  <c r="AD185" i="13"/>
  <c r="T185" i="13"/>
  <c r="AL185" i="13"/>
  <c r="Z185" i="13"/>
  <c r="AM185" i="13"/>
  <c r="S185" i="13"/>
  <c r="E185" i="13"/>
  <c r="AF185" i="13"/>
  <c r="AJ185" i="13"/>
  <c r="V185" i="13"/>
  <c r="S188" i="13"/>
  <c r="E188" i="13"/>
  <c r="U188" i="13"/>
  <c r="AF188" i="13"/>
  <c r="AJ188" i="13"/>
  <c r="I188" i="13"/>
  <c r="AN188" i="13"/>
  <c r="O188" i="13"/>
  <c r="P188" i="13"/>
  <c r="AB188" i="13"/>
  <c r="AH188" i="13"/>
  <c r="T188" i="13"/>
  <c r="L188" i="13"/>
  <c r="AI188" i="13"/>
  <c r="Y188" i="13"/>
  <c r="J188" i="13"/>
  <c r="R188" i="13"/>
  <c r="AL188" i="13"/>
  <c r="AM188" i="13"/>
  <c r="AA188" i="13"/>
  <c r="G188" i="13"/>
  <c r="F188" i="13"/>
  <c r="AK188" i="13"/>
  <c r="K188" i="13"/>
  <c r="H188" i="13"/>
  <c r="X188" i="13"/>
  <c r="Z188" i="13"/>
  <c r="O186" i="13"/>
  <c r="U186" i="13"/>
  <c r="AD188" i="13"/>
  <c r="M188" i="13"/>
  <c r="N188" i="13"/>
  <c r="AE188" i="13"/>
  <c r="Q188" i="13"/>
  <c r="AG188" i="13"/>
  <c r="W188" i="13"/>
  <c r="V188" i="13"/>
  <c r="AM186" i="13"/>
  <c r="T186" i="13"/>
  <c r="G185" i="12"/>
  <c r="AH185" i="12"/>
  <c r="N186" i="13"/>
  <c r="AC186" i="13"/>
  <c r="J185" i="12"/>
  <c r="AK186" i="13"/>
  <c r="AE185" i="12"/>
  <c r="AH186" i="13"/>
  <c r="AJ185" i="12"/>
  <c r="V185" i="12"/>
  <c r="W186" i="13"/>
  <c r="E186" i="13"/>
  <c r="AB185" i="12"/>
  <c r="V186" i="13"/>
  <c r="AA185" i="12"/>
  <c r="AK185" i="12"/>
  <c r="AG186" i="13"/>
  <c r="AJ186" i="13"/>
  <c r="R185" i="12"/>
  <c r="L185" i="12"/>
  <c r="AE186" i="13"/>
  <c r="AI186" i="13"/>
  <c r="AM185" i="12"/>
  <c r="AF185" i="12"/>
  <c r="K186" i="13"/>
  <c r="G186" i="13"/>
  <c r="H186" i="13"/>
  <c r="AL185" i="12"/>
  <c r="AN185" i="12"/>
  <c r="M185" i="12"/>
  <c r="W185" i="12"/>
  <c r="U185" i="12"/>
  <c r="T185" i="12"/>
  <c r="AI185" i="12"/>
  <c r="S185" i="12"/>
  <c r="K185" i="12"/>
  <c r="F185" i="12"/>
  <c r="I185" i="12"/>
  <c r="AC185" i="12"/>
  <c r="Q185" i="12"/>
  <c r="Z185" i="12"/>
  <c r="AD186" i="13"/>
  <c r="AL186" i="13"/>
  <c r="AF186" i="13"/>
  <c r="R186" i="13"/>
  <c r="S186" i="13"/>
  <c r="E185" i="12"/>
  <c r="AD185" i="12"/>
  <c r="AA186" i="13"/>
  <c r="P186" i="13"/>
  <c r="M186" i="13"/>
  <c r="AB186" i="13"/>
  <c r="H185" i="12"/>
  <c r="O185" i="12"/>
  <c r="Y185" i="12"/>
  <c r="N185" i="12"/>
  <c r="X186" i="13"/>
  <c r="L186" i="13"/>
  <c r="Y186" i="13"/>
  <c r="F186" i="13"/>
  <c r="Z186" i="13"/>
  <c r="J186" i="13"/>
  <c r="I186" i="13"/>
  <c r="AN186" i="13"/>
  <c r="AL187" i="12"/>
  <c r="G187" i="12"/>
  <c r="U187" i="12"/>
  <c r="N187" i="12"/>
  <c r="I187" i="12"/>
  <c r="W187" i="12"/>
  <c r="AB187" i="12"/>
  <c r="AD187" i="12"/>
  <c r="O187" i="12"/>
  <c r="J187" i="12"/>
  <c r="AN187" i="12"/>
  <c r="AG187" i="12"/>
  <c r="F187" i="12"/>
  <c r="H187" i="12"/>
  <c r="AM187" i="12"/>
  <c r="T187" i="12"/>
  <c r="Y187" i="12"/>
  <c r="AK187" i="12"/>
  <c r="K187" i="12"/>
  <c r="AF187" i="12"/>
  <c r="AH187" i="12"/>
  <c r="X187" i="12"/>
  <c r="L187" i="12"/>
  <c r="AC187" i="12"/>
  <c r="AA187" i="12"/>
  <c r="AI187" i="12"/>
  <c r="S187" i="12"/>
  <c r="Z187" i="12"/>
  <c r="P187" i="12"/>
  <c r="AJ187" i="12"/>
  <c r="M187" i="12"/>
  <c r="AE187" i="12"/>
  <c r="V187" i="12"/>
  <c r="E187" i="12"/>
  <c r="Q187" i="12"/>
  <c r="W186" i="12"/>
  <c r="S186" i="12"/>
  <c r="E186" i="12"/>
  <c r="J186" i="12"/>
  <c r="M186" i="12"/>
  <c r="R186" i="12"/>
  <c r="AJ186" i="12"/>
  <c r="AB186" i="12"/>
  <c r="K186" i="12"/>
  <c r="X186" i="12"/>
  <c r="P186" i="12"/>
  <c r="T186" i="12"/>
  <c r="AE186" i="12"/>
  <c r="O186" i="12"/>
  <c r="AN186" i="12"/>
  <c r="F186" i="12"/>
  <c r="U186" i="12"/>
  <c r="AF186" i="12"/>
  <c r="I186" i="12"/>
  <c r="AG186" i="12"/>
  <c r="L186" i="12"/>
  <c r="N186" i="12"/>
  <c r="AA186" i="12"/>
  <c r="AK186" i="12"/>
  <c r="Y186" i="12"/>
  <c r="AL186" i="12"/>
  <c r="AM186" i="12"/>
  <c r="H186" i="12"/>
  <c r="V186" i="12"/>
  <c r="G186" i="12"/>
  <c r="Q186" i="12"/>
  <c r="Z186" i="12"/>
  <c r="AH186" i="12"/>
  <c r="AD186" i="12"/>
  <c r="AI186" i="12"/>
  <c r="Q180" i="12"/>
  <c r="AH180" i="12"/>
  <c r="AB180" i="12"/>
  <c r="AL180" i="12"/>
  <c r="AC180" i="12"/>
  <c r="I180" i="12"/>
  <c r="K180" i="12"/>
  <c r="AJ180" i="12"/>
  <c r="F180" i="12"/>
  <c r="U180" i="12"/>
  <c r="AD180" i="12"/>
  <c r="AN180" i="12"/>
  <c r="O180" i="12"/>
  <c r="G180" i="12"/>
  <c r="AK180" i="12"/>
  <c r="E180" i="12"/>
  <c r="H180" i="12"/>
  <c r="M180" i="12"/>
  <c r="W180" i="12"/>
  <c r="R180" i="12"/>
  <c r="AF180" i="12"/>
  <c r="V180" i="12"/>
  <c r="AA180" i="12"/>
  <c r="AM180" i="12"/>
  <c r="S180" i="12"/>
  <c r="N180" i="12"/>
  <c r="AE180" i="12"/>
  <c r="L180" i="12"/>
  <c r="P180" i="12"/>
  <c r="Y180" i="12"/>
  <c r="T180" i="12"/>
  <c r="X180" i="12"/>
  <c r="AI180" i="12"/>
  <c r="Z180" i="12"/>
  <c r="AG180" i="12"/>
  <c r="J180" i="12"/>
  <c r="P177" i="14"/>
  <c r="N177" i="14"/>
  <c r="AE177" i="14"/>
  <c r="T177" i="14"/>
  <c r="G177" i="14"/>
  <c r="AJ177" i="14"/>
  <c r="X177" i="14"/>
  <c r="H177" i="14"/>
  <c r="Q177" i="14"/>
  <c r="U177" i="14"/>
  <c r="K177" i="14"/>
  <c r="AM177" i="14"/>
  <c r="AB177" i="14"/>
  <c r="AK177" i="14"/>
  <c r="M177" i="14"/>
  <c r="I177" i="14"/>
  <c r="Y177" i="14"/>
  <c r="S177" i="14"/>
  <c r="O177" i="14"/>
  <c r="AI177" i="14"/>
  <c r="AL177" i="14"/>
  <c r="W177" i="14"/>
  <c r="V177" i="14"/>
  <c r="AF177" i="14"/>
  <c r="AD177" i="14"/>
  <c r="AC177" i="14"/>
  <c r="AA177" i="14"/>
  <c r="E177" i="14"/>
  <c r="AH177" i="14"/>
  <c r="J177" i="14"/>
  <c r="AN177" i="14"/>
  <c r="AG177" i="14"/>
  <c r="L177" i="14"/>
  <c r="R177" i="14"/>
  <c r="F177" i="14"/>
  <c r="Z177" i="14"/>
  <c r="AB181" i="14"/>
  <c r="AJ181" i="14"/>
  <c r="R181" i="14"/>
  <c r="P181" i="14"/>
  <c r="AH181" i="14"/>
  <c r="Z181" i="14"/>
  <c r="AE181" i="14"/>
  <c r="AD181" i="14"/>
  <c r="X181" i="14"/>
  <c r="Q181" i="14"/>
  <c r="K181" i="14"/>
  <c r="S181" i="14"/>
  <c r="J181" i="14"/>
  <c r="AI181" i="14"/>
  <c r="H181" i="14"/>
  <c r="M181" i="14"/>
  <c r="L181" i="14"/>
  <c r="U181" i="14"/>
  <c r="T181" i="14"/>
  <c r="AN181" i="14"/>
  <c r="I181" i="14"/>
  <c r="AA181" i="14"/>
  <c r="F181" i="14"/>
  <c r="AG181" i="14"/>
  <c r="O181" i="14"/>
  <c r="AM181" i="14"/>
  <c r="E181" i="14"/>
  <c r="Y181" i="14"/>
  <c r="V181" i="14"/>
  <c r="AK181" i="14"/>
  <c r="G181" i="14"/>
  <c r="AF181" i="14"/>
  <c r="W181" i="14"/>
  <c r="AL181" i="14"/>
  <c r="AC181" i="14"/>
  <c r="N181" i="14"/>
  <c r="P179" i="14"/>
  <c r="AF179" i="14"/>
  <c r="W179" i="14"/>
  <c r="S179" i="14"/>
  <c r="H179" i="14"/>
  <c r="K179" i="14"/>
  <c r="AN179" i="14"/>
  <c r="L179" i="14"/>
  <c r="AJ179" i="14"/>
  <c r="X179" i="14"/>
  <c r="Y179" i="14"/>
  <c r="V179" i="14"/>
  <c r="AK179" i="14"/>
  <c r="I179" i="14"/>
  <c r="AE179" i="14"/>
  <c r="R179" i="14"/>
  <c r="AL179" i="14"/>
  <c r="Q179" i="14"/>
  <c r="O179" i="14"/>
  <c r="J179" i="14"/>
  <c r="U179" i="14"/>
  <c r="G179" i="14"/>
  <c r="AH179" i="14"/>
  <c r="AB179" i="14"/>
  <c r="AA179" i="14"/>
  <c r="AC179" i="14"/>
  <c r="AI179" i="14"/>
  <c r="N179" i="14"/>
  <c r="AM179" i="14"/>
  <c r="AD179" i="14"/>
  <c r="Z179" i="14"/>
  <c r="F179" i="14"/>
  <c r="M179" i="14"/>
  <c r="T179" i="14"/>
  <c r="AG179" i="14"/>
  <c r="E179" i="14"/>
  <c r="G178" i="12"/>
  <c r="L178" i="12"/>
  <c r="AN178" i="12"/>
  <c r="I178" i="12"/>
  <c r="Y178" i="12"/>
  <c r="AM178" i="12"/>
  <c r="AH178" i="12"/>
  <c r="AA178" i="12"/>
  <c r="J178" i="12"/>
  <c r="Z178" i="12"/>
  <c r="AJ178" i="12"/>
  <c r="V178" i="12"/>
  <c r="N178" i="12"/>
  <c r="P178" i="12"/>
  <c r="T178" i="12"/>
  <c r="AL178" i="12"/>
  <c r="AF178" i="12"/>
  <c r="S178" i="12"/>
  <c r="Q178" i="12"/>
  <c r="O178" i="12"/>
  <c r="H178" i="12"/>
  <c r="AB178" i="12"/>
  <c r="AC178" i="12"/>
  <c r="E178" i="12"/>
  <c r="R178" i="12"/>
  <c r="K178" i="12"/>
  <c r="AD178" i="12"/>
  <c r="AG178" i="12"/>
  <c r="AI178" i="12"/>
  <c r="M178" i="12"/>
  <c r="AE178" i="12"/>
  <c r="U178" i="12"/>
  <c r="X178" i="12"/>
  <c r="AK178" i="12"/>
  <c r="F178" i="12"/>
  <c r="W178" i="12"/>
  <c r="AD179" i="13"/>
  <c r="T179" i="13"/>
  <c r="M179" i="13"/>
  <c r="S179" i="13"/>
  <c r="L179" i="13"/>
  <c r="I179" i="13"/>
  <c r="AB179" i="13"/>
  <c r="O179" i="13"/>
  <c r="Y179" i="13"/>
  <c r="AC179" i="13"/>
  <c r="K179" i="13"/>
  <c r="N179" i="13"/>
  <c r="J179" i="13"/>
  <c r="Q179" i="13"/>
  <c r="AG179" i="13"/>
  <c r="AL179" i="13"/>
  <c r="X179" i="13"/>
  <c r="R179" i="13"/>
  <c r="H179" i="13"/>
  <c r="AK179" i="13"/>
  <c r="W179" i="13"/>
  <c r="AJ179" i="13"/>
  <c r="AN179" i="13"/>
  <c r="AA179" i="13"/>
  <c r="AF179" i="13"/>
  <c r="E179" i="13"/>
  <c r="G179" i="13"/>
  <c r="AI179" i="13"/>
  <c r="AH179" i="13"/>
  <c r="V179" i="13"/>
  <c r="F179" i="13"/>
  <c r="AE179" i="13"/>
  <c r="AM179" i="13"/>
  <c r="Z179" i="13"/>
  <c r="U179" i="13"/>
  <c r="P179" i="13"/>
  <c r="S178" i="14"/>
  <c r="AK178" i="14"/>
  <c r="AF178" i="14"/>
  <c r="G178" i="14"/>
  <c r="R178" i="14"/>
  <c r="T178" i="14"/>
  <c r="AG178" i="14"/>
  <c r="AB178" i="14"/>
  <c r="I178" i="14"/>
  <c r="AL178" i="14"/>
  <c r="AA178" i="14"/>
  <c r="X178" i="14"/>
  <c r="Q178" i="14"/>
  <c r="AH178" i="14"/>
  <c r="Y178" i="14"/>
  <c r="V178" i="14"/>
  <c r="AM178" i="14"/>
  <c r="AE178" i="14"/>
  <c r="AI178" i="14"/>
  <c r="E178" i="14"/>
  <c r="O178" i="14"/>
  <c r="M178" i="14"/>
  <c r="P178" i="14"/>
  <c r="L178" i="14"/>
  <c r="AD178" i="14"/>
  <c r="AC178" i="14"/>
  <c r="F178" i="14"/>
  <c r="Z178" i="14"/>
  <c r="U178" i="14"/>
  <c r="J178" i="14"/>
  <c r="K178" i="14"/>
  <c r="AJ178" i="14"/>
  <c r="AN178" i="14"/>
  <c r="N178" i="14"/>
  <c r="H178" i="14"/>
  <c r="W178" i="14"/>
  <c r="E180" i="13"/>
  <c r="AC180" i="13"/>
  <c r="AN180" i="13"/>
  <c r="AD180" i="13"/>
  <c r="J180" i="13"/>
  <c r="AK180" i="13"/>
  <c r="M180" i="13"/>
  <c r="O180" i="13"/>
  <c r="AG180" i="13"/>
  <c r="H180" i="13"/>
  <c r="AJ180" i="13"/>
  <c r="AA180" i="13"/>
  <c r="AI180" i="13"/>
  <c r="T180" i="13"/>
  <c r="AL180" i="13"/>
  <c r="K180" i="13"/>
  <c r="P180" i="13"/>
  <c r="U180" i="13"/>
  <c r="S180" i="13"/>
  <c r="V180" i="13"/>
  <c r="F180" i="13"/>
  <c r="AM180" i="13"/>
  <c r="R180" i="13"/>
  <c r="Y180" i="13"/>
  <c r="L180" i="13"/>
  <c r="AH180" i="13"/>
  <c r="W180" i="13"/>
  <c r="AE180" i="13"/>
  <c r="AB180" i="13"/>
  <c r="Z180" i="13"/>
  <c r="Q180" i="13"/>
  <c r="X180" i="13"/>
  <c r="AF180" i="13"/>
  <c r="I180" i="13"/>
  <c r="G180" i="13"/>
  <c r="N180" i="13"/>
  <c r="AB177" i="13"/>
  <c r="AN177" i="13"/>
  <c r="N177" i="13"/>
  <c r="AD177" i="13"/>
  <c r="AM177" i="13"/>
  <c r="I177" i="13"/>
  <c r="S177" i="13"/>
  <c r="U177" i="13"/>
  <c r="Z177" i="13"/>
  <c r="AK177" i="13"/>
  <c r="AC177" i="13"/>
  <c r="E177" i="13"/>
  <c r="X177" i="13"/>
  <c r="AA177" i="13"/>
  <c r="O177" i="13"/>
  <c r="P177" i="13"/>
  <c r="AL177" i="13"/>
  <c r="K177" i="13"/>
  <c r="G177" i="13"/>
  <c r="AI177" i="13"/>
  <c r="Y177" i="13"/>
  <c r="F177" i="13"/>
  <c r="AF177" i="13"/>
  <c r="AG177" i="13"/>
  <c r="J177" i="13"/>
  <c r="Q177" i="13"/>
  <c r="AH177" i="13"/>
  <c r="AJ177" i="13"/>
  <c r="L177" i="13"/>
  <c r="W177" i="13"/>
  <c r="H177" i="13"/>
  <c r="M177" i="13"/>
  <c r="V177" i="13"/>
  <c r="R177" i="13"/>
  <c r="AE177" i="13"/>
  <c r="T177" i="13"/>
  <c r="AC178" i="13"/>
  <c r="Y178" i="13"/>
  <c r="O178" i="13"/>
  <c r="S178" i="13"/>
  <c r="E178" i="13"/>
  <c r="AF178" i="13"/>
  <c r="AA178" i="13"/>
  <c r="AD178" i="13"/>
  <c r="M178" i="13"/>
  <c r="AK178" i="13"/>
  <c r="N178" i="13"/>
  <c r="P178" i="13"/>
  <c r="W178" i="13"/>
  <c r="I178" i="13"/>
  <c r="AL178" i="13"/>
  <c r="X178" i="13"/>
  <c r="AM178" i="13"/>
  <c r="AN178" i="13"/>
  <c r="Z178" i="13"/>
  <c r="U178" i="13"/>
  <c r="V178" i="13"/>
  <c r="AE178" i="13"/>
  <c r="Q178" i="13"/>
  <c r="AB178" i="13"/>
  <c r="F178" i="13"/>
  <c r="AJ178" i="13"/>
  <c r="AI178" i="13"/>
  <c r="R178" i="13"/>
  <c r="J178" i="13"/>
  <c r="AH178" i="13"/>
  <c r="AG178" i="13"/>
  <c r="H178" i="13"/>
  <c r="T178" i="13"/>
  <c r="K178" i="13"/>
  <c r="L178" i="13"/>
  <c r="G178" i="13"/>
  <c r="S180" i="14"/>
  <c r="W180" i="14"/>
  <c r="O180" i="14"/>
  <c r="AK180" i="14"/>
  <c r="F180" i="14"/>
  <c r="L180" i="14"/>
  <c r="AA180" i="14"/>
  <c r="M180" i="14"/>
  <c r="Z180" i="14"/>
  <c r="N180" i="14"/>
  <c r="AB180" i="14"/>
  <c r="V180" i="14"/>
  <c r="AG180" i="14"/>
  <c r="P180" i="14"/>
  <c r="AF180" i="14"/>
  <c r="AC180" i="14"/>
  <c r="J180" i="14"/>
  <c r="T180" i="14"/>
  <c r="Y180" i="14"/>
  <c r="AN180" i="14"/>
  <c r="AJ180" i="14"/>
  <c r="AI180" i="14"/>
  <c r="AD180" i="14"/>
  <c r="AE180" i="14"/>
  <c r="AL180" i="14"/>
  <c r="X180" i="14"/>
  <c r="G180" i="14"/>
  <c r="R180" i="14"/>
  <c r="I180" i="14"/>
  <c r="Q180" i="14"/>
  <c r="E180" i="14"/>
  <c r="U180" i="14"/>
  <c r="AH180" i="14"/>
  <c r="H180" i="14"/>
  <c r="K180" i="14"/>
  <c r="AM180" i="14"/>
  <c r="AC181" i="13"/>
  <c r="M181" i="13"/>
  <c r="W181" i="13"/>
  <c r="G181" i="13"/>
  <c r="V181" i="13"/>
  <c r="AI181" i="13"/>
  <c r="AK181" i="13"/>
  <c r="T181" i="13"/>
  <c r="AB181" i="13"/>
  <c r="R181" i="13"/>
  <c r="AF181" i="13"/>
  <c r="S181" i="13"/>
  <c r="J181" i="13"/>
  <c r="P181" i="13"/>
  <c r="I181" i="13"/>
  <c r="K181" i="13"/>
  <c r="L181" i="13"/>
  <c r="AM181" i="13"/>
  <c r="H181" i="13"/>
  <c r="AA181" i="13"/>
  <c r="O181" i="13"/>
  <c r="AE181" i="13"/>
  <c r="AJ181" i="13"/>
  <c r="Z181" i="13"/>
  <c r="X181" i="13"/>
  <c r="U181" i="13"/>
  <c r="AN181" i="13"/>
  <c r="AH181" i="13"/>
  <c r="F181" i="13"/>
  <c r="AL181" i="13"/>
  <c r="AG181" i="13"/>
  <c r="AD181" i="13"/>
  <c r="N181" i="13"/>
  <c r="Y181" i="13"/>
  <c r="E181" i="13"/>
  <c r="Q181" i="13"/>
  <c r="P177" i="12"/>
  <c r="AA177" i="12"/>
  <c r="AD177" i="12"/>
  <c r="AG177" i="12"/>
  <c r="E177" i="12"/>
  <c r="X177" i="12"/>
  <c r="G177" i="12"/>
  <c r="I177" i="12"/>
  <c r="AH177" i="12"/>
  <c r="Q177" i="12"/>
  <c r="M177" i="12"/>
  <c r="O177" i="12"/>
  <c r="W177" i="12"/>
  <c r="L177" i="12"/>
  <c r="AK177" i="12"/>
  <c r="T177" i="12"/>
  <c r="F177" i="12"/>
  <c r="AJ177" i="12"/>
  <c r="H177" i="12"/>
  <c r="Z177" i="12"/>
  <c r="N177" i="12"/>
  <c r="AE177" i="12"/>
  <c r="V177" i="12"/>
  <c r="AN177" i="12"/>
  <c r="U177" i="12"/>
  <c r="AF177" i="12"/>
  <c r="AL177" i="12"/>
  <c r="S177" i="12"/>
  <c r="AB177" i="12"/>
  <c r="K177" i="12"/>
  <c r="Y177" i="12"/>
  <c r="AC177" i="12"/>
  <c r="AM177" i="12"/>
  <c r="R177" i="12"/>
  <c r="AI177" i="12"/>
  <c r="J177" i="12"/>
  <c r="P179" i="12"/>
  <c r="AA179" i="12"/>
  <c r="J179" i="12"/>
  <c r="AL179" i="12"/>
  <c r="K179" i="12"/>
  <c r="S179" i="12"/>
  <c r="AN179" i="12"/>
  <c r="R179" i="12"/>
  <c r="AF179" i="12"/>
  <c r="AB179" i="12"/>
  <c r="M179" i="12"/>
  <c r="AM179" i="12"/>
  <c r="H179" i="12"/>
  <c r="AJ179" i="12"/>
  <c r="N179" i="12"/>
  <c r="O179" i="12"/>
  <c r="T179" i="12"/>
  <c r="Q179" i="12"/>
  <c r="G179" i="12"/>
  <c r="AE179" i="12"/>
  <c r="U179" i="12"/>
  <c r="AC179" i="12"/>
  <c r="E179" i="12"/>
  <c r="L179" i="12"/>
  <c r="I179" i="12"/>
  <c r="Z179" i="12"/>
  <c r="F179" i="12"/>
  <c r="AI179" i="12"/>
  <c r="W179" i="12"/>
  <c r="AH179" i="12"/>
  <c r="AK179" i="12"/>
  <c r="V179" i="12"/>
  <c r="X179" i="12"/>
  <c r="Y179" i="12"/>
  <c r="AD179" i="12"/>
  <c r="AG179" i="12"/>
  <c r="AB181" i="12"/>
  <c r="AM181" i="12"/>
  <c r="AF181" i="12"/>
  <c r="S181" i="12"/>
  <c r="W181" i="12"/>
  <c r="E181" i="12"/>
  <c r="X181" i="12"/>
  <c r="G181" i="12"/>
  <c r="AE181" i="12"/>
  <c r="L181" i="12"/>
  <c r="V181" i="12"/>
  <c r="AK181" i="12"/>
  <c r="U181" i="12"/>
  <c r="AL181" i="12"/>
  <c r="R181" i="12"/>
  <c r="AH181" i="12"/>
  <c r="AD181" i="12"/>
  <c r="AN181" i="12"/>
  <c r="Q181" i="12"/>
  <c r="I181" i="12"/>
  <c r="AA181" i="12"/>
  <c r="AC181" i="12"/>
  <c r="Y181" i="12"/>
  <c r="J181" i="12"/>
  <c r="F181" i="12"/>
  <c r="AG181" i="12"/>
  <c r="Z181" i="12"/>
  <c r="P181" i="12"/>
  <c r="AI181" i="12"/>
  <c r="N181" i="12"/>
  <c r="T181" i="12"/>
  <c r="O181" i="12"/>
  <c r="K181" i="12"/>
  <c r="M181" i="12"/>
  <c r="AJ181" i="12"/>
  <c r="H181" i="12"/>
  <c r="L65" i="14"/>
  <c r="AD121" i="14"/>
  <c r="M65" i="13"/>
  <c r="M121" i="13"/>
  <c r="E30" i="13" l="1"/>
  <c r="E29" i="14"/>
  <c r="E29" i="13"/>
  <c r="E29" i="12"/>
  <c r="E30" i="14"/>
  <c r="E30" i="12"/>
  <c r="E26" i="14"/>
  <c r="E26" i="13"/>
  <c r="E26" i="12"/>
  <c r="E25" i="13"/>
  <c r="E25" i="12"/>
  <c r="E25" i="14"/>
  <c r="M65" i="14"/>
  <c r="AE121" i="14"/>
  <c r="N65" i="13"/>
  <c r="N121" i="13"/>
  <c r="N65" i="14" l="1"/>
  <c r="AF121" i="14"/>
  <c r="O65" i="13"/>
  <c r="O121" i="13"/>
  <c r="O65" i="14" l="1"/>
  <c r="AG121" i="14"/>
  <c r="P65" i="13"/>
  <c r="P121" i="13"/>
  <c r="P65" i="14" l="1"/>
  <c r="AH121" i="14"/>
  <c r="Q65" i="13"/>
  <c r="Q121" i="13"/>
  <c r="Q65" i="14" l="1"/>
  <c r="AI121" i="14"/>
  <c r="R65" i="13"/>
  <c r="R121" i="13"/>
  <c r="R65" i="14" l="1"/>
  <c r="AJ121" i="14"/>
  <c r="S65" i="13"/>
  <c r="S121" i="13"/>
  <c r="S65" i="14" l="1"/>
  <c r="AK121" i="14"/>
  <c r="T65" i="13"/>
  <c r="T121" i="13"/>
  <c r="T65" i="14" l="1"/>
  <c r="AL121" i="14"/>
  <c r="U65" i="13"/>
  <c r="U121" i="13"/>
  <c r="U65" i="14" l="1"/>
  <c r="AM121" i="14"/>
  <c r="V65" i="13"/>
  <c r="V121" i="13"/>
  <c r="V65" i="14" l="1"/>
  <c r="AN121" i="14"/>
  <c r="W65" i="13"/>
  <c r="W121" i="13"/>
  <c r="W65" i="14" l="1"/>
  <c r="X65" i="13"/>
  <c r="X121" i="13"/>
  <c r="X65" i="14" l="1"/>
  <c r="Y65" i="13"/>
  <c r="Y121" i="13"/>
  <c r="Y65" i="14" l="1"/>
  <c r="Z65" i="13"/>
  <c r="Z121" i="13"/>
  <c r="Z65" i="14" l="1"/>
  <c r="AA65" i="13"/>
  <c r="AA121" i="13"/>
  <c r="AA65" i="14" l="1"/>
  <c r="AB65" i="13"/>
  <c r="AB121" i="13"/>
  <c r="AB65" i="14" l="1"/>
  <c r="AC65" i="13"/>
  <c r="AC121" i="13"/>
  <c r="AC65" i="14" l="1"/>
  <c r="AD65" i="13"/>
  <c r="AD121" i="13"/>
  <c r="AD65" i="14" l="1"/>
  <c r="AE65" i="13"/>
  <c r="AE121" i="13"/>
  <c r="AE65" i="14" l="1"/>
  <c r="AF65" i="13"/>
  <c r="AF121" i="13"/>
  <c r="AF65" i="14" l="1"/>
  <c r="AG65" i="13"/>
  <c r="AG121" i="13"/>
  <c r="AG65" i="14" l="1"/>
  <c r="AH65" i="13"/>
  <c r="AH121" i="13"/>
  <c r="AH65" i="14" l="1"/>
  <c r="AI65" i="13"/>
  <c r="AI121" i="13"/>
  <c r="AI65" i="14" l="1"/>
  <c r="AJ65" i="13"/>
  <c r="AJ121" i="13"/>
  <c r="AJ65" i="14" l="1"/>
  <c r="AK65" i="13"/>
  <c r="AK121" i="13"/>
  <c r="AK65" i="14" l="1"/>
  <c r="AL65" i="13"/>
  <c r="AL121" i="13"/>
  <c r="AL65" i="14" l="1"/>
  <c r="AM65" i="13"/>
  <c r="AM121" i="13"/>
  <c r="AM65" i="14" l="1"/>
  <c r="AN65" i="13"/>
  <c r="AN121" i="13"/>
  <c r="AN65" i="14" l="1"/>
  <c r="F113" i="13" l="1" a="1"/>
  <c r="F113" i="13"/>
  <c r="F150" i="13" s="1"/>
  <c r="F143" i="13" s="1"/>
  <c r="F114" i="13" s="1"/>
  <c r="F57" i="13" a="1"/>
  <c r="F57" i="13"/>
  <c r="F57" i="12" a="1"/>
  <c r="F57" i="12"/>
  <c r="F94" i="12" s="1"/>
  <c r="F87" i="12" s="1"/>
  <c r="F58" i="12" s="1"/>
  <c r="F113" i="12" a="1"/>
  <c r="F113" i="12"/>
  <c r="F150" i="12" s="1"/>
  <c r="F143" i="12" s="1"/>
  <c r="F57" i="14" a="1"/>
  <c r="F57" i="14"/>
  <c r="F113" i="14" a="1"/>
  <c r="F113" i="14"/>
  <c r="F150" i="14" s="1"/>
  <c r="F143" i="14" s="1"/>
  <c r="G57" i="12" a="1"/>
  <c r="G57" i="13" a="1"/>
  <c r="G113" i="14" a="1"/>
  <c r="H57" i="12" a="1"/>
  <c r="G57" i="14" a="1"/>
  <c r="G113" i="12" a="1"/>
  <c r="G113" i="13" a="1"/>
  <c r="H113" i="13" a="1"/>
  <c r="H57" i="13" a="1"/>
  <c r="I57" i="12" a="1"/>
  <c r="H113" i="12" a="1"/>
  <c r="H57" i="14" a="1"/>
  <c r="H113" i="14" a="1"/>
  <c r="I57" i="13" a="1"/>
  <c r="I113" i="14" a="1"/>
  <c r="J57" i="12" a="1"/>
  <c r="I57" i="14" a="1"/>
  <c r="I113" i="12" a="1"/>
  <c r="J113" i="12" a="1"/>
  <c r="I113" i="13" a="1"/>
  <c r="J113" i="13" a="1"/>
  <c r="J57" i="13" a="1"/>
  <c r="K57" i="12" a="1"/>
  <c r="K113" i="12" a="1"/>
  <c r="J57" i="14" a="1"/>
  <c r="J113" i="14" a="1"/>
  <c r="K57" i="13" a="1"/>
  <c r="K113" i="14" a="1"/>
  <c r="K113" i="13" a="1"/>
  <c r="L57" i="12" a="1"/>
  <c r="K57" i="14" a="1"/>
  <c r="L113" i="12" a="1"/>
  <c r="L113" i="13" a="1"/>
  <c r="M113" i="13" a="1"/>
  <c r="N113" i="13" a="1"/>
  <c r="L57" i="13" a="1"/>
  <c r="M57" i="12" a="1"/>
  <c r="M113" i="12" a="1"/>
  <c r="L57" i="14" a="1"/>
  <c r="L113" i="14" a="1"/>
  <c r="M57" i="13" a="1"/>
  <c r="N57" i="13" a="1"/>
  <c r="M113" i="14" a="1"/>
  <c r="N57" i="12" a="1"/>
  <c r="M57" i="14" a="1"/>
  <c r="O113" i="13" a="1"/>
  <c r="N113" i="12" a="1"/>
  <c r="P113" i="13" a="1"/>
  <c r="Q113" i="13" a="1"/>
  <c r="O57" i="13" a="1"/>
  <c r="O57" i="12" a="1"/>
  <c r="O113" i="12" a="1"/>
  <c r="N57" i="14" a="1"/>
  <c r="N113" i="14" a="1"/>
  <c r="P57" i="12" a="1"/>
  <c r="P57" i="13" a="1"/>
  <c r="O113" i="14" a="1"/>
  <c r="Q57" i="12" a="1"/>
  <c r="P113" i="12" a="1"/>
  <c r="O57" i="14" a="1"/>
  <c r="Q113" i="12" a="1"/>
  <c r="R113" i="13" a="1"/>
  <c r="S113" i="13" a="1"/>
  <c r="Q57" i="13" a="1"/>
  <c r="R57" i="12" a="1"/>
  <c r="R113" i="12" a="1"/>
  <c r="P57" i="14" a="1"/>
  <c r="P113" i="14" a="1"/>
  <c r="T113" i="13" a="1"/>
  <c r="R57" i="13" a="1"/>
  <c r="Q113" i="14" a="1"/>
  <c r="S57" i="12" a="1"/>
  <c r="Q57" i="14" a="1"/>
  <c r="U113" i="13" a="1"/>
  <c r="S113" i="12" a="1"/>
  <c r="V113" i="13" a="1"/>
  <c r="W113" i="13" a="1"/>
  <c r="S57" i="13" a="1"/>
  <c r="T57" i="12" a="1"/>
  <c r="T113" i="12" a="1"/>
  <c r="R57" i="14" a="1"/>
  <c r="R113" i="14" a="1"/>
  <c r="X113" i="13" a="1"/>
  <c r="T57" i="13" a="1"/>
  <c r="S113" i="14" a="1"/>
  <c r="S57" i="14" a="1"/>
  <c r="T57" i="14" a="1"/>
  <c r="U57" i="12" a="1"/>
  <c r="U113" i="12" a="1"/>
  <c r="Y113" i="13" a="1"/>
  <c r="Z113" i="13" a="1"/>
  <c r="U57" i="13" a="1"/>
  <c r="V57" i="12" a="1"/>
  <c r="V113" i="12" a="1"/>
  <c r="U57" i="14" a="1"/>
  <c r="T113" i="14" a="1"/>
  <c r="V57" i="13" a="1"/>
  <c r="U113" i="14" a="1"/>
  <c r="AA113" i="13" a="1"/>
  <c r="W57" i="12" a="1"/>
  <c r="V57" i="14" a="1"/>
  <c r="W113" i="12" a="1"/>
  <c r="AB113" i="13" a="1"/>
  <c r="W57" i="13" a="1"/>
  <c r="X57" i="12" a="1"/>
  <c r="X113" i="12" a="1"/>
  <c r="W57" i="14" a="1"/>
  <c r="V113" i="14" a="1"/>
  <c r="X57" i="13" a="1"/>
  <c r="W113" i="14" a="1"/>
  <c r="Y57" i="12" a="1"/>
  <c r="X57" i="14" a="1"/>
  <c r="Y113" i="12" a="1"/>
  <c r="AC113" i="13" a="1"/>
  <c r="AD113" i="13" a="1"/>
  <c r="Y57" i="13" a="1"/>
  <c r="Z57" i="12" a="1"/>
  <c r="Z113" i="12" a="1"/>
  <c r="Y57" i="14" a="1"/>
  <c r="X113" i="14" a="1"/>
  <c r="Y113" i="14" a="1"/>
  <c r="Z57" i="13" a="1"/>
  <c r="Z113" i="14" a="1"/>
  <c r="AA57" i="12" a="1"/>
  <c r="Z57" i="14" a="1"/>
  <c r="AA113" i="12" a="1"/>
  <c r="AB113" i="12" a="1"/>
  <c r="AC113" i="12" a="1"/>
  <c r="AE113" i="13" a="1"/>
  <c r="AF113" i="13" a="1"/>
  <c r="AA57" i="13" a="1"/>
  <c r="AB57" i="12" a="1"/>
  <c r="AD113" i="12" a="1"/>
  <c r="AA57" i="14" a="1"/>
  <c r="AA113" i="14" a="1"/>
  <c r="AG113" i="13" a="1"/>
  <c r="AH113" i="13" a="1"/>
  <c r="AB57" i="13" a="1"/>
  <c r="AB113" i="14" a="1"/>
  <c r="AE113" i="12" a="1"/>
  <c r="AC57" i="12" a="1"/>
  <c r="AB57" i="14" a="1"/>
  <c r="AF113" i="12" a="1"/>
  <c r="AI113" i="13" a="1"/>
  <c r="AJ113" i="13" a="1"/>
  <c r="AC57" i="13" a="1"/>
  <c r="AD57" i="12" a="1"/>
  <c r="AG113" i="12" a="1"/>
  <c r="AC57" i="14" a="1"/>
  <c r="AC113" i="14" a="1"/>
  <c r="AD57" i="13" a="1"/>
  <c r="AE57" i="13" a="1"/>
  <c r="AD113" i="14" a="1"/>
  <c r="AE57" i="12" a="1"/>
  <c r="AD57" i="14" a="1"/>
  <c r="AH113" i="12" a="1"/>
  <c r="AK113" i="13" a="1"/>
  <c r="AL113" i="13" a="1"/>
  <c r="AM113" i="13" a="1"/>
  <c r="AF57" i="13" a="1"/>
  <c r="AF57" i="12" a="1"/>
  <c r="AI113" i="12" a="1"/>
  <c r="AE57" i="14" a="1"/>
  <c r="AE113" i="14" a="1"/>
  <c r="AG57" i="13" a="1"/>
  <c r="AF113" i="14" a="1"/>
  <c r="AF57" i="14" a="1"/>
  <c r="AJ113" i="12" a="1"/>
  <c r="AG57" i="12" a="1"/>
  <c r="AG57" i="14" a="1"/>
  <c r="AK113" i="12" a="1"/>
  <c r="AN113" i="13" a="1"/>
  <c r="AH57" i="13" a="1"/>
  <c r="AH57" i="12" a="1"/>
  <c r="AL113" i="12" a="1"/>
  <c r="AH57" i="14" a="1"/>
  <c r="AG113" i="14" a="1"/>
  <c r="AI57" i="13" a="1"/>
  <c r="AH113" i="14" a="1"/>
  <c r="AI57" i="12" a="1"/>
  <c r="AI57" i="14" a="1"/>
  <c r="AM113" i="12" a="1"/>
  <c r="AJ57" i="13" a="1"/>
  <c r="AJ57" i="12" a="1"/>
  <c r="AN113" i="12" a="1"/>
  <c r="AJ57" i="14" a="1"/>
  <c r="AI113" i="14" a="1"/>
  <c r="AK57" i="13" a="1"/>
  <c r="AJ113" i="14" a="1"/>
  <c r="AK57" i="12" a="1"/>
  <c r="AK57" i="14" a="1"/>
  <c r="AL57" i="13" a="1"/>
  <c r="AL57" i="12" a="1"/>
  <c r="AL57" i="14" a="1"/>
  <c r="AK113" i="14" a="1"/>
  <c r="AM57" i="13" a="1"/>
  <c r="AM57" i="14" a="1"/>
  <c r="AL113" i="14" a="1"/>
  <c r="AM57" i="12" a="1"/>
  <c r="AN57" i="14" a="1"/>
  <c r="E51" i="14" a="1"/>
  <c r="E9" i="14" a="1"/>
  <c r="E16" i="14" a="1"/>
  <c r="E12" i="14" a="1"/>
  <c r="E6" i="14" a="1"/>
  <c r="AN57" i="13" a="1"/>
  <c r="AN57" i="12" a="1"/>
  <c r="AM113" i="14" a="1"/>
  <c r="AN113" i="14" a="1"/>
  <c r="E92" i="10" a="1"/>
  <c r="E16" i="13" a="1"/>
  <c r="E15" i="13" a="1"/>
  <c r="E9" i="13" a="1"/>
  <c r="E12" i="13" a="1"/>
  <c r="H4" i="15" a="1"/>
  <c r="E8" i="12" a="1"/>
  <c r="E11" i="12" a="1"/>
  <c r="E10" i="14" a="1"/>
  <c r="E13" i="14" a="1"/>
  <c r="E17" i="14" a="1"/>
  <c r="F114" i="12" l="1"/>
  <c r="F151" i="13"/>
  <c r="F144" i="13" s="1"/>
  <c r="F115" i="13" s="1"/>
  <c r="F95" i="12"/>
  <c r="F88" i="12" s="1"/>
  <c r="F114" i="14"/>
  <c r="F94" i="13"/>
  <c r="F87" i="13" s="1"/>
  <c r="F94" i="14"/>
  <c r="F87" i="14" s="1"/>
  <c r="F152" i="13" l="1"/>
  <c r="F145" i="13" s="1"/>
  <c r="F117" i="13" s="1"/>
  <c r="F151" i="14"/>
  <c r="F144" i="14" s="1"/>
  <c r="F59" i="12"/>
  <c r="F58" i="13"/>
  <c r="F58" i="14"/>
  <c r="F151" i="12"/>
  <c r="F144" i="12" s="1"/>
  <c r="F115" i="12" l="1"/>
  <c r="F96" i="12"/>
  <c r="F89" i="12" s="1"/>
  <c r="F95" i="14"/>
  <c r="F88" i="14" s="1"/>
  <c r="F115" i="14"/>
  <c r="F95" i="13"/>
  <c r="F88" i="13" s="1"/>
  <c r="F116" i="13"/>
  <c r="F23" i="13" l="1"/>
  <c r="F26" i="13"/>
  <c r="G149" i="13"/>
  <c r="G142" i="13" s="1"/>
  <c r="F30" i="13"/>
  <c r="F153" i="13"/>
  <c r="F59" i="13"/>
  <c r="F61" i="12"/>
  <c r="F60" i="12"/>
  <c r="F152" i="14"/>
  <c r="F145" i="14" s="1"/>
  <c r="F59" i="14"/>
  <c r="F152" i="12"/>
  <c r="F145" i="12" s="1"/>
  <c r="F117" i="14" l="1"/>
  <c r="F116" i="14"/>
  <c r="F96" i="13"/>
  <c r="F89" i="13" s="1"/>
  <c r="G113" i="13"/>
  <c r="F96" i="14"/>
  <c r="F89" i="14" s="1"/>
  <c r="F97" i="12"/>
  <c r="G93" i="12"/>
  <c r="G86" i="12" s="1"/>
  <c r="F29" i="12"/>
  <c r="F25" i="12"/>
  <c r="F22" i="12"/>
  <c r="F117" i="12"/>
  <c r="F116" i="12"/>
  <c r="F61" i="14" l="1"/>
  <c r="F60" i="14"/>
  <c r="G57" i="12"/>
  <c r="F61" i="13"/>
  <c r="F60" i="13"/>
  <c r="G149" i="12"/>
  <c r="G142" i="12" s="1"/>
  <c r="F26" i="12"/>
  <c r="F153" i="12"/>
  <c r="F30" i="12"/>
  <c r="F23" i="12"/>
  <c r="G150" i="13"/>
  <c r="G143" i="13" s="1"/>
  <c r="F30" i="14"/>
  <c r="F23" i="14"/>
  <c r="F26" i="14"/>
  <c r="F153" i="14"/>
  <c r="G149" i="14"/>
  <c r="G142" i="14" s="1"/>
  <c r="G93" i="13" l="1"/>
  <c r="G86" i="13" s="1"/>
  <c r="F29" i="13"/>
  <c r="F97" i="13"/>
  <c r="F25" i="13"/>
  <c r="F22" i="13"/>
  <c r="G114" i="13"/>
  <c r="G113" i="12"/>
  <c r="G113" i="14"/>
  <c r="G94" i="12"/>
  <c r="G87" i="12" s="1"/>
  <c r="F25" i="14"/>
  <c r="F97" i="14"/>
  <c r="F29" i="14"/>
  <c r="G93" i="14"/>
  <c r="G86" i="14" s="1"/>
  <c r="F22" i="14"/>
  <c r="G58" i="12" l="1"/>
  <c r="G57" i="14"/>
  <c r="G150" i="14"/>
  <c r="G143" i="14" s="1"/>
  <c r="G151" i="13"/>
  <c r="G144" i="13" s="1"/>
  <c r="G150" i="12"/>
  <c r="G143" i="12" s="1"/>
  <c r="G57" i="13"/>
  <c r="G115" i="13" l="1"/>
  <c r="G114" i="14"/>
  <c r="G114" i="12"/>
  <c r="G94" i="14"/>
  <c r="G87" i="14" s="1"/>
  <c r="G94" i="13"/>
  <c r="G87" i="13" s="1"/>
  <c r="G95" i="12"/>
  <c r="G88" i="12" s="1"/>
  <c r="G59" i="12" l="1"/>
  <c r="G151" i="12"/>
  <c r="G144" i="12" s="1"/>
  <c r="G151" i="14"/>
  <c r="G144" i="14" s="1"/>
  <c r="G58" i="14"/>
  <c r="G152" i="13"/>
  <c r="G145" i="13" s="1"/>
  <c r="G58" i="13"/>
  <c r="G117" i="13" l="1"/>
  <c r="G116" i="13"/>
  <c r="G95" i="13"/>
  <c r="G88" i="13" s="1"/>
  <c r="G95" i="14"/>
  <c r="G88" i="14" s="1"/>
  <c r="G115" i="12"/>
  <c r="G96" i="12"/>
  <c r="G89" i="12" s="1"/>
  <c r="G115" i="14"/>
  <c r="G59" i="14" l="1"/>
  <c r="G152" i="14"/>
  <c r="G145" i="14" s="1"/>
  <c r="G61" i="12"/>
  <c r="G60" i="12"/>
  <c r="G26" i="13"/>
  <c r="G153" i="13"/>
  <c r="H149" i="13"/>
  <c r="H142" i="13" s="1"/>
  <c r="G30" i="13"/>
  <c r="G23" i="13"/>
  <c r="G152" i="12"/>
  <c r="G145" i="12" s="1"/>
  <c r="G59" i="13"/>
  <c r="H113" i="13" l="1"/>
  <c r="G117" i="14"/>
  <c r="G116" i="14"/>
  <c r="G117" i="12"/>
  <c r="G116" i="12"/>
  <c r="G96" i="14"/>
  <c r="G89" i="14" s="1"/>
  <c r="H93" i="12"/>
  <c r="H86" i="12" s="1"/>
  <c r="G97" i="12"/>
  <c r="G25" i="12"/>
  <c r="G29" i="12"/>
  <c r="G22" i="12"/>
  <c r="G96" i="13"/>
  <c r="G89" i="13" s="1"/>
  <c r="G30" i="12" l="1"/>
  <c r="H149" i="12"/>
  <c r="H142" i="12" s="1"/>
  <c r="G26" i="12"/>
  <c r="G23" i="12"/>
  <c r="G153" i="12"/>
  <c r="G61" i="14"/>
  <c r="G60" i="14"/>
  <c r="H149" i="14"/>
  <c r="H142" i="14" s="1"/>
  <c r="G26" i="14"/>
  <c r="G30" i="14"/>
  <c r="G23" i="14"/>
  <c r="G153" i="14"/>
  <c r="H57" i="12"/>
  <c r="G61" i="13"/>
  <c r="G60" i="13"/>
  <c r="H150" i="13"/>
  <c r="H143" i="13" s="1"/>
  <c r="H113" i="12" l="1"/>
  <c r="H94" i="12"/>
  <c r="H87" i="12" s="1"/>
  <c r="H114" i="13"/>
  <c r="G97" i="13"/>
  <c r="H93" i="13"/>
  <c r="H86" i="13" s="1"/>
  <c r="G22" i="13"/>
  <c r="G29" i="13"/>
  <c r="G25" i="13"/>
  <c r="H113" i="14"/>
  <c r="G97" i="14"/>
  <c r="G25" i="14"/>
  <c r="H93" i="14"/>
  <c r="H86" i="14" s="1"/>
  <c r="G22" i="14"/>
  <c r="G29" i="14"/>
  <c r="H151" i="13" l="1"/>
  <c r="H144" i="13" s="1"/>
  <c r="H57" i="14"/>
  <c r="H58" i="12"/>
  <c r="H57" i="13"/>
  <c r="H150" i="14"/>
  <c r="H143" i="14" s="1"/>
  <c r="H150" i="12"/>
  <c r="H143" i="12" s="1"/>
  <c r="H115" i="13" l="1"/>
  <c r="H95" i="12"/>
  <c r="H88" i="12" s="1"/>
  <c r="H114" i="12"/>
  <c r="H114" i="14"/>
  <c r="H94" i="14"/>
  <c r="H87" i="14" s="1"/>
  <c r="H94" i="13"/>
  <c r="H87" i="13" s="1"/>
  <c r="H58" i="14" l="1"/>
  <c r="H59" i="12"/>
  <c r="H151" i="12"/>
  <c r="H144" i="12" s="1"/>
  <c r="H58" i="13"/>
  <c r="H151" i="14"/>
  <c r="H144" i="14" s="1"/>
  <c r="H152" i="13"/>
  <c r="H145" i="13" s="1"/>
  <c r="H95" i="13" l="1"/>
  <c r="H88" i="13" s="1"/>
  <c r="H117" i="13"/>
  <c r="H116" i="13"/>
  <c r="H96" i="12"/>
  <c r="H89" i="12" s="1"/>
  <c r="H115" i="12"/>
  <c r="H95" i="14"/>
  <c r="H88" i="14" s="1"/>
  <c r="H115" i="14"/>
  <c r="H59" i="13" l="1"/>
  <c r="H152" i="14"/>
  <c r="H145" i="14" s="1"/>
  <c r="H152" i="12"/>
  <c r="H145" i="12" s="1"/>
  <c r="H59" i="14"/>
  <c r="H153" i="13"/>
  <c r="H30" i="13"/>
  <c r="H23" i="13"/>
  <c r="H26" i="13"/>
  <c r="I149" i="13"/>
  <c r="I142" i="13" s="1"/>
  <c r="H61" i="12"/>
  <c r="H60" i="12"/>
  <c r="H97" i="12" l="1"/>
  <c r="H22" i="12"/>
  <c r="I93" i="12"/>
  <c r="I86" i="12" s="1"/>
  <c r="H29" i="12"/>
  <c r="H25" i="12"/>
  <c r="H117" i="12"/>
  <c r="H116" i="12"/>
  <c r="I113" i="13"/>
  <c r="H117" i="14"/>
  <c r="H116" i="14"/>
  <c r="H96" i="14"/>
  <c r="H89" i="14" s="1"/>
  <c r="H96" i="13"/>
  <c r="H89" i="13" s="1"/>
  <c r="H61" i="13" l="1"/>
  <c r="H60" i="13"/>
  <c r="I57" i="12"/>
  <c r="H61" i="14"/>
  <c r="H60" i="14"/>
  <c r="H153" i="12"/>
  <c r="H26" i="12"/>
  <c r="H30" i="12"/>
  <c r="H23" i="12"/>
  <c r="I149" i="12"/>
  <c r="I142" i="12" s="1"/>
  <c r="H30" i="14"/>
  <c r="H153" i="14"/>
  <c r="H26" i="14"/>
  <c r="H23" i="14"/>
  <c r="I149" i="14"/>
  <c r="I142" i="14" s="1"/>
  <c r="I150" i="13"/>
  <c r="I143" i="13" s="1"/>
  <c r="I113" i="12" l="1"/>
  <c r="I94" i="12"/>
  <c r="I87" i="12" s="1"/>
  <c r="H29" i="14"/>
  <c r="H22" i="14"/>
  <c r="I93" i="14"/>
  <c r="I86" i="14" s="1"/>
  <c r="H97" i="14"/>
  <c r="H25" i="14"/>
  <c r="I114" i="13"/>
  <c r="I113" i="14"/>
  <c r="H22" i="13"/>
  <c r="H97" i="13"/>
  <c r="H29" i="13"/>
  <c r="H25" i="13"/>
  <c r="I93" i="13"/>
  <c r="I86" i="13" s="1"/>
  <c r="I150" i="14" l="1"/>
  <c r="I143" i="14" s="1"/>
  <c r="I58" i="12"/>
  <c r="I57" i="13"/>
  <c r="I151" i="13"/>
  <c r="I144" i="13" s="1"/>
  <c r="I150" i="12"/>
  <c r="I143" i="12" s="1"/>
  <c r="I57" i="14"/>
  <c r="I114" i="14" l="1"/>
  <c r="I94" i="13"/>
  <c r="I87" i="13" s="1"/>
  <c r="I95" i="12"/>
  <c r="I88" i="12" s="1"/>
  <c r="I94" i="14"/>
  <c r="I87" i="14" s="1"/>
  <c r="I114" i="12"/>
  <c r="I115" i="13"/>
  <c r="I58" i="13" l="1"/>
  <c r="I58" i="14"/>
  <c r="I152" i="13"/>
  <c r="I145" i="13" s="1"/>
  <c r="I59" i="12"/>
  <c r="I151" i="14"/>
  <c r="I144" i="14" s="1"/>
  <c r="I151" i="12"/>
  <c r="I144" i="12" s="1"/>
  <c r="I115" i="14" l="1"/>
  <c r="I117" i="13"/>
  <c r="I116" i="13"/>
  <c r="I95" i="14"/>
  <c r="I88" i="14" s="1"/>
  <c r="I96" i="12"/>
  <c r="I89" i="12" s="1"/>
  <c r="I95" i="13"/>
  <c r="I88" i="13" s="1"/>
  <c r="I115" i="12"/>
  <c r="I59" i="14" l="1"/>
  <c r="I59" i="13"/>
  <c r="I61" i="12"/>
  <c r="I60" i="12"/>
  <c r="I152" i="14"/>
  <c r="I145" i="14" s="1"/>
  <c r="I152" i="12"/>
  <c r="I145" i="12" s="1"/>
  <c r="J149" i="13"/>
  <c r="J142" i="13" s="1"/>
  <c r="I153" i="13"/>
  <c r="I23" i="13"/>
  <c r="I30" i="13"/>
  <c r="I26" i="13"/>
  <c r="J113" i="13" l="1"/>
  <c r="I22" i="12"/>
  <c r="J93" i="12"/>
  <c r="J86" i="12" s="1"/>
  <c r="I25" i="12"/>
  <c r="I29" i="12"/>
  <c r="I97" i="12"/>
  <c r="I117" i="12"/>
  <c r="I116" i="12"/>
  <c r="I96" i="13"/>
  <c r="I89" i="13" s="1"/>
  <c r="I96" i="14"/>
  <c r="I89" i="14" s="1"/>
  <c r="I117" i="14"/>
  <c r="I116" i="14"/>
  <c r="J57" i="12" l="1"/>
  <c r="I61" i="13"/>
  <c r="I60" i="13"/>
  <c r="J149" i="14"/>
  <c r="J142" i="14" s="1"/>
  <c r="I23" i="14"/>
  <c r="I153" i="14"/>
  <c r="I30" i="14"/>
  <c r="I26" i="14"/>
  <c r="I61" i="14"/>
  <c r="I60" i="14"/>
  <c r="I23" i="12"/>
  <c r="I30" i="12"/>
  <c r="I153" i="12"/>
  <c r="J149" i="12"/>
  <c r="J142" i="12" s="1"/>
  <c r="I26" i="12"/>
  <c r="J150" i="13"/>
  <c r="J143" i="13" s="1"/>
  <c r="J113" i="14" l="1"/>
  <c r="J114" i="13"/>
  <c r="I22" i="13"/>
  <c r="I97" i="13"/>
  <c r="I25" i="13"/>
  <c r="J93" i="13"/>
  <c r="J86" i="13" s="1"/>
  <c r="I29" i="13"/>
  <c r="I22" i="14"/>
  <c r="I97" i="14"/>
  <c r="I25" i="14"/>
  <c r="J93" i="14"/>
  <c r="J86" i="14" s="1"/>
  <c r="I29" i="14"/>
  <c r="J113" i="12"/>
  <c r="J94" i="12"/>
  <c r="J87" i="12" s="1"/>
  <c r="J58" i="12" l="1"/>
  <c r="J151" i="13"/>
  <c r="J144" i="13" s="1"/>
  <c r="J150" i="12"/>
  <c r="J143" i="12" s="1"/>
  <c r="J57" i="14"/>
  <c r="J57" i="13"/>
  <c r="J150" i="14"/>
  <c r="J143" i="14" s="1"/>
  <c r="J114" i="14" l="1"/>
  <c r="J114" i="12"/>
  <c r="J94" i="13"/>
  <c r="J87" i="13" s="1"/>
  <c r="J95" i="12"/>
  <c r="J88" i="12" s="1"/>
  <c r="J94" i="14"/>
  <c r="J87" i="14" s="1"/>
  <c r="J115" i="13"/>
  <c r="J58" i="14" l="1"/>
  <c r="J58" i="13"/>
  <c r="J152" i="13"/>
  <c r="J145" i="13" s="1"/>
  <c r="J151" i="12"/>
  <c r="J144" i="12" s="1"/>
  <c r="J59" i="12"/>
  <c r="J151" i="14"/>
  <c r="J144" i="14" s="1"/>
  <c r="J115" i="14" l="1"/>
  <c r="J115" i="12"/>
  <c r="J96" i="12"/>
  <c r="J89" i="12" s="1"/>
  <c r="J95" i="13"/>
  <c r="J88" i="13" s="1"/>
  <c r="J117" i="13"/>
  <c r="J116" i="13"/>
  <c r="J95" i="14"/>
  <c r="J88" i="14" s="1"/>
  <c r="J61" i="12" l="1"/>
  <c r="J60" i="12"/>
  <c r="J26" i="13"/>
  <c r="K149" i="13"/>
  <c r="K142" i="13" s="1"/>
  <c r="J153" i="13"/>
  <c r="J23" i="13"/>
  <c r="J30" i="13"/>
  <c r="J152" i="12"/>
  <c r="J145" i="12" s="1"/>
  <c r="J59" i="14"/>
  <c r="J152" i="14"/>
  <c r="J145" i="14" s="1"/>
  <c r="J59" i="13"/>
  <c r="K113" i="13" l="1"/>
  <c r="J117" i="12"/>
  <c r="J116" i="12"/>
  <c r="J117" i="14"/>
  <c r="J116" i="14"/>
  <c r="J96" i="13"/>
  <c r="J89" i="13" s="1"/>
  <c r="J96" i="14"/>
  <c r="J89" i="14" s="1"/>
  <c r="J97" i="12"/>
  <c r="K93" i="12"/>
  <c r="K86" i="12" s="1"/>
  <c r="J22" i="12"/>
  <c r="J25" i="12"/>
  <c r="J29" i="12"/>
  <c r="J61" i="14" l="1"/>
  <c r="J60" i="14"/>
  <c r="K57" i="12"/>
  <c r="J30" i="14"/>
  <c r="J26" i="14"/>
  <c r="J23" i="14"/>
  <c r="J153" i="14"/>
  <c r="K149" i="14"/>
  <c r="K142" i="14" s="1"/>
  <c r="J61" i="13"/>
  <c r="J60" i="13"/>
  <c r="J153" i="12"/>
  <c r="J23" i="12"/>
  <c r="J30" i="12"/>
  <c r="J26" i="12"/>
  <c r="K149" i="12"/>
  <c r="K142" i="12" s="1"/>
  <c r="K150" i="13"/>
  <c r="K143" i="13" s="1"/>
  <c r="J25" i="13" l="1"/>
  <c r="J29" i="13"/>
  <c r="K93" i="13"/>
  <c r="K86" i="13" s="1"/>
  <c r="J97" i="13"/>
  <c r="J22" i="13"/>
  <c r="K114" i="13"/>
  <c r="K113" i="12"/>
  <c r="K94" i="12"/>
  <c r="K87" i="12" s="1"/>
  <c r="K113" i="14"/>
  <c r="J29" i="14"/>
  <c r="K93" i="14"/>
  <c r="K86" i="14" s="1"/>
  <c r="J22" i="14"/>
  <c r="J25" i="14"/>
  <c r="J97" i="14"/>
  <c r="K57" i="13" l="1"/>
  <c r="K150" i="14"/>
  <c r="K143" i="14" s="1"/>
  <c r="K58" i="12"/>
  <c r="K150" i="12"/>
  <c r="K143" i="12" s="1"/>
  <c r="K57" i="14"/>
  <c r="K151" i="13"/>
  <c r="K144" i="13" s="1"/>
  <c r="K114" i="12" l="1"/>
  <c r="K95" i="12"/>
  <c r="K88" i="12" s="1"/>
  <c r="K94" i="14"/>
  <c r="K87" i="14" s="1"/>
  <c r="K114" i="14"/>
  <c r="K115" i="13"/>
  <c r="K94" i="13"/>
  <c r="K87" i="13" s="1"/>
  <c r="K151" i="14" l="1"/>
  <c r="K144" i="14" s="1"/>
  <c r="K152" i="13"/>
  <c r="K145" i="13" s="1"/>
  <c r="K59" i="12"/>
  <c r="K58" i="13"/>
  <c r="K151" i="12"/>
  <c r="K144" i="12" s="1"/>
  <c r="K58" i="14"/>
  <c r="K115" i="12" l="1"/>
  <c r="K117" i="13"/>
  <c r="K116" i="13"/>
  <c r="K95" i="14"/>
  <c r="K88" i="14" s="1"/>
  <c r="K95" i="13"/>
  <c r="K88" i="13" s="1"/>
  <c r="K115" i="14"/>
  <c r="K96" i="12"/>
  <c r="K89" i="12" s="1"/>
  <c r="K59" i="13" l="1"/>
  <c r="K152" i="14"/>
  <c r="K145" i="14" s="1"/>
  <c r="K61" i="12"/>
  <c r="K60" i="12"/>
  <c r="K30" i="13"/>
  <c r="K153" i="13"/>
  <c r="L149" i="13"/>
  <c r="L142" i="13" s="1"/>
  <c r="K26" i="13"/>
  <c r="K23" i="13"/>
  <c r="K152" i="12"/>
  <c r="K145" i="12" s="1"/>
  <c r="K59" i="14"/>
  <c r="K117" i="14" l="1"/>
  <c r="K116" i="14"/>
  <c r="K96" i="14"/>
  <c r="K89" i="14" s="1"/>
  <c r="K97" i="12"/>
  <c r="L93" i="12"/>
  <c r="L86" i="12" s="1"/>
  <c r="K29" i="12"/>
  <c r="K25" i="12"/>
  <c r="K22" i="12"/>
  <c r="K117" i="12"/>
  <c r="K116" i="12"/>
  <c r="K96" i="13"/>
  <c r="K89" i="13" s="1"/>
  <c r="L113" i="13"/>
  <c r="L57" i="12" l="1"/>
  <c r="K61" i="14"/>
  <c r="K60" i="14"/>
  <c r="K61" i="13"/>
  <c r="K60" i="13"/>
  <c r="L150" i="13"/>
  <c r="L143" i="13" s="1"/>
  <c r="L149" i="14"/>
  <c r="L142" i="14" s="1"/>
  <c r="K23" i="14"/>
  <c r="K153" i="14"/>
  <c r="K26" i="14"/>
  <c r="K30" i="14"/>
  <c r="L149" i="12"/>
  <c r="L142" i="12" s="1"/>
  <c r="K153" i="12"/>
  <c r="K26" i="12"/>
  <c r="K23" i="12"/>
  <c r="K30" i="12"/>
  <c r="K29" i="13" l="1"/>
  <c r="K97" i="13"/>
  <c r="K22" i="13"/>
  <c r="L93" i="13"/>
  <c r="L86" i="13" s="1"/>
  <c r="K25" i="13"/>
  <c r="L113" i="12"/>
  <c r="L114" i="13"/>
  <c r="K22" i="14"/>
  <c r="K29" i="14"/>
  <c r="K97" i="14"/>
  <c r="K25" i="14"/>
  <c r="L93" i="14"/>
  <c r="L86" i="14" s="1"/>
  <c r="L113" i="14"/>
  <c r="L94" i="12"/>
  <c r="L87" i="12" s="1"/>
  <c r="L150" i="12" l="1"/>
  <c r="L143" i="12" s="1"/>
  <c r="L151" i="13"/>
  <c r="L144" i="13" s="1"/>
  <c r="L58" i="12"/>
  <c r="L150" i="14"/>
  <c r="L143" i="14" s="1"/>
  <c r="L57" i="14"/>
  <c r="L57" i="13"/>
  <c r="L115" i="13" l="1"/>
  <c r="L95" i="12"/>
  <c r="L88" i="12" s="1"/>
  <c r="L94" i="14"/>
  <c r="L87" i="14" s="1"/>
  <c r="L114" i="12"/>
  <c r="L94" i="13"/>
  <c r="L87" i="13" s="1"/>
  <c r="L114" i="14"/>
  <c r="L151" i="14" l="1"/>
  <c r="L144" i="14" s="1"/>
  <c r="L58" i="14"/>
  <c r="L151" i="12"/>
  <c r="L144" i="12" s="1"/>
  <c r="L58" i="13"/>
  <c r="L152" i="13"/>
  <c r="L145" i="13" s="1"/>
  <c r="L59" i="12"/>
  <c r="L115" i="14" l="1"/>
  <c r="L115" i="12"/>
  <c r="L96" i="12"/>
  <c r="L89" i="12" s="1"/>
  <c r="L95" i="13"/>
  <c r="L88" i="13" s="1"/>
  <c r="L95" i="14"/>
  <c r="L88" i="14" s="1"/>
  <c r="L117" i="13"/>
  <c r="L116" i="13"/>
  <c r="L61" i="12" l="1"/>
  <c r="L60" i="12"/>
  <c r="M149" i="13"/>
  <c r="M142" i="13" s="1"/>
  <c r="L30" i="13"/>
  <c r="L26" i="13"/>
  <c r="L153" i="13"/>
  <c r="L23" i="13"/>
  <c r="L152" i="12"/>
  <c r="L145" i="12" s="1"/>
  <c r="L59" i="13"/>
  <c r="L152" i="14"/>
  <c r="L145" i="14" s="1"/>
  <c r="L59" i="14"/>
  <c r="M113" i="13" l="1"/>
  <c r="L117" i="12"/>
  <c r="L116" i="12"/>
  <c r="L96" i="14"/>
  <c r="L89" i="14" s="1"/>
  <c r="L96" i="13"/>
  <c r="L89" i="13" s="1"/>
  <c r="M93" i="12"/>
  <c r="M86" i="12" s="1"/>
  <c r="L25" i="12"/>
  <c r="L97" i="12"/>
  <c r="L29" i="12"/>
  <c r="L22" i="12"/>
  <c r="L117" i="14"/>
  <c r="L116" i="14"/>
  <c r="L61" i="13" l="1"/>
  <c r="L60" i="13"/>
  <c r="M57" i="12"/>
  <c r="M149" i="12"/>
  <c r="M142" i="12" s="1"/>
  <c r="L26" i="12"/>
  <c r="L153" i="12"/>
  <c r="L30" i="12"/>
  <c r="L23" i="12"/>
  <c r="L153" i="14"/>
  <c r="M149" i="14"/>
  <c r="M142" i="14" s="1"/>
  <c r="L23" i="14"/>
  <c r="L30" i="14"/>
  <c r="L26" i="14"/>
  <c r="L61" i="14"/>
  <c r="L60" i="14"/>
  <c r="M150" i="13"/>
  <c r="M143" i="13" s="1"/>
  <c r="M113" i="14" l="1"/>
  <c r="M114" i="13"/>
  <c r="L25" i="14"/>
  <c r="L22" i="14"/>
  <c r="L29" i="14"/>
  <c r="L97" i="14"/>
  <c r="M93" i="14"/>
  <c r="M86" i="14" s="1"/>
  <c r="M94" i="12"/>
  <c r="M87" i="12" s="1"/>
  <c r="M93" i="13"/>
  <c r="M86" i="13" s="1"/>
  <c r="L22" i="13"/>
  <c r="L25" i="13"/>
  <c r="L97" i="13"/>
  <c r="L29" i="13"/>
  <c r="M113" i="12"/>
  <c r="M57" i="13" l="1"/>
  <c r="M150" i="12"/>
  <c r="M143" i="12" s="1"/>
  <c r="M151" i="13"/>
  <c r="M144" i="13" s="1"/>
  <c r="M57" i="14"/>
  <c r="M58" i="12"/>
  <c r="M150" i="14"/>
  <c r="M143" i="14" s="1"/>
  <c r="M114" i="12" l="1"/>
  <c r="M94" i="14"/>
  <c r="M87" i="14" s="1"/>
  <c r="M115" i="13"/>
  <c r="M95" i="12"/>
  <c r="M88" i="12" s="1"/>
  <c r="M114" i="14"/>
  <c r="M94" i="13"/>
  <c r="M87" i="13" s="1"/>
  <c r="M58" i="14" l="1"/>
  <c r="M152" i="13"/>
  <c r="M145" i="13" s="1"/>
  <c r="M151" i="14"/>
  <c r="M144" i="14" s="1"/>
  <c r="M59" i="12"/>
  <c r="M58" i="13"/>
  <c r="M151" i="12"/>
  <c r="M144" i="12" s="1"/>
  <c r="M117" i="13" l="1"/>
  <c r="M116" i="13"/>
  <c r="M115" i="12"/>
  <c r="M96" i="12"/>
  <c r="M89" i="12" s="1"/>
  <c r="M95" i="14"/>
  <c r="M88" i="14" s="1"/>
  <c r="M115" i="14"/>
  <c r="M95" i="13"/>
  <c r="M88" i="13" s="1"/>
  <c r="M59" i="14" l="1"/>
  <c r="M59" i="13"/>
  <c r="M152" i="12"/>
  <c r="M145" i="12" s="1"/>
  <c r="M152" i="14"/>
  <c r="M145" i="14" s="1"/>
  <c r="M61" i="12"/>
  <c r="M60" i="12"/>
  <c r="M30" i="13"/>
  <c r="M26" i="13"/>
  <c r="N149" i="13"/>
  <c r="N142" i="13" s="1"/>
  <c r="M153" i="13"/>
  <c r="M23" i="13"/>
  <c r="N113" i="13" l="1"/>
  <c r="M96" i="13"/>
  <c r="M89" i="13" s="1"/>
  <c r="M97" i="12"/>
  <c r="M25" i="12"/>
  <c r="M22" i="12"/>
  <c r="M29" i="12"/>
  <c r="N93" i="12"/>
  <c r="N86" i="12" s="1"/>
  <c r="M117" i="12"/>
  <c r="M116" i="12"/>
  <c r="M96" i="14"/>
  <c r="M89" i="14" s="1"/>
  <c r="M117" i="14"/>
  <c r="M116" i="14"/>
  <c r="N57" i="12" l="1"/>
  <c r="N149" i="12"/>
  <c r="N142" i="12" s="1"/>
  <c r="M26" i="12"/>
  <c r="M30" i="12"/>
  <c r="M23" i="12"/>
  <c r="M153" i="12"/>
  <c r="M61" i="14"/>
  <c r="M60" i="14"/>
  <c r="M61" i="13"/>
  <c r="M60" i="13"/>
  <c r="M23" i="14"/>
  <c r="M153" i="14"/>
  <c r="M30" i="14"/>
  <c r="N149" i="14"/>
  <c r="N142" i="14" s="1"/>
  <c r="M26" i="14"/>
  <c r="N150" i="13"/>
  <c r="N143" i="13" s="1"/>
  <c r="N114" i="13" l="1"/>
  <c r="N113" i="12"/>
  <c r="M97" i="13"/>
  <c r="N93" i="13"/>
  <c r="N86" i="13" s="1"/>
  <c r="M22" i="13"/>
  <c r="M25" i="13"/>
  <c r="M29" i="13"/>
  <c r="N113" i="14"/>
  <c r="N93" i="14"/>
  <c r="N86" i="14" s="1"/>
  <c r="M29" i="14"/>
  <c r="M25" i="14"/>
  <c r="M22" i="14"/>
  <c r="M97" i="14"/>
  <c r="N94" i="12"/>
  <c r="N87" i="12" s="1"/>
  <c r="N150" i="14" l="1"/>
  <c r="N143" i="14" s="1"/>
  <c r="N57" i="13"/>
  <c r="N150" i="12"/>
  <c r="N143" i="12" s="1"/>
  <c r="N58" i="12"/>
  <c r="N151" i="13"/>
  <c r="N144" i="13" s="1"/>
  <c r="N57" i="14"/>
  <c r="N114" i="12" l="1"/>
  <c r="N115" i="13"/>
  <c r="N114" i="14"/>
  <c r="N94" i="14"/>
  <c r="N87" i="14" s="1"/>
  <c r="N94" i="13"/>
  <c r="N87" i="13" s="1"/>
  <c r="N95" i="12"/>
  <c r="N88" i="12" s="1"/>
  <c r="N59" i="12" l="1"/>
  <c r="N151" i="14"/>
  <c r="N144" i="14" s="1"/>
  <c r="N58" i="13"/>
  <c r="N152" i="13"/>
  <c r="N145" i="13" s="1"/>
  <c r="N58" i="14"/>
  <c r="N151" i="12"/>
  <c r="N144" i="12" s="1"/>
  <c r="N115" i="12" l="1"/>
  <c r="N95" i="14"/>
  <c r="N88" i="14" s="1"/>
  <c r="N115" i="14"/>
  <c r="N95" i="13"/>
  <c r="N88" i="13" s="1"/>
  <c r="N96" i="12"/>
  <c r="N89" i="12" s="1"/>
  <c r="N117" i="13"/>
  <c r="N116" i="13"/>
  <c r="N23" i="13" l="1"/>
  <c r="N153" i="13"/>
  <c r="O149" i="13"/>
  <c r="O142" i="13" s="1"/>
  <c r="N26" i="13"/>
  <c r="N30" i="13"/>
  <c r="N152" i="14"/>
  <c r="N145" i="14" s="1"/>
  <c r="N61" i="12"/>
  <c r="N60" i="12"/>
  <c r="N59" i="13"/>
  <c r="N152" i="12"/>
  <c r="N145" i="12" s="1"/>
  <c r="N59" i="14"/>
  <c r="N117" i="14" l="1"/>
  <c r="N116" i="14"/>
  <c r="O113" i="13"/>
  <c r="N97" i="12"/>
  <c r="N25" i="12"/>
  <c r="N29" i="12"/>
  <c r="N22" i="12"/>
  <c r="O93" i="12"/>
  <c r="O86" i="12" s="1"/>
  <c r="N96" i="14"/>
  <c r="N89" i="14" s="1"/>
  <c r="N96" i="13"/>
  <c r="N89" i="13" s="1"/>
  <c r="N117" i="12"/>
  <c r="N116" i="12"/>
  <c r="N23" i="12" l="1"/>
  <c r="N153" i="12"/>
  <c r="O149" i="12"/>
  <c r="O142" i="12" s="1"/>
  <c r="N26" i="12"/>
  <c r="N30" i="12"/>
  <c r="N61" i="13"/>
  <c r="N60" i="13"/>
  <c r="O150" i="13"/>
  <c r="O143" i="13" s="1"/>
  <c r="O57" i="12"/>
  <c r="N23" i="14"/>
  <c r="N30" i="14"/>
  <c r="N153" i="14"/>
  <c r="O149" i="14"/>
  <c r="O142" i="14" s="1"/>
  <c r="N26" i="14"/>
  <c r="N61" i="14"/>
  <c r="N60" i="14"/>
  <c r="O113" i="12" l="1"/>
  <c r="O113" i="14"/>
  <c r="O93" i="14"/>
  <c r="O86" i="14" s="1"/>
  <c r="N29" i="14"/>
  <c r="N25" i="14"/>
  <c r="N97" i="14"/>
  <c r="N22" i="14"/>
  <c r="O94" i="12"/>
  <c r="O87" i="12" s="1"/>
  <c r="O114" i="13"/>
  <c r="N97" i="13"/>
  <c r="N25" i="13"/>
  <c r="O93" i="13"/>
  <c r="O86" i="13" s="1"/>
  <c r="N22" i="13"/>
  <c r="N29" i="13"/>
  <c r="O57" i="14" l="1"/>
  <c r="O57" i="13"/>
  <c r="O58" i="12"/>
  <c r="O150" i="14"/>
  <c r="O143" i="14" s="1"/>
  <c r="O151" i="13"/>
  <c r="O144" i="13" s="1"/>
  <c r="O150" i="12"/>
  <c r="O143" i="12" s="1"/>
  <c r="O114" i="14" l="1"/>
  <c r="O94" i="14"/>
  <c r="O87" i="14" s="1"/>
  <c r="O114" i="12"/>
  <c r="O94" i="13"/>
  <c r="O87" i="13" s="1"/>
  <c r="O95" i="12"/>
  <c r="O88" i="12" s="1"/>
  <c r="O115" i="13"/>
  <c r="O151" i="12" l="1"/>
  <c r="O144" i="12" s="1"/>
  <c r="O58" i="14"/>
  <c r="O58" i="13"/>
  <c r="O151" i="14"/>
  <c r="O144" i="14" s="1"/>
  <c r="O152" i="13"/>
  <c r="O145" i="13" s="1"/>
  <c r="O59" i="12"/>
  <c r="O115" i="14" l="1"/>
  <c r="O96" i="12"/>
  <c r="O89" i="12" s="1"/>
  <c r="O115" i="12"/>
  <c r="O95" i="13"/>
  <c r="O88" i="13" s="1"/>
  <c r="O95" i="14"/>
  <c r="O88" i="14" s="1"/>
  <c r="O117" i="13"/>
  <c r="O116" i="13"/>
  <c r="O59" i="14" l="1"/>
  <c r="O61" i="12"/>
  <c r="O60" i="12"/>
  <c r="O152" i="12"/>
  <c r="O145" i="12" s="1"/>
  <c r="O23" i="13"/>
  <c r="O153" i="13"/>
  <c r="O30" i="13"/>
  <c r="P149" i="13"/>
  <c r="P142" i="13" s="1"/>
  <c r="O26" i="13"/>
  <c r="O152" i="14"/>
  <c r="O145" i="14" s="1"/>
  <c r="O59" i="13"/>
  <c r="O117" i="12" l="1"/>
  <c r="O116" i="12"/>
  <c r="O117" i="14"/>
  <c r="O116" i="14"/>
  <c r="O97" i="12"/>
  <c r="O25" i="12"/>
  <c r="P93" i="12"/>
  <c r="P86" i="12" s="1"/>
  <c r="O29" i="12"/>
  <c r="O22" i="12"/>
  <c r="O96" i="14"/>
  <c r="O89" i="14" s="1"/>
  <c r="O96" i="13"/>
  <c r="O89" i="13" s="1"/>
  <c r="P113" i="13"/>
  <c r="P57" i="12" l="1"/>
  <c r="O61" i="14"/>
  <c r="O60" i="14"/>
  <c r="O61" i="13"/>
  <c r="O60" i="13"/>
  <c r="O26" i="14"/>
  <c r="O30" i="14"/>
  <c r="P149" i="14"/>
  <c r="P142" i="14" s="1"/>
  <c r="O23" i="14"/>
  <c r="O153" i="14"/>
  <c r="O30" i="12"/>
  <c r="O23" i="12"/>
  <c r="O153" i="12"/>
  <c r="P149" i="12"/>
  <c r="P142" i="12" s="1"/>
  <c r="O26" i="12"/>
  <c r="P150" i="13"/>
  <c r="P143" i="13" s="1"/>
  <c r="O29" i="13" l="1"/>
  <c r="O22" i="13"/>
  <c r="O25" i="13"/>
  <c r="O97" i="13"/>
  <c r="P93" i="13"/>
  <c r="P86" i="13" s="1"/>
  <c r="P114" i="13"/>
  <c r="O22" i="14"/>
  <c r="P93" i="14"/>
  <c r="P86" i="14" s="1"/>
  <c r="O25" i="14"/>
  <c r="O29" i="14"/>
  <c r="O97" i="14"/>
  <c r="P113" i="12"/>
  <c r="P113" i="14"/>
  <c r="P94" i="12"/>
  <c r="P87" i="12" s="1"/>
  <c r="P57" i="13" l="1"/>
  <c r="P57" i="14"/>
  <c r="P150" i="14"/>
  <c r="P143" i="14" s="1"/>
  <c r="P58" i="12"/>
  <c r="P150" i="12"/>
  <c r="P143" i="12" s="1"/>
  <c r="P151" i="13"/>
  <c r="P144" i="13" s="1"/>
  <c r="P114" i="12" l="1"/>
  <c r="P95" i="12"/>
  <c r="P88" i="12" s="1"/>
  <c r="P94" i="14"/>
  <c r="P87" i="14" s="1"/>
  <c r="P115" i="13"/>
  <c r="P114" i="14"/>
  <c r="P94" i="13"/>
  <c r="P87" i="13" s="1"/>
  <c r="P58" i="14" l="1"/>
  <c r="P151" i="14"/>
  <c r="P144" i="14" s="1"/>
  <c r="P152" i="13"/>
  <c r="P145" i="13" s="1"/>
  <c r="P58" i="13"/>
  <c r="P151" i="12"/>
  <c r="P144" i="12" s="1"/>
  <c r="P59" i="12"/>
  <c r="P115" i="14" l="1"/>
  <c r="P115" i="12"/>
  <c r="P96" i="12"/>
  <c r="P89" i="12" s="1"/>
  <c r="P95" i="13"/>
  <c r="P88" i="13" s="1"/>
  <c r="P95" i="14"/>
  <c r="P88" i="14" s="1"/>
  <c r="P117" i="13"/>
  <c r="P116" i="13"/>
  <c r="P59" i="14" l="1"/>
  <c r="P153" i="13"/>
  <c r="P23" i="13"/>
  <c r="P26" i="13"/>
  <c r="P30" i="13"/>
  <c r="Q149" i="13"/>
  <c r="Q142" i="13" s="1"/>
  <c r="P152" i="12"/>
  <c r="P145" i="12" s="1"/>
  <c r="P59" i="13"/>
  <c r="P152" i="14"/>
  <c r="P145" i="14" s="1"/>
  <c r="P61" i="12"/>
  <c r="P60" i="12"/>
  <c r="Q113" i="13" l="1"/>
  <c r="P117" i="12"/>
  <c r="P116" i="12"/>
  <c r="P22" i="12"/>
  <c r="P25" i="12"/>
  <c r="P29" i="12"/>
  <c r="Q93" i="12"/>
  <c r="Q86" i="12" s="1"/>
  <c r="P97" i="12"/>
  <c r="P96" i="13"/>
  <c r="P89" i="13" s="1"/>
  <c r="P96" i="14"/>
  <c r="P89" i="14" s="1"/>
  <c r="P117" i="14"/>
  <c r="P116" i="14"/>
  <c r="P61" i="13" l="1"/>
  <c r="P60" i="13"/>
  <c r="P61" i="14"/>
  <c r="P60" i="14"/>
  <c r="P153" i="12"/>
  <c r="P26" i="12"/>
  <c r="Q149" i="12"/>
  <c r="Q142" i="12" s="1"/>
  <c r="P30" i="12"/>
  <c r="P23" i="12"/>
  <c r="Q149" i="14"/>
  <c r="Q142" i="14" s="1"/>
  <c r="P30" i="14"/>
  <c r="P153" i="14"/>
  <c r="P23" i="14"/>
  <c r="P26" i="14"/>
  <c r="Q57" i="12"/>
  <c r="Q150" i="13"/>
  <c r="Q143" i="13" s="1"/>
  <c r="Q114" i="13" l="1"/>
  <c r="Q113" i="14"/>
  <c r="Q93" i="14"/>
  <c r="Q86" i="14" s="1"/>
  <c r="P97" i="14"/>
  <c r="P25" i="14"/>
  <c r="P22" i="14"/>
  <c r="P29" i="14"/>
  <c r="Q94" i="12"/>
  <c r="Q87" i="12" s="1"/>
  <c r="P97" i="13"/>
  <c r="P22" i="13"/>
  <c r="Q93" i="13"/>
  <c r="Q86" i="13" s="1"/>
  <c r="P29" i="13"/>
  <c r="P25" i="13"/>
  <c r="Q113" i="12"/>
  <c r="Q57" i="14" l="1"/>
  <c r="Q150" i="14"/>
  <c r="Q143" i="14" s="1"/>
  <c r="Q58" i="12"/>
  <c r="Q57" i="13"/>
  <c r="Q151" i="13"/>
  <c r="Q144" i="13" s="1"/>
  <c r="Q150" i="12"/>
  <c r="Q143" i="12" s="1"/>
  <c r="Q114" i="12" l="1"/>
  <c r="Q95" i="12"/>
  <c r="Q88" i="12" s="1"/>
  <c r="Q114" i="14"/>
  <c r="Q115" i="13"/>
  <c r="Q94" i="13"/>
  <c r="Q87" i="13" s="1"/>
  <c r="Q94" i="14"/>
  <c r="Q87" i="14" s="1"/>
  <c r="Q152" i="13" l="1"/>
  <c r="Q145" i="13" s="1"/>
  <c r="Q58" i="14"/>
  <c r="Q58" i="13"/>
  <c r="Q151" i="14"/>
  <c r="Q144" i="14" s="1"/>
  <c r="Q59" i="12"/>
  <c r="Q151" i="12"/>
  <c r="Q144" i="12" s="1"/>
  <c r="Q117" i="13" l="1"/>
  <c r="Q116" i="13"/>
  <c r="Q96" i="12"/>
  <c r="Q89" i="12" s="1"/>
  <c r="Q115" i="12"/>
  <c r="Q95" i="13"/>
  <c r="Q88" i="13" s="1"/>
  <c r="Q115" i="14"/>
  <c r="Q95" i="14"/>
  <c r="Q88" i="14" s="1"/>
  <c r="Q61" i="12" l="1"/>
  <c r="Q60" i="12"/>
  <c r="Q59" i="13"/>
  <c r="Q152" i="14"/>
  <c r="Q145" i="14" s="1"/>
  <c r="Q152" i="12"/>
  <c r="Q145" i="12" s="1"/>
  <c r="Q26" i="13"/>
  <c r="Q23" i="13"/>
  <c r="Q153" i="13"/>
  <c r="Q30" i="13"/>
  <c r="R149" i="13"/>
  <c r="R142" i="13" s="1"/>
  <c r="Q59" i="14"/>
  <c r="Q96" i="14" l="1"/>
  <c r="Q89" i="14" s="1"/>
  <c r="R113" i="13"/>
  <c r="Q96" i="13"/>
  <c r="Q89" i="13" s="1"/>
  <c r="Q117" i="14"/>
  <c r="Q116" i="14"/>
  <c r="Q97" i="12"/>
  <c r="Q25" i="12"/>
  <c r="Q29" i="12"/>
  <c r="R93" i="12"/>
  <c r="R86" i="12" s="1"/>
  <c r="Q22" i="12"/>
  <c r="Q117" i="12"/>
  <c r="Q116" i="12"/>
  <c r="Q61" i="14" l="1"/>
  <c r="Q60" i="14"/>
  <c r="Q61" i="13"/>
  <c r="Q60" i="13"/>
  <c r="R150" i="13"/>
  <c r="R143" i="13" s="1"/>
  <c r="R57" i="12"/>
  <c r="Q30" i="12"/>
  <c r="Q153" i="12"/>
  <c r="R149" i="12"/>
  <c r="R142" i="12" s="1"/>
  <c r="Q23" i="12"/>
  <c r="Q26" i="12"/>
  <c r="Q153" i="14"/>
  <c r="Q26" i="14"/>
  <c r="Q23" i="14"/>
  <c r="R149" i="14"/>
  <c r="R142" i="14" s="1"/>
  <c r="Q30" i="14"/>
  <c r="R94" i="12" l="1"/>
  <c r="R87" i="12" s="1"/>
  <c r="R114" i="13"/>
  <c r="R113" i="12"/>
  <c r="Q22" i="13"/>
  <c r="Q29" i="13"/>
  <c r="R93" i="13"/>
  <c r="R86" i="13" s="1"/>
  <c r="Q25" i="13"/>
  <c r="Q97" i="13"/>
  <c r="R113" i="14"/>
  <c r="Q97" i="14"/>
  <c r="Q29" i="14"/>
  <c r="Q25" i="14"/>
  <c r="R93" i="14"/>
  <c r="R86" i="14" s="1"/>
  <c r="Q22" i="14"/>
  <c r="R58" i="12" l="1"/>
  <c r="R150" i="12"/>
  <c r="R143" i="12" s="1"/>
  <c r="R57" i="14"/>
  <c r="R151" i="13"/>
  <c r="R144" i="13" s="1"/>
  <c r="R150" i="14"/>
  <c r="R143" i="14" s="1"/>
  <c r="R57" i="13"/>
  <c r="R114" i="12" l="1"/>
  <c r="R94" i="14"/>
  <c r="R87" i="14" s="1"/>
  <c r="R94" i="13"/>
  <c r="R87" i="13" s="1"/>
  <c r="R114" i="14"/>
  <c r="R95" i="12"/>
  <c r="R88" i="12" s="1"/>
  <c r="R115" i="13"/>
  <c r="R58" i="14" l="1"/>
  <c r="R152" i="13"/>
  <c r="R145" i="13" s="1"/>
  <c r="R151" i="14"/>
  <c r="R144" i="14" s="1"/>
  <c r="R59" i="12"/>
  <c r="R58" i="13"/>
  <c r="R151" i="12"/>
  <c r="R144" i="12" s="1"/>
  <c r="R115" i="14" l="1"/>
  <c r="R117" i="13"/>
  <c r="R116" i="13"/>
  <c r="R95" i="13"/>
  <c r="R88" i="13" s="1"/>
  <c r="R115" i="12"/>
  <c r="R95" i="14"/>
  <c r="R88" i="14" s="1"/>
  <c r="R96" i="12"/>
  <c r="R89" i="12" s="1"/>
  <c r="R152" i="12" l="1"/>
  <c r="R145" i="12" s="1"/>
  <c r="R26" i="13"/>
  <c r="R23" i="13"/>
  <c r="R153" i="13"/>
  <c r="S149" i="13"/>
  <c r="S142" i="13" s="1"/>
  <c r="R30" i="13"/>
  <c r="R59" i="13"/>
  <c r="R61" i="12"/>
  <c r="R60" i="12"/>
  <c r="R152" i="14"/>
  <c r="R145" i="14" s="1"/>
  <c r="R59" i="14"/>
  <c r="R96" i="13" l="1"/>
  <c r="R89" i="13" s="1"/>
  <c r="R96" i="14"/>
  <c r="R89" i="14" s="1"/>
  <c r="S113" i="13"/>
  <c r="R117" i="12"/>
  <c r="R116" i="12"/>
  <c r="R29" i="12"/>
  <c r="R22" i="12"/>
  <c r="R97" i="12"/>
  <c r="R25" i="12"/>
  <c r="S93" i="12"/>
  <c r="S86" i="12" s="1"/>
  <c r="R117" i="14"/>
  <c r="R116" i="14"/>
  <c r="S150" i="13" l="1"/>
  <c r="S143" i="13" s="1"/>
  <c r="R61" i="13"/>
  <c r="R60" i="13"/>
  <c r="S57" i="12"/>
  <c r="R61" i="14"/>
  <c r="R60" i="14"/>
  <c r="R26" i="12"/>
  <c r="R30" i="12"/>
  <c r="S149" i="12"/>
  <c r="S142" i="12" s="1"/>
  <c r="R153" i="12"/>
  <c r="R23" i="12"/>
  <c r="R30" i="14"/>
  <c r="R153" i="14"/>
  <c r="R26" i="14"/>
  <c r="R23" i="14"/>
  <c r="S149" i="14"/>
  <c r="S142" i="14" s="1"/>
  <c r="R25" i="14" l="1"/>
  <c r="R97" i="14"/>
  <c r="R22" i="14"/>
  <c r="S93" i="14"/>
  <c r="S86" i="14" s="1"/>
  <c r="R29" i="14"/>
  <c r="S114" i="13"/>
  <c r="S113" i="12"/>
  <c r="R97" i="13"/>
  <c r="S93" i="13"/>
  <c r="S86" i="13" s="1"/>
  <c r="R25" i="13"/>
  <c r="R22" i="13"/>
  <c r="R29" i="13"/>
  <c r="S94" i="12"/>
  <c r="S87" i="12" s="1"/>
  <c r="S113" i="14"/>
  <c r="S57" i="13" l="1"/>
  <c r="S57" i="14"/>
  <c r="S150" i="14"/>
  <c r="S143" i="14" s="1"/>
  <c r="S58" i="12"/>
  <c r="S150" i="12"/>
  <c r="S143" i="12" s="1"/>
  <c r="S151" i="13"/>
  <c r="S144" i="13" s="1"/>
  <c r="S114" i="14" l="1"/>
  <c r="S114" i="12"/>
  <c r="S94" i="14"/>
  <c r="S87" i="14" s="1"/>
  <c r="S115" i="13"/>
  <c r="S94" i="13"/>
  <c r="S87" i="13" s="1"/>
  <c r="S95" i="12"/>
  <c r="S88" i="12" s="1"/>
  <c r="S152" i="13" l="1"/>
  <c r="S145" i="13" s="1"/>
  <c r="S59" i="12"/>
  <c r="S58" i="14"/>
  <c r="S151" i="12"/>
  <c r="S144" i="12" s="1"/>
  <c r="S151" i="14"/>
  <c r="S144" i="14" s="1"/>
  <c r="S58" i="13"/>
  <c r="S95" i="13" l="1"/>
  <c r="S88" i="13" s="1"/>
  <c r="S115" i="12"/>
  <c r="S117" i="13"/>
  <c r="S116" i="13"/>
  <c r="S115" i="14"/>
  <c r="S95" i="14"/>
  <c r="S88" i="14" s="1"/>
  <c r="S96" i="12"/>
  <c r="S89" i="12" s="1"/>
  <c r="S59" i="14" l="1"/>
  <c r="S152" i="14"/>
  <c r="S145" i="14" s="1"/>
  <c r="S59" i="13"/>
  <c r="S61" i="12"/>
  <c r="S60" i="12"/>
  <c r="S23" i="13"/>
  <c r="S26" i="13"/>
  <c r="S153" i="13"/>
  <c r="T149" i="13"/>
  <c r="T142" i="13" s="1"/>
  <c r="S30" i="13"/>
  <c r="S152" i="12"/>
  <c r="S145" i="12" s="1"/>
  <c r="S29" i="12" l="1"/>
  <c r="S22" i="12"/>
  <c r="S97" i="12"/>
  <c r="S25" i="12"/>
  <c r="T93" i="12"/>
  <c r="T86" i="12" s="1"/>
  <c r="S117" i="14"/>
  <c r="S116" i="14"/>
  <c r="T113" i="13"/>
  <c r="S96" i="14"/>
  <c r="S89" i="14" s="1"/>
  <c r="S117" i="12"/>
  <c r="S116" i="12"/>
  <c r="S96" i="13"/>
  <c r="S89" i="13" s="1"/>
  <c r="T57" i="12" l="1"/>
  <c r="S61" i="14"/>
  <c r="S60" i="14"/>
  <c r="S26" i="12"/>
  <c r="S30" i="12"/>
  <c r="S153" i="12"/>
  <c r="T149" i="12"/>
  <c r="T142" i="12" s="1"/>
  <c r="S23" i="12"/>
  <c r="S61" i="13"/>
  <c r="S60" i="13"/>
  <c r="S23" i="14"/>
  <c r="T149" i="14"/>
  <c r="T142" i="14" s="1"/>
  <c r="S30" i="14"/>
  <c r="S26" i="14"/>
  <c r="S153" i="14"/>
  <c r="T150" i="13"/>
  <c r="T143" i="13" s="1"/>
  <c r="S25" i="13" l="1"/>
  <c r="S22" i="13"/>
  <c r="S29" i="13"/>
  <c r="T93" i="13"/>
  <c r="T86" i="13" s="1"/>
  <c r="S97" i="13"/>
  <c r="T93" i="14"/>
  <c r="T86" i="14" s="1"/>
  <c r="S25" i="14"/>
  <c r="S29" i="14"/>
  <c r="S22" i="14"/>
  <c r="S97" i="14"/>
  <c r="T114" i="13"/>
  <c r="T113" i="12"/>
  <c r="T113" i="14"/>
  <c r="T94" i="12"/>
  <c r="T87" i="12" s="1"/>
  <c r="T151" i="13" l="1"/>
  <c r="T144" i="13" s="1"/>
  <c r="T57" i="13"/>
  <c r="T58" i="12"/>
  <c r="T150" i="14"/>
  <c r="T143" i="14" s="1"/>
  <c r="T150" i="12"/>
  <c r="T143" i="12" s="1"/>
  <c r="T57" i="14"/>
  <c r="T114" i="12" l="1"/>
  <c r="T94" i="14"/>
  <c r="T87" i="14" s="1"/>
  <c r="T95" i="12"/>
  <c r="T88" i="12" s="1"/>
  <c r="T115" i="13"/>
  <c r="T114" i="14"/>
  <c r="T94" i="13"/>
  <c r="T87" i="13" s="1"/>
  <c r="T152" i="13" l="1"/>
  <c r="T145" i="13" s="1"/>
  <c r="T58" i="14"/>
  <c r="T59" i="12"/>
  <c r="T151" i="14"/>
  <c r="T144" i="14" s="1"/>
  <c r="T151" i="12"/>
  <c r="T144" i="12" s="1"/>
  <c r="T58" i="13"/>
  <c r="T115" i="14" l="1"/>
  <c r="T95" i="13"/>
  <c r="T88" i="13" s="1"/>
  <c r="T117" i="13"/>
  <c r="T116" i="13"/>
  <c r="T115" i="12"/>
  <c r="T96" i="12"/>
  <c r="T89" i="12" s="1"/>
  <c r="T95" i="14"/>
  <c r="T88" i="14" s="1"/>
  <c r="T59" i="14" l="1"/>
  <c r="T152" i="12"/>
  <c r="T145" i="12" s="1"/>
  <c r="T59" i="13"/>
  <c r="T23" i="13"/>
  <c r="T153" i="13"/>
  <c r="U149" i="13"/>
  <c r="U142" i="13" s="1"/>
  <c r="T26" i="13"/>
  <c r="T30" i="13"/>
  <c r="T152" i="14"/>
  <c r="T145" i="14" s="1"/>
  <c r="T61" i="12"/>
  <c r="T60" i="12"/>
  <c r="U113" i="13" l="1"/>
  <c r="T117" i="12"/>
  <c r="T116" i="12"/>
  <c r="T22" i="12"/>
  <c r="T29" i="12"/>
  <c r="T97" i="12"/>
  <c r="U93" i="12"/>
  <c r="U86" i="12" s="1"/>
  <c r="T25" i="12"/>
  <c r="T96" i="13"/>
  <c r="T89" i="13" s="1"/>
  <c r="T96" i="14"/>
  <c r="T89" i="14" s="1"/>
  <c r="T117" i="14"/>
  <c r="T116" i="14"/>
  <c r="T61" i="13" l="1"/>
  <c r="T60" i="13"/>
  <c r="T61" i="14"/>
  <c r="T60" i="14"/>
  <c r="T23" i="12"/>
  <c r="T26" i="12"/>
  <c r="U149" i="12"/>
  <c r="U142" i="12" s="1"/>
  <c r="T153" i="12"/>
  <c r="T30" i="12"/>
  <c r="U149" i="14"/>
  <c r="U142" i="14" s="1"/>
  <c r="T26" i="14"/>
  <c r="T30" i="14"/>
  <c r="T23" i="14"/>
  <c r="T153" i="14"/>
  <c r="U57" i="12"/>
  <c r="U150" i="13"/>
  <c r="U143" i="13" s="1"/>
  <c r="U94" i="12" l="1"/>
  <c r="U87" i="12" s="1"/>
  <c r="U113" i="12"/>
  <c r="U113" i="14"/>
  <c r="U114" i="13"/>
  <c r="T22" i="14"/>
  <c r="T29" i="14"/>
  <c r="U93" i="14"/>
  <c r="U86" i="14" s="1"/>
  <c r="T25" i="14"/>
  <c r="T97" i="14"/>
  <c r="T25" i="13"/>
  <c r="T97" i="13"/>
  <c r="T22" i="13"/>
  <c r="U93" i="13"/>
  <c r="U86" i="13" s="1"/>
  <c r="T29" i="13"/>
  <c r="U150" i="14" l="1"/>
  <c r="U143" i="14" s="1"/>
  <c r="U57" i="14"/>
  <c r="U57" i="13"/>
  <c r="U150" i="12"/>
  <c r="U143" i="12" s="1"/>
  <c r="U151" i="13"/>
  <c r="U144" i="13" s="1"/>
  <c r="U58" i="12"/>
  <c r="U115" i="13" l="1"/>
  <c r="U94" i="13"/>
  <c r="U87" i="13" s="1"/>
  <c r="U95" i="12"/>
  <c r="U88" i="12" s="1"/>
  <c r="U94" i="14"/>
  <c r="U87" i="14" s="1"/>
  <c r="U114" i="14"/>
  <c r="U114" i="12"/>
  <c r="U58" i="13" l="1"/>
  <c r="U151" i="12"/>
  <c r="U144" i="12" s="1"/>
  <c r="U59" i="12"/>
  <c r="U151" i="14"/>
  <c r="U144" i="14" s="1"/>
  <c r="U58" i="14"/>
  <c r="U152" i="13"/>
  <c r="U145" i="13" s="1"/>
  <c r="U95" i="14" l="1"/>
  <c r="U88" i="14" s="1"/>
  <c r="U115" i="12"/>
  <c r="U96" i="12"/>
  <c r="U89" i="12" s="1"/>
  <c r="U117" i="13"/>
  <c r="U116" i="13"/>
  <c r="U95" i="13"/>
  <c r="U88" i="13" s="1"/>
  <c r="U115" i="14"/>
  <c r="U152" i="14" l="1"/>
  <c r="U145" i="14" s="1"/>
  <c r="U59" i="14"/>
  <c r="U59" i="13"/>
  <c r="U61" i="12"/>
  <c r="U60" i="12"/>
  <c r="V149" i="13"/>
  <c r="V142" i="13" s="1"/>
  <c r="U26" i="13"/>
  <c r="U30" i="13"/>
  <c r="U153" i="13"/>
  <c r="U23" i="13"/>
  <c r="U152" i="12"/>
  <c r="U145" i="12" s="1"/>
  <c r="U117" i="14" l="1"/>
  <c r="U116" i="14"/>
  <c r="U117" i="12"/>
  <c r="U116" i="12"/>
  <c r="U97" i="12"/>
  <c r="V93" i="12"/>
  <c r="V86" i="12" s="1"/>
  <c r="U29" i="12"/>
  <c r="U22" i="12"/>
  <c r="U25" i="12"/>
  <c r="U96" i="13"/>
  <c r="U89" i="13" s="1"/>
  <c r="V113" i="13"/>
  <c r="U96" i="14"/>
  <c r="U89" i="14" s="1"/>
  <c r="V57" i="12" l="1"/>
  <c r="U61" i="13"/>
  <c r="U60" i="13"/>
  <c r="U23" i="12"/>
  <c r="V149" i="12"/>
  <c r="V142" i="12" s="1"/>
  <c r="U153" i="12"/>
  <c r="U26" i="12"/>
  <c r="U30" i="12"/>
  <c r="U61" i="14"/>
  <c r="U60" i="14"/>
  <c r="V150" i="13"/>
  <c r="V143" i="13" s="1"/>
  <c r="U26" i="14"/>
  <c r="U153" i="14"/>
  <c r="U30" i="14"/>
  <c r="V149" i="14"/>
  <c r="V142" i="14" s="1"/>
  <c r="U23" i="14"/>
  <c r="V113" i="14" l="1"/>
  <c r="V113" i="12"/>
  <c r="U25" i="14"/>
  <c r="U22" i="14"/>
  <c r="U29" i="14"/>
  <c r="V93" i="14"/>
  <c r="V86" i="14" s="1"/>
  <c r="U97" i="14"/>
  <c r="U22" i="13"/>
  <c r="U25" i="13"/>
  <c r="V93" i="13"/>
  <c r="V86" i="13" s="1"/>
  <c r="U29" i="13"/>
  <c r="U97" i="13"/>
  <c r="V114" i="13"/>
  <c r="V94" i="12"/>
  <c r="V87" i="12" s="1"/>
  <c r="V151" i="13" l="1"/>
  <c r="V144" i="13" s="1"/>
  <c r="V57" i="14"/>
  <c r="V150" i="12"/>
  <c r="V143" i="12" s="1"/>
  <c r="V57" i="13"/>
  <c r="V58" i="12"/>
  <c r="V150" i="14"/>
  <c r="V143" i="14" s="1"/>
  <c r="V114" i="12" l="1"/>
  <c r="V94" i="13"/>
  <c r="V87" i="13" s="1"/>
  <c r="V115" i="13"/>
  <c r="V114" i="14"/>
  <c r="V94" i="14"/>
  <c r="V87" i="14" s="1"/>
  <c r="V95" i="12"/>
  <c r="V88" i="12" s="1"/>
  <c r="V58" i="14" l="1"/>
  <c r="V151" i="14"/>
  <c r="V144" i="14" s="1"/>
  <c r="V152" i="13"/>
  <c r="V145" i="13" s="1"/>
  <c r="V59" i="12"/>
  <c r="V58" i="13"/>
  <c r="V151" i="12"/>
  <c r="V144" i="12" s="1"/>
  <c r="V117" i="13" l="1"/>
  <c r="V116" i="13"/>
  <c r="V115" i="14"/>
  <c r="V95" i="13"/>
  <c r="V88" i="13" s="1"/>
  <c r="V96" i="12"/>
  <c r="V89" i="12" s="1"/>
  <c r="V95" i="14"/>
  <c r="V88" i="14" s="1"/>
  <c r="V115" i="12"/>
  <c r="V59" i="14" l="1"/>
  <c r="V152" i="12"/>
  <c r="V145" i="12" s="1"/>
  <c r="V152" i="14"/>
  <c r="V145" i="14" s="1"/>
  <c r="V61" i="12"/>
  <c r="V60" i="12"/>
  <c r="V23" i="13"/>
  <c r="V30" i="13"/>
  <c r="V153" i="13"/>
  <c r="V26" i="13"/>
  <c r="W149" i="13"/>
  <c r="W142" i="13" s="1"/>
  <c r="V59" i="13"/>
  <c r="V117" i="14" l="1"/>
  <c r="V116" i="14"/>
  <c r="W113" i="13"/>
  <c r="V96" i="13"/>
  <c r="V89" i="13" s="1"/>
  <c r="V117" i="12"/>
  <c r="V116" i="12"/>
  <c r="V29" i="12"/>
  <c r="W93" i="12"/>
  <c r="W86" i="12" s="1"/>
  <c r="V22" i="12"/>
  <c r="V97" i="12"/>
  <c r="V25" i="12"/>
  <c r="V96" i="14"/>
  <c r="V89" i="14" s="1"/>
  <c r="V61" i="14" l="1"/>
  <c r="V60" i="14"/>
  <c r="W57" i="12"/>
  <c r="W149" i="12"/>
  <c r="W142" i="12" s="1"/>
  <c r="V30" i="12"/>
  <c r="V153" i="12"/>
  <c r="V26" i="12"/>
  <c r="V23" i="12"/>
  <c r="W150" i="13"/>
  <c r="W143" i="13" s="1"/>
  <c r="V61" i="13"/>
  <c r="V60" i="13"/>
  <c r="V30" i="14"/>
  <c r="V153" i="14"/>
  <c r="V23" i="14"/>
  <c r="V26" i="14"/>
  <c r="W149" i="14"/>
  <c r="W142" i="14" s="1"/>
  <c r="V97" i="13" l="1"/>
  <c r="W93" i="13"/>
  <c r="W86" i="13" s="1"/>
  <c r="V25" i="13"/>
  <c r="V22" i="13"/>
  <c r="V29" i="13"/>
  <c r="W113" i="12"/>
  <c r="W94" i="12"/>
  <c r="W87" i="12" s="1"/>
  <c r="W113" i="14"/>
  <c r="V25" i="14"/>
  <c r="V22" i="14"/>
  <c r="V97" i="14"/>
  <c r="V29" i="14"/>
  <c r="W93" i="14"/>
  <c r="W86" i="14" s="1"/>
  <c r="W114" i="13"/>
  <c r="W151" i="13" l="1"/>
  <c r="W144" i="13" s="1"/>
  <c r="W57" i="14"/>
  <c r="W150" i="12"/>
  <c r="W143" i="12" s="1"/>
  <c r="W150" i="14"/>
  <c r="W143" i="14" s="1"/>
  <c r="W57" i="13"/>
  <c r="W58" i="12"/>
  <c r="W95" i="12" l="1"/>
  <c r="W88" i="12" s="1"/>
  <c r="W94" i="14"/>
  <c r="W87" i="14" s="1"/>
  <c r="W94" i="13"/>
  <c r="W87" i="13" s="1"/>
  <c r="W114" i="14"/>
  <c r="W115" i="13"/>
  <c r="W114" i="12"/>
  <c r="W152" i="13" l="1"/>
  <c r="W145" i="13" s="1"/>
  <c r="W58" i="13"/>
  <c r="W58" i="14"/>
  <c r="W59" i="12"/>
  <c r="W151" i="12"/>
  <c r="W144" i="12" s="1"/>
  <c r="W151" i="14"/>
  <c r="W144" i="14" s="1"/>
  <c r="W96" i="12" l="1"/>
  <c r="W89" i="12" s="1"/>
  <c r="W115" i="12"/>
  <c r="W95" i="14"/>
  <c r="W88" i="14" s="1"/>
  <c r="W117" i="13"/>
  <c r="W116" i="13"/>
  <c r="W115" i="14"/>
  <c r="W95" i="13"/>
  <c r="W88" i="13" s="1"/>
  <c r="W59" i="13" l="1"/>
  <c r="W152" i="14"/>
  <c r="W145" i="14" s="1"/>
  <c r="W26" i="13"/>
  <c r="W30" i="13"/>
  <c r="X149" i="13"/>
  <c r="X142" i="13" s="1"/>
  <c r="W23" i="13"/>
  <c r="W153" i="13"/>
  <c r="W59" i="14"/>
  <c r="W61" i="12"/>
  <c r="W60" i="12"/>
  <c r="W152" i="12"/>
  <c r="W145" i="12" s="1"/>
  <c r="W117" i="14" l="1"/>
  <c r="W116" i="14"/>
  <c r="W117" i="12"/>
  <c r="W116" i="12"/>
  <c r="X113" i="13"/>
  <c r="W29" i="12"/>
  <c r="X93" i="12"/>
  <c r="X86" i="12" s="1"/>
  <c r="W97" i="12"/>
  <c r="W25" i="12"/>
  <c r="W22" i="12"/>
  <c r="W96" i="13"/>
  <c r="W89" i="13" s="1"/>
  <c r="W96" i="14"/>
  <c r="W89" i="14" s="1"/>
  <c r="W61" i="14" l="1"/>
  <c r="W60" i="14"/>
  <c r="W61" i="13"/>
  <c r="W60" i="13"/>
  <c r="X150" i="13"/>
  <c r="X143" i="13" s="1"/>
  <c r="W30" i="12"/>
  <c r="X149" i="12"/>
  <c r="X142" i="12" s="1"/>
  <c r="W26" i="12"/>
  <c r="W153" i="12"/>
  <c r="W23" i="12"/>
  <c r="X149" i="14"/>
  <c r="X142" i="14" s="1"/>
  <c r="W26" i="14"/>
  <c r="W30" i="14"/>
  <c r="W23" i="14"/>
  <c r="W153" i="14"/>
  <c r="X57" i="12"/>
  <c r="X113" i="12" l="1"/>
  <c r="X114" i="13"/>
  <c r="X113" i="14"/>
  <c r="W29" i="13"/>
  <c r="X93" i="13"/>
  <c r="X86" i="13" s="1"/>
  <c r="W97" i="13"/>
  <c r="W25" i="13"/>
  <c r="W22" i="13"/>
  <c r="X94" i="12"/>
  <c r="X87" i="12" s="1"/>
  <c r="W29" i="14"/>
  <c r="W97" i="14"/>
  <c r="W25" i="14"/>
  <c r="X93" i="14"/>
  <c r="X86" i="14" s="1"/>
  <c r="W22" i="14"/>
  <c r="X151" i="13" l="1"/>
  <c r="X144" i="13" s="1"/>
  <c r="X150" i="14"/>
  <c r="X143" i="14" s="1"/>
  <c r="X58" i="12"/>
  <c r="X150" i="12"/>
  <c r="X143" i="12" s="1"/>
  <c r="X57" i="14"/>
  <c r="X57" i="13"/>
  <c r="X94" i="14" l="1"/>
  <c r="X87" i="14" s="1"/>
  <c r="X115" i="13"/>
  <c r="X95" i="12"/>
  <c r="X88" i="12" s="1"/>
  <c r="X94" i="13"/>
  <c r="X87" i="13" s="1"/>
  <c r="X114" i="12"/>
  <c r="X114" i="14"/>
  <c r="X151" i="12" l="1"/>
  <c r="X144" i="12" s="1"/>
  <c r="X59" i="12"/>
  <c r="X151" i="14"/>
  <c r="X144" i="14" s="1"/>
  <c r="X152" i="13"/>
  <c r="X145" i="13" s="1"/>
  <c r="X58" i="14"/>
  <c r="X58" i="13"/>
  <c r="X115" i="14" l="1"/>
  <c r="X95" i="13"/>
  <c r="X88" i="13" s="1"/>
  <c r="X117" i="13"/>
  <c r="X116" i="13"/>
  <c r="X95" i="14"/>
  <c r="X88" i="14" s="1"/>
  <c r="X96" i="12"/>
  <c r="X89" i="12" s="1"/>
  <c r="X115" i="12"/>
  <c r="X59" i="14" l="1"/>
  <c r="X59" i="13"/>
  <c r="X152" i="12"/>
  <c r="X145" i="12" s="1"/>
  <c r="X23" i="13"/>
  <c r="Y149" i="13"/>
  <c r="Y142" i="13" s="1"/>
  <c r="X26" i="13"/>
  <c r="X30" i="13"/>
  <c r="X153" i="13"/>
  <c r="X61" i="12"/>
  <c r="X60" i="12"/>
  <c r="X152" i="14"/>
  <c r="X145" i="14" s="1"/>
  <c r="Y113" i="13" l="1"/>
  <c r="X117" i="14"/>
  <c r="X116" i="14"/>
  <c r="X29" i="12"/>
  <c r="X97" i="12"/>
  <c r="X22" i="12"/>
  <c r="X25" i="12"/>
  <c r="Y93" i="12"/>
  <c r="Y86" i="12" s="1"/>
  <c r="X96" i="13"/>
  <c r="X89" i="13" s="1"/>
  <c r="X117" i="12"/>
  <c r="X116" i="12"/>
  <c r="X96" i="14"/>
  <c r="X89" i="14" s="1"/>
  <c r="X23" i="12" l="1"/>
  <c r="X30" i="12"/>
  <c r="X26" i="12"/>
  <c r="X153" i="12"/>
  <c r="Y149" i="12"/>
  <c r="Y142" i="12" s="1"/>
  <c r="X61" i="13"/>
  <c r="X60" i="13"/>
  <c r="X153" i="14"/>
  <c r="X30" i="14"/>
  <c r="X23" i="14"/>
  <c r="X26" i="14"/>
  <c r="Y149" i="14"/>
  <c r="Y142" i="14" s="1"/>
  <c r="Y57" i="12"/>
  <c r="X61" i="14"/>
  <c r="X60" i="14"/>
  <c r="Y150" i="13"/>
  <c r="Y143" i="13" s="1"/>
  <c r="X25" i="13" l="1"/>
  <c r="X22" i="13"/>
  <c r="Y93" i="13"/>
  <c r="Y86" i="13" s="1"/>
  <c r="X29" i="13"/>
  <c r="X97" i="13"/>
  <c r="Y113" i="12"/>
  <c r="Y114" i="13"/>
  <c r="Y93" i="14"/>
  <c r="Y86" i="14" s="1"/>
  <c r="X97" i="14"/>
  <c r="X25" i="14"/>
  <c r="X29" i="14"/>
  <c r="X22" i="14"/>
  <c r="Y94" i="12"/>
  <c r="Y87" i="12" s="1"/>
  <c r="Y113" i="14"/>
  <c r="Y150" i="12" l="1"/>
  <c r="Y143" i="12" s="1"/>
  <c r="Y57" i="14"/>
  <c r="Y57" i="13"/>
  <c r="Y58" i="12"/>
  <c r="Y151" i="13"/>
  <c r="Y144" i="13" s="1"/>
  <c r="Y150" i="14"/>
  <c r="Y143" i="14" s="1"/>
  <c r="Y94" i="13" l="1"/>
  <c r="Y87" i="13" s="1"/>
  <c r="Y115" i="13"/>
  <c r="Y95" i="12"/>
  <c r="Y88" i="12" s="1"/>
  <c r="Y94" i="14"/>
  <c r="Y87" i="14" s="1"/>
  <c r="Y114" i="14"/>
  <c r="Y114" i="12"/>
  <c r="Y151" i="14" l="1"/>
  <c r="Y144" i="14" s="1"/>
  <c r="Y151" i="12"/>
  <c r="Y144" i="12" s="1"/>
  <c r="Y152" i="13"/>
  <c r="Y145" i="13" s="1"/>
  <c r="Y59" i="12"/>
  <c r="Y58" i="14"/>
  <c r="Y58" i="13"/>
  <c r="Y95" i="14" l="1"/>
  <c r="Y88" i="14" s="1"/>
  <c r="Y117" i="13"/>
  <c r="Y116" i="13"/>
  <c r="Y115" i="14"/>
  <c r="Y115" i="12"/>
  <c r="Y95" i="13"/>
  <c r="Y88" i="13" s="1"/>
  <c r="Y96" i="12"/>
  <c r="Y89" i="12" s="1"/>
  <c r="Y152" i="14" l="1"/>
  <c r="Y145" i="14" s="1"/>
  <c r="Y152" i="12"/>
  <c r="Y145" i="12" s="1"/>
  <c r="Y59" i="14"/>
  <c r="Y61" i="12"/>
  <c r="Y60" i="12"/>
  <c r="Y30" i="13"/>
  <c r="Y23" i="13"/>
  <c r="Y153" i="13"/>
  <c r="Y26" i="13"/>
  <c r="Z149" i="13"/>
  <c r="Z142" i="13" s="1"/>
  <c r="Y59" i="13"/>
  <c r="Y117" i="14" l="1"/>
  <c r="Y116" i="14"/>
  <c r="Y117" i="12"/>
  <c r="Y116" i="12"/>
  <c r="Y96" i="14"/>
  <c r="Y89" i="14" s="1"/>
  <c r="Y96" i="13"/>
  <c r="Y89" i="13" s="1"/>
  <c r="Z93" i="12"/>
  <c r="Z86" i="12" s="1"/>
  <c r="Y29" i="12"/>
  <c r="Y25" i="12"/>
  <c r="Y22" i="12"/>
  <c r="Y97" i="12"/>
  <c r="Z113" i="13"/>
  <c r="Y61" i="13" l="1"/>
  <c r="Y60" i="13"/>
  <c r="Z57" i="12"/>
  <c r="Y26" i="12"/>
  <c r="Y153" i="12"/>
  <c r="Y30" i="12"/>
  <c r="Z149" i="12"/>
  <c r="Z142" i="12" s="1"/>
  <c r="Y23" i="12"/>
  <c r="Y61" i="14"/>
  <c r="Y60" i="14"/>
  <c r="Y153" i="14"/>
  <c r="Y23" i="14"/>
  <c r="Y30" i="14"/>
  <c r="Z149" i="14"/>
  <c r="Z142" i="14" s="1"/>
  <c r="Y26" i="14"/>
  <c r="Z150" i="13"/>
  <c r="Z143" i="13" s="1"/>
  <c r="Z114" i="13" l="1"/>
  <c r="Y97" i="14"/>
  <c r="Y22" i="14"/>
  <c r="Y29" i="14"/>
  <c r="Z93" i="14"/>
  <c r="Z86" i="14" s="1"/>
  <c r="Y25" i="14"/>
  <c r="Z94" i="12"/>
  <c r="Z87" i="12" s="1"/>
  <c r="Z113" i="14"/>
  <c r="Y22" i="13"/>
  <c r="Z93" i="13"/>
  <c r="Z86" i="13" s="1"/>
  <c r="Y25" i="13"/>
  <c r="Y97" i="13"/>
  <c r="Y29" i="13"/>
  <c r="Z113" i="12"/>
  <c r="Z57" i="14" l="1"/>
  <c r="Z150" i="12"/>
  <c r="Z143" i="12" s="1"/>
  <c r="Z150" i="14"/>
  <c r="Z143" i="14" s="1"/>
  <c r="Z58" i="12"/>
  <c r="Z151" i="13"/>
  <c r="Z144" i="13" s="1"/>
  <c r="Z57" i="13"/>
  <c r="Z95" i="12" l="1"/>
  <c r="Z88" i="12" s="1"/>
  <c r="Z114" i="12"/>
  <c r="Z114" i="14"/>
  <c r="Z94" i="13"/>
  <c r="Z87" i="13" s="1"/>
  <c r="Z115" i="13"/>
  <c r="Z94" i="14"/>
  <c r="Z87" i="14" s="1"/>
  <c r="Z152" i="13" l="1"/>
  <c r="Z145" i="13" s="1"/>
  <c r="Z59" i="12"/>
  <c r="Z58" i="13"/>
  <c r="Z151" i="14"/>
  <c r="Z144" i="14" s="1"/>
  <c r="Z58" i="14"/>
  <c r="Z151" i="12"/>
  <c r="Z144" i="12" s="1"/>
  <c r="Z117" i="13" l="1"/>
  <c r="Z116" i="13"/>
  <c r="Z95" i="14"/>
  <c r="Z88" i="14" s="1"/>
  <c r="Z115" i="12"/>
  <c r="Z95" i="13"/>
  <c r="Z88" i="13" s="1"/>
  <c r="Z115" i="14"/>
  <c r="Z96" i="12"/>
  <c r="Z89" i="12" s="1"/>
  <c r="Z59" i="14" l="1"/>
  <c r="Z152" i="12"/>
  <c r="Z145" i="12" s="1"/>
  <c r="Z152" i="14"/>
  <c r="Z145" i="14" s="1"/>
  <c r="Z59" i="13"/>
  <c r="Z26" i="13"/>
  <c r="Z23" i="13"/>
  <c r="Z30" i="13"/>
  <c r="Z153" i="13"/>
  <c r="AA149" i="13"/>
  <c r="AA142" i="13" s="1"/>
  <c r="Z61" i="12"/>
  <c r="Z60" i="12"/>
  <c r="AA113" i="13" l="1"/>
  <c r="Z117" i="12"/>
  <c r="Z116" i="12"/>
  <c r="Z117" i="14"/>
  <c r="Z116" i="14"/>
  <c r="Z29" i="12"/>
  <c r="Z22" i="12"/>
  <c r="AA93" i="12"/>
  <c r="AA86" i="12" s="1"/>
  <c r="Z97" i="12"/>
  <c r="Z25" i="12"/>
  <c r="Z96" i="13"/>
  <c r="Z89" i="13" s="1"/>
  <c r="Z96" i="14"/>
  <c r="Z89" i="14" s="1"/>
  <c r="Z61" i="14" l="1"/>
  <c r="Z60" i="14"/>
  <c r="Z23" i="14"/>
  <c r="Z30" i="14"/>
  <c r="AA149" i="14"/>
  <c r="AA142" i="14" s="1"/>
  <c r="Z153" i="14"/>
  <c r="Z26" i="14"/>
  <c r="Z23" i="12"/>
  <c r="AA149" i="12"/>
  <c r="AA142" i="12" s="1"/>
  <c r="Z30" i="12"/>
  <c r="Z26" i="12"/>
  <c r="Z153" i="12"/>
  <c r="AA57" i="12"/>
  <c r="AA150" i="13"/>
  <c r="AA143" i="13" s="1"/>
  <c r="Z61" i="13"/>
  <c r="Z60" i="13"/>
  <c r="AA113" i="14" l="1"/>
  <c r="AA114" i="13"/>
  <c r="Z29" i="13"/>
  <c r="Z97" i="13"/>
  <c r="AA93" i="13"/>
  <c r="AA86" i="13" s="1"/>
  <c r="Z25" i="13"/>
  <c r="Z22" i="13"/>
  <c r="AA113" i="12"/>
  <c r="Z29" i="14"/>
  <c r="AA93" i="14"/>
  <c r="AA86" i="14" s="1"/>
  <c r="Z22" i="14"/>
  <c r="Z97" i="14"/>
  <c r="Z25" i="14"/>
  <c r="AA94" i="12"/>
  <c r="AA87" i="12" s="1"/>
  <c r="AA57" i="14" l="1"/>
  <c r="AA58" i="12"/>
  <c r="AA150" i="12"/>
  <c r="AA143" i="12" s="1"/>
  <c r="AA151" i="13"/>
  <c r="AA144" i="13" s="1"/>
  <c r="AA57" i="13"/>
  <c r="AA150" i="14"/>
  <c r="AA143" i="14" s="1"/>
  <c r="AA115" i="13" l="1"/>
  <c r="AA114" i="12"/>
  <c r="AA95" i="12"/>
  <c r="AA88" i="12" s="1"/>
  <c r="AA114" i="14"/>
  <c r="AA94" i="14"/>
  <c r="AA87" i="14" s="1"/>
  <c r="AA94" i="13"/>
  <c r="AA87" i="13" s="1"/>
  <c r="AA151" i="14" l="1"/>
  <c r="AA144" i="14" s="1"/>
  <c r="AA151" i="12"/>
  <c r="AA144" i="12" s="1"/>
  <c r="AA58" i="13"/>
  <c r="AA59" i="12"/>
  <c r="AA152" i="13"/>
  <c r="AA145" i="13" s="1"/>
  <c r="AA58" i="14"/>
  <c r="AA95" i="13" l="1"/>
  <c r="AA88" i="13" s="1"/>
  <c r="AA96" i="12"/>
  <c r="AA89" i="12" s="1"/>
  <c r="AA95" i="14"/>
  <c r="AA88" i="14" s="1"/>
  <c r="AA115" i="12"/>
  <c r="AA115" i="14"/>
  <c r="AA117" i="13"/>
  <c r="AA116" i="13"/>
  <c r="AA59" i="14" l="1"/>
  <c r="AA152" i="14"/>
  <c r="AA145" i="14" s="1"/>
  <c r="AA23" i="13"/>
  <c r="AA30" i="13"/>
  <c r="AA153" i="13"/>
  <c r="AB149" i="13"/>
  <c r="AB142" i="13" s="1"/>
  <c r="AA26" i="13"/>
  <c r="AA59" i="13"/>
  <c r="AA61" i="12"/>
  <c r="AA60" i="12"/>
  <c r="AA152" i="12"/>
  <c r="AA145" i="12" s="1"/>
  <c r="AA96" i="13" l="1"/>
  <c r="AA89" i="13" s="1"/>
  <c r="AA117" i="12"/>
  <c r="AA116" i="12"/>
  <c r="AB113" i="13"/>
  <c r="AA22" i="12"/>
  <c r="AA97" i="12"/>
  <c r="AA25" i="12"/>
  <c r="AB93" i="12"/>
  <c r="AB86" i="12" s="1"/>
  <c r="AA29" i="12"/>
  <c r="AA96" i="14"/>
  <c r="AA89" i="14" s="1"/>
  <c r="AA117" i="14"/>
  <c r="AA116" i="14"/>
  <c r="AB57" i="12" l="1"/>
  <c r="AB150" i="13"/>
  <c r="AB143" i="13" s="1"/>
  <c r="AA26" i="14"/>
  <c r="AA23" i="14"/>
  <c r="AA30" i="14"/>
  <c r="AB149" i="14"/>
  <c r="AB142" i="14" s="1"/>
  <c r="AA153" i="14"/>
  <c r="AA61" i="13"/>
  <c r="AA60" i="13"/>
  <c r="AA61" i="14"/>
  <c r="AA60" i="14"/>
  <c r="AA23" i="12"/>
  <c r="AA30" i="12"/>
  <c r="AB149" i="12"/>
  <c r="AB142" i="12" s="1"/>
  <c r="AA153" i="12"/>
  <c r="AA26" i="12"/>
  <c r="AA29" i="14" l="1"/>
  <c r="AA25" i="14"/>
  <c r="AB93" i="14"/>
  <c r="AB86" i="14" s="1"/>
  <c r="AA22" i="14"/>
  <c r="AA97" i="14"/>
  <c r="AA97" i="13"/>
  <c r="AA29" i="13"/>
  <c r="AA22" i="13"/>
  <c r="AA25" i="13"/>
  <c r="AB93" i="13"/>
  <c r="AB86" i="13" s="1"/>
  <c r="AB114" i="13"/>
  <c r="AB113" i="14"/>
  <c r="AB113" i="12"/>
  <c r="AB94" i="12"/>
  <c r="AB87" i="12" s="1"/>
  <c r="AB57" i="13" l="1"/>
  <c r="AB57" i="14"/>
  <c r="AB150" i="12"/>
  <c r="AB143" i="12" s="1"/>
  <c r="AB150" i="14"/>
  <c r="AB143" i="14" s="1"/>
  <c r="AB58" i="12"/>
  <c r="AB151" i="13"/>
  <c r="AB144" i="13" s="1"/>
  <c r="AB114" i="12" l="1"/>
  <c r="AB115" i="13"/>
  <c r="AB94" i="14"/>
  <c r="AB87" i="14" s="1"/>
  <c r="AB114" i="14"/>
  <c r="AB95" i="12"/>
  <c r="AB88" i="12" s="1"/>
  <c r="AB94" i="13"/>
  <c r="AB87" i="13" s="1"/>
  <c r="AB58" i="14" l="1"/>
  <c r="AB59" i="12"/>
  <c r="AB152" i="13"/>
  <c r="AB145" i="13" s="1"/>
  <c r="AB58" i="13"/>
  <c r="AB151" i="12"/>
  <c r="AB144" i="12" s="1"/>
  <c r="AB151" i="14"/>
  <c r="AB144" i="14" s="1"/>
  <c r="AB117" i="13" l="1"/>
  <c r="AB116" i="13"/>
  <c r="AB95" i="13"/>
  <c r="AB88" i="13" s="1"/>
  <c r="AB115" i="12"/>
  <c r="AB96" i="12"/>
  <c r="AB89" i="12" s="1"/>
  <c r="AB95" i="14"/>
  <c r="AB88" i="14" s="1"/>
  <c r="AB115" i="14"/>
  <c r="AB61" i="12" l="1"/>
  <c r="AB60" i="12"/>
  <c r="AB59" i="13"/>
  <c r="AB152" i="14"/>
  <c r="AB145" i="14" s="1"/>
  <c r="AB152" i="12"/>
  <c r="AB145" i="12" s="1"/>
  <c r="AB30" i="13"/>
  <c r="AB26" i="13"/>
  <c r="AB153" i="13"/>
  <c r="AB23" i="13"/>
  <c r="AC149" i="13"/>
  <c r="AC142" i="13" s="1"/>
  <c r="AB59" i="14"/>
  <c r="AB117" i="14" l="1"/>
  <c r="AB116" i="14"/>
  <c r="AB117" i="12"/>
  <c r="AB116" i="12"/>
  <c r="AB96" i="13"/>
  <c r="AB89" i="13" s="1"/>
  <c r="AC113" i="13"/>
  <c r="AB22" i="12"/>
  <c r="AB29" i="12"/>
  <c r="AB97" i="12"/>
  <c r="AC93" i="12"/>
  <c r="AC86" i="12" s="1"/>
  <c r="AB25" i="12"/>
  <c r="AB96" i="14"/>
  <c r="AB89" i="14" s="1"/>
  <c r="AB61" i="13" l="1"/>
  <c r="AB60" i="13"/>
  <c r="AC150" i="13"/>
  <c r="AC143" i="13" s="1"/>
  <c r="AB30" i="12"/>
  <c r="AC149" i="12"/>
  <c r="AC142" i="12" s="1"/>
  <c r="AB153" i="12"/>
  <c r="AB23" i="12"/>
  <c r="AB26" i="12"/>
  <c r="AB61" i="14"/>
  <c r="AB60" i="14"/>
  <c r="AB26" i="14"/>
  <c r="AC149" i="14"/>
  <c r="AC142" i="14" s="1"/>
  <c r="AB30" i="14"/>
  <c r="AB153" i="14"/>
  <c r="AB23" i="14"/>
  <c r="AC57" i="12"/>
  <c r="AC113" i="14" l="1"/>
  <c r="AC113" i="12"/>
  <c r="AC114" i="13"/>
  <c r="AB25" i="14"/>
  <c r="AB97" i="14"/>
  <c r="AB29" i="14"/>
  <c r="AC93" i="14"/>
  <c r="AC86" i="14" s="1"/>
  <c r="AB22" i="14"/>
  <c r="AB97" i="13"/>
  <c r="AB29" i="13"/>
  <c r="AB22" i="13"/>
  <c r="AB25" i="13"/>
  <c r="AC93" i="13"/>
  <c r="AC86" i="13" s="1"/>
  <c r="AC94" i="12"/>
  <c r="AC87" i="12" s="1"/>
  <c r="AC151" i="13" l="1"/>
  <c r="AC144" i="13" s="1"/>
  <c r="AC57" i="14"/>
  <c r="AC57" i="13"/>
  <c r="AC150" i="12"/>
  <c r="AC143" i="12" s="1"/>
  <c r="AC58" i="12"/>
  <c r="AC150" i="14"/>
  <c r="AC143" i="14" s="1"/>
  <c r="AC114" i="14" l="1"/>
  <c r="AC94" i="13"/>
  <c r="AC87" i="13" s="1"/>
  <c r="AC115" i="13"/>
  <c r="AC114" i="12"/>
  <c r="AC95" i="12"/>
  <c r="AC88" i="12" s="1"/>
  <c r="AC94" i="14"/>
  <c r="AC87" i="14" s="1"/>
  <c r="AC59" i="12" l="1"/>
  <c r="AC151" i="12"/>
  <c r="AC144" i="12" s="1"/>
  <c r="AC152" i="13"/>
  <c r="AC145" i="13" s="1"/>
  <c r="AC58" i="13"/>
  <c r="AC58" i="14"/>
  <c r="AC151" i="14"/>
  <c r="AC144" i="14" s="1"/>
  <c r="AC115" i="14" l="1"/>
  <c r="AC117" i="13"/>
  <c r="AC116" i="13"/>
  <c r="AC95" i="14"/>
  <c r="AC88" i="14" s="1"/>
  <c r="AC95" i="13"/>
  <c r="AC88" i="13" s="1"/>
  <c r="AC96" i="12"/>
  <c r="AC89" i="12" s="1"/>
  <c r="AC115" i="12"/>
  <c r="AC152" i="12" l="1"/>
  <c r="AC145" i="12" s="1"/>
  <c r="AC30" i="13"/>
  <c r="AC153" i="13"/>
  <c r="AD149" i="13"/>
  <c r="AD142" i="13" s="1"/>
  <c r="AC23" i="13"/>
  <c r="AC26" i="13"/>
  <c r="AC59" i="14"/>
  <c r="AC61" i="12"/>
  <c r="AC60" i="12"/>
  <c r="AC152" i="14"/>
  <c r="AC145" i="14" s="1"/>
  <c r="AC59" i="13"/>
  <c r="AC117" i="12" l="1"/>
  <c r="AC116" i="12"/>
  <c r="AC117" i="14"/>
  <c r="AC116" i="14"/>
  <c r="AD113" i="13"/>
  <c r="AC96" i="13"/>
  <c r="AC89" i="13" s="1"/>
  <c r="AC29" i="12"/>
  <c r="AC22" i="12"/>
  <c r="AC25" i="12"/>
  <c r="AC97" i="12"/>
  <c r="AD93" i="12"/>
  <c r="AD86" i="12" s="1"/>
  <c r="AC96" i="14"/>
  <c r="AC89" i="14" s="1"/>
  <c r="AC61" i="14" l="1"/>
  <c r="AC60" i="14"/>
  <c r="AC61" i="13"/>
  <c r="AC60" i="13"/>
  <c r="AD150" i="13"/>
  <c r="AD143" i="13" s="1"/>
  <c r="AC30" i="14"/>
  <c r="AC23" i="14"/>
  <c r="AC26" i="14"/>
  <c r="AC153" i="14"/>
  <c r="AD149" i="14"/>
  <c r="AD142" i="14" s="1"/>
  <c r="AD57" i="12"/>
  <c r="AC153" i="12"/>
  <c r="AC30" i="12"/>
  <c r="AC23" i="12"/>
  <c r="AC26" i="12"/>
  <c r="AD149" i="12"/>
  <c r="AD142" i="12" s="1"/>
  <c r="AD113" i="12" l="1"/>
  <c r="AD94" i="12"/>
  <c r="AD87" i="12" s="1"/>
  <c r="AC97" i="13"/>
  <c r="AC29" i="13"/>
  <c r="AD93" i="13"/>
  <c r="AD86" i="13" s="1"/>
  <c r="AC25" i="13"/>
  <c r="AC22" i="13"/>
  <c r="AD114" i="13"/>
  <c r="AC29" i="14"/>
  <c r="AD93" i="14"/>
  <c r="AD86" i="14" s="1"/>
  <c r="AC22" i="14"/>
  <c r="AC25" i="14"/>
  <c r="AC97" i="14"/>
  <c r="AD113" i="14"/>
  <c r="AD57" i="14" l="1"/>
  <c r="AD150" i="14"/>
  <c r="AD143" i="14" s="1"/>
  <c r="AD58" i="12"/>
  <c r="AD57" i="13"/>
  <c r="AD151" i="13"/>
  <c r="AD144" i="13" s="1"/>
  <c r="AD150" i="12"/>
  <c r="AD143" i="12" s="1"/>
  <c r="AD114" i="12" l="1"/>
  <c r="AD115" i="13"/>
  <c r="AD95" i="12"/>
  <c r="AD88" i="12" s="1"/>
  <c r="AD94" i="13"/>
  <c r="AD87" i="13" s="1"/>
  <c r="AD114" i="14"/>
  <c r="AD94" i="14"/>
  <c r="AD87" i="14" s="1"/>
  <c r="AD58" i="13" l="1"/>
  <c r="AD152" i="13"/>
  <c r="AD145" i="13" s="1"/>
  <c r="AD151" i="14"/>
  <c r="AD144" i="14" s="1"/>
  <c r="AD58" i="14"/>
  <c r="AD151" i="12"/>
  <c r="AD144" i="12" s="1"/>
  <c r="AD59" i="12"/>
  <c r="AD96" i="12" l="1"/>
  <c r="AD89" i="12" s="1"/>
  <c r="AD117" i="13"/>
  <c r="AD116" i="13"/>
  <c r="AD115" i="14"/>
  <c r="AD95" i="14"/>
  <c r="AD88" i="14" s="1"/>
  <c r="AD95" i="13"/>
  <c r="AD88" i="13" s="1"/>
  <c r="AD115" i="12"/>
  <c r="AD59" i="13" l="1"/>
  <c r="AD152" i="12"/>
  <c r="AD145" i="12" s="1"/>
  <c r="AD61" i="12"/>
  <c r="AD60" i="12"/>
  <c r="AD152" i="14"/>
  <c r="AD145" i="14" s="1"/>
  <c r="AD59" i="14"/>
  <c r="AE149" i="13"/>
  <c r="AE142" i="13" s="1"/>
  <c r="AD23" i="13"/>
  <c r="AD30" i="13"/>
  <c r="AD26" i="13"/>
  <c r="AD153" i="13"/>
  <c r="AE113" i="13" l="1"/>
  <c r="AD117" i="12"/>
  <c r="AD116" i="12"/>
  <c r="AD29" i="12"/>
  <c r="AE93" i="12"/>
  <c r="AE86" i="12" s="1"/>
  <c r="AD97" i="12"/>
  <c r="AD25" i="12"/>
  <c r="AD22" i="12"/>
  <c r="AD96" i="13"/>
  <c r="AD89" i="13" s="1"/>
  <c r="AD96" i="14"/>
  <c r="AD89" i="14" s="1"/>
  <c r="AD117" i="14"/>
  <c r="AD116" i="14"/>
  <c r="AD61" i="14" l="1"/>
  <c r="AD60" i="14"/>
  <c r="AE57" i="12"/>
  <c r="AD23" i="12"/>
  <c r="AE149" i="12"/>
  <c r="AE142" i="12" s="1"/>
  <c r="AD30" i="12"/>
  <c r="AD153" i="12"/>
  <c r="AD26" i="12"/>
  <c r="AD26" i="14"/>
  <c r="AE149" i="14"/>
  <c r="AE142" i="14" s="1"/>
  <c r="AD30" i="14"/>
  <c r="AD23" i="14"/>
  <c r="AD153" i="14"/>
  <c r="AD61" i="13"/>
  <c r="AD60" i="13"/>
  <c r="AE150" i="13"/>
  <c r="AE143" i="13" s="1"/>
  <c r="AE113" i="12" l="1"/>
  <c r="AD25" i="13"/>
  <c r="AD29" i="13"/>
  <c r="AE93" i="13"/>
  <c r="AE86" i="13" s="1"/>
  <c r="AD22" i="13"/>
  <c r="AD97" i="13"/>
  <c r="AE94" i="12"/>
  <c r="AE87" i="12" s="1"/>
  <c r="AE114" i="13"/>
  <c r="AD97" i="14"/>
  <c r="AD29" i="14"/>
  <c r="AE93" i="14"/>
  <c r="AE86" i="14" s="1"/>
  <c r="AD22" i="14"/>
  <c r="AD25" i="14"/>
  <c r="AE113" i="14"/>
  <c r="AE57" i="13" l="1"/>
  <c r="AE58" i="12"/>
  <c r="AE151" i="13"/>
  <c r="AE144" i="13" s="1"/>
  <c r="AE150" i="14"/>
  <c r="AE143" i="14" s="1"/>
  <c r="AE57" i="14"/>
  <c r="AE150" i="12"/>
  <c r="AE143" i="12" s="1"/>
  <c r="AE115" i="13" l="1"/>
  <c r="AE95" i="12"/>
  <c r="AE88" i="12" s="1"/>
  <c r="AE114" i="14"/>
  <c r="AE114" i="12"/>
  <c r="AE94" i="14"/>
  <c r="AE87" i="14" s="1"/>
  <c r="AE94" i="13"/>
  <c r="AE87" i="13" s="1"/>
  <c r="AE59" i="12" l="1"/>
  <c r="AE58" i="14"/>
  <c r="AE151" i="12"/>
  <c r="AE144" i="12" s="1"/>
  <c r="AE151" i="14"/>
  <c r="AE144" i="14" s="1"/>
  <c r="AE152" i="13"/>
  <c r="AE145" i="13" s="1"/>
  <c r="AE58" i="13"/>
  <c r="AE115" i="12" l="1"/>
  <c r="AE95" i="13"/>
  <c r="AE88" i="13" s="1"/>
  <c r="AE117" i="13"/>
  <c r="AE116" i="13"/>
  <c r="AE95" i="14"/>
  <c r="AE88" i="14" s="1"/>
  <c r="AE96" i="12"/>
  <c r="AE89" i="12" s="1"/>
  <c r="AE115" i="14"/>
  <c r="AE61" i="12" l="1"/>
  <c r="AE60" i="12"/>
  <c r="AE59" i="13"/>
  <c r="AE152" i="14"/>
  <c r="AE145" i="14" s="1"/>
  <c r="AE23" i="13"/>
  <c r="AE30" i="13"/>
  <c r="AF149" i="13"/>
  <c r="AF142" i="13" s="1"/>
  <c r="AE26" i="13"/>
  <c r="AE153" i="13"/>
  <c r="AE152" i="12"/>
  <c r="AE145" i="12" s="1"/>
  <c r="AE59" i="14"/>
  <c r="AF113" i="13" l="1"/>
  <c r="AE117" i="14"/>
  <c r="AE116" i="14"/>
  <c r="AE117" i="12"/>
  <c r="AE116" i="12"/>
  <c r="AE96" i="13"/>
  <c r="AE89" i="13" s="1"/>
  <c r="AF93" i="12"/>
  <c r="AF86" i="12" s="1"/>
  <c r="AE22" i="12"/>
  <c r="AE29" i="12"/>
  <c r="AE25" i="12"/>
  <c r="AE97" i="12"/>
  <c r="AE96" i="14"/>
  <c r="AE89" i="14" s="1"/>
  <c r="AF57" i="12" l="1"/>
  <c r="AE61" i="14"/>
  <c r="AE60" i="14"/>
  <c r="AE153" i="12"/>
  <c r="AE26" i="12"/>
  <c r="AE30" i="12"/>
  <c r="AE23" i="12"/>
  <c r="AF149" i="12"/>
  <c r="AF142" i="12" s="1"/>
  <c r="AF149" i="14"/>
  <c r="AF142" i="14" s="1"/>
  <c r="AE153" i="14"/>
  <c r="AE30" i="14"/>
  <c r="AE23" i="14"/>
  <c r="AE26" i="14"/>
  <c r="AE61" i="13"/>
  <c r="AE60" i="13"/>
  <c r="AF150" i="13"/>
  <c r="AF143" i="13" s="1"/>
  <c r="AF113" i="14" l="1"/>
  <c r="AE22" i="14"/>
  <c r="AE25" i="14"/>
  <c r="AE29" i="14"/>
  <c r="AE97" i="14"/>
  <c r="AF93" i="14"/>
  <c r="AF86" i="14" s="1"/>
  <c r="AF93" i="13"/>
  <c r="AF86" i="13" s="1"/>
  <c r="AE29" i="13"/>
  <c r="AE25" i="13"/>
  <c r="AE22" i="13"/>
  <c r="AE97" i="13"/>
  <c r="AF113" i="12"/>
  <c r="AF114" i="13"/>
  <c r="AF94" i="12"/>
  <c r="AF87" i="12" s="1"/>
  <c r="AF150" i="12" l="1"/>
  <c r="AF143" i="12" s="1"/>
  <c r="AF58" i="12"/>
  <c r="AF151" i="13"/>
  <c r="AF144" i="13" s="1"/>
  <c r="AF57" i="13"/>
  <c r="AF150" i="14"/>
  <c r="AF143" i="14" s="1"/>
  <c r="AF57" i="14"/>
  <c r="AF94" i="13" l="1"/>
  <c r="AF87" i="13" s="1"/>
  <c r="AF115" i="13"/>
  <c r="AF95" i="12"/>
  <c r="AF88" i="12" s="1"/>
  <c r="AF114" i="14"/>
  <c r="AF94" i="14"/>
  <c r="AF87" i="14" s="1"/>
  <c r="AF114" i="12"/>
  <c r="AF152" i="13" l="1"/>
  <c r="AF145" i="13" s="1"/>
  <c r="AF59" i="12"/>
  <c r="AF58" i="14"/>
  <c r="AF151" i="12"/>
  <c r="AF144" i="12" s="1"/>
  <c r="AF151" i="14"/>
  <c r="AF144" i="14" s="1"/>
  <c r="AF58" i="13"/>
  <c r="AF115" i="14" l="1"/>
  <c r="AF115" i="12"/>
  <c r="AF95" i="13"/>
  <c r="AF88" i="13" s="1"/>
  <c r="AF95" i="14"/>
  <c r="AF88" i="14" s="1"/>
  <c r="AF117" i="13"/>
  <c r="AF116" i="13"/>
  <c r="AF96" i="12"/>
  <c r="AF89" i="12" s="1"/>
  <c r="AF59" i="14" l="1"/>
  <c r="AF59" i="13"/>
  <c r="AF30" i="13"/>
  <c r="AF26" i="13"/>
  <c r="AF153" i="13"/>
  <c r="AG149" i="13"/>
  <c r="AG142" i="13" s="1"/>
  <c r="AF23" i="13"/>
  <c r="AF152" i="12"/>
  <c r="AF145" i="12" s="1"/>
  <c r="AF152" i="14"/>
  <c r="AF145" i="14" s="1"/>
  <c r="AF61" i="12"/>
  <c r="AF60" i="12"/>
  <c r="AF117" i="12" l="1"/>
  <c r="AF116" i="12"/>
  <c r="AF117" i="14"/>
  <c r="AF116" i="14"/>
  <c r="AF96" i="13"/>
  <c r="AF89" i="13" s="1"/>
  <c r="AF22" i="12"/>
  <c r="AG93" i="12"/>
  <c r="AG86" i="12" s="1"/>
  <c r="AF97" i="12"/>
  <c r="AF25" i="12"/>
  <c r="AF29" i="12"/>
  <c r="AF96" i="14"/>
  <c r="AF89" i="14" s="1"/>
  <c r="AG113" i="13"/>
  <c r="AF61" i="13" l="1"/>
  <c r="AF60" i="13"/>
  <c r="AG57" i="12"/>
  <c r="AF61" i="14"/>
  <c r="AF60" i="14"/>
  <c r="AF26" i="14"/>
  <c r="AF153" i="14"/>
  <c r="AF23" i="14"/>
  <c r="AF30" i="14"/>
  <c r="AG149" i="14"/>
  <c r="AG142" i="14" s="1"/>
  <c r="AG150" i="13"/>
  <c r="AG143" i="13" s="1"/>
  <c r="AF26" i="12"/>
  <c r="AG149" i="12"/>
  <c r="AG142" i="12" s="1"/>
  <c r="AF30" i="12"/>
  <c r="AF153" i="12"/>
  <c r="AF23" i="12"/>
  <c r="AF25" i="14" l="1"/>
  <c r="AG93" i="14"/>
  <c r="AG86" i="14" s="1"/>
  <c r="AF22" i="14"/>
  <c r="AF29" i="14"/>
  <c r="AF97" i="14"/>
  <c r="AG113" i="14"/>
  <c r="AG94" i="12"/>
  <c r="AG87" i="12" s="1"/>
  <c r="AG114" i="13"/>
  <c r="AF25" i="13"/>
  <c r="AF29" i="13"/>
  <c r="AF22" i="13"/>
  <c r="AF97" i="13"/>
  <c r="AG93" i="13"/>
  <c r="AG86" i="13" s="1"/>
  <c r="AG113" i="12"/>
  <c r="AG151" i="13" l="1"/>
  <c r="AG144" i="13" s="1"/>
  <c r="AG150" i="12"/>
  <c r="AG143" i="12" s="1"/>
  <c r="AG57" i="14"/>
  <c r="AG58" i="12"/>
  <c r="AG57" i="13"/>
  <c r="AG150" i="14"/>
  <c r="AG143" i="14" s="1"/>
  <c r="AG95" i="12" l="1"/>
  <c r="AG88" i="12" s="1"/>
  <c r="AG115" i="13"/>
  <c r="AG114" i="12"/>
  <c r="AG94" i="14"/>
  <c r="AG87" i="14" s="1"/>
  <c r="AG114" i="14"/>
  <c r="AG94" i="13"/>
  <c r="AG87" i="13" s="1"/>
  <c r="AG58" i="13" l="1"/>
  <c r="AG151" i="14"/>
  <c r="AG144" i="14" s="1"/>
  <c r="AG59" i="12"/>
  <c r="AG151" i="12"/>
  <c r="AG144" i="12" s="1"/>
  <c r="AG58" i="14"/>
  <c r="AG152" i="13"/>
  <c r="AG145" i="13" s="1"/>
  <c r="AG115" i="12" l="1"/>
  <c r="AG95" i="14"/>
  <c r="AG88" i="14" s="1"/>
  <c r="AG115" i="14"/>
  <c r="AG96" i="12"/>
  <c r="AG89" i="12" s="1"/>
  <c r="AG95" i="13"/>
  <c r="AG88" i="13" s="1"/>
  <c r="AG117" i="13"/>
  <c r="AG116" i="13"/>
  <c r="AG61" i="12" l="1"/>
  <c r="AG60" i="12"/>
  <c r="AG153" i="13"/>
  <c r="AG26" i="13"/>
  <c r="AG30" i="13"/>
  <c r="AH149" i="13"/>
  <c r="AH142" i="13" s="1"/>
  <c r="AG23" i="13"/>
  <c r="AG152" i="14"/>
  <c r="AG145" i="14" s="1"/>
  <c r="AG59" i="13"/>
  <c r="AG152" i="12"/>
  <c r="AG145" i="12" s="1"/>
  <c r="AG59" i="14"/>
  <c r="AG117" i="14" l="1"/>
  <c r="AG116" i="14"/>
  <c r="AH113" i="13"/>
  <c r="AG96" i="14"/>
  <c r="AG89" i="14" s="1"/>
  <c r="AG96" i="13"/>
  <c r="AG89" i="13" s="1"/>
  <c r="AG22" i="12"/>
  <c r="AG29" i="12"/>
  <c r="AG25" i="12"/>
  <c r="AH93" i="12"/>
  <c r="AH86" i="12" s="1"/>
  <c r="AG97" i="12"/>
  <c r="AG117" i="12"/>
  <c r="AG116" i="12"/>
  <c r="AH57" i="12" l="1"/>
  <c r="AG61" i="14"/>
  <c r="AG60" i="14"/>
  <c r="AG23" i="12"/>
  <c r="AG153" i="12"/>
  <c r="AH149" i="12"/>
  <c r="AH142" i="12" s="1"/>
  <c r="AG26" i="12"/>
  <c r="AG30" i="12"/>
  <c r="AH150" i="13"/>
  <c r="AH143" i="13" s="1"/>
  <c r="AG61" i="13"/>
  <c r="AG60" i="13"/>
  <c r="AG26" i="14"/>
  <c r="AG23" i="14"/>
  <c r="AH149" i="14"/>
  <c r="AH142" i="14" s="1"/>
  <c r="AG30" i="14"/>
  <c r="AG153" i="14"/>
  <c r="AH114" i="13" l="1"/>
  <c r="AH113" i="12"/>
  <c r="AH93" i="13"/>
  <c r="AH86" i="13" s="1"/>
  <c r="AG97" i="13"/>
  <c r="AG29" i="13"/>
  <c r="AG25" i="13"/>
  <c r="AG22" i="13"/>
  <c r="AG29" i="14"/>
  <c r="AG25" i="14"/>
  <c r="AH93" i="14"/>
  <c r="AH86" i="14" s="1"/>
  <c r="AG97" i="14"/>
  <c r="AG22" i="14"/>
  <c r="AH113" i="14"/>
  <c r="AH94" i="12"/>
  <c r="AH87" i="12" s="1"/>
  <c r="AH57" i="14" l="1"/>
  <c r="AH57" i="13"/>
  <c r="AH58" i="12"/>
  <c r="AH150" i="14"/>
  <c r="AH143" i="14" s="1"/>
  <c r="AH150" i="12"/>
  <c r="AH143" i="12" s="1"/>
  <c r="AH151" i="13"/>
  <c r="AH144" i="13" s="1"/>
  <c r="AH95" i="12" l="1"/>
  <c r="AH88" i="12" s="1"/>
  <c r="AH114" i="12"/>
  <c r="AH115" i="13"/>
  <c r="AH94" i="13"/>
  <c r="AH87" i="13" s="1"/>
  <c r="AH114" i="14"/>
  <c r="AH94" i="14"/>
  <c r="AH87" i="14" s="1"/>
  <c r="AH58" i="14" l="1"/>
  <c r="AH151" i="14"/>
  <c r="AH144" i="14" s="1"/>
  <c r="AH59" i="12"/>
  <c r="AH58" i="13"/>
  <c r="AH152" i="13"/>
  <c r="AH145" i="13" s="1"/>
  <c r="AH151" i="12"/>
  <c r="AH144" i="12" s="1"/>
  <c r="AH115" i="14" l="1"/>
  <c r="AH95" i="13"/>
  <c r="AH88" i="13" s="1"/>
  <c r="AH117" i="13"/>
  <c r="AH116" i="13"/>
  <c r="AH115" i="12"/>
  <c r="AH95" i="14"/>
  <c r="AH88" i="14" s="1"/>
  <c r="AH96" i="12"/>
  <c r="AH89" i="12" s="1"/>
  <c r="AH59" i="14" l="1"/>
  <c r="AH152" i="12"/>
  <c r="AH145" i="12" s="1"/>
  <c r="AH61" i="12"/>
  <c r="AH60" i="12"/>
  <c r="AI149" i="13"/>
  <c r="AI142" i="13" s="1"/>
  <c r="AH30" i="13"/>
  <c r="AH23" i="13"/>
  <c r="AH153" i="13"/>
  <c r="AH26" i="13"/>
  <c r="AH152" i="14"/>
  <c r="AH145" i="14" s="1"/>
  <c r="AH59" i="13"/>
  <c r="AH117" i="12" l="1"/>
  <c r="AH116" i="12"/>
  <c r="AI113" i="13"/>
  <c r="AH117" i="14"/>
  <c r="AH116" i="14"/>
  <c r="AH97" i="12"/>
  <c r="AH22" i="12"/>
  <c r="AH25" i="12"/>
  <c r="AH29" i="12"/>
  <c r="AI93" i="12"/>
  <c r="AI86" i="12" s="1"/>
  <c r="AH96" i="13"/>
  <c r="AH89" i="13" s="1"/>
  <c r="AH96" i="14"/>
  <c r="AH89" i="14" s="1"/>
  <c r="AH61" i="14" l="1"/>
  <c r="AH60" i="14"/>
  <c r="AI149" i="14"/>
  <c r="AI142" i="14" s="1"/>
  <c r="AH30" i="14"/>
  <c r="AH23" i="14"/>
  <c r="AH26" i="14"/>
  <c r="AH153" i="14"/>
  <c r="AI57" i="12"/>
  <c r="AI150" i="13"/>
  <c r="AI143" i="13" s="1"/>
  <c r="AH26" i="12"/>
  <c r="AH23" i="12"/>
  <c r="AI149" i="12"/>
  <c r="AI142" i="12" s="1"/>
  <c r="AH153" i="12"/>
  <c r="AH30" i="12"/>
  <c r="AH61" i="13"/>
  <c r="AH60" i="13"/>
  <c r="AI113" i="12" l="1"/>
  <c r="AI113" i="14"/>
  <c r="AH29" i="13"/>
  <c r="AH25" i="13"/>
  <c r="AI93" i="13"/>
  <c r="AI86" i="13" s="1"/>
  <c r="AH97" i="13"/>
  <c r="AH22" i="13"/>
  <c r="AI94" i="12"/>
  <c r="AI87" i="12" s="1"/>
  <c r="AH22" i="14"/>
  <c r="AH97" i="14"/>
  <c r="AH25" i="14"/>
  <c r="AI93" i="14"/>
  <c r="AI86" i="14" s="1"/>
  <c r="AH29" i="14"/>
  <c r="AI114" i="13"/>
  <c r="AI58" i="12" l="1"/>
  <c r="AI57" i="14"/>
  <c r="AI151" i="13"/>
  <c r="AI144" i="13" s="1"/>
  <c r="AI150" i="14"/>
  <c r="AI143" i="14" s="1"/>
  <c r="AI57" i="13"/>
  <c r="AI150" i="12"/>
  <c r="AI143" i="12" s="1"/>
  <c r="AI114" i="14" l="1"/>
  <c r="AI94" i="14"/>
  <c r="AI87" i="14" s="1"/>
  <c r="AI94" i="13"/>
  <c r="AI87" i="13" s="1"/>
  <c r="AI114" i="12"/>
  <c r="AI95" i="12"/>
  <c r="AI88" i="12" s="1"/>
  <c r="AI115" i="13"/>
  <c r="AI152" i="13" l="1"/>
  <c r="AI145" i="13" s="1"/>
  <c r="AI58" i="13"/>
  <c r="AI58" i="14"/>
  <c r="AI151" i="12"/>
  <c r="AI144" i="12" s="1"/>
  <c r="AI151" i="14"/>
  <c r="AI144" i="14" s="1"/>
  <c r="AI59" i="12"/>
  <c r="AI115" i="12" l="1"/>
  <c r="AI117" i="13"/>
  <c r="AI116" i="13"/>
  <c r="AI96" i="12"/>
  <c r="AI89" i="12" s="1"/>
  <c r="AI115" i="14"/>
  <c r="AI95" i="14"/>
  <c r="AI88" i="14" s="1"/>
  <c r="AI95" i="13"/>
  <c r="AI88" i="13" s="1"/>
  <c r="AI59" i="14" l="1"/>
  <c r="AI152" i="14"/>
  <c r="AI145" i="14" s="1"/>
  <c r="AI153" i="13"/>
  <c r="AI30" i="13"/>
  <c r="AI23" i="13"/>
  <c r="AJ149" i="13"/>
  <c r="AJ142" i="13" s="1"/>
  <c r="AI26" i="13"/>
  <c r="AI59" i="13"/>
  <c r="AI152" i="12"/>
  <c r="AI145" i="12" s="1"/>
  <c r="AI61" i="12"/>
  <c r="AI60" i="12"/>
  <c r="AI117" i="12" l="1"/>
  <c r="AI116" i="12"/>
  <c r="AJ113" i="13"/>
  <c r="AI25" i="12"/>
  <c r="AI22" i="12"/>
  <c r="AI97" i="12"/>
  <c r="AI29" i="12"/>
  <c r="AJ93" i="12"/>
  <c r="AJ86" i="12" s="1"/>
  <c r="AI96" i="14"/>
  <c r="AI89" i="14" s="1"/>
  <c r="AI96" i="13"/>
  <c r="AI89" i="13" s="1"/>
  <c r="AI117" i="14"/>
  <c r="AI116" i="14"/>
  <c r="AI61" i="14" l="1"/>
  <c r="AI60" i="14"/>
  <c r="AI26" i="14"/>
  <c r="AJ149" i="14"/>
  <c r="AJ142" i="14" s="1"/>
  <c r="AI23" i="14"/>
  <c r="AI153" i="14"/>
  <c r="AI30" i="14"/>
  <c r="AJ150" i="13"/>
  <c r="AJ143" i="13" s="1"/>
  <c r="AJ57" i="12"/>
  <c r="AI26" i="12"/>
  <c r="AI30" i="12"/>
  <c r="AJ149" i="12"/>
  <c r="AJ142" i="12" s="1"/>
  <c r="AI23" i="12"/>
  <c r="AI153" i="12"/>
  <c r="AI61" i="13"/>
  <c r="AI60" i="13"/>
  <c r="AJ113" i="12" l="1"/>
  <c r="AJ113" i="14"/>
  <c r="AJ114" i="13"/>
  <c r="AI25" i="14"/>
  <c r="AI29" i="14"/>
  <c r="AJ93" i="14"/>
  <c r="AJ86" i="14" s="1"/>
  <c r="AI22" i="14"/>
  <c r="AI97" i="14"/>
  <c r="AI25" i="13"/>
  <c r="AI29" i="13"/>
  <c r="AI22" i="13"/>
  <c r="AJ93" i="13"/>
  <c r="AJ86" i="13" s="1"/>
  <c r="AI97" i="13"/>
  <c r="AJ94" i="12"/>
  <c r="AJ87" i="12" s="1"/>
  <c r="AJ151" i="13" l="1"/>
  <c r="AJ144" i="13" s="1"/>
  <c r="AJ57" i="13"/>
  <c r="AJ150" i="14"/>
  <c r="AJ143" i="14" s="1"/>
  <c r="AJ58" i="12"/>
  <c r="AJ57" i="14"/>
  <c r="AJ150" i="12"/>
  <c r="AJ143" i="12" s="1"/>
  <c r="AJ94" i="14" l="1"/>
  <c r="AJ87" i="14" s="1"/>
  <c r="AJ115" i="13"/>
  <c r="AJ95" i="12"/>
  <c r="AJ88" i="12" s="1"/>
  <c r="AJ114" i="14"/>
  <c r="AJ114" i="12"/>
  <c r="AJ94" i="13"/>
  <c r="AJ87" i="13" s="1"/>
  <c r="AJ151" i="12" l="1"/>
  <c r="AJ144" i="12" s="1"/>
  <c r="AJ58" i="13"/>
  <c r="AJ151" i="14"/>
  <c r="AJ144" i="14" s="1"/>
  <c r="AJ59" i="12"/>
  <c r="AJ152" i="13"/>
  <c r="AJ145" i="13" s="1"/>
  <c r="AJ58" i="14"/>
  <c r="AJ115" i="12" l="1"/>
  <c r="AJ115" i="14"/>
  <c r="AJ95" i="14"/>
  <c r="AJ88" i="14" s="1"/>
  <c r="AJ96" i="12"/>
  <c r="AJ89" i="12" s="1"/>
  <c r="AJ95" i="13"/>
  <c r="AJ88" i="13" s="1"/>
  <c r="AJ117" i="13"/>
  <c r="AJ116" i="13"/>
  <c r="AJ59" i="14" l="1"/>
  <c r="AK149" i="13"/>
  <c r="AK142" i="13" s="1"/>
  <c r="AJ153" i="13"/>
  <c r="AJ26" i="13"/>
  <c r="AJ30" i="13"/>
  <c r="AJ23" i="13"/>
  <c r="AJ59" i="13"/>
  <c r="AJ152" i="14"/>
  <c r="AJ145" i="14" s="1"/>
  <c r="AJ152" i="12"/>
  <c r="AJ145" i="12" s="1"/>
  <c r="AJ61" i="12"/>
  <c r="AJ60" i="12"/>
  <c r="AJ117" i="14" l="1"/>
  <c r="AJ116" i="14"/>
  <c r="AK113" i="13"/>
  <c r="AJ117" i="12"/>
  <c r="AJ116" i="12"/>
  <c r="AJ29" i="12"/>
  <c r="AJ25" i="12"/>
  <c r="AJ22" i="12"/>
  <c r="AK93" i="12"/>
  <c r="AK86" i="12" s="1"/>
  <c r="AJ97" i="12"/>
  <c r="AJ96" i="14"/>
  <c r="AJ89" i="14" s="1"/>
  <c r="AJ96" i="13"/>
  <c r="AJ89" i="13" s="1"/>
  <c r="AJ61" i="14" l="1"/>
  <c r="AJ60" i="14"/>
  <c r="AJ23" i="12"/>
  <c r="AJ30" i="12"/>
  <c r="AJ153" i="12"/>
  <c r="AJ26" i="12"/>
  <c r="AK149" i="12"/>
  <c r="AK142" i="12" s="1"/>
  <c r="AJ61" i="13"/>
  <c r="AJ60" i="13"/>
  <c r="AK57" i="12"/>
  <c r="AK150" i="13"/>
  <c r="AK143" i="13" s="1"/>
  <c r="AJ153" i="14"/>
  <c r="AJ23" i="14"/>
  <c r="AJ26" i="14"/>
  <c r="AK149" i="14"/>
  <c r="AK142" i="14" s="1"/>
  <c r="AJ30" i="14"/>
  <c r="AK113" i="12" l="1"/>
  <c r="AK114" i="13"/>
  <c r="AK94" i="12"/>
  <c r="AK87" i="12" s="1"/>
  <c r="AJ25" i="13"/>
  <c r="AK93" i="13"/>
  <c r="AK86" i="13" s="1"/>
  <c r="AJ22" i="13"/>
  <c r="AJ97" i="13"/>
  <c r="AJ29" i="13"/>
  <c r="AK93" i="14"/>
  <c r="AK86" i="14" s="1"/>
  <c r="AJ22" i="14"/>
  <c r="AJ97" i="14"/>
  <c r="AJ29" i="14"/>
  <c r="AJ25" i="14"/>
  <c r="AK113" i="14"/>
  <c r="AK57" i="14" l="1"/>
  <c r="AK58" i="12"/>
  <c r="AK151" i="13"/>
  <c r="AK144" i="13" s="1"/>
  <c r="AK150" i="14"/>
  <c r="AK143" i="14" s="1"/>
  <c r="AK57" i="13"/>
  <c r="AK150" i="12"/>
  <c r="AK143" i="12" s="1"/>
  <c r="AK115" i="13" l="1"/>
  <c r="AK114" i="14"/>
  <c r="AK95" i="12"/>
  <c r="AK88" i="12" s="1"/>
  <c r="AK114" i="12"/>
  <c r="AK94" i="13"/>
  <c r="AK87" i="13" s="1"/>
  <c r="AK94" i="14"/>
  <c r="AK87" i="14" s="1"/>
  <c r="AK151" i="12" l="1"/>
  <c r="AK144" i="12" s="1"/>
  <c r="AK58" i="14"/>
  <c r="AK151" i="14"/>
  <c r="AK144" i="14" s="1"/>
  <c r="AK58" i="13"/>
  <c r="AK152" i="13"/>
  <c r="AK145" i="13" s="1"/>
  <c r="AK59" i="12"/>
  <c r="AK95" i="13" l="1"/>
  <c r="AK88" i="13" s="1"/>
  <c r="AK117" i="13"/>
  <c r="AK116" i="13"/>
  <c r="AK96" i="12"/>
  <c r="AK89" i="12" s="1"/>
  <c r="AK115" i="12"/>
  <c r="AK115" i="14"/>
  <c r="AK95" i="14"/>
  <c r="AK88" i="14" s="1"/>
  <c r="AK61" i="12" l="1"/>
  <c r="AK60" i="12"/>
  <c r="AK59" i="14"/>
  <c r="AK152" i="14"/>
  <c r="AK145" i="14" s="1"/>
  <c r="AK152" i="12"/>
  <c r="AK145" i="12" s="1"/>
  <c r="AK30" i="13"/>
  <c r="AK26" i="13"/>
  <c r="AK153" i="13"/>
  <c r="AL149" i="13"/>
  <c r="AL142" i="13" s="1"/>
  <c r="AK23" i="13"/>
  <c r="AK59" i="13"/>
  <c r="AL113" i="13" l="1"/>
  <c r="AK117" i="14"/>
  <c r="AK116" i="14"/>
  <c r="AK96" i="13"/>
  <c r="AK89" i="13" s="1"/>
  <c r="AK96" i="14"/>
  <c r="AK89" i="14" s="1"/>
  <c r="AK117" i="12"/>
  <c r="AK116" i="12"/>
  <c r="AK25" i="12"/>
  <c r="AL93" i="12"/>
  <c r="AL86" i="12" s="1"/>
  <c r="AK97" i="12"/>
  <c r="AK22" i="12"/>
  <c r="AK29" i="12"/>
  <c r="AL57" i="12" l="1"/>
  <c r="AK61" i="14"/>
  <c r="AK60" i="14"/>
  <c r="AL149" i="12"/>
  <c r="AL142" i="12" s="1"/>
  <c r="AK23" i="12"/>
  <c r="AK153" i="12"/>
  <c r="AK26" i="12"/>
  <c r="AK30" i="12"/>
  <c r="AK153" i="14"/>
  <c r="AK26" i="14"/>
  <c r="AK23" i="14"/>
  <c r="AK30" i="14"/>
  <c r="AL149" i="14"/>
  <c r="AL142" i="14" s="1"/>
  <c r="AK61" i="13"/>
  <c r="AK60" i="13"/>
  <c r="AL150" i="13"/>
  <c r="AL143" i="13" s="1"/>
  <c r="AL113" i="14" l="1"/>
  <c r="AL114" i="13"/>
  <c r="AL113" i="12"/>
  <c r="AK29" i="14"/>
  <c r="AK25" i="14"/>
  <c r="AK97" i="14"/>
  <c r="AL93" i="14"/>
  <c r="AL86" i="14" s="1"/>
  <c r="AK22" i="14"/>
  <c r="AK22" i="13"/>
  <c r="AK29" i="13"/>
  <c r="AK97" i="13"/>
  <c r="AK25" i="13"/>
  <c r="AL93" i="13"/>
  <c r="AL86" i="13" s="1"/>
  <c r="AL94" i="12"/>
  <c r="AL87" i="12" s="1"/>
  <c r="AL58" i="12" l="1"/>
  <c r="AL150" i="12"/>
  <c r="AL143" i="12" s="1"/>
  <c r="AL57" i="14"/>
  <c r="AL151" i="13"/>
  <c r="AL144" i="13" s="1"/>
  <c r="AL57" i="13"/>
  <c r="AL150" i="14"/>
  <c r="AL143" i="14" s="1"/>
  <c r="AL94" i="13" l="1"/>
  <c r="AL87" i="13" s="1"/>
  <c r="AL115" i="13"/>
  <c r="AL114" i="12"/>
  <c r="AL94" i="14"/>
  <c r="AL87" i="14" s="1"/>
  <c r="AL95" i="12"/>
  <c r="AL88" i="12" s="1"/>
  <c r="AL114" i="14"/>
  <c r="AL151" i="14" l="1"/>
  <c r="AL144" i="14" s="1"/>
  <c r="AL58" i="13"/>
  <c r="AL58" i="14"/>
  <c r="AL151" i="12"/>
  <c r="AL144" i="12" s="1"/>
  <c r="AL59" i="12"/>
  <c r="AL152" i="13"/>
  <c r="AL145" i="13" s="1"/>
  <c r="AL96" i="12" l="1"/>
  <c r="AL89" i="12" s="1"/>
  <c r="AL115" i="12"/>
  <c r="AL115" i="14"/>
  <c r="AL95" i="14"/>
  <c r="AL88" i="14" s="1"/>
  <c r="AL117" i="13"/>
  <c r="AL116" i="13"/>
  <c r="AL95" i="13"/>
  <c r="AL88" i="13" s="1"/>
  <c r="AL59" i="13" l="1"/>
  <c r="AL26" i="13"/>
  <c r="AM149" i="13"/>
  <c r="AM142" i="13" s="1"/>
  <c r="AL23" i="13"/>
  <c r="AL30" i="13"/>
  <c r="AL153" i="13"/>
  <c r="AL61" i="12"/>
  <c r="AL60" i="12"/>
  <c r="AL59" i="14"/>
  <c r="AL152" i="14"/>
  <c r="AL145" i="14" s="1"/>
  <c r="AL152" i="12"/>
  <c r="AL145" i="12" s="1"/>
  <c r="AL117" i="14" l="1"/>
  <c r="AL116" i="14"/>
  <c r="AM113" i="13"/>
  <c r="AL117" i="12"/>
  <c r="AL116" i="12"/>
  <c r="AL96" i="14"/>
  <c r="AL89" i="14" s="1"/>
  <c r="AL25" i="12"/>
  <c r="AL22" i="12"/>
  <c r="AM93" i="12"/>
  <c r="AM86" i="12" s="1"/>
  <c r="AL97" i="12"/>
  <c r="AL29" i="12"/>
  <c r="AL96" i="13"/>
  <c r="AL89" i="13" s="1"/>
  <c r="AL30" i="12" l="1"/>
  <c r="AL26" i="12"/>
  <c r="AM149" i="12"/>
  <c r="AM142" i="12" s="1"/>
  <c r="AL23" i="12"/>
  <c r="AL153" i="12"/>
  <c r="AL61" i="14"/>
  <c r="AL60" i="14"/>
  <c r="AM150" i="13"/>
  <c r="AM143" i="13" s="1"/>
  <c r="AL61" i="13"/>
  <c r="AL60" i="13"/>
  <c r="AM149" i="14"/>
  <c r="AM142" i="14" s="1"/>
  <c r="AL26" i="14"/>
  <c r="AL153" i="14"/>
  <c r="AL23" i="14"/>
  <c r="AL30" i="14"/>
  <c r="AM57" i="12"/>
  <c r="AM113" i="14" l="1"/>
  <c r="AM113" i="12"/>
  <c r="AL29" i="13"/>
  <c r="AM93" i="13"/>
  <c r="AM86" i="13" s="1"/>
  <c r="AL97" i="13"/>
  <c r="AL25" i="13"/>
  <c r="AL22" i="13"/>
  <c r="AM94" i="12"/>
  <c r="AM87" i="12" s="1"/>
  <c r="AM114" i="13"/>
  <c r="AL29" i="14"/>
  <c r="AL22" i="14"/>
  <c r="AM93" i="14"/>
  <c r="AM86" i="14" s="1"/>
  <c r="AL97" i="14"/>
  <c r="AL25" i="14"/>
  <c r="AM58" i="12" l="1"/>
  <c r="AM151" i="13"/>
  <c r="AM144" i="13" s="1"/>
  <c r="AM57" i="14"/>
  <c r="AM150" i="12"/>
  <c r="AM143" i="12" s="1"/>
  <c r="AM57" i="13"/>
  <c r="AM150" i="14"/>
  <c r="AM143" i="14" s="1"/>
  <c r="AM115" i="13" l="1"/>
  <c r="AM114" i="14"/>
  <c r="AM94" i="13"/>
  <c r="AM87" i="13" s="1"/>
  <c r="AM94" i="14"/>
  <c r="AM87" i="14" s="1"/>
  <c r="AM95" i="12"/>
  <c r="AM88" i="12" s="1"/>
  <c r="AM114" i="12"/>
  <c r="AM58" i="13" l="1"/>
  <c r="AM58" i="14"/>
  <c r="AM151" i="14"/>
  <c r="AM144" i="14" s="1"/>
  <c r="AM151" i="12"/>
  <c r="AM144" i="12" s="1"/>
  <c r="AM152" i="13"/>
  <c r="AM145" i="13" s="1"/>
  <c r="AM59" i="12"/>
  <c r="AM115" i="14" l="1"/>
  <c r="AM96" i="12"/>
  <c r="AM89" i="12" s="1"/>
  <c r="AM95" i="14"/>
  <c r="AM88" i="14" s="1"/>
  <c r="AM117" i="13"/>
  <c r="AM116" i="13"/>
  <c r="AM95" i="13"/>
  <c r="AM88" i="13" s="1"/>
  <c r="AM115" i="12"/>
  <c r="AM59" i="13" l="1"/>
  <c r="AM61" i="12"/>
  <c r="AM60" i="12"/>
  <c r="AM59" i="14"/>
  <c r="AM152" i="14"/>
  <c r="AM145" i="14" s="1"/>
  <c r="AM152" i="12"/>
  <c r="AM145" i="12" s="1"/>
  <c r="AM23" i="13"/>
  <c r="AM26" i="13"/>
  <c r="AM30" i="13"/>
  <c r="AN149" i="13"/>
  <c r="AN142" i="13" s="1"/>
  <c r="AM153" i="13"/>
  <c r="AM96" i="14" l="1"/>
  <c r="AM89" i="14" s="1"/>
  <c r="AM25" i="12"/>
  <c r="AM29" i="12"/>
  <c r="AN93" i="12"/>
  <c r="AN86" i="12" s="1"/>
  <c r="AM22" i="12"/>
  <c r="AM97" i="12"/>
  <c r="AN113" i="13"/>
  <c r="AM117" i="14"/>
  <c r="AM116" i="14"/>
  <c r="AM96" i="13"/>
  <c r="AM89" i="13" s="1"/>
  <c r="AM117" i="12"/>
  <c r="AM116" i="12"/>
  <c r="AM61" i="13" l="1"/>
  <c r="AM60" i="13"/>
  <c r="AN150" i="13"/>
  <c r="AN143" i="13" s="1"/>
  <c r="AN57" i="12"/>
  <c r="AM61" i="14"/>
  <c r="AM60" i="14"/>
  <c r="AN149" i="12"/>
  <c r="AN142" i="12" s="1"/>
  <c r="AM30" i="12"/>
  <c r="AM26" i="12"/>
  <c r="AM23" i="12"/>
  <c r="AM153" i="12"/>
  <c r="AM30" i="14"/>
  <c r="AM26" i="14"/>
  <c r="AM23" i="14"/>
  <c r="AM153" i="14"/>
  <c r="AN149" i="14"/>
  <c r="AN142" i="14" s="1"/>
  <c r="AN113" i="12" l="1"/>
  <c r="AN93" i="14"/>
  <c r="AN86" i="14" s="1"/>
  <c r="AM97" i="14"/>
  <c r="AM22" i="14"/>
  <c r="AM29" i="14"/>
  <c r="AM25" i="14"/>
  <c r="AN94" i="12"/>
  <c r="AN87" i="12" s="1"/>
  <c r="AM25" i="13"/>
  <c r="AM22" i="13"/>
  <c r="AN93" i="13"/>
  <c r="AN86" i="13" s="1"/>
  <c r="AM97" i="13"/>
  <c r="AM29" i="13"/>
  <c r="AN114" i="13"/>
  <c r="AN113" i="14"/>
  <c r="AN57" i="14" l="1"/>
  <c r="AN150" i="14"/>
  <c r="AN143" i="14" s="1"/>
  <c r="AN58" i="12"/>
  <c r="AN150" i="12"/>
  <c r="AN143" i="12" s="1"/>
  <c r="AN57" i="13"/>
  <c r="AN151" i="13"/>
  <c r="AN144" i="13" s="1"/>
  <c r="AN114" i="12" l="1"/>
  <c r="AN94" i="13"/>
  <c r="AN87" i="13" s="1"/>
  <c r="AN114" i="14"/>
  <c r="AN95" i="12"/>
  <c r="AN88" i="12" s="1"/>
  <c r="AN115" i="13"/>
  <c r="AN94" i="14"/>
  <c r="AN87" i="14" s="1"/>
  <c r="AN152" i="13" l="1"/>
  <c r="AN145" i="13" s="1"/>
  <c r="AN59" i="12"/>
  <c r="AN58" i="13"/>
  <c r="AN151" i="14"/>
  <c r="AN144" i="14" s="1"/>
  <c r="AN151" i="12"/>
  <c r="AN144" i="12" s="1"/>
  <c r="AN58" i="14"/>
  <c r="AN95" i="14" l="1"/>
  <c r="AN88" i="14" s="1"/>
  <c r="AN96" i="12"/>
  <c r="AN89" i="12" s="1"/>
  <c r="AN115" i="14"/>
  <c r="AN115" i="12"/>
  <c r="AN117" i="13"/>
  <c r="E95" i="10" s="1" a="1"/>
  <c r="AN116" i="13"/>
  <c r="AN95" i="13"/>
  <c r="AN88" i="13" s="1"/>
  <c r="AN61" i="12" l="1"/>
  <c r="E26" i="10" s="1" a="1"/>
  <c r="AN60" i="12"/>
  <c r="AN152" i="12"/>
  <c r="AN145" i="12" s="1"/>
  <c r="J95" i="10"/>
  <c r="R95" i="10"/>
  <c r="AD95" i="10"/>
  <c r="AL95" i="10"/>
  <c r="E95" i="10"/>
  <c r="L95" i="10"/>
  <c r="T95" i="10"/>
  <c r="AF95" i="10"/>
  <c r="M95" i="10"/>
  <c r="U95" i="10"/>
  <c r="Y95" i="10"/>
  <c r="AG95" i="10"/>
  <c r="F95" i="10"/>
  <c r="N95" i="10"/>
  <c r="V95" i="10"/>
  <c r="Z95" i="10"/>
  <c r="AH95" i="10"/>
  <c r="G95" i="10"/>
  <c r="O95" i="10"/>
  <c r="W95" i="10"/>
  <c r="AA95" i="10"/>
  <c r="AI95" i="10"/>
  <c r="K95" i="10"/>
  <c r="AC95" i="10"/>
  <c r="P95" i="10"/>
  <c r="AE95" i="10"/>
  <c r="Q95" i="10"/>
  <c r="AJ95" i="10"/>
  <c r="S95" i="10"/>
  <c r="AK95" i="10"/>
  <c r="I95" i="10"/>
  <c r="AN95" i="10"/>
  <c r="BG112" i="10" s="1"/>
  <c r="AB95" i="10"/>
  <c r="H95" i="10"/>
  <c r="X95" i="10"/>
  <c r="AM95" i="10"/>
  <c r="AN59" i="14"/>
  <c r="AN152" i="14"/>
  <c r="AN145" i="14" s="1"/>
  <c r="AN59" i="13"/>
  <c r="AN153" i="13"/>
  <c r="AN23" i="13"/>
  <c r="AN26" i="13"/>
  <c r="AN30" i="13"/>
  <c r="AB112" i="10" l="1"/>
  <c r="AA112" i="10"/>
  <c r="AD112" i="10"/>
  <c r="BE112" i="10"/>
  <c r="BF112" i="10"/>
  <c r="AN117" i="14"/>
  <c r="E94" i="10" s="1" a="1"/>
  <c r="AN116" i="14"/>
  <c r="Z112" i="10"/>
  <c r="AK112" i="10"/>
  <c r="AI112" i="10"/>
  <c r="BA112" i="10"/>
  <c r="AF112" i="10"/>
  <c r="AC112" i="10"/>
  <c r="AX112" i="10"/>
  <c r="AN112" i="10"/>
  <c r="AU112" i="10"/>
  <c r="AV112" i="10"/>
  <c r="AS112" i="10"/>
  <c r="AY112" i="10"/>
  <c r="AM112" i="10"/>
  <c r="AN96" i="14"/>
  <c r="AN89" i="14" s="1"/>
  <c r="AG112" i="10"/>
  <c r="AE112" i="10"/>
  <c r="AN117" i="12"/>
  <c r="E96" i="10" s="1" a="1"/>
  <c r="AN116" i="12"/>
  <c r="AO112" i="10"/>
  <c r="BD112" i="10"/>
  <c r="BB112" i="10"/>
  <c r="AN96" i="13"/>
  <c r="AN89" i="13" s="1"/>
  <c r="AL112" i="10"/>
  <c r="AT112" i="10"/>
  <c r="Y112" i="10"/>
  <c r="H112" i="10"/>
  <c r="L112" i="10"/>
  <c r="X112" i="10"/>
  <c r="T112" i="10"/>
  <c r="E112" i="10"/>
  <c r="S112" i="10"/>
  <c r="N112" i="10"/>
  <c r="K112" i="10"/>
  <c r="U112" i="10"/>
  <c r="E107" i="13" a="1"/>
  <c r="J112" i="10"/>
  <c r="W112" i="10"/>
  <c r="I112" i="10"/>
  <c r="Q112" i="10"/>
  <c r="R112" i="10"/>
  <c r="V112" i="10"/>
  <c r="G112" i="10"/>
  <c r="M112" i="10"/>
  <c r="P112" i="10"/>
  <c r="F112" i="10"/>
  <c r="O112" i="10"/>
  <c r="BC112" i="10"/>
  <c r="AP112" i="10"/>
  <c r="AZ112" i="10"/>
  <c r="AQ112" i="10"/>
  <c r="AJ112" i="10"/>
  <c r="AH112" i="10"/>
  <c r="AR112" i="10"/>
  <c r="AW112" i="10"/>
  <c r="AN25" i="12"/>
  <c r="AN97" i="12"/>
  <c r="AN22" i="12"/>
  <c r="AN29" i="12"/>
  <c r="P26" i="10"/>
  <c r="Q26" i="10"/>
  <c r="AH26" i="10"/>
  <c r="V26" i="10"/>
  <c r="AK26" i="10"/>
  <c r="U26" i="10"/>
  <c r="K26" i="10"/>
  <c r="AG26" i="10"/>
  <c r="AA26" i="10"/>
  <c r="AD26" i="10"/>
  <c r="AN26" i="10"/>
  <c r="BG43" i="10" s="1"/>
  <c r="I26" i="10"/>
  <c r="J26" i="10"/>
  <c r="AE26" i="10"/>
  <c r="AB26" i="10"/>
  <c r="T26" i="10"/>
  <c r="Y26" i="10"/>
  <c r="S26" i="10"/>
  <c r="O26" i="10"/>
  <c r="G26" i="10"/>
  <c r="F26" i="10"/>
  <c r="AJ26" i="10"/>
  <c r="E26" i="10"/>
  <c r="X26" i="10"/>
  <c r="AF26" i="10"/>
  <c r="W26" i="10"/>
  <c r="Z26" i="10"/>
  <c r="N26" i="10"/>
  <c r="R26" i="10"/>
  <c r="AI26" i="10"/>
  <c r="AC26" i="10"/>
  <c r="H26" i="10"/>
  <c r="M26" i="10"/>
  <c r="AM26" i="10"/>
  <c r="AL26" i="10"/>
  <c r="L26" i="10"/>
  <c r="BF43" i="10" l="1"/>
  <c r="AP43" i="10"/>
  <c r="AE43" i="10"/>
  <c r="AJ43" i="10"/>
  <c r="AN61" i="14"/>
  <c r="AN60" i="14"/>
  <c r="AF43" i="10"/>
  <c r="AY43" i="10"/>
  <c r="AR43" i="10"/>
  <c r="AT43" i="10"/>
  <c r="AI43" i="10"/>
  <c r="AN23" i="12"/>
  <c r="AN30" i="12"/>
  <c r="AN153" i="12"/>
  <c r="AN26" i="12"/>
  <c r="AD96" i="10"/>
  <c r="L96" i="10"/>
  <c r="AF96" i="10"/>
  <c r="AC96" i="10"/>
  <c r="N96" i="10"/>
  <c r="J96" i="10"/>
  <c r="AB96" i="10"/>
  <c r="Y96" i="10"/>
  <c r="AM96" i="10"/>
  <c r="AJ96" i="10"/>
  <c r="H96" i="10"/>
  <c r="AA96" i="10"/>
  <c r="V96" i="10"/>
  <c r="E96" i="10"/>
  <c r="AE96" i="10"/>
  <c r="M96" i="10"/>
  <c r="I96" i="10"/>
  <c r="AG96" i="10"/>
  <c r="G96" i="10"/>
  <c r="F96" i="10"/>
  <c r="S96" i="10"/>
  <c r="O96" i="10"/>
  <c r="Q96" i="10"/>
  <c r="AI96" i="10"/>
  <c r="AK96" i="10"/>
  <c r="U96" i="10"/>
  <c r="T96" i="10"/>
  <c r="W96" i="10"/>
  <c r="X96" i="10"/>
  <c r="Z96" i="10"/>
  <c r="AL96" i="10"/>
  <c r="K96" i="10"/>
  <c r="AN96" i="10"/>
  <c r="BG113" i="10" s="1"/>
  <c r="AH96" i="10"/>
  <c r="R96" i="10"/>
  <c r="P96" i="10"/>
  <c r="AC108" i="13"/>
  <c r="E110" i="13"/>
  <c r="U110" i="13"/>
  <c r="F109" i="13"/>
  <c r="L110" i="13"/>
  <c r="K111" i="13"/>
  <c r="AD107" i="13"/>
  <c r="O110" i="13"/>
  <c r="Y110" i="13"/>
  <c r="AK110" i="13"/>
  <c r="R108" i="13"/>
  <c r="J107" i="13"/>
  <c r="AI108" i="13"/>
  <c r="J111" i="13"/>
  <c r="X108" i="13"/>
  <c r="W110" i="13"/>
  <c r="F111" i="13"/>
  <c r="E107" i="13"/>
  <c r="Y108" i="13"/>
  <c r="E109" i="13"/>
  <c r="N111" i="13"/>
  <c r="AC107" i="13"/>
  <c r="Q111" i="13"/>
  <c r="AE108" i="13"/>
  <c r="O108" i="13"/>
  <c r="W111" i="13"/>
  <c r="AK109" i="13"/>
  <c r="P107" i="13"/>
  <c r="AH107" i="13"/>
  <c r="R107" i="13"/>
  <c r="AL108" i="13"/>
  <c r="Z109" i="13"/>
  <c r="X109" i="13"/>
  <c r="W109" i="13"/>
  <c r="K110" i="13"/>
  <c r="AG108" i="13"/>
  <c r="M109" i="13"/>
  <c r="L108" i="13"/>
  <c r="AA107" i="13"/>
  <c r="Z111" i="13"/>
  <c r="AC109" i="13"/>
  <c r="J109" i="13"/>
  <c r="L107" i="13"/>
  <c r="N107" i="13"/>
  <c r="AF109" i="13"/>
  <c r="P111" i="13"/>
  <c r="X110" i="13"/>
  <c r="AA111" i="13"/>
  <c r="F110" i="13"/>
  <c r="V110" i="13"/>
  <c r="AN109" i="13"/>
  <c r="W107" i="13"/>
  <c r="AB109" i="13"/>
  <c r="AL110" i="13"/>
  <c r="I108" i="13"/>
  <c r="AD108" i="13"/>
  <c r="L111" i="13"/>
  <c r="J108" i="13"/>
  <c r="AE110" i="13"/>
  <c r="AK111" i="13"/>
  <c r="AB110" i="13"/>
  <c r="AA110" i="13"/>
  <c r="AE107" i="13"/>
  <c r="R109" i="13"/>
  <c r="AJ111" i="13"/>
  <c r="AN111" i="13"/>
  <c r="H111" i="13"/>
  <c r="U111" i="13"/>
  <c r="AG109" i="13"/>
  <c r="M110" i="13"/>
  <c r="G110" i="13"/>
  <c r="AJ107" i="13"/>
  <c r="O111" i="13"/>
  <c r="V107" i="13"/>
  <c r="M108" i="13"/>
  <c r="AM110" i="13"/>
  <c r="AJ109" i="13"/>
  <c r="W108" i="13"/>
  <c r="Q110" i="13"/>
  <c r="AF111" i="13"/>
  <c r="Z108" i="13"/>
  <c r="O109" i="13"/>
  <c r="N108" i="13"/>
  <c r="AI110" i="13"/>
  <c r="M111" i="13"/>
  <c r="AD111" i="13"/>
  <c r="Z110" i="13"/>
  <c r="P108" i="13"/>
  <c r="N109" i="13"/>
  <c r="AB107" i="13"/>
  <c r="K109" i="13"/>
  <c r="AC110" i="13"/>
  <c r="AF108" i="13"/>
  <c r="AA109" i="13"/>
  <c r="S110" i="13"/>
  <c r="Z107" i="13"/>
  <c r="G107" i="13"/>
  <c r="P110" i="13"/>
  <c r="AE111" i="13"/>
  <c r="AN108" i="13"/>
  <c r="I109" i="13"/>
  <c r="AM108" i="13"/>
  <c r="M107" i="13"/>
  <c r="AI107" i="13"/>
  <c r="U108" i="13"/>
  <c r="AM109" i="13"/>
  <c r="AM111" i="13"/>
  <c r="I107" i="13"/>
  <c r="AF110" i="13"/>
  <c r="AA108" i="13"/>
  <c r="AB111" i="13"/>
  <c r="X111" i="13"/>
  <c r="AK107" i="13"/>
  <c r="V109" i="13"/>
  <c r="AE109" i="13"/>
  <c r="AH108" i="13"/>
  <c r="AH109" i="13"/>
  <c r="AN107" i="13"/>
  <c r="AL109" i="13"/>
  <c r="AN110" i="13"/>
  <c r="P109" i="13"/>
  <c r="S107" i="13"/>
  <c r="Q107" i="13"/>
  <c r="V111" i="13"/>
  <c r="T108" i="13"/>
  <c r="AH111" i="13"/>
  <c r="Y107" i="13"/>
  <c r="AM107" i="13"/>
  <c r="AI109" i="13"/>
  <c r="H107" i="13"/>
  <c r="U107" i="13"/>
  <c r="Q108" i="13"/>
  <c r="AC111" i="13"/>
  <c r="R110" i="13"/>
  <c r="X107" i="13"/>
  <c r="N110" i="13"/>
  <c r="S108" i="13"/>
  <c r="AF107" i="13"/>
  <c r="Q109" i="13"/>
  <c r="U109" i="13"/>
  <c r="Y109" i="13"/>
  <c r="Y111" i="13"/>
  <c r="R111" i="13"/>
  <c r="V108" i="13"/>
  <c r="AH110" i="13"/>
  <c r="AD110" i="13"/>
  <c r="AB108" i="13"/>
  <c r="G108" i="13"/>
  <c r="G111" i="13"/>
  <c r="E108" i="13"/>
  <c r="H109" i="13"/>
  <c r="F108" i="13"/>
  <c r="T111" i="13"/>
  <c r="L109" i="13"/>
  <c r="I111" i="13"/>
  <c r="O107" i="13"/>
  <c r="AG111" i="13"/>
  <c r="S109" i="13"/>
  <c r="S111" i="13"/>
  <c r="AJ108" i="13"/>
  <c r="AI111" i="13"/>
  <c r="T109" i="13"/>
  <c r="AL111" i="13"/>
  <c r="K108" i="13"/>
  <c r="AG110" i="13"/>
  <c r="G109" i="13"/>
  <c r="H108" i="13"/>
  <c r="AL107" i="13"/>
  <c r="AD109" i="13"/>
  <c r="J110" i="13"/>
  <c r="T107" i="13"/>
  <c r="I110" i="13"/>
  <c r="T110" i="13"/>
  <c r="E111" i="13"/>
  <c r="AK108" i="13"/>
  <c r="AG107" i="13"/>
  <c r="F107" i="13"/>
  <c r="AJ110" i="13"/>
  <c r="K107" i="13"/>
  <c r="H110" i="13"/>
  <c r="AN61" i="13"/>
  <c r="E25" i="10" s="1" a="1"/>
  <c r="AN60" i="13"/>
  <c r="AL43" i="10"/>
  <c r="AW43" i="10"/>
  <c r="AA43" i="10"/>
  <c r="AQ43" i="10"/>
  <c r="AZ43" i="10"/>
  <c r="AD43" i="10"/>
  <c r="BC43" i="10"/>
  <c r="AX43" i="10"/>
  <c r="AM43" i="10"/>
  <c r="AV43" i="10"/>
  <c r="Q43" i="10"/>
  <c r="I43" i="10"/>
  <c r="N43" i="10"/>
  <c r="E43" i="10"/>
  <c r="U43" i="10"/>
  <c r="W43" i="10"/>
  <c r="V43" i="10"/>
  <c r="J43" i="10"/>
  <c r="E51" i="12" a="1"/>
  <c r="M43" i="10"/>
  <c r="H43" i="10"/>
  <c r="R43" i="10"/>
  <c r="O43" i="10"/>
  <c r="L43" i="10"/>
  <c r="T43" i="10"/>
  <c r="P43" i="10"/>
  <c r="X43" i="10"/>
  <c r="S43" i="10"/>
  <c r="G43" i="10"/>
  <c r="F43" i="10"/>
  <c r="K43" i="10"/>
  <c r="AU43" i="10"/>
  <c r="BB43" i="10"/>
  <c r="AN43" i="10"/>
  <c r="AK43" i="10"/>
  <c r="Y43" i="10"/>
  <c r="AC43" i="10"/>
  <c r="BD43" i="10"/>
  <c r="AG43" i="10"/>
  <c r="Z43" i="10"/>
  <c r="AB43" i="10"/>
  <c r="AO43" i="10"/>
  <c r="BE43" i="10"/>
  <c r="AS43" i="10"/>
  <c r="AH43" i="10"/>
  <c r="BA43" i="10"/>
  <c r="AN26" i="14"/>
  <c r="AN153" i="14"/>
  <c r="AN30" i="14"/>
  <c r="AN23" i="14"/>
  <c r="J94" i="10"/>
  <c r="O94" i="10"/>
  <c r="AA94" i="10"/>
  <c r="F94" i="10"/>
  <c r="S94" i="10"/>
  <c r="X94" i="10"/>
  <c r="AJ94" i="10"/>
  <c r="AH94" i="10"/>
  <c r="AK94" i="10"/>
  <c r="E94" i="10"/>
  <c r="AB94" i="10"/>
  <c r="AD94" i="10"/>
  <c r="AG94" i="10"/>
  <c r="G94" i="10"/>
  <c r="N94" i="10"/>
  <c r="V94" i="10"/>
  <c r="AE94" i="10"/>
  <c r="Y94" i="10"/>
  <c r="K94" i="10"/>
  <c r="W94" i="10"/>
  <c r="M94" i="10"/>
  <c r="AL94" i="10"/>
  <c r="P94" i="10"/>
  <c r="AN94" i="10"/>
  <c r="AI94" i="10"/>
  <c r="H94" i="10"/>
  <c r="T94" i="10"/>
  <c r="I94" i="10"/>
  <c r="AC94" i="10"/>
  <c r="L94" i="10"/>
  <c r="AF94" i="10"/>
  <c r="Q94" i="10"/>
  <c r="R94" i="10"/>
  <c r="U94" i="10"/>
  <c r="AM94" i="10"/>
  <c r="Z94" i="10"/>
  <c r="E24" i="10" l="1" a="1"/>
  <c r="E24" i="10" s="1"/>
  <c r="AS113" i="10"/>
  <c r="E101" i="13" a="1"/>
  <c r="O103" i="13" s="1"/>
  <c r="BA113" i="10"/>
  <c r="BE113" i="10"/>
  <c r="AH113" i="10"/>
  <c r="AT113" i="10"/>
  <c r="AV113" i="10"/>
  <c r="L92" i="10"/>
  <c r="AE111" i="10"/>
  <c r="AL92" i="10"/>
  <c r="BE111" i="10"/>
  <c r="G92" i="10"/>
  <c r="Z111" i="10"/>
  <c r="X92" i="10"/>
  <c r="AQ111" i="10"/>
  <c r="P113" i="10"/>
  <c r="O113" i="10"/>
  <c r="V113" i="10"/>
  <c r="R113" i="10"/>
  <c r="E113" i="10"/>
  <c r="N113" i="10"/>
  <c r="X113" i="10"/>
  <c r="U113" i="10"/>
  <c r="H113" i="10"/>
  <c r="M113" i="10"/>
  <c r="I113" i="10"/>
  <c r="Q113" i="10"/>
  <c r="W113" i="10"/>
  <c r="K113" i="10"/>
  <c r="F113" i="10"/>
  <c r="J113" i="10"/>
  <c r="G113" i="10"/>
  <c r="S113" i="10"/>
  <c r="T113" i="10"/>
  <c r="E107" i="12" a="1"/>
  <c r="L113" i="10"/>
  <c r="Z92" i="10"/>
  <c r="AS111" i="10"/>
  <c r="I92" i="10"/>
  <c r="AB111" i="10"/>
  <c r="W92" i="10"/>
  <c r="AP111" i="10"/>
  <c r="AD92" i="10"/>
  <c r="AW111" i="10"/>
  <c r="Y111" i="10"/>
  <c r="F92" i="10"/>
  <c r="AP113" i="10"/>
  <c r="AK113" i="10"/>
  <c r="AM113" i="10"/>
  <c r="Z113" i="10"/>
  <c r="AA113" i="10"/>
  <c r="AY113" i="10"/>
  <c r="AI113" i="10"/>
  <c r="U92" i="10"/>
  <c r="AN111" i="10"/>
  <c r="AA111" i="10"/>
  <c r="H92" i="10"/>
  <c r="Y92" i="10"/>
  <c r="AR111" i="10"/>
  <c r="K111" i="10"/>
  <c r="P111" i="10"/>
  <c r="M111" i="10"/>
  <c r="R111" i="10"/>
  <c r="E92" i="10"/>
  <c r="J111" i="10"/>
  <c r="U111" i="10"/>
  <c r="S111" i="10"/>
  <c r="E111" i="10"/>
  <c r="L111" i="10"/>
  <c r="Q111" i="10"/>
  <c r="V111" i="10"/>
  <c r="W111" i="10"/>
  <c r="O111" i="10"/>
  <c r="H111" i="10"/>
  <c r="N111" i="10"/>
  <c r="X111" i="10"/>
  <c r="G111" i="10"/>
  <c r="I111" i="10"/>
  <c r="T111" i="10"/>
  <c r="E107" i="14" a="1"/>
  <c r="F111" i="10"/>
  <c r="AH111" i="10"/>
  <c r="O92" i="10"/>
  <c r="AN22" i="13"/>
  <c r="AN29" i="13"/>
  <c r="AN97" i="13"/>
  <c r="AN25" i="13"/>
  <c r="AN113" i="10"/>
  <c r="AZ113" i="10"/>
  <c r="BC113" i="10"/>
  <c r="AE113" i="10"/>
  <c r="Z25" i="10"/>
  <c r="M25" i="10"/>
  <c r="J25" i="10"/>
  <c r="E25" i="10"/>
  <c r="T25" i="10"/>
  <c r="AM25" i="10"/>
  <c r="AC25" i="10"/>
  <c r="AB25" i="10"/>
  <c r="AL25" i="10"/>
  <c r="K25" i="10"/>
  <c r="AG25" i="10"/>
  <c r="AD25" i="10"/>
  <c r="AE25" i="10"/>
  <c r="U25" i="10"/>
  <c r="W25" i="10"/>
  <c r="G25" i="10"/>
  <c r="P25" i="10"/>
  <c r="I25" i="10"/>
  <c r="V25" i="10"/>
  <c r="AJ25" i="10"/>
  <c r="Q25" i="10"/>
  <c r="AN25" i="10"/>
  <c r="BG42" i="10" s="1"/>
  <c r="N25" i="10"/>
  <c r="X25" i="10"/>
  <c r="Y25" i="10"/>
  <c r="S25" i="10"/>
  <c r="AF25" i="10"/>
  <c r="AI25" i="10"/>
  <c r="H25" i="10"/>
  <c r="AK25" i="10"/>
  <c r="AA25" i="10"/>
  <c r="L25" i="10"/>
  <c r="O25" i="10"/>
  <c r="R25" i="10"/>
  <c r="AH25" i="10"/>
  <c r="F25" i="10"/>
  <c r="BD113" i="10"/>
  <c r="AB113" i="10"/>
  <c r="BF113" i="10"/>
  <c r="AW113" i="10"/>
  <c r="R92" i="10"/>
  <c r="AK111" i="10"/>
  <c r="AI92" i="10"/>
  <c r="BB111" i="10"/>
  <c r="AX111" i="10"/>
  <c r="AE92" i="10"/>
  <c r="BD111" i="10"/>
  <c r="AK92" i="10"/>
  <c r="AC111" i="10"/>
  <c r="J92" i="10"/>
  <c r="AD113" i="10"/>
  <c r="BB113" i="10"/>
  <c r="AF113" i="10"/>
  <c r="AR113" i="10"/>
  <c r="AC113" i="10"/>
  <c r="AV111" i="10"/>
  <c r="AC92" i="10"/>
  <c r="M92" i="10"/>
  <c r="AF111" i="10"/>
  <c r="AG92" i="10"/>
  <c r="AZ111" i="10"/>
  <c r="S92" i="10"/>
  <c r="AL111" i="10"/>
  <c r="Y113" i="10"/>
  <c r="BF111" i="10"/>
  <c r="AM92" i="10"/>
  <c r="AM111" i="10"/>
  <c r="T92" i="10"/>
  <c r="K92" i="10"/>
  <c r="AD111" i="10"/>
  <c r="AU111" i="10"/>
  <c r="AB92" i="10"/>
  <c r="AT111" i="10"/>
  <c r="AA92" i="10"/>
  <c r="Q92" i="10"/>
  <c r="AJ111" i="10"/>
  <c r="BG111" i="10"/>
  <c r="AN92" i="10"/>
  <c r="V92" i="10"/>
  <c r="AO111" i="10"/>
  <c r="AH92" i="10"/>
  <c r="BA111" i="10"/>
  <c r="AF92" i="10"/>
  <c r="AY111" i="10"/>
  <c r="AI111" i="10"/>
  <c r="P92" i="10"/>
  <c r="N92" i="10"/>
  <c r="AG111" i="10"/>
  <c r="AJ92" i="10"/>
  <c r="BC111" i="10"/>
  <c r="AJ113" i="10"/>
  <c r="AX113" i="10"/>
  <c r="AU113" i="10"/>
  <c r="AN22" i="14"/>
  <c r="AN25" i="14"/>
  <c r="AN97" i="14"/>
  <c r="AN29" i="14"/>
  <c r="AI55" i="12"/>
  <c r="Q51" i="12"/>
  <c r="AC55" i="12"/>
  <c r="AF54" i="12"/>
  <c r="S51" i="12"/>
  <c r="AK53" i="12"/>
  <c r="N54" i="12"/>
  <c r="AJ54" i="12"/>
  <c r="U55" i="12"/>
  <c r="AB54" i="12"/>
  <c r="AD53" i="12"/>
  <c r="T55" i="12"/>
  <c r="AN55" i="12"/>
  <c r="L52" i="12"/>
  <c r="AK52" i="12"/>
  <c r="I53" i="12"/>
  <c r="T53" i="12"/>
  <c r="F54" i="12"/>
  <c r="AH51" i="12"/>
  <c r="H53" i="12"/>
  <c r="AC54" i="12"/>
  <c r="P51" i="12"/>
  <c r="L54" i="12"/>
  <c r="AB52" i="12"/>
  <c r="AE55" i="12"/>
  <c r="AM51" i="12"/>
  <c r="I51" i="12"/>
  <c r="AL51" i="12"/>
  <c r="H54" i="12"/>
  <c r="Y55" i="12"/>
  <c r="AG53" i="12"/>
  <c r="AF55" i="12"/>
  <c r="R52" i="12"/>
  <c r="AL55" i="12"/>
  <c r="F52" i="12"/>
  <c r="AI53" i="12"/>
  <c r="Q54" i="12"/>
  <c r="AN52" i="12"/>
  <c r="L51" i="12"/>
  <c r="M53" i="12"/>
  <c r="AL54" i="12"/>
  <c r="W51" i="12"/>
  <c r="U53" i="12"/>
  <c r="P52" i="12"/>
  <c r="Y54" i="12"/>
  <c r="E54" i="12"/>
  <c r="AA55" i="12"/>
  <c r="H51" i="12"/>
  <c r="Y51" i="12"/>
  <c r="L55" i="12"/>
  <c r="M52" i="12"/>
  <c r="N51" i="12"/>
  <c r="I54" i="12"/>
  <c r="Z52" i="12"/>
  <c r="AE54" i="12"/>
  <c r="K55" i="12"/>
  <c r="S52" i="12"/>
  <c r="R51" i="12"/>
  <c r="O53" i="12"/>
  <c r="M51" i="12"/>
  <c r="G53" i="12"/>
  <c r="AJ52" i="12"/>
  <c r="O51" i="12"/>
  <c r="G55" i="12"/>
  <c r="Y53" i="12"/>
  <c r="N52" i="12"/>
  <c r="L53" i="12"/>
  <c r="W55" i="12"/>
  <c r="W52" i="12"/>
  <c r="AA52" i="12"/>
  <c r="G52" i="12"/>
  <c r="AD55" i="12"/>
  <c r="AI51" i="12"/>
  <c r="I55" i="12"/>
  <c r="X53" i="12"/>
  <c r="AA53" i="12"/>
  <c r="X54" i="12"/>
  <c r="AC52" i="12"/>
  <c r="V51" i="12"/>
  <c r="AD51" i="12"/>
  <c r="AN51" i="12"/>
  <c r="AB55" i="12"/>
  <c r="M55" i="12"/>
  <c r="AJ51" i="12"/>
  <c r="AK54" i="12"/>
  <c r="AE52" i="12"/>
  <c r="T51" i="12"/>
  <c r="R54" i="12"/>
  <c r="R53" i="12"/>
  <c r="AM54" i="12"/>
  <c r="S53" i="12"/>
  <c r="AD54" i="12"/>
  <c r="J53" i="12"/>
  <c r="U51" i="12"/>
  <c r="AG51" i="12"/>
  <c r="N55" i="12"/>
  <c r="Q55" i="12"/>
  <c r="F55" i="12"/>
  <c r="F51" i="12"/>
  <c r="AH54" i="12"/>
  <c r="P54" i="12"/>
  <c r="K51" i="12"/>
  <c r="O55" i="12"/>
  <c r="K53" i="12"/>
  <c r="AF51" i="12"/>
  <c r="I52" i="12"/>
  <c r="G54" i="12"/>
  <c r="J52" i="12"/>
  <c r="O52" i="12"/>
  <c r="AB53" i="12"/>
  <c r="AA51" i="12"/>
  <c r="T52" i="12"/>
  <c r="AC51" i="12"/>
  <c r="V54" i="12"/>
  <c r="AG52" i="12"/>
  <c r="E53" i="12"/>
  <c r="P53" i="12"/>
  <c r="AH53" i="12"/>
  <c r="AE53" i="12"/>
  <c r="AK51" i="12"/>
  <c r="AN53" i="12"/>
  <c r="Y52" i="12"/>
  <c r="T54" i="12"/>
  <c r="AM55" i="12"/>
  <c r="AB51" i="12"/>
  <c r="X52" i="12"/>
  <c r="W53" i="12"/>
  <c r="S54" i="12"/>
  <c r="Z51" i="12"/>
  <c r="V55" i="12"/>
  <c r="V52" i="12"/>
  <c r="J51" i="12"/>
  <c r="AH55" i="12"/>
  <c r="AC53" i="12"/>
  <c r="G51" i="12"/>
  <c r="AJ55" i="12"/>
  <c r="X51" i="12"/>
  <c r="K54" i="12"/>
  <c r="AJ53" i="12"/>
  <c r="AM52" i="12"/>
  <c r="W54" i="12"/>
  <c r="J55" i="12"/>
  <c r="AI52" i="12"/>
  <c r="P55" i="12"/>
  <c r="X55" i="12"/>
  <c r="N53" i="12"/>
  <c r="Z54" i="12"/>
  <c r="AG54" i="12"/>
  <c r="E55" i="12"/>
  <c r="AD52" i="12"/>
  <c r="AE51" i="12"/>
  <c r="K52" i="12"/>
  <c r="S55" i="12"/>
  <c r="V53" i="12"/>
  <c r="U52" i="12"/>
  <c r="AA54" i="12"/>
  <c r="AH52" i="12"/>
  <c r="Z53" i="12"/>
  <c r="AM53" i="12"/>
  <c r="AL52" i="12"/>
  <c r="AF52" i="12"/>
  <c r="AF53" i="12"/>
  <c r="AK55" i="12"/>
  <c r="E51" i="12"/>
  <c r="O54" i="12"/>
  <c r="Z55" i="12"/>
  <c r="AN54" i="12"/>
  <c r="AI54" i="12"/>
  <c r="Q52" i="12"/>
  <c r="AL53" i="12"/>
  <c r="H52" i="12"/>
  <c r="R55" i="12"/>
  <c r="J54" i="12"/>
  <c r="M54" i="12"/>
  <c r="Q53" i="12"/>
  <c r="E52" i="12"/>
  <c r="H55" i="12"/>
  <c r="U54" i="12"/>
  <c r="AG55" i="12"/>
  <c r="F53" i="12"/>
  <c r="AQ113" i="10"/>
  <c r="AL113" i="10"/>
  <c r="AO113" i="10"/>
  <c r="AG113" i="10"/>
  <c r="AG24" i="10" l="1"/>
  <c r="AD24" i="10"/>
  <c r="T24" i="10"/>
  <c r="AH24" i="10"/>
  <c r="AH54" i="14" s="1"/>
  <c r="I24" i="10"/>
  <c r="I54" i="14" s="1"/>
  <c r="V24" i="10"/>
  <c r="V55" i="14" s="1"/>
  <c r="R24" i="10"/>
  <c r="R54" i="14" s="1"/>
  <c r="AN24" i="10"/>
  <c r="BG41" i="10" s="1"/>
  <c r="AE24" i="10"/>
  <c r="N24" i="10"/>
  <c r="J24" i="10"/>
  <c r="K24" i="10"/>
  <c r="K51" i="14" s="1"/>
  <c r="G24" i="10"/>
  <c r="G52" i="14" s="1"/>
  <c r="AJ24" i="10"/>
  <c r="AJ55" i="14" s="1"/>
  <c r="Z24" i="10"/>
  <c r="Z55" i="14" s="1"/>
  <c r="H24" i="10"/>
  <c r="H54" i="14" s="1"/>
  <c r="Y24" i="10"/>
  <c r="AI24" i="10"/>
  <c r="AM24" i="10"/>
  <c r="AK24" i="10"/>
  <c r="AK52" i="14" s="1"/>
  <c r="AC24" i="10"/>
  <c r="AC55" i="14" s="1"/>
  <c r="W24" i="10"/>
  <c r="W54" i="14" s="1"/>
  <c r="U24" i="10"/>
  <c r="U52" i="14" s="1"/>
  <c r="AA24" i="10"/>
  <c r="AA55" i="14" s="1"/>
  <c r="O24" i="10"/>
  <c r="M24" i="10"/>
  <c r="S24" i="10"/>
  <c r="Q24" i="10"/>
  <c r="Q55" i="14" s="1"/>
  <c r="AL24" i="10"/>
  <c r="AL54" i="14" s="1"/>
  <c r="F24" i="10"/>
  <c r="F41" i="10" s="1"/>
  <c r="L24" i="10"/>
  <c r="L53" i="14" s="1"/>
  <c r="X24" i="10"/>
  <c r="X53" i="14" s="1"/>
  <c r="P24" i="10"/>
  <c r="AB24" i="10"/>
  <c r="AF24" i="10"/>
  <c r="AE104" i="13"/>
  <c r="P101" i="13"/>
  <c r="BD42" i="10"/>
  <c r="N101" i="13"/>
  <c r="AN103" i="13"/>
  <c r="AD104" i="13"/>
  <c r="I104" i="13"/>
  <c r="AK102" i="13"/>
  <c r="AJ105" i="13"/>
  <c r="AC102" i="13"/>
  <c r="AE103" i="13"/>
  <c r="S105" i="13"/>
  <c r="AM105" i="13"/>
  <c r="AN104" i="13"/>
  <c r="G104" i="13"/>
  <c r="P102" i="13"/>
  <c r="G105" i="13"/>
  <c r="G101" i="13"/>
  <c r="AI104" i="13"/>
  <c r="AM102" i="13"/>
  <c r="Q101" i="13"/>
  <c r="Z103" i="13"/>
  <c r="AH105" i="13"/>
  <c r="J104" i="13"/>
  <c r="F101" i="13"/>
  <c r="E102" i="13"/>
  <c r="U103" i="13"/>
  <c r="Y102" i="13"/>
  <c r="AD101" i="13"/>
  <c r="W104" i="13"/>
  <c r="Y101" i="13"/>
  <c r="U101" i="13"/>
  <c r="AB105" i="13"/>
  <c r="AI105" i="13"/>
  <c r="M105" i="13"/>
  <c r="T101" i="13"/>
  <c r="AN101" i="13"/>
  <c r="AD102" i="13"/>
  <c r="AK101" i="13"/>
  <c r="AF104" i="13"/>
  <c r="F103" i="13"/>
  <c r="L101" i="13"/>
  <c r="S102" i="13"/>
  <c r="U102" i="13"/>
  <c r="X105" i="13"/>
  <c r="H104" i="13"/>
  <c r="J103" i="13"/>
  <c r="P103" i="13"/>
  <c r="R105" i="13"/>
  <c r="AE101" i="13"/>
  <c r="AL102" i="13"/>
  <c r="W101" i="13"/>
  <c r="L105" i="13"/>
  <c r="E105" i="13"/>
  <c r="X101" i="13"/>
  <c r="N103" i="13"/>
  <c r="N105" i="13"/>
  <c r="Y105" i="13"/>
  <c r="AG101" i="13"/>
  <c r="H103" i="13"/>
  <c r="R104" i="13"/>
  <c r="Y104" i="13"/>
  <c r="F104" i="13"/>
  <c r="U104" i="13"/>
  <c r="AM103" i="13"/>
  <c r="I105" i="13"/>
  <c r="F105" i="13"/>
  <c r="Z105" i="13"/>
  <c r="W103" i="13"/>
  <c r="I102" i="13"/>
  <c r="U105" i="13"/>
  <c r="AN105" i="13"/>
  <c r="N102" i="13"/>
  <c r="S101" i="13"/>
  <c r="T102" i="13"/>
  <c r="Q103" i="13"/>
  <c r="AF102" i="13"/>
  <c r="V102" i="13"/>
  <c r="AC104" i="13"/>
  <c r="V105" i="13"/>
  <c r="AD105" i="13"/>
  <c r="V101" i="13"/>
  <c r="O105" i="13"/>
  <c r="R102" i="13"/>
  <c r="Z104" i="13"/>
  <c r="AL105" i="13"/>
  <c r="AN102" i="13"/>
  <c r="AJ103" i="13"/>
  <c r="X102" i="13"/>
  <c r="P104" i="13"/>
  <c r="AG103" i="13"/>
  <c r="AL101" i="13"/>
  <c r="AL103" i="13"/>
  <c r="G102" i="13"/>
  <c r="AK104" i="13"/>
  <c r="O102" i="13"/>
  <c r="M103" i="13"/>
  <c r="AJ104" i="13"/>
  <c r="AA104" i="13"/>
  <c r="AM101" i="13"/>
  <c r="AB104" i="13"/>
  <c r="J101" i="13"/>
  <c r="L102" i="13"/>
  <c r="H105" i="13"/>
  <c r="H101" i="13"/>
  <c r="AH102" i="13"/>
  <c r="AB102" i="13"/>
  <c r="AI103" i="13"/>
  <c r="K102" i="13"/>
  <c r="AA105" i="13"/>
  <c r="S103" i="13"/>
  <c r="N104" i="13"/>
  <c r="E104" i="13"/>
  <c r="W102" i="13"/>
  <c r="L103" i="13"/>
  <c r="AH103" i="13"/>
  <c r="P105" i="13"/>
  <c r="K104" i="13"/>
  <c r="V104" i="13"/>
  <c r="AC103" i="13"/>
  <c r="AG102" i="13"/>
  <c r="T103" i="13"/>
  <c r="Z102" i="13"/>
  <c r="AF103" i="13"/>
  <c r="Y103" i="13"/>
  <c r="AI102" i="13"/>
  <c r="AG105" i="13"/>
  <c r="W105" i="13"/>
  <c r="AH104" i="13"/>
  <c r="E103" i="13"/>
  <c r="R103" i="13"/>
  <c r="AC105" i="13"/>
  <c r="AJ101" i="13"/>
  <c r="J105" i="13"/>
  <c r="K101" i="13"/>
  <c r="AF101" i="13"/>
  <c r="Q105" i="13"/>
  <c r="I103" i="13"/>
  <c r="O101" i="13"/>
  <c r="V103" i="13"/>
  <c r="T104" i="13"/>
  <c r="AE105" i="13"/>
  <c r="Q104" i="13"/>
  <c r="M102" i="13"/>
  <c r="F102" i="13"/>
  <c r="AH101" i="13"/>
  <c r="K103" i="13"/>
  <c r="J102" i="13"/>
  <c r="R101" i="13"/>
  <c r="H102" i="13"/>
  <c r="AM104" i="13"/>
  <c r="S104" i="13"/>
  <c r="E101" i="13"/>
  <c r="Q102" i="13"/>
  <c r="I101" i="13"/>
  <c r="X103" i="13"/>
  <c r="AJ102" i="13"/>
  <c r="AD103" i="13"/>
  <c r="AB103" i="13"/>
  <c r="M101" i="13"/>
  <c r="AE102" i="13"/>
  <c r="AK105" i="13"/>
  <c r="K105" i="13"/>
  <c r="Z101" i="13"/>
  <c r="AA102" i="13"/>
  <c r="O104" i="13"/>
  <c r="AK103" i="13"/>
  <c r="M104" i="13"/>
  <c r="G103" i="13"/>
  <c r="AC101" i="13"/>
  <c r="AL104" i="13"/>
  <c r="AG104" i="13"/>
  <c r="T105" i="13"/>
  <c r="L104" i="13"/>
  <c r="AF105" i="13"/>
  <c r="X104" i="13"/>
  <c r="AI101" i="13"/>
  <c r="AA103" i="13"/>
  <c r="AA101" i="13"/>
  <c r="AB101" i="13"/>
  <c r="AT42" i="10"/>
  <c r="AV42" i="10"/>
  <c r="AG42" i="10"/>
  <c r="BA42" i="10"/>
  <c r="AY42" i="10"/>
  <c r="AO42" i="10"/>
  <c r="AZ42" i="10"/>
  <c r="AC42" i="10"/>
  <c r="E109" i="10" a="1"/>
  <c r="AK42" i="10"/>
  <c r="AL42" i="10"/>
  <c r="AB42" i="10"/>
  <c r="AD42" i="10"/>
  <c r="AF42" i="10"/>
  <c r="AP42" i="10"/>
  <c r="AH42" i="10"/>
  <c r="AR42" i="10"/>
  <c r="AI42" i="10"/>
  <c r="BE42" i="10"/>
  <c r="AS42" i="10"/>
  <c r="E45" i="12" a="1"/>
  <c r="AE42" i="10"/>
  <c r="AQ42" i="10"/>
  <c r="Z42" i="10"/>
  <c r="AU42" i="10"/>
  <c r="AM109" i="14"/>
  <c r="F109" i="14"/>
  <c r="V107" i="14"/>
  <c r="W110" i="14"/>
  <c r="N110" i="14"/>
  <c r="J107" i="14"/>
  <c r="AB111" i="14"/>
  <c r="I108" i="14"/>
  <c r="R107" i="14"/>
  <c r="AE108" i="14"/>
  <c r="S110" i="14"/>
  <c r="U111" i="14"/>
  <c r="Z107" i="14"/>
  <c r="AG109" i="14"/>
  <c r="W107" i="14"/>
  <c r="AD111" i="14"/>
  <c r="M111" i="14"/>
  <c r="AM110" i="14"/>
  <c r="P108" i="14"/>
  <c r="AF109" i="14"/>
  <c r="H107" i="14"/>
  <c r="J108" i="14"/>
  <c r="N111" i="14"/>
  <c r="Y109" i="14"/>
  <c r="AN111" i="14"/>
  <c r="P109" i="14"/>
  <c r="AN110" i="14"/>
  <c r="M110" i="14"/>
  <c r="Y107" i="14"/>
  <c r="AF108" i="14"/>
  <c r="AG108" i="14"/>
  <c r="X109" i="14"/>
  <c r="AN107" i="14"/>
  <c r="AL111" i="14"/>
  <c r="AL108" i="14"/>
  <c r="AL110" i="14"/>
  <c r="K107" i="14"/>
  <c r="T109" i="14"/>
  <c r="H110" i="14"/>
  <c r="AC111" i="14"/>
  <c r="AJ109" i="14"/>
  <c r="Q109" i="14"/>
  <c r="AC109" i="14"/>
  <c r="AK109" i="14"/>
  <c r="AC110" i="14"/>
  <c r="E111" i="14"/>
  <c r="T107" i="14"/>
  <c r="AH111" i="14"/>
  <c r="S107" i="14"/>
  <c r="AG110" i="14"/>
  <c r="N108" i="14"/>
  <c r="AE109" i="14"/>
  <c r="AK107" i="14"/>
  <c r="AB108" i="14"/>
  <c r="AH108" i="14"/>
  <c r="AI107" i="14"/>
  <c r="Z108" i="14"/>
  <c r="AI111" i="14"/>
  <c r="F107" i="14"/>
  <c r="R110" i="14"/>
  <c r="X111" i="14"/>
  <c r="AM108" i="14"/>
  <c r="I109" i="14"/>
  <c r="T111" i="14"/>
  <c r="AK110" i="14"/>
  <c r="Y108" i="14"/>
  <c r="H108" i="14"/>
  <c r="K111" i="14"/>
  <c r="AH107" i="14"/>
  <c r="AA110" i="14"/>
  <c r="AH110" i="14"/>
  <c r="F108" i="14"/>
  <c r="AF107" i="14"/>
  <c r="G108" i="14"/>
  <c r="AN108" i="14"/>
  <c r="AJ107" i="14"/>
  <c r="AG107" i="14"/>
  <c r="G110" i="14"/>
  <c r="AJ110" i="14"/>
  <c r="Z109" i="14"/>
  <c r="K108" i="14"/>
  <c r="F111" i="14"/>
  <c r="U108" i="14"/>
  <c r="AL109" i="14"/>
  <c r="Q111" i="14"/>
  <c r="AA111" i="14"/>
  <c r="I107" i="14"/>
  <c r="X110" i="14"/>
  <c r="AM107" i="14"/>
  <c r="G109" i="14"/>
  <c r="AC107" i="14"/>
  <c r="O110" i="14"/>
  <c r="AE110" i="14"/>
  <c r="AE107" i="14"/>
  <c r="AM111" i="14"/>
  <c r="G111" i="14"/>
  <c r="AI110" i="14"/>
  <c r="AD107" i="14"/>
  <c r="V108" i="14"/>
  <c r="AI109" i="14"/>
  <c r="AB107" i="14"/>
  <c r="M107" i="14"/>
  <c r="AF111" i="14"/>
  <c r="I111" i="14"/>
  <c r="AN109" i="14"/>
  <c r="AC108" i="14"/>
  <c r="AA107" i="14"/>
  <c r="AB109" i="14"/>
  <c r="T110" i="14"/>
  <c r="O108" i="14"/>
  <c r="W109" i="14"/>
  <c r="AK111" i="14"/>
  <c r="AI108" i="14"/>
  <c r="AA109" i="14"/>
  <c r="AL107" i="14"/>
  <c r="AD108" i="14"/>
  <c r="H109" i="14"/>
  <c r="S109" i="14"/>
  <c r="L111" i="14"/>
  <c r="T108" i="14"/>
  <c r="H111" i="14"/>
  <c r="E109" i="14"/>
  <c r="G107" i="14"/>
  <c r="K109" i="14"/>
  <c r="AD109" i="14"/>
  <c r="AB110" i="14"/>
  <c r="Y110" i="14"/>
  <c r="AD110" i="14"/>
  <c r="S111" i="14"/>
  <c r="W111" i="14"/>
  <c r="E108" i="14"/>
  <c r="S108" i="14"/>
  <c r="O111" i="14"/>
  <c r="L110" i="14"/>
  <c r="Z110" i="14"/>
  <c r="AJ111" i="14"/>
  <c r="M109" i="14"/>
  <c r="Q108" i="14"/>
  <c r="Y111" i="14"/>
  <c r="J110" i="14"/>
  <c r="F110" i="14"/>
  <c r="V110" i="14"/>
  <c r="R111" i="14"/>
  <c r="J109" i="14"/>
  <c r="O109" i="14"/>
  <c r="V109" i="14"/>
  <c r="Q107" i="14"/>
  <c r="V111" i="14"/>
  <c r="L107" i="14"/>
  <c r="X108" i="14"/>
  <c r="R109" i="14"/>
  <c r="AK108" i="14"/>
  <c r="AJ108" i="14"/>
  <c r="R108" i="14"/>
  <c r="L109" i="14"/>
  <c r="X107" i="14"/>
  <c r="I110" i="14"/>
  <c r="O107" i="14"/>
  <c r="U107" i="14"/>
  <c r="P111" i="14"/>
  <c r="N109" i="14"/>
  <c r="Q110" i="14"/>
  <c r="AF110" i="14"/>
  <c r="L108" i="14"/>
  <c r="J111" i="14"/>
  <c r="P107" i="14"/>
  <c r="AA108" i="14"/>
  <c r="W108" i="14"/>
  <c r="E110" i="14"/>
  <c r="M108" i="14"/>
  <c r="Z111" i="14"/>
  <c r="U109" i="14"/>
  <c r="AG111" i="14"/>
  <c r="U110" i="14"/>
  <c r="P110" i="14"/>
  <c r="K110" i="14"/>
  <c r="AH109" i="14"/>
  <c r="AE111" i="14"/>
  <c r="N107" i="14"/>
  <c r="E107" i="14"/>
  <c r="S52" i="14"/>
  <c r="Q51" i="14"/>
  <c r="E54" i="14"/>
  <c r="AB54" i="14"/>
  <c r="S55" i="14"/>
  <c r="AG52" i="14"/>
  <c r="P51" i="14"/>
  <c r="AE54" i="14"/>
  <c r="E53" i="14"/>
  <c r="N51" i="14"/>
  <c r="AM54" i="14"/>
  <c r="AM51" i="14"/>
  <c r="E55" i="14"/>
  <c r="Y52" i="14"/>
  <c r="J54" i="14"/>
  <c r="S54" i="14"/>
  <c r="J55" i="14"/>
  <c r="M52" i="14"/>
  <c r="AD51" i="14"/>
  <c r="M54" i="14"/>
  <c r="AD55" i="14"/>
  <c r="E41" i="10"/>
  <c r="AG54" i="14"/>
  <c r="AE53" i="14"/>
  <c r="AD52" i="14"/>
  <c r="AM55" i="14"/>
  <c r="O54" i="14"/>
  <c r="Y53" i="14"/>
  <c r="AF51" i="14"/>
  <c r="Y55" i="14"/>
  <c r="Y51" i="14"/>
  <c r="S51" i="14"/>
  <c r="N53" i="14"/>
  <c r="T51" i="14"/>
  <c r="AG55" i="14"/>
  <c r="E52" i="14"/>
  <c r="J51" i="14"/>
  <c r="AF55" i="14"/>
  <c r="AI54" i="14"/>
  <c r="S53" i="14"/>
  <c r="T54" i="14"/>
  <c r="AD53" i="14"/>
  <c r="AM52" i="14"/>
  <c r="J53" i="14"/>
  <c r="Y54" i="14"/>
  <c r="AF54" i="14"/>
  <c r="P55" i="14"/>
  <c r="O55" i="14"/>
  <c r="AK53" i="14"/>
  <c r="AM53" i="14"/>
  <c r="AI53" i="14"/>
  <c r="T55" i="14"/>
  <c r="P53" i="14"/>
  <c r="AF52" i="14"/>
  <c r="AE52" i="14"/>
  <c r="N52" i="14"/>
  <c r="AE55" i="14"/>
  <c r="J52" i="14"/>
  <c r="M51" i="14"/>
  <c r="AG51" i="14"/>
  <c r="T52" i="14"/>
  <c r="T53" i="14"/>
  <c r="M53" i="14"/>
  <c r="Q53" i="14"/>
  <c r="AI55" i="14"/>
  <c r="O51" i="14"/>
  <c r="O53" i="14"/>
  <c r="AG53" i="14"/>
  <c r="M55" i="14"/>
  <c r="E51" i="14"/>
  <c r="AE51" i="14"/>
  <c r="N54" i="14"/>
  <c r="AF53" i="14"/>
  <c r="N55" i="14"/>
  <c r="AI51" i="14"/>
  <c r="AI52" i="14"/>
  <c r="AD54" i="14"/>
  <c r="O52" i="14"/>
  <c r="AN42" i="10"/>
  <c r="BF42" i="10"/>
  <c r="AA42" i="10"/>
  <c r="AJ42" i="10"/>
  <c r="AX42" i="10"/>
  <c r="AM42" i="10"/>
  <c r="L109" i="12"/>
  <c r="X109" i="12"/>
  <c r="M107" i="12"/>
  <c r="AH108" i="12"/>
  <c r="V111" i="12"/>
  <c r="G110" i="12"/>
  <c r="Q110" i="12"/>
  <c r="N109" i="12"/>
  <c r="P108" i="12"/>
  <c r="W109" i="12"/>
  <c r="AE108" i="12"/>
  <c r="AB111" i="12"/>
  <c r="Q109" i="12"/>
  <c r="V110" i="12"/>
  <c r="U109" i="12"/>
  <c r="G111" i="12"/>
  <c r="M111" i="12"/>
  <c r="L110" i="12"/>
  <c r="AB110" i="12"/>
  <c r="AF111" i="12"/>
  <c r="S108" i="12"/>
  <c r="F111" i="12"/>
  <c r="AI109" i="12"/>
  <c r="AN109" i="12"/>
  <c r="M109" i="12"/>
  <c r="AB107" i="12"/>
  <c r="U111" i="12"/>
  <c r="AC107" i="12"/>
  <c r="K109" i="12"/>
  <c r="AA109" i="12"/>
  <c r="AC111" i="12"/>
  <c r="AJ109" i="12"/>
  <c r="AA108" i="12"/>
  <c r="P110" i="12"/>
  <c r="N111" i="12"/>
  <c r="AB109" i="12"/>
  <c r="L107" i="12"/>
  <c r="H111" i="12"/>
  <c r="AG110" i="12"/>
  <c r="P109" i="12"/>
  <c r="AL109" i="12"/>
  <c r="F107" i="12"/>
  <c r="E111" i="12"/>
  <c r="AK111" i="12"/>
  <c r="S110" i="12"/>
  <c r="AM107" i="12"/>
  <c r="AF110" i="12"/>
  <c r="AB108" i="12"/>
  <c r="J111" i="12"/>
  <c r="AA110" i="12"/>
  <c r="K107" i="12"/>
  <c r="P107" i="12"/>
  <c r="AF109" i="12"/>
  <c r="AN107" i="12"/>
  <c r="T110" i="12"/>
  <c r="AL108" i="12"/>
  <c r="M110" i="12"/>
  <c r="AN110" i="12"/>
  <c r="I107" i="12"/>
  <c r="AC110" i="12"/>
  <c r="E107" i="12"/>
  <c r="J108" i="12"/>
  <c r="S109" i="12"/>
  <c r="T111" i="12"/>
  <c r="H107" i="12"/>
  <c r="AF108" i="12"/>
  <c r="AN108" i="12"/>
  <c r="AN111" i="12"/>
  <c r="AI108" i="12"/>
  <c r="AC108" i="12"/>
  <c r="R111" i="12"/>
  <c r="AM109" i="12"/>
  <c r="H110" i="12"/>
  <c r="J110" i="12"/>
  <c r="X110" i="12"/>
  <c r="Q111" i="12"/>
  <c r="T109" i="12"/>
  <c r="AI110" i="12"/>
  <c r="R110" i="12"/>
  <c r="R109" i="12"/>
  <c r="F109" i="12"/>
  <c r="R108" i="12"/>
  <c r="AD110" i="12"/>
  <c r="AG108" i="12"/>
  <c r="V108" i="12"/>
  <c r="AC109" i="12"/>
  <c r="I108" i="12"/>
  <c r="K108" i="12"/>
  <c r="N110" i="12"/>
  <c r="Z109" i="12"/>
  <c r="K110" i="12"/>
  <c r="H109" i="12"/>
  <c r="E108" i="12"/>
  <c r="W108" i="12"/>
  <c r="AI107" i="12"/>
  <c r="H108" i="12"/>
  <c r="I109" i="12"/>
  <c r="Y110" i="12"/>
  <c r="Z108" i="12"/>
  <c r="Q108" i="12"/>
  <c r="AK108" i="12"/>
  <c r="AH110" i="12"/>
  <c r="AF107" i="12"/>
  <c r="AE110" i="12"/>
  <c r="Y107" i="12"/>
  <c r="E109" i="12"/>
  <c r="R107" i="12"/>
  <c r="F110" i="12"/>
  <c r="F108" i="12"/>
  <c r="T107" i="12"/>
  <c r="AM111" i="12"/>
  <c r="V109" i="12"/>
  <c r="I110" i="12"/>
  <c r="N108" i="12"/>
  <c r="W111" i="12"/>
  <c r="O107" i="12"/>
  <c r="AL110" i="12"/>
  <c r="O108" i="12"/>
  <c r="S111" i="12"/>
  <c r="O111" i="12"/>
  <c r="AJ108" i="12"/>
  <c r="G109" i="12"/>
  <c r="AH111" i="12"/>
  <c r="X108" i="12"/>
  <c r="L108" i="12"/>
  <c r="V107" i="12"/>
  <c r="U110" i="12"/>
  <c r="AJ107" i="12"/>
  <c r="AD108" i="12"/>
  <c r="Y109" i="12"/>
  <c r="U108" i="12"/>
  <c r="AI111" i="12"/>
  <c r="O109" i="12"/>
  <c r="L111" i="12"/>
  <c r="I111" i="12"/>
  <c r="AD107" i="12"/>
  <c r="AG109" i="12"/>
  <c r="AG111" i="12"/>
  <c r="M108" i="12"/>
  <c r="J109" i="12"/>
  <c r="Y111" i="12"/>
  <c r="X107" i="12"/>
  <c r="AE109" i="12"/>
  <c r="Z111" i="12"/>
  <c r="G107" i="12"/>
  <c r="W110" i="12"/>
  <c r="G108" i="12"/>
  <c r="AE111" i="12"/>
  <c r="S107" i="12"/>
  <c r="AM110" i="12"/>
  <c r="T108" i="12"/>
  <c r="AD109" i="12"/>
  <c r="AK109" i="12"/>
  <c r="X111" i="12"/>
  <c r="AJ111" i="12"/>
  <c r="AL107" i="12"/>
  <c r="AE107" i="12"/>
  <c r="AJ110" i="12"/>
  <c r="P111" i="12"/>
  <c r="E110" i="12"/>
  <c r="AL111" i="12"/>
  <c r="Z107" i="12"/>
  <c r="U107" i="12"/>
  <c r="N107" i="12"/>
  <c r="W107" i="12"/>
  <c r="Y108" i="12"/>
  <c r="AA111" i="12"/>
  <c r="AA107" i="12"/>
  <c r="J107" i="12"/>
  <c r="AD111" i="12"/>
  <c r="Q107" i="12"/>
  <c r="AH109" i="12"/>
  <c r="Z110" i="12"/>
  <c r="AH107" i="12"/>
  <c r="AK110" i="12"/>
  <c r="K111" i="12"/>
  <c r="AG107" i="12"/>
  <c r="AK107" i="12"/>
  <c r="O110" i="12"/>
  <c r="AM108" i="12"/>
  <c r="Y42" i="10"/>
  <c r="BB42" i="10"/>
  <c r="BC42" i="10"/>
  <c r="AW42" i="10"/>
  <c r="G42" i="10"/>
  <c r="R42" i="10"/>
  <c r="H42" i="10"/>
  <c r="K42" i="10"/>
  <c r="W42" i="10"/>
  <c r="E42" i="10"/>
  <c r="F42" i="10"/>
  <c r="N42" i="10"/>
  <c r="X42" i="10"/>
  <c r="V42" i="10"/>
  <c r="Q42" i="10"/>
  <c r="M42" i="10"/>
  <c r="J42" i="10"/>
  <c r="I42" i="10"/>
  <c r="E51" i="13" a="1"/>
  <c r="L42" i="10"/>
  <c r="O42" i="10"/>
  <c r="U42" i="10"/>
  <c r="T42" i="10"/>
  <c r="P42" i="10"/>
  <c r="S42" i="10"/>
  <c r="Q52" i="14" l="1"/>
  <c r="AK55" i="14"/>
  <c r="AK54" i="14"/>
  <c r="AH55" i="14"/>
  <c r="K55" i="14"/>
  <c r="AH52" i="14"/>
  <c r="AK51" i="14"/>
  <c r="K53" i="14"/>
  <c r="F52" i="14"/>
  <c r="F55" i="14"/>
  <c r="AH51" i="14"/>
  <c r="K52" i="14"/>
  <c r="K54" i="14"/>
  <c r="AH53" i="14"/>
  <c r="Q54" i="14"/>
  <c r="F54" i="14"/>
  <c r="H53" i="14"/>
  <c r="E123" i="13"/>
  <c r="F123" i="13" s="1"/>
  <c r="G123" i="13" s="1"/>
  <c r="H123" i="13" s="1"/>
  <c r="H55" i="14"/>
  <c r="F51" i="14"/>
  <c r="G51" i="14"/>
  <c r="H51" i="14"/>
  <c r="G53" i="14"/>
  <c r="H52" i="14"/>
  <c r="F53" i="14"/>
  <c r="G54" i="14"/>
  <c r="G55" i="14"/>
  <c r="AJ51" i="14"/>
  <c r="BE41" i="10"/>
  <c r="I53" i="14"/>
  <c r="V52" i="14"/>
  <c r="V51" i="14"/>
  <c r="AL55" i="14"/>
  <c r="W53" i="14"/>
  <c r="AJ54" i="14"/>
  <c r="AC54" i="14"/>
  <c r="AL53" i="14"/>
  <c r="Z53" i="14"/>
  <c r="W51" i="14"/>
  <c r="U53" i="14"/>
  <c r="G41" i="10"/>
  <c r="I55" i="14"/>
  <c r="AL51" i="14"/>
  <c r="I51" i="14"/>
  <c r="AC53" i="14"/>
  <c r="AJ53" i="14"/>
  <c r="V54" i="14"/>
  <c r="AJ52" i="14"/>
  <c r="W55" i="14"/>
  <c r="AL52" i="14"/>
  <c r="V53" i="14"/>
  <c r="L55" i="14"/>
  <c r="AC51" i="14"/>
  <c r="L52" i="14"/>
  <c r="I52" i="14"/>
  <c r="W52" i="14"/>
  <c r="AC52" i="14"/>
  <c r="R53" i="14"/>
  <c r="R55" i="14"/>
  <c r="Z52" i="14"/>
  <c r="AC41" i="10"/>
  <c r="I41" i="10"/>
  <c r="K41" i="10"/>
  <c r="AA54" i="14"/>
  <c r="AN53" i="14"/>
  <c r="X55" i="14"/>
  <c r="AY41" i="10"/>
  <c r="AZ41" i="10"/>
  <c r="J41" i="10"/>
  <c r="U41" i="10"/>
  <c r="Z51" i="14"/>
  <c r="U55" i="14"/>
  <c r="AU41" i="10"/>
  <c r="X41" i="10"/>
  <c r="AA53" i="14"/>
  <c r="U51" i="14"/>
  <c r="X51" i="14"/>
  <c r="R51" i="14"/>
  <c r="N41" i="10"/>
  <c r="R52" i="14"/>
  <c r="AV41" i="10"/>
  <c r="BD41" i="10"/>
  <c r="AA52" i="14"/>
  <c r="H41" i="10"/>
  <c r="BA41" i="10"/>
  <c r="AK41" i="10"/>
  <c r="AX41" i="10"/>
  <c r="AJ41" i="10"/>
  <c r="AN55" i="14"/>
  <c r="AA51" i="14"/>
  <c r="U54" i="14"/>
  <c r="Z54" i="14"/>
  <c r="AN51" i="14"/>
  <c r="BB41" i="10"/>
  <c r="AW41" i="10"/>
  <c r="BF41" i="10"/>
  <c r="L41" i="10"/>
  <c r="AN52" i="14"/>
  <c r="Z41" i="10"/>
  <c r="BC41" i="10"/>
  <c r="AO41" i="10"/>
  <c r="AN54" i="14"/>
  <c r="AA41" i="10"/>
  <c r="AQ41" i="10"/>
  <c r="AI41" i="10"/>
  <c r="AS41" i="10"/>
  <c r="AE41" i="10"/>
  <c r="AM41" i="10"/>
  <c r="X54" i="14"/>
  <c r="AF41" i="10"/>
  <c r="AR41" i="10"/>
  <c r="AB55" i="14"/>
  <c r="L51" i="14"/>
  <c r="P41" i="10"/>
  <c r="P52" i="14"/>
  <c r="AT41" i="10"/>
  <c r="AB41" i="10"/>
  <c r="AP41" i="10"/>
  <c r="V41" i="10"/>
  <c r="M41" i="10"/>
  <c r="O41" i="10"/>
  <c r="P54" i="14"/>
  <c r="AN41" i="10"/>
  <c r="AB51" i="14"/>
  <c r="AB53" i="14"/>
  <c r="AH41" i="10"/>
  <c r="AB52" i="14"/>
  <c r="W41" i="10"/>
  <c r="Y41" i="10"/>
  <c r="R41" i="10"/>
  <c r="AG41" i="10"/>
  <c r="AD41" i="10"/>
  <c r="T41" i="10"/>
  <c r="L54" i="14"/>
  <c r="S41" i="10"/>
  <c r="AL41" i="10"/>
  <c r="Q41" i="10"/>
  <c r="E22" i="10" a="1"/>
  <c r="P22" i="10" s="1"/>
  <c r="P71" i="10" s="1"/>
  <c r="X52" i="14"/>
  <c r="AD41" i="13"/>
  <c r="AN134" i="13"/>
  <c r="AB134" i="13"/>
  <c r="I41" i="13"/>
  <c r="Z37" i="13"/>
  <c r="R34" i="13"/>
  <c r="AB41" i="13"/>
  <c r="F37" i="13"/>
  <c r="Q41" i="13"/>
  <c r="AH41" i="13"/>
  <c r="AC37" i="13"/>
  <c r="AK34" i="13"/>
  <c r="W41" i="13"/>
  <c r="AJ37" i="13"/>
  <c r="P41" i="13"/>
  <c r="V37" i="13"/>
  <c r="Y37" i="13"/>
  <c r="O34" i="13"/>
  <c r="S41" i="13"/>
  <c r="M34" i="13"/>
  <c r="U41" i="13"/>
  <c r="H37" i="13"/>
  <c r="Y134" i="13"/>
  <c r="N41" i="13"/>
  <c r="AF37" i="13"/>
  <c r="AN41" i="13"/>
  <c r="AG134" i="13"/>
  <c r="AF34" i="13"/>
  <c r="AN34" i="13"/>
  <c r="AF41" i="13"/>
  <c r="AN37" i="13"/>
  <c r="W37" i="13"/>
  <c r="V134" i="13"/>
  <c r="S34" i="13"/>
  <c r="AK134" i="13"/>
  <c r="V41" i="13"/>
  <c r="V34" i="13"/>
  <c r="Q34" i="13"/>
  <c r="AC41" i="13"/>
  <c r="Q37" i="13"/>
  <c r="X34" i="13"/>
  <c r="K37" i="13"/>
  <c r="AJ134" i="13"/>
  <c r="AE41" i="13"/>
  <c r="G37" i="13"/>
  <c r="S37" i="13"/>
  <c r="AE37" i="13"/>
  <c r="L34" i="13"/>
  <c r="E37" i="13"/>
  <c r="H134" i="13"/>
  <c r="E34" i="13"/>
  <c r="K41" i="13"/>
  <c r="AG37" i="13"/>
  <c r="AG34" i="13"/>
  <c r="AD37" i="13"/>
  <c r="AC134" i="13"/>
  <c r="AI34" i="13"/>
  <c r="AD34" i="13"/>
  <c r="E41" i="13"/>
  <c r="AF134" i="13"/>
  <c r="L37" i="13"/>
  <c r="N37" i="13"/>
  <c r="F41" i="13"/>
  <c r="Z34" i="13"/>
  <c r="AH34" i="13"/>
  <c r="N34" i="13"/>
  <c r="X37" i="13"/>
  <c r="AH37" i="13"/>
  <c r="O134" i="13"/>
  <c r="J34" i="13"/>
  <c r="W34" i="13"/>
  <c r="J134" i="13"/>
  <c r="AI134" i="13"/>
  <c r="AE34" i="13"/>
  <c r="AG41" i="13"/>
  <c r="AJ34" i="13"/>
  <c r="G134" i="13"/>
  <c r="AA34" i="13"/>
  <c r="AD134" i="13"/>
  <c r="M37" i="13"/>
  <c r="AE134" i="13"/>
  <c r="X41" i="13"/>
  <c r="X134" i="13"/>
  <c r="I34" i="13"/>
  <c r="R37" i="13"/>
  <c r="O37" i="13"/>
  <c r="Q134" i="13"/>
  <c r="AK37" i="13"/>
  <c r="Y34" i="13"/>
  <c r="K34" i="13"/>
  <c r="I123" i="13"/>
  <c r="J123" i="13" s="1"/>
  <c r="K123" i="13" s="1"/>
  <c r="AN123" i="13" s="1"/>
  <c r="T134" i="13"/>
  <c r="L134" i="13"/>
  <c r="W134" i="13"/>
  <c r="R134" i="13"/>
  <c r="AA37" i="13"/>
  <c r="AC34" i="13"/>
  <c r="N134" i="13"/>
  <c r="F34" i="13"/>
  <c r="I37" i="13"/>
  <c r="S134" i="13"/>
  <c r="O41" i="13"/>
  <c r="P34" i="13"/>
  <c r="AK41" i="13"/>
  <c r="Z134" i="13"/>
  <c r="AA41" i="13"/>
  <c r="M41" i="13"/>
  <c r="AH134" i="13"/>
  <c r="AJ41" i="13"/>
  <c r="AB37" i="13"/>
  <c r="AI41" i="13"/>
  <c r="Z41" i="13"/>
  <c r="L41" i="13"/>
  <c r="U37" i="13"/>
  <c r="G41" i="13"/>
  <c r="R41" i="13"/>
  <c r="P134" i="13"/>
  <c r="P37" i="13"/>
  <c r="AL134" i="13"/>
  <c r="Y41" i="13"/>
  <c r="M134" i="13"/>
  <c r="U34" i="13"/>
  <c r="G34" i="13"/>
  <c r="F134" i="13"/>
  <c r="AB34" i="13"/>
  <c r="AI37" i="13"/>
  <c r="AA134" i="13"/>
  <c r="I134" i="13"/>
  <c r="AM37" i="13"/>
  <c r="AM134" i="13"/>
  <c r="H41" i="13"/>
  <c r="AL41" i="13"/>
  <c r="K134" i="13"/>
  <c r="AM41" i="13"/>
  <c r="H34" i="13"/>
  <c r="J37" i="13"/>
  <c r="J41" i="13"/>
  <c r="T34" i="13"/>
  <c r="AL37" i="13"/>
  <c r="AL34" i="13"/>
  <c r="T37" i="13"/>
  <c r="U134" i="13"/>
  <c r="AM34" i="13"/>
  <c r="T41" i="13"/>
  <c r="E101" i="14" a="1"/>
  <c r="E101" i="12" a="1"/>
  <c r="K55" i="13"/>
  <c r="AD54" i="13"/>
  <c r="AA51" i="13"/>
  <c r="E53" i="13"/>
  <c r="AN53" i="13"/>
  <c r="N54" i="13"/>
  <c r="AB55" i="13"/>
  <c r="AJ51" i="13"/>
  <c r="Z55" i="13"/>
  <c r="V54" i="13"/>
  <c r="W53" i="13"/>
  <c r="AN54" i="13"/>
  <c r="I55" i="13"/>
  <c r="AI54" i="13"/>
  <c r="Y52" i="13"/>
  <c r="AD55" i="13"/>
  <c r="AM55" i="13"/>
  <c r="Y53" i="13"/>
  <c r="Z54" i="13"/>
  <c r="AC54" i="13"/>
  <c r="O55" i="13"/>
  <c r="X53" i="13"/>
  <c r="AD51" i="13"/>
  <c r="K53" i="13"/>
  <c r="V53" i="13"/>
  <c r="AE52" i="13"/>
  <c r="Z53" i="13"/>
  <c r="J51" i="13"/>
  <c r="AM54" i="13"/>
  <c r="U52" i="13"/>
  <c r="AD53" i="13"/>
  <c r="AE53" i="13"/>
  <c r="L52" i="13"/>
  <c r="P51" i="13"/>
  <c r="AL55" i="13"/>
  <c r="AJ52" i="13"/>
  <c r="H55" i="13"/>
  <c r="U51" i="13"/>
  <c r="AL54" i="13"/>
  <c r="AK52" i="13"/>
  <c r="N55" i="13"/>
  <c r="T53" i="13"/>
  <c r="AG52" i="13"/>
  <c r="Z51" i="13"/>
  <c r="AF52" i="13"/>
  <c r="AG55" i="13"/>
  <c r="O51" i="13"/>
  <c r="AM53" i="13"/>
  <c r="AB51" i="13"/>
  <c r="AG51" i="13"/>
  <c r="AC52" i="13"/>
  <c r="L53" i="13"/>
  <c r="G54" i="13"/>
  <c r="L51" i="13"/>
  <c r="R51" i="13"/>
  <c r="E55" i="13"/>
  <c r="N52" i="13"/>
  <c r="E52" i="13"/>
  <c r="K52" i="13"/>
  <c r="O52" i="13"/>
  <c r="AI53" i="13"/>
  <c r="S53" i="13"/>
  <c r="E51" i="13"/>
  <c r="AM51" i="13"/>
  <c r="M53" i="13"/>
  <c r="AB53" i="13"/>
  <c r="G51" i="13"/>
  <c r="K51" i="13"/>
  <c r="Q55" i="13"/>
  <c r="G53" i="13"/>
  <c r="I54" i="13"/>
  <c r="F54" i="13"/>
  <c r="J54" i="13"/>
  <c r="AF54" i="13"/>
  <c r="T52" i="13"/>
  <c r="AJ53" i="13"/>
  <c r="U55" i="13"/>
  <c r="S52" i="13"/>
  <c r="P53" i="13"/>
  <c r="W51" i="13"/>
  <c r="AI52" i="13"/>
  <c r="F52" i="13"/>
  <c r="P54" i="13"/>
  <c r="Q54" i="13"/>
  <c r="AA52" i="13"/>
  <c r="X54" i="13"/>
  <c r="M52" i="13"/>
  <c r="Q51" i="13"/>
  <c r="I53" i="13"/>
  <c r="Y54" i="13"/>
  <c r="O53" i="13"/>
  <c r="V52" i="13"/>
  <c r="J55" i="13"/>
  <c r="AA54" i="13"/>
  <c r="AJ55" i="13"/>
  <c r="Q52" i="13"/>
  <c r="M54" i="13"/>
  <c r="P52" i="13"/>
  <c r="R53" i="13"/>
  <c r="N53" i="13"/>
  <c r="R55" i="13"/>
  <c r="R52" i="13"/>
  <c r="F51" i="13"/>
  <c r="AH54" i="13"/>
  <c r="I51" i="13"/>
  <c r="I52" i="13"/>
  <c r="AL52" i="13"/>
  <c r="AH55" i="13"/>
  <c r="O54" i="13"/>
  <c r="AI55" i="13"/>
  <c r="U54" i="13"/>
  <c r="AF55" i="13"/>
  <c r="F55" i="13"/>
  <c r="AF51" i="13"/>
  <c r="AH53" i="13"/>
  <c r="L55" i="13"/>
  <c r="H52" i="13"/>
  <c r="AA53" i="13"/>
  <c r="W52" i="13"/>
  <c r="Y51" i="13"/>
  <c r="N51" i="13"/>
  <c r="AG53" i="13"/>
  <c r="T54" i="13"/>
  <c r="U53" i="13"/>
  <c r="J53" i="13"/>
  <c r="W55" i="13"/>
  <c r="E54" i="13"/>
  <c r="AE51" i="13"/>
  <c r="AI51" i="13"/>
  <c r="AB52" i="13"/>
  <c r="AA55" i="13"/>
  <c r="AK53" i="13"/>
  <c r="AN52" i="13"/>
  <c r="T55" i="13"/>
  <c r="AD52" i="13"/>
  <c r="W54" i="13"/>
  <c r="F53" i="13"/>
  <c r="Z52" i="13"/>
  <c r="AB54" i="13"/>
  <c r="AC53" i="13"/>
  <c r="AE54" i="13"/>
  <c r="AC55" i="13"/>
  <c r="AE55" i="13"/>
  <c r="H51" i="13"/>
  <c r="Q53" i="13"/>
  <c r="AF53" i="13"/>
  <c r="X51" i="13"/>
  <c r="AN55" i="13"/>
  <c r="L54" i="13"/>
  <c r="Y55" i="13"/>
  <c r="S55" i="13"/>
  <c r="AK51" i="13"/>
  <c r="AN51" i="13"/>
  <c r="X55" i="13"/>
  <c r="AL51" i="13"/>
  <c r="K54" i="13"/>
  <c r="M55" i="13"/>
  <c r="AH51" i="13"/>
  <c r="V55" i="13"/>
  <c r="G52" i="13"/>
  <c r="AK55" i="13"/>
  <c r="H54" i="13"/>
  <c r="AM52" i="13"/>
  <c r="S54" i="13"/>
  <c r="AJ54" i="13"/>
  <c r="P55" i="13"/>
  <c r="S51" i="13"/>
  <c r="AG54" i="13"/>
  <c r="G55" i="13"/>
  <c r="T51" i="13"/>
  <c r="V51" i="13"/>
  <c r="H53" i="13"/>
  <c r="AK54" i="13"/>
  <c r="J52" i="13"/>
  <c r="AL53" i="13"/>
  <c r="X52" i="13"/>
  <c r="R54" i="13"/>
  <c r="M51" i="13"/>
  <c r="AC51" i="13"/>
  <c r="AH52" i="13"/>
  <c r="E46" i="12"/>
  <c r="F48" i="12"/>
  <c r="I45" i="12"/>
  <c r="Z49" i="12"/>
  <c r="W45" i="12"/>
  <c r="AE48" i="12"/>
  <c r="O46" i="12"/>
  <c r="AF48" i="12"/>
  <c r="AH46" i="12"/>
  <c r="M48" i="12"/>
  <c r="S46" i="12"/>
  <c r="X46" i="12"/>
  <c r="P48" i="12"/>
  <c r="U47" i="12"/>
  <c r="K49" i="12"/>
  <c r="AA46" i="12"/>
  <c r="Y48" i="12"/>
  <c r="AL48" i="12"/>
  <c r="AM46" i="12"/>
  <c r="V48" i="12"/>
  <c r="AD46" i="12"/>
  <c r="I47" i="12"/>
  <c r="E48" i="12"/>
  <c r="W48" i="12"/>
  <c r="AJ46" i="12"/>
  <c r="O47" i="12"/>
  <c r="R45" i="12"/>
  <c r="AH47" i="12"/>
  <c r="AL45" i="12"/>
  <c r="S47" i="12"/>
  <c r="L49" i="12"/>
  <c r="AI48" i="12"/>
  <c r="X48" i="12"/>
  <c r="R48" i="12"/>
  <c r="P46" i="12"/>
  <c r="U49" i="12"/>
  <c r="K47" i="12"/>
  <c r="AA48" i="12"/>
  <c r="AB46" i="12"/>
  <c r="T48" i="12"/>
  <c r="Y46" i="12"/>
  <c r="AM48" i="12"/>
  <c r="AG48" i="12"/>
  <c r="V46" i="12"/>
  <c r="J46" i="12"/>
  <c r="I49" i="12"/>
  <c r="E49" i="12"/>
  <c r="G45" i="12"/>
  <c r="H46" i="12"/>
  <c r="AA45" i="12"/>
  <c r="W49" i="12"/>
  <c r="AJ45" i="12"/>
  <c r="O48" i="12"/>
  <c r="Q46" i="12"/>
  <c r="AH48" i="12"/>
  <c r="AK46" i="12"/>
  <c r="S48" i="12"/>
  <c r="L48" i="12"/>
  <c r="AI47" i="12"/>
  <c r="X49" i="12"/>
  <c r="R47" i="12"/>
  <c r="K46" i="12"/>
  <c r="AA49" i="12"/>
  <c r="AB47" i="12"/>
  <c r="N49" i="12"/>
  <c r="T47" i="12"/>
  <c r="AM49" i="12"/>
  <c r="AG47" i="12"/>
  <c r="J47" i="12"/>
  <c r="F46" i="12"/>
  <c r="G48" i="12"/>
  <c r="H49" i="12"/>
  <c r="Z47" i="12"/>
  <c r="X45" i="12"/>
  <c r="AJ49" i="12"/>
  <c r="AE45" i="12"/>
  <c r="Q48" i="12"/>
  <c r="AF46" i="12"/>
  <c r="AK49" i="12"/>
  <c r="M45" i="12"/>
  <c r="L45" i="12"/>
  <c r="U46" i="12"/>
  <c r="N46" i="12"/>
  <c r="AL46" i="12"/>
  <c r="E47" i="12"/>
  <c r="W46" i="12"/>
  <c r="P45" i="12"/>
  <c r="Q49" i="12"/>
  <c r="AI45" i="12"/>
  <c r="T45" i="12"/>
  <c r="P49" i="12"/>
  <c r="U45" i="12"/>
  <c r="AN45" i="12"/>
  <c r="V47" i="12"/>
  <c r="AD48" i="12"/>
  <c r="AC49" i="12"/>
  <c r="W47" i="12"/>
  <c r="O45" i="12"/>
  <c r="AH45" i="12"/>
  <c r="S45" i="12"/>
  <c r="R49" i="12"/>
  <c r="P47" i="12"/>
  <c r="U48" i="12"/>
  <c r="AC45" i="12"/>
  <c r="AM47" i="12"/>
  <c r="AD47" i="12"/>
  <c r="AC48" i="12"/>
  <c r="J45" i="12"/>
  <c r="AN47" i="12"/>
  <c r="F47" i="12"/>
  <c r="G47" i="12"/>
  <c r="H48" i="12"/>
  <c r="Z45" i="12"/>
  <c r="AE46" i="12"/>
  <c r="AG45" i="12"/>
  <c r="M46" i="12"/>
  <c r="AB49" i="12"/>
  <c r="AM45" i="12"/>
  <c r="AC46" i="12"/>
  <c r="J49" i="12"/>
  <c r="I48" i="12"/>
  <c r="AN46" i="12"/>
  <c r="F49" i="12"/>
  <c r="G49" i="12"/>
  <c r="Z48" i="12"/>
  <c r="AE47" i="12"/>
  <c r="AF47" i="12"/>
  <c r="M47" i="12"/>
  <c r="Y45" i="12"/>
  <c r="H45" i="12"/>
  <c r="AK45" i="12"/>
  <c r="AE49" i="12"/>
  <c r="AF49" i="12"/>
  <c r="M49" i="12"/>
  <c r="AI49" i="12"/>
  <c r="X47" i="12"/>
  <c r="K48" i="12"/>
  <c r="AA47" i="12"/>
  <c r="E45" i="12"/>
  <c r="AJ48" i="12"/>
  <c r="Q47" i="12"/>
  <c r="AK48" i="12"/>
  <c r="L46" i="12"/>
  <c r="V45" i="12"/>
  <c r="N47" i="12"/>
  <c r="AG46" i="12"/>
  <c r="V49" i="12"/>
  <c r="AD49" i="12"/>
  <c r="AH49" i="12"/>
  <c r="K45" i="12"/>
  <c r="AD45" i="12"/>
  <c r="J48" i="12"/>
  <c r="AN49" i="12"/>
  <c r="AJ47" i="12"/>
  <c r="AK47" i="12"/>
  <c r="AL47" i="12"/>
  <c r="AN48" i="12"/>
  <c r="AF45" i="12"/>
  <c r="N45" i="12"/>
  <c r="R46" i="12"/>
  <c r="AB45" i="12"/>
  <c r="T49" i="12"/>
  <c r="AL49" i="12"/>
  <c r="G46" i="12"/>
  <c r="T46" i="12"/>
  <c r="H47" i="12"/>
  <c r="O49" i="12"/>
  <c r="S49" i="12"/>
  <c r="AB48" i="12"/>
  <c r="AC47" i="12"/>
  <c r="I46" i="12"/>
  <c r="F45" i="12"/>
  <c r="Q45" i="12"/>
  <c r="L47" i="12"/>
  <c r="Y49" i="12"/>
  <c r="Z46" i="12"/>
  <c r="Y47" i="12"/>
  <c r="N48" i="12"/>
  <c r="AI46" i="12"/>
  <c r="AG49" i="12"/>
  <c r="O109" i="10"/>
  <c r="J109" i="10"/>
  <c r="BE109" i="10"/>
  <c r="BB109" i="10"/>
  <c r="AF109" i="10"/>
  <c r="Y109" i="10"/>
  <c r="AS109" i="10"/>
  <c r="S109" i="10"/>
  <c r="E109" i="10"/>
  <c r="AE109" i="10"/>
  <c r="AZ109" i="10"/>
  <c r="AM109" i="10"/>
  <c r="BA109" i="10"/>
  <c r="F109" i="10"/>
  <c r="T109" i="10"/>
  <c r="W109" i="10"/>
  <c r="AB109" i="10"/>
  <c r="AP109" i="10"/>
  <c r="AA109" i="10"/>
  <c r="BF109" i="10"/>
  <c r="P109" i="10"/>
  <c r="M109" i="10"/>
  <c r="I109" i="10"/>
  <c r="AO109" i="10"/>
  <c r="Z109" i="10"/>
  <c r="AT109" i="10"/>
  <c r="AD109" i="10"/>
  <c r="R109" i="10"/>
  <c r="L109" i="10"/>
  <c r="H109" i="10"/>
  <c r="AV109" i="10"/>
  <c r="AR109" i="10"/>
  <c r="AY109" i="10"/>
  <c r="AW109" i="10"/>
  <c r="G109" i="10"/>
  <c r="Q109" i="10"/>
  <c r="X109" i="10"/>
  <c r="BC109" i="10"/>
  <c r="AL109" i="10"/>
  <c r="BD109" i="10"/>
  <c r="AX109" i="10"/>
  <c r="AQ109" i="10"/>
  <c r="U109" i="10"/>
  <c r="AJ109" i="10"/>
  <c r="AI109" i="10"/>
  <c r="K109" i="10"/>
  <c r="AC109" i="10"/>
  <c r="AH109" i="10"/>
  <c r="V109" i="10"/>
  <c r="AU109" i="10"/>
  <c r="BG109" i="10"/>
  <c r="AK109" i="10"/>
  <c r="N109" i="10"/>
  <c r="AG109" i="10"/>
  <c r="AN109" i="10"/>
  <c r="F127" i="13" l="1"/>
  <c r="F135" i="13" s="1"/>
  <c r="F128" i="13" s="1"/>
  <c r="F136" i="13" s="1"/>
  <c r="F129" i="13" s="1"/>
  <c r="F137" i="13" s="1"/>
  <c r="F130" i="13" s="1"/>
  <c r="F138" i="13" s="1"/>
  <c r="H127" i="13"/>
  <c r="H135" i="13" s="1"/>
  <c r="H128" i="13" s="1"/>
  <c r="H136" i="13" s="1"/>
  <c r="H129" i="13" s="1"/>
  <c r="H137" i="13" s="1"/>
  <c r="H130" i="13" s="1"/>
  <c r="H138" i="13" s="1"/>
  <c r="G127" i="13"/>
  <c r="G135" i="13" s="1"/>
  <c r="G128" i="13" s="1"/>
  <c r="G136" i="13" s="1"/>
  <c r="G129" i="13" s="1"/>
  <c r="G137" i="13" s="1"/>
  <c r="G130" i="13" s="1"/>
  <c r="G138" i="13" s="1"/>
  <c r="AA22" i="10"/>
  <c r="AA71" i="10" s="1"/>
  <c r="V22" i="10"/>
  <c r="V71" i="10" s="1"/>
  <c r="O22" i="10"/>
  <c r="O71" i="10" s="1"/>
  <c r="J22" i="10"/>
  <c r="J71" i="10" s="1"/>
  <c r="R22" i="10"/>
  <c r="R71" i="10" s="1"/>
  <c r="AN22" i="10"/>
  <c r="M22" i="10"/>
  <c r="M71" i="10" s="1"/>
  <c r="F22" i="10"/>
  <c r="F71" i="10" s="1"/>
  <c r="T22" i="10"/>
  <c r="T71" i="10" s="1"/>
  <c r="X22" i="10"/>
  <c r="X71" i="10" s="1"/>
  <c r="AF22" i="10"/>
  <c r="AF71" i="10" s="1"/>
  <c r="AK22" i="10"/>
  <c r="AK71" i="10" s="1"/>
  <c r="AH22" i="10"/>
  <c r="AH71" i="10" s="1"/>
  <c r="E39" i="10" a="1"/>
  <c r="W39" i="10" s="1"/>
  <c r="AC22" i="10"/>
  <c r="AC71" i="10" s="1"/>
  <c r="L22" i="10"/>
  <c r="L71" i="10" s="1"/>
  <c r="Y22" i="10"/>
  <c r="Y71" i="10" s="1"/>
  <c r="AB22" i="10"/>
  <c r="AB71" i="10" s="1"/>
  <c r="AD22" i="10"/>
  <c r="AD71" i="10" s="1"/>
  <c r="AN127" i="13"/>
  <c r="AN135" i="13" s="1"/>
  <c r="AN128" i="13" s="1"/>
  <c r="AN136" i="13" s="1"/>
  <c r="AN129" i="13" s="1"/>
  <c r="AN137" i="13" s="1"/>
  <c r="AN130" i="13" s="1"/>
  <c r="AN138" i="13" s="1"/>
  <c r="E45" i="14" a="1"/>
  <c r="Y47" i="14" s="1"/>
  <c r="W22" i="10"/>
  <c r="W71" i="10" s="1"/>
  <c r="AM22" i="10"/>
  <c r="G22" i="10"/>
  <c r="G71" i="10" s="1"/>
  <c r="Q22" i="10"/>
  <c r="Q71" i="10" s="1"/>
  <c r="I22" i="10"/>
  <c r="I71" i="10" s="1"/>
  <c r="H22" i="10"/>
  <c r="H71" i="10" s="1"/>
  <c r="U22" i="10"/>
  <c r="U71" i="10" s="1"/>
  <c r="E22" i="10"/>
  <c r="E71" i="10" s="1"/>
  <c r="S22" i="10"/>
  <c r="S71" i="10" s="1"/>
  <c r="AJ22" i="10"/>
  <c r="AJ71" i="10" s="1"/>
  <c r="AI22" i="10"/>
  <c r="AI71" i="10" s="1"/>
  <c r="N22" i="10"/>
  <c r="N71" i="10" s="1"/>
  <c r="AE22" i="10"/>
  <c r="AE71" i="10" s="1"/>
  <c r="K22" i="10"/>
  <c r="K71" i="10" s="1"/>
  <c r="Z22" i="10"/>
  <c r="Z71" i="10" s="1"/>
  <c r="AL22" i="10"/>
  <c r="AL71" i="10" s="1"/>
  <c r="AG22" i="10"/>
  <c r="AG71" i="10" s="1"/>
  <c r="Y123" i="13"/>
  <c r="Y127" i="13" s="1"/>
  <c r="Y135" i="13" s="1"/>
  <c r="Y128" i="13" s="1"/>
  <c r="Y136" i="13" s="1"/>
  <c r="Y129" i="13" s="1"/>
  <c r="Y137" i="13" s="1"/>
  <c r="Y130" i="13" s="1"/>
  <c r="Y138" i="13" s="1"/>
  <c r="P123" i="13"/>
  <c r="AA123" i="13"/>
  <c r="AA127" i="13" s="1"/>
  <c r="AA135" i="13" s="1"/>
  <c r="AA128" i="13" s="1"/>
  <c r="AA136" i="13" s="1"/>
  <c r="AA129" i="13" s="1"/>
  <c r="AA137" i="13" s="1"/>
  <c r="AA130" i="13" s="1"/>
  <c r="AA138" i="13" s="1"/>
  <c r="I127" i="13"/>
  <c r="I135" i="13" s="1"/>
  <c r="I128" i="13" s="1"/>
  <c r="I136" i="13" s="1"/>
  <c r="I129" i="13" s="1"/>
  <c r="I137" i="13" s="1"/>
  <c r="I130" i="13" s="1"/>
  <c r="I138" i="13" s="1"/>
  <c r="X123" i="13"/>
  <c r="X127" i="13" s="1"/>
  <c r="X135" i="13" s="1"/>
  <c r="X128" i="13" s="1"/>
  <c r="X136" i="13" s="1"/>
  <c r="X129" i="13" s="1"/>
  <c r="X137" i="13" s="1"/>
  <c r="X130" i="13" s="1"/>
  <c r="X138" i="13" s="1"/>
  <c r="AK123" i="13"/>
  <c r="AK127" i="13" s="1"/>
  <c r="AK135" i="13" s="1"/>
  <c r="AK128" i="13" s="1"/>
  <c r="AK136" i="13" s="1"/>
  <c r="AK129" i="13" s="1"/>
  <c r="AK137" i="13" s="1"/>
  <c r="AK130" i="13" s="1"/>
  <c r="AK138" i="13" s="1"/>
  <c r="U123" i="13"/>
  <c r="U127" i="13" s="1"/>
  <c r="U135" i="13" s="1"/>
  <c r="U128" i="13" s="1"/>
  <c r="U136" i="13" s="1"/>
  <c r="U129" i="13" s="1"/>
  <c r="U137" i="13" s="1"/>
  <c r="U130" i="13" s="1"/>
  <c r="U138" i="13" s="1"/>
  <c r="R123" i="13"/>
  <c r="R127" i="13" s="1"/>
  <c r="R135" i="13" s="1"/>
  <c r="R128" i="13" s="1"/>
  <c r="R136" i="13" s="1"/>
  <c r="R129" i="13" s="1"/>
  <c r="R137" i="13" s="1"/>
  <c r="R130" i="13" s="1"/>
  <c r="R138" i="13" s="1"/>
  <c r="Z123" i="13"/>
  <c r="Z127" i="13" s="1"/>
  <c r="Z135" i="13" s="1"/>
  <c r="Z128" i="13" s="1"/>
  <c r="Z136" i="13" s="1"/>
  <c r="Z129" i="13" s="1"/>
  <c r="Z137" i="13" s="1"/>
  <c r="Z130" i="13" s="1"/>
  <c r="Z138" i="13" s="1"/>
  <c r="K127" i="13"/>
  <c r="K135" i="13" s="1"/>
  <c r="K128" i="13" s="1"/>
  <c r="K136" i="13" s="1"/>
  <c r="K129" i="13" s="1"/>
  <c r="K137" i="13" s="1"/>
  <c r="K130" i="13" s="1"/>
  <c r="K138" i="13" s="1"/>
  <c r="M123" i="13"/>
  <c r="M127" i="13" s="1"/>
  <c r="M135" i="13" s="1"/>
  <c r="M128" i="13" s="1"/>
  <c r="M136" i="13" s="1"/>
  <c r="M129" i="13" s="1"/>
  <c r="M137" i="13" s="1"/>
  <c r="M130" i="13" s="1"/>
  <c r="M138" i="13" s="1"/>
  <c r="AF123" i="13"/>
  <c r="AF127" i="13" s="1"/>
  <c r="AF135" i="13" s="1"/>
  <c r="AF128" i="13" s="1"/>
  <c r="AF136" i="13" s="1"/>
  <c r="AF129" i="13" s="1"/>
  <c r="AF137" i="13" s="1"/>
  <c r="AF130" i="13" s="1"/>
  <c r="AF138" i="13" s="1"/>
  <c r="O123" i="13"/>
  <c r="O127" i="13" s="1"/>
  <c r="O135" i="13" s="1"/>
  <c r="O128" i="13" s="1"/>
  <c r="O136" i="13" s="1"/>
  <c r="O129" i="13" s="1"/>
  <c r="O137" i="13" s="1"/>
  <c r="O130" i="13" s="1"/>
  <c r="O138" i="13" s="1"/>
  <c r="AM123" i="13"/>
  <c r="AM127" i="13" s="1"/>
  <c r="AM135" i="13" s="1"/>
  <c r="AM128" i="13" s="1"/>
  <c r="AM136" i="13" s="1"/>
  <c r="AM129" i="13" s="1"/>
  <c r="AM137" i="13" s="1"/>
  <c r="AM130" i="13" s="1"/>
  <c r="AM138" i="13" s="1"/>
  <c r="AB123" i="13"/>
  <c r="AB127" i="13" s="1"/>
  <c r="AB135" i="13" s="1"/>
  <c r="AB128" i="13" s="1"/>
  <c r="AB136" i="13" s="1"/>
  <c r="AB129" i="13" s="1"/>
  <c r="AB137" i="13" s="1"/>
  <c r="AB130" i="13" s="1"/>
  <c r="AB138" i="13" s="1"/>
  <c r="AE123" i="13"/>
  <c r="AE127" i="13" s="1"/>
  <c r="AE135" i="13" s="1"/>
  <c r="AE128" i="13" s="1"/>
  <c r="AE136" i="13" s="1"/>
  <c r="AE129" i="13" s="1"/>
  <c r="AE137" i="13" s="1"/>
  <c r="AE130" i="13" s="1"/>
  <c r="AE138" i="13" s="1"/>
  <c r="AJ123" i="13"/>
  <c r="AJ127" i="13" s="1"/>
  <c r="AJ135" i="13" s="1"/>
  <c r="AJ128" i="13" s="1"/>
  <c r="AJ136" i="13" s="1"/>
  <c r="AJ129" i="13" s="1"/>
  <c r="AJ137" i="13" s="1"/>
  <c r="AJ130" i="13" s="1"/>
  <c r="AJ138" i="13" s="1"/>
  <c r="P127" i="13"/>
  <c r="P135" i="13" s="1"/>
  <c r="P128" i="13" s="1"/>
  <c r="P136" i="13" s="1"/>
  <c r="P129" i="13" s="1"/>
  <c r="P137" i="13" s="1"/>
  <c r="P130" i="13" s="1"/>
  <c r="P138" i="13" s="1"/>
  <c r="E13" i="13" a="1"/>
  <c r="N13" i="13" s="1"/>
  <c r="E17" i="13" a="1"/>
  <c r="J17" i="13" s="1"/>
  <c r="V123" i="13"/>
  <c r="V127" i="13" s="1"/>
  <c r="V135" i="13" s="1"/>
  <c r="V128" i="13" s="1"/>
  <c r="V136" i="13" s="1"/>
  <c r="V129" i="13" s="1"/>
  <c r="V137" i="13" s="1"/>
  <c r="V130" i="13" s="1"/>
  <c r="V138" i="13" s="1"/>
  <c r="AD123" i="13"/>
  <c r="AD127" i="13" s="1"/>
  <c r="AD135" i="13" s="1"/>
  <c r="AD128" i="13" s="1"/>
  <c r="AD136" i="13" s="1"/>
  <c r="AD129" i="13" s="1"/>
  <c r="AD137" i="13" s="1"/>
  <c r="AD130" i="13" s="1"/>
  <c r="AD138" i="13" s="1"/>
  <c r="T123" i="13"/>
  <c r="T127" i="13" s="1"/>
  <c r="T135" i="13" s="1"/>
  <c r="T128" i="13" s="1"/>
  <c r="T136" i="13" s="1"/>
  <c r="T129" i="13" s="1"/>
  <c r="T137" i="13" s="1"/>
  <c r="T130" i="13" s="1"/>
  <c r="T138" i="13" s="1"/>
  <c r="W123" i="13"/>
  <c r="W127" i="13" s="1"/>
  <c r="W135" i="13" s="1"/>
  <c r="W128" i="13" s="1"/>
  <c r="W136" i="13" s="1"/>
  <c r="W129" i="13" s="1"/>
  <c r="W137" i="13" s="1"/>
  <c r="W130" i="13" s="1"/>
  <c r="W138" i="13" s="1"/>
  <c r="AC123" i="13"/>
  <c r="AC127" i="13" s="1"/>
  <c r="AC135" i="13" s="1"/>
  <c r="AC128" i="13" s="1"/>
  <c r="AC136" i="13" s="1"/>
  <c r="AC129" i="13" s="1"/>
  <c r="AC137" i="13" s="1"/>
  <c r="AC130" i="13" s="1"/>
  <c r="AC138" i="13" s="1"/>
  <c r="J127" i="13"/>
  <c r="J135" i="13" s="1"/>
  <c r="J128" i="13" s="1"/>
  <c r="J136" i="13" s="1"/>
  <c r="J129" i="13" s="1"/>
  <c r="J137" i="13" s="1"/>
  <c r="J130" i="13" s="1"/>
  <c r="J138" i="13" s="1"/>
  <c r="L123" i="13"/>
  <c r="L127" i="13" s="1"/>
  <c r="L135" i="13" s="1"/>
  <c r="L128" i="13" s="1"/>
  <c r="L136" i="13" s="1"/>
  <c r="L129" i="13" s="1"/>
  <c r="L137" i="13" s="1"/>
  <c r="L130" i="13" s="1"/>
  <c r="L138" i="13" s="1"/>
  <c r="AI123" i="13"/>
  <c r="AI127" i="13" s="1"/>
  <c r="AI135" i="13" s="1"/>
  <c r="AI128" i="13" s="1"/>
  <c r="AI136" i="13" s="1"/>
  <c r="AI129" i="13" s="1"/>
  <c r="AI137" i="13" s="1"/>
  <c r="AI130" i="13" s="1"/>
  <c r="AI138" i="13" s="1"/>
  <c r="AH123" i="13"/>
  <c r="AH127" i="13" s="1"/>
  <c r="AH135" i="13" s="1"/>
  <c r="AH128" i="13" s="1"/>
  <c r="AH136" i="13" s="1"/>
  <c r="AH129" i="13" s="1"/>
  <c r="AH137" i="13" s="1"/>
  <c r="AH130" i="13" s="1"/>
  <c r="AH138" i="13" s="1"/>
  <c r="S123" i="13"/>
  <c r="S127" i="13" s="1"/>
  <c r="S135" i="13" s="1"/>
  <c r="S128" i="13" s="1"/>
  <c r="S136" i="13" s="1"/>
  <c r="S129" i="13" s="1"/>
  <c r="S137" i="13" s="1"/>
  <c r="S130" i="13" s="1"/>
  <c r="S138" i="13" s="1"/>
  <c r="N123" i="13"/>
  <c r="N127" i="13" s="1"/>
  <c r="N135" i="13" s="1"/>
  <c r="N128" i="13" s="1"/>
  <c r="N136" i="13" s="1"/>
  <c r="N129" i="13" s="1"/>
  <c r="N137" i="13" s="1"/>
  <c r="N130" i="13" s="1"/>
  <c r="N138" i="13" s="1"/>
  <c r="AL123" i="13"/>
  <c r="AL127" i="13" s="1"/>
  <c r="AL135" i="13" s="1"/>
  <c r="AL128" i="13" s="1"/>
  <c r="AL136" i="13" s="1"/>
  <c r="AL129" i="13" s="1"/>
  <c r="AL137" i="13" s="1"/>
  <c r="AL130" i="13" s="1"/>
  <c r="AL138" i="13" s="1"/>
  <c r="AG123" i="13"/>
  <c r="AG127" i="13" s="1"/>
  <c r="AG135" i="13" s="1"/>
  <c r="AG128" i="13" s="1"/>
  <c r="AG136" i="13" s="1"/>
  <c r="AG129" i="13" s="1"/>
  <c r="AG137" i="13" s="1"/>
  <c r="AG130" i="13" s="1"/>
  <c r="AG138" i="13" s="1"/>
  <c r="Q123" i="13"/>
  <c r="Q127" i="13" s="1"/>
  <c r="Q135" i="13" s="1"/>
  <c r="Q128" i="13" s="1"/>
  <c r="Q136" i="13" s="1"/>
  <c r="Q129" i="13" s="1"/>
  <c r="Q137" i="13" s="1"/>
  <c r="Q130" i="13" s="1"/>
  <c r="Q138" i="13" s="1"/>
  <c r="E10" i="13" a="1"/>
  <c r="AD10" i="13" s="1"/>
  <c r="E45" i="13" a="1"/>
  <c r="AN49" i="13" s="1"/>
  <c r="G105" i="12"/>
  <c r="I101" i="12"/>
  <c r="E102" i="12"/>
  <c r="G101" i="12"/>
  <c r="H103" i="12"/>
  <c r="F104" i="12"/>
  <c r="F103" i="12"/>
  <c r="AF103" i="12"/>
  <c r="P101" i="12"/>
  <c r="AM105" i="12"/>
  <c r="AI101" i="12"/>
  <c r="R105" i="12"/>
  <c r="S103" i="12"/>
  <c r="X101" i="12"/>
  <c r="AL102" i="12"/>
  <c r="X105" i="12"/>
  <c r="AA103" i="12"/>
  <c r="K102" i="12"/>
  <c r="T105" i="12"/>
  <c r="AG103" i="12"/>
  <c r="AK105" i="12"/>
  <c r="Z104" i="12"/>
  <c r="AJ103" i="12"/>
  <c r="V101" i="12"/>
  <c r="N102" i="12"/>
  <c r="AD105" i="12"/>
  <c r="Y103" i="12"/>
  <c r="J103" i="12"/>
  <c r="H102" i="12"/>
  <c r="M101" i="12"/>
  <c r="AF105" i="12"/>
  <c r="O101" i="12"/>
  <c r="AI104" i="12"/>
  <c r="M102" i="12"/>
  <c r="S105" i="12"/>
  <c r="W101" i="12"/>
  <c r="AC101" i="12"/>
  <c r="AA101" i="12"/>
  <c r="AG105" i="12"/>
  <c r="AK103" i="12"/>
  <c r="Z102" i="12"/>
  <c r="Q104" i="12"/>
  <c r="AD103" i="12"/>
  <c r="AH105" i="12"/>
  <c r="J105" i="12"/>
  <c r="H104" i="12"/>
  <c r="E101" i="12"/>
  <c r="L102" i="12"/>
  <c r="O103" i="12"/>
  <c r="AN101" i="12"/>
  <c r="AI105" i="12"/>
  <c r="M103" i="12"/>
  <c r="S101" i="12"/>
  <c r="W103" i="12"/>
  <c r="AE105" i="12"/>
  <c r="AB102" i="12"/>
  <c r="AK102" i="12"/>
  <c r="Z101" i="12"/>
  <c r="AD101" i="12"/>
  <c r="U105" i="12"/>
  <c r="Q103" i="12"/>
  <c r="AD102" i="12"/>
  <c r="AH104" i="12"/>
  <c r="G102" i="12"/>
  <c r="E104" i="12"/>
  <c r="I103" i="12"/>
  <c r="L103" i="12"/>
  <c r="AG101" i="12"/>
  <c r="O105" i="12"/>
  <c r="AM101" i="12"/>
  <c r="M105" i="12"/>
  <c r="R101" i="12"/>
  <c r="W105" i="12"/>
  <c r="AE103" i="12"/>
  <c r="AB103" i="12"/>
  <c r="AL105" i="12"/>
  <c r="X102" i="12"/>
  <c r="K105" i="12"/>
  <c r="T102" i="12"/>
  <c r="V104" i="12"/>
  <c r="AC103" i="12"/>
  <c r="N105" i="12"/>
  <c r="U103" i="12"/>
  <c r="Q101" i="12"/>
  <c r="G103" i="12"/>
  <c r="F101" i="12"/>
  <c r="E105" i="12"/>
  <c r="I104" i="12"/>
  <c r="L104" i="12"/>
  <c r="AF102" i="12"/>
  <c r="AM103" i="12"/>
  <c r="AJ101" i="12"/>
  <c r="R103" i="12"/>
  <c r="T101" i="12"/>
  <c r="AE102" i="12"/>
  <c r="AB104" i="12"/>
  <c r="AL104" i="12"/>
  <c r="X103" i="12"/>
  <c r="AA105" i="12"/>
  <c r="K104" i="12"/>
  <c r="T103" i="12"/>
  <c r="AH101" i="12"/>
  <c r="AJ105" i="12"/>
  <c r="V103" i="12"/>
  <c r="AC104" i="12"/>
  <c r="N104" i="12"/>
  <c r="U102" i="12"/>
  <c r="Y105" i="12"/>
  <c r="P103" i="12"/>
  <c r="AN104" i="12"/>
  <c r="F102" i="12"/>
  <c r="AL103" i="12"/>
  <c r="K101" i="12"/>
  <c r="AG102" i="12"/>
  <c r="AJ102" i="12"/>
  <c r="Q105" i="12"/>
  <c r="J104" i="12"/>
  <c r="F105" i="12"/>
  <c r="AL101" i="12"/>
  <c r="AA104" i="12"/>
  <c r="AG104" i="12"/>
  <c r="Z105" i="12"/>
  <c r="Q102" i="12"/>
  <c r="P105" i="12"/>
  <c r="AH103" i="12"/>
  <c r="E103" i="12"/>
  <c r="I102" i="12"/>
  <c r="L101" i="12"/>
  <c r="O102" i="12"/>
  <c r="AI102" i="12"/>
  <c r="R102" i="12"/>
  <c r="W102" i="12"/>
  <c r="AA102" i="12"/>
  <c r="Z103" i="12"/>
  <c r="AC102" i="12"/>
  <c r="P104" i="12"/>
  <c r="AH102" i="12"/>
  <c r="I105" i="12"/>
  <c r="L105" i="12"/>
  <c r="O104" i="12"/>
  <c r="AI103" i="12"/>
  <c r="R104" i="12"/>
  <c r="W104" i="12"/>
  <c r="AC105" i="12"/>
  <c r="U104" i="12"/>
  <c r="Y104" i="12"/>
  <c r="P102" i="12"/>
  <c r="J101" i="12"/>
  <c r="AB101" i="12"/>
  <c r="U101" i="12"/>
  <c r="AK104" i="12"/>
  <c r="V105" i="12"/>
  <c r="Y102" i="12"/>
  <c r="G104" i="12"/>
  <c r="AB105" i="12"/>
  <c r="Y101" i="12"/>
  <c r="T104" i="12"/>
  <c r="AK101" i="12"/>
  <c r="V102" i="12"/>
  <c r="AN103" i="12"/>
  <c r="H101" i="12"/>
  <c r="AF101" i="12"/>
  <c r="AM102" i="12"/>
  <c r="N101" i="12"/>
  <c r="S102" i="12"/>
  <c r="AE104" i="12"/>
  <c r="X104" i="12"/>
  <c r="N103" i="12"/>
  <c r="AD104" i="12"/>
  <c r="AN102" i="12"/>
  <c r="M104" i="12"/>
  <c r="AJ104" i="12"/>
  <c r="AN105" i="12"/>
  <c r="S104" i="12"/>
  <c r="AE101" i="12"/>
  <c r="K103" i="12"/>
  <c r="J102" i="12"/>
  <c r="H105" i="12"/>
  <c r="AF104" i="12"/>
  <c r="AM104" i="12"/>
  <c r="I78" i="12"/>
  <c r="H40" i="12"/>
  <c r="H33" i="12"/>
  <c r="H36" i="12"/>
  <c r="P78" i="12"/>
  <c r="O40" i="12"/>
  <c r="O36" i="12"/>
  <c r="O33" i="12"/>
  <c r="U78" i="12"/>
  <c r="T40" i="12"/>
  <c r="T36" i="12"/>
  <c r="T33" i="12"/>
  <c r="Y78" i="12"/>
  <c r="X33" i="12"/>
  <c r="X40" i="12"/>
  <c r="X36" i="12"/>
  <c r="AB78" i="12"/>
  <c r="AA40" i="12"/>
  <c r="AA33" i="12"/>
  <c r="AA36" i="12"/>
  <c r="AC78" i="12"/>
  <c r="AB36" i="12"/>
  <c r="AB33" i="12"/>
  <c r="AB40" i="12"/>
  <c r="Z78" i="12"/>
  <c r="Y33" i="12"/>
  <c r="Y40" i="12"/>
  <c r="Y36" i="12"/>
  <c r="AA78" i="12"/>
  <c r="Z40" i="12"/>
  <c r="Z36" i="12"/>
  <c r="Z33" i="12"/>
  <c r="AJ78" i="12"/>
  <c r="AI33" i="12"/>
  <c r="AI40" i="12"/>
  <c r="AI36" i="12"/>
  <c r="M78" i="12"/>
  <c r="L40" i="12"/>
  <c r="L36" i="12"/>
  <c r="L33" i="12"/>
  <c r="R78" i="12"/>
  <c r="Q33" i="12"/>
  <c r="Q40" i="12"/>
  <c r="Q36" i="12"/>
  <c r="AN36" i="12"/>
  <c r="AN40" i="12"/>
  <c r="AN33" i="12"/>
  <c r="AM78" i="12"/>
  <c r="AL33" i="12"/>
  <c r="AL40" i="12"/>
  <c r="AL36" i="12"/>
  <c r="X78" i="12"/>
  <c r="W40" i="12"/>
  <c r="W33" i="12"/>
  <c r="W36" i="12"/>
  <c r="W78" i="12"/>
  <c r="V33" i="12"/>
  <c r="V36" i="12"/>
  <c r="V40" i="12"/>
  <c r="AD78" i="12"/>
  <c r="AC33" i="12"/>
  <c r="AC36" i="12"/>
  <c r="AC40" i="12"/>
  <c r="N78" i="12"/>
  <c r="M36" i="12"/>
  <c r="M40" i="12"/>
  <c r="M33" i="12"/>
  <c r="H78" i="12"/>
  <c r="G40" i="12"/>
  <c r="G33" i="12"/>
  <c r="G36" i="12"/>
  <c r="O78" i="12"/>
  <c r="N33" i="12"/>
  <c r="N36" i="12"/>
  <c r="N40" i="12"/>
  <c r="AE78" i="12"/>
  <c r="AD40" i="12"/>
  <c r="AD33" i="12"/>
  <c r="AD36" i="12"/>
  <c r="Q78" i="12"/>
  <c r="P40" i="12"/>
  <c r="P36" i="12"/>
  <c r="P33" i="12"/>
  <c r="AG78" i="12"/>
  <c r="AF36" i="12"/>
  <c r="AF33" i="12"/>
  <c r="AF40" i="12"/>
  <c r="L78" i="12"/>
  <c r="K36" i="12"/>
  <c r="K40" i="12"/>
  <c r="K33" i="12"/>
  <c r="AM40" i="12"/>
  <c r="AM36" i="12"/>
  <c r="AN78" i="12"/>
  <c r="AM33" i="12"/>
  <c r="G78" i="12"/>
  <c r="F36" i="12"/>
  <c r="F40" i="12"/>
  <c r="F33" i="12"/>
  <c r="J40" i="12"/>
  <c r="K78" i="12"/>
  <c r="J36" i="12"/>
  <c r="J33" i="12"/>
  <c r="T78" i="12"/>
  <c r="S33" i="12"/>
  <c r="S40" i="12"/>
  <c r="S36" i="12"/>
  <c r="V78" i="12"/>
  <c r="U36" i="12"/>
  <c r="U40" i="12"/>
  <c r="U33" i="12"/>
  <c r="AF78" i="12"/>
  <c r="AE40" i="12"/>
  <c r="AE36" i="12"/>
  <c r="AE33" i="12"/>
  <c r="AK78" i="12"/>
  <c r="AJ36" i="12"/>
  <c r="AJ33" i="12"/>
  <c r="AJ40" i="12"/>
  <c r="E67" i="12"/>
  <c r="F67" i="12" s="1"/>
  <c r="G67" i="12" s="1"/>
  <c r="H67" i="12" s="1"/>
  <c r="I67" i="12" s="1"/>
  <c r="J67" i="12" s="1"/>
  <c r="K67" i="12" s="1"/>
  <c r="F78" i="12"/>
  <c r="E33" i="12"/>
  <c r="E40" i="12"/>
  <c r="E36" i="12"/>
  <c r="AL78" i="12"/>
  <c r="AK33" i="12"/>
  <c r="AK36" i="12"/>
  <c r="AK40" i="12"/>
  <c r="AH78" i="12"/>
  <c r="AG36" i="12"/>
  <c r="AG40" i="12"/>
  <c r="AG33" i="12"/>
  <c r="AI78" i="12"/>
  <c r="AH36" i="12"/>
  <c r="AH33" i="12"/>
  <c r="AH40" i="12"/>
  <c r="S78" i="12"/>
  <c r="R33" i="12"/>
  <c r="R40" i="12"/>
  <c r="R36" i="12"/>
  <c r="J78" i="12"/>
  <c r="I36" i="12"/>
  <c r="I33" i="12"/>
  <c r="I40" i="12"/>
  <c r="F105" i="14"/>
  <c r="W104" i="14"/>
  <c r="P103" i="14"/>
  <c r="E105" i="14"/>
  <c r="U103" i="14"/>
  <c r="X105" i="14"/>
  <c r="Z101" i="14"/>
  <c r="M105" i="14"/>
  <c r="L105" i="14"/>
  <c r="Q104" i="14"/>
  <c r="AI103" i="14"/>
  <c r="J101" i="14"/>
  <c r="E101" i="14"/>
  <c r="P104" i="14"/>
  <c r="Y102" i="14"/>
  <c r="AM103" i="14"/>
  <c r="AI104" i="14"/>
  <c r="Y103" i="14"/>
  <c r="AJ105" i="14"/>
  <c r="AE105" i="14"/>
  <c r="U102" i="14"/>
  <c r="S102" i="14"/>
  <c r="AD105" i="14"/>
  <c r="N104" i="14"/>
  <c r="Y105" i="14"/>
  <c r="Q101" i="14"/>
  <c r="S103" i="14"/>
  <c r="V103" i="14"/>
  <c r="H105" i="14"/>
  <c r="AK104" i="14"/>
  <c r="I102" i="14"/>
  <c r="W105" i="14"/>
  <c r="AI105" i="14"/>
  <c r="AA103" i="14"/>
  <c r="L103" i="14"/>
  <c r="X103" i="14"/>
  <c r="AJ102" i="14"/>
  <c r="AK101" i="14"/>
  <c r="Q105" i="14"/>
  <c r="V102" i="14"/>
  <c r="P101" i="14"/>
  <c r="W101" i="14"/>
  <c r="O105" i="14"/>
  <c r="K103" i="14"/>
  <c r="R105" i="14"/>
  <c r="O104" i="14"/>
  <c r="Z104" i="14"/>
  <c r="AN101" i="14"/>
  <c r="V101" i="14"/>
  <c r="J102" i="14"/>
  <c r="AB103" i="14"/>
  <c r="O103" i="14"/>
  <c r="X104" i="14"/>
  <c r="AC103" i="14"/>
  <c r="AA104" i="14"/>
  <c r="X101" i="14"/>
  <c r="AJ103" i="14"/>
  <c r="N105" i="14"/>
  <c r="AK102" i="14"/>
  <c r="AE101" i="14"/>
  <c r="H102" i="14"/>
  <c r="T103" i="14"/>
  <c r="N103" i="14"/>
  <c r="AD101" i="14"/>
  <c r="AB104" i="14"/>
  <c r="G101" i="14"/>
  <c r="E102" i="14"/>
  <c r="Q103" i="14"/>
  <c r="AM105" i="14"/>
  <c r="AL104" i="14"/>
  <c r="G103" i="14"/>
  <c r="S101" i="14"/>
  <c r="AE104" i="14"/>
  <c r="AG101" i="14"/>
  <c r="E104" i="14"/>
  <c r="Y104" i="14"/>
  <c r="Q102" i="14"/>
  <c r="I105" i="14"/>
  <c r="AB105" i="14"/>
  <c r="I101" i="14"/>
  <c r="K104" i="14"/>
  <c r="AF101" i="14"/>
  <c r="AG104" i="14"/>
  <c r="AH101" i="14"/>
  <c r="AJ101" i="14"/>
  <c r="U101" i="14"/>
  <c r="AE102" i="14"/>
  <c r="L102" i="14"/>
  <c r="F102" i="14"/>
  <c r="AL101" i="14"/>
  <c r="AN103" i="14"/>
  <c r="AI102" i="14"/>
  <c r="U104" i="14"/>
  <c r="T102" i="14"/>
  <c r="AN105" i="14"/>
  <c r="Z105" i="14"/>
  <c r="W102" i="14"/>
  <c r="O101" i="14"/>
  <c r="R104" i="14"/>
  <c r="L101" i="14"/>
  <c r="AL105" i="14"/>
  <c r="M102" i="14"/>
  <c r="AC105" i="14"/>
  <c r="J103" i="14"/>
  <c r="AM104" i="14"/>
  <c r="M101" i="14"/>
  <c r="N101" i="14"/>
  <c r="Z102" i="14"/>
  <c r="V105" i="14"/>
  <c r="N102" i="14"/>
  <c r="AC102" i="14"/>
  <c r="F101" i="14"/>
  <c r="AM101" i="14"/>
  <c r="AF105" i="14"/>
  <c r="AA105" i="14"/>
  <c r="S104" i="14"/>
  <c r="AG102" i="14"/>
  <c r="AA101" i="14"/>
  <c r="S105" i="14"/>
  <c r="P102" i="14"/>
  <c r="J104" i="14"/>
  <c r="F103" i="14"/>
  <c r="J105" i="14"/>
  <c r="O102" i="14"/>
  <c r="U105" i="14"/>
  <c r="T105" i="14"/>
  <c r="AH102" i="14"/>
  <c r="AC101" i="14"/>
  <c r="AN102" i="14"/>
  <c r="AD103" i="14"/>
  <c r="R101" i="14"/>
  <c r="K105" i="14"/>
  <c r="AD104" i="14"/>
  <c r="AC104" i="14"/>
  <c r="F104" i="14"/>
  <c r="AH103" i="14"/>
  <c r="AF104" i="14"/>
  <c r="AK105" i="14"/>
  <c r="AG103" i="14"/>
  <c r="I104" i="14"/>
  <c r="G105" i="14"/>
  <c r="Z103" i="14"/>
  <c r="L104" i="14"/>
  <c r="P105" i="14"/>
  <c r="E103" i="14"/>
  <c r="AG105" i="14"/>
  <c r="H103" i="14"/>
  <c r="T104" i="14"/>
  <c r="AK103" i="14"/>
  <c r="AJ104" i="14"/>
  <c r="AH104" i="14"/>
  <c r="G102" i="14"/>
  <c r="M103" i="14"/>
  <c r="R102" i="14"/>
  <c r="V104" i="14"/>
  <c r="H104" i="14"/>
  <c r="Y101" i="14"/>
  <c r="T101" i="14"/>
  <c r="M104" i="14"/>
  <c r="W103" i="14"/>
  <c r="AI101" i="14"/>
  <c r="H101" i="14"/>
  <c r="R103" i="14"/>
  <c r="AF102" i="14"/>
  <c r="AA102" i="14"/>
  <c r="K101" i="14"/>
  <c r="AE103" i="14"/>
  <c r="AL102" i="14"/>
  <c r="I103" i="14"/>
  <c r="X102" i="14"/>
  <c r="K102" i="14"/>
  <c r="AB102" i="14"/>
  <c r="G104" i="14"/>
  <c r="AH105" i="14"/>
  <c r="AL103" i="14"/>
  <c r="AN104" i="14"/>
  <c r="AF103" i="14"/>
  <c r="AM102" i="14"/>
  <c r="AB101" i="14"/>
  <c r="AD102" i="14"/>
  <c r="AR39" i="10" l="1"/>
  <c r="AQ39" i="10"/>
  <c r="H39" i="10"/>
  <c r="J39" i="10"/>
  <c r="U39" i="10"/>
  <c r="AW39" i="10"/>
  <c r="BA39" i="10"/>
  <c r="O39" i="10"/>
  <c r="AY39" i="10"/>
  <c r="BG39" i="10"/>
  <c r="AJ39" i="10"/>
  <c r="N39" i="10"/>
  <c r="Q39" i="10"/>
  <c r="F39" i="10"/>
  <c r="AO39" i="10"/>
  <c r="AB39" i="10"/>
  <c r="BB39" i="10"/>
  <c r="AF39" i="10"/>
  <c r="E39" i="10"/>
  <c r="AD39" i="10"/>
  <c r="AE39" i="10"/>
  <c r="O47" i="14"/>
  <c r="E48" i="14"/>
  <c r="X47" i="14"/>
  <c r="I45" i="14"/>
  <c r="N45" i="14"/>
  <c r="F48" i="14"/>
  <c r="V46" i="14"/>
  <c r="N49" i="14"/>
  <c r="F49" i="14"/>
  <c r="G45" i="14"/>
  <c r="AM45" i="14"/>
  <c r="T48" i="14"/>
  <c r="AI47" i="14"/>
  <c r="AK48" i="14"/>
  <c r="Y45" i="14"/>
  <c r="R49" i="14"/>
  <c r="AA46" i="14"/>
  <c r="AB49" i="14"/>
  <c r="F47" i="14"/>
  <c r="X46" i="14"/>
  <c r="R45" i="14"/>
  <c r="N46" i="14"/>
  <c r="E47" i="14"/>
  <c r="V49" i="14"/>
  <c r="AH46" i="14"/>
  <c r="AK46" i="14"/>
  <c r="F46" i="14"/>
  <c r="W47" i="14"/>
  <c r="X49" i="14"/>
  <c r="E46" i="14"/>
  <c r="Z49" i="14"/>
  <c r="AH48" i="14"/>
  <c r="U49" i="14"/>
  <c r="AA49" i="14"/>
  <c r="Z45" i="14"/>
  <c r="G47" i="14"/>
  <c r="AH49" i="14"/>
  <c r="T47" i="14"/>
  <c r="W49" i="14"/>
  <c r="M46" i="14"/>
  <c r="Q46" i="14"/>
  <c r="N47" i="14"/>
  <c r="AD45" i="14"/>
  <c r="I46" i="14"/>
  <c r="AB47" i="14"/>
  <c r="AM47" i="14"/>
  <c r="Z48" i="14"/>
  <c r="L45" i="14"/>
  <c r="AB45" i="14"/>
  <c r="G48" i="14"/>
  <c r="AJ49" i="14"/>
  <c r="Q45" i="14"/>
  <c r="V48" i="14"/>
  <c r="R46" i="14"/>
  <c r="AL47" i="14"/>
  <c r="Y46" i="14"/>
  <c r="AI45" i="14"/>
  <c r="AF48" i="14"/>
  <c r="Z47" i="14"/>
  <c r="N48" i="14"/>
  <c r="U46" i="14"/>
  <c r="T46" i="14"/>
  <c r="AE46" i="14"/>
  <c r="K45" i="14"/>
  <c r="AF46" i="14"/>
  <c r="L48" i="14"/>
  <c r="AG47" i="14"/>
  <c r="R47" i="14"/>
  <c r="E49" i="14"/>
  <c r="AG45" i="14"/>
  <c r="H47" i="14"/>
  <c r="AE48" i="14"/>
  <c r="AC45" i="14"/>
  <c r="K48" i="14"/>
  <c r="AM49" i="14"/>
  <c r="J45" i="14"/>
  <c r="Q49" i="14"/>
  <c r="S47" i="14"/>
  <c r="P49" i="14"/>
  <c r="Q48" i="14"/>
  <c r="AL49" i="14"/>
  <c r="P46" i="14"/>
  <c r="P47" i="14"/>
  <c r="T45" i="14"/>
  <c r="AC46" i="14"/>
  <c r="AN47" i="14"/>
  <c r="L46" i="14"/>
  <c r="AN49" i="14"/>
  <c r="O48" i="14"/>
  <c r="I49" i="14"/>
  <c r="H49" i="14"/>
  <c r="K47" i="14"/>
  <c r="M45" i="14"/>
  <c r="X48" i="14"/>
  <c r="P45" i="14"/>
  <c r="L47" i="14"/>
  <c r="I48" i="14"/>
  <c r="AD49" i="14"/>
  <c r="F45" i="14"/>
  <c r="O45" i="14"/>
  <c r="O46" i="14"/>
  <c r="AN46" i="14"/>
  <c r="J49" i="14"/>
  <c r="V45" i="14"/>
  <c r="S45" i="14"/>
  <c r="AG49" i="14"/>
  <c r="AE45" i="14"/>
  <c r="Y49" i="14"/>
  <c r="AI48" i="14"/>
  <c r="K49" i="14"/>
  <c r="AD46" i="14"/>
  <c r="I47" i="14"/>
  <c r="G49" i="14"/>
  <c r="AL46" i="14"/>
  <c r="AD48" i="14"/>
  <c r="AA47" i="14"/>
  <c r="AJ46" i="14"/>
  <c r="L49" i="14"/>
  <c r="AM48" i="14"/>
  <c r="AF49" i="14"/>
  <c r="H48" i="14"/>
  <c r="T49" i="14"/>
  <c r="AL48" i="14"/>
  <c r="AK47" i="14"/>
  <c r="V47" i="14"/>
  <c r="AE49" i="14"/>
  <c r="S49" i="14"/>
  <c r="K46" i="14"/>
  <c r="AC49" i="14"/>
  <c r="AC47" i="14"/>
  <c r="AF45" i="14"/>
  <c r="J47" i="14"/>
  <c r="AJ45" i="14"/>
  <c r="AD47" i="14"/>
  <c r="AM46" i="14"/>
  <c r="AG48" i="14"/>
  <c r="H46" i="14"/>
  <c r="U45" i="14"/>
  <c r="E45" i="14"/>
  <c r="AE47" i="14"/>
  <c r="M49" i="14"/>
  <c r="S48" i="14"/>
  <c r="AB48" i="14"/>
  <c r="J46" i="14"/>
  <c r="AJ47" i="14"/>
  <c r="AI49" i="14"/>
  <c r="Y48" i="14"/>
  <c r="X45" i="14"/>
  <c r="AF47" i="14"/>
  <c r="AJ48" i="14"/>
  <c r="AA48" i="14"/>
  <c r="AB46" i="14"/>
  <c r="AK45" i="14"/>
  <c r="U47" i="14"/>
  <c r="M48" i="14"/>
  <c r="AL45" i="14"/>
  <c r="J48" i="14"/>
  <c r="AA45" i="14"/>
  <c r="W48" i="14"/>
  <c r="AH47" i="14"/>
  <c r="O49" i="14"/>
  <c r="W46" i="14"/>
  <c r="S46" i="14"/>
  <c r="W45" i="14"/>
  <c r="R48" i="14"/>
  <c r="AN45" i="14"/>
  <c r="G46" i="14"/>
  <c r="Q47" i="14"/>
  <c r="Z46" i="14"/>
  <c r="U48" i="14"/>
  <c r="AG46" i="14"/>
  <c r="AK49" i="14"/>
  <c r="M47" i="14"/>
  <c r="AI46" i="14"/>
  <c r="AC48" i="14"/>
  <c r="P48" i="14"/>
  <c r="AH45" i="14"/>
  <c r="H45" i="14"/>
  <c r="AN48" i="14"/>
  <c r="V39" i="10"/>
  <c r="BD39" i="10"/>
  <c r="AS39" i="10"/>
  <c r="Z39" i="10"/>
  <c r="AK39" i="10"/>
  <c r="G39" i="10"/>
  <c r="K39" i="10"/>
  <c r="AZ39" i="10"/>
  <c r="AP39" i="10"/>
  <c r="AV39" i="10"/>
  <c r="AT39" i="10"/>
  <c r="AI39" i="10"/>
  <c r="AU39" i="10"/>
  <c r="BF39" i="10"/>
  <c r="AG39" i="10"/>
  <c r="AA39" i="10"/>
  <c r="T39" i="10"/>
  <c r="X39" i="10"/>
  <c r="AM39" i="10"/>
  <c r="AH39" i="10"/>
  <c r="P39" i="10"/>
  <c r="L39" i="10"/>
  <c r="I39" i="10"/>
  <c r="BE39" i="10"/>
  <c r="AX39" i="10"/>
  <c r="R39" i="10"/>
  <c r="Y39" i="10"/>
  <c r="S39" i="10"/>
  <c r="AN39" i="10"/>
  <c r="BC39" i="10"/>
  <c r="M39" i="10"/>
  <c r="AL39" i="10"/>
  <c r="AC39" i="10"/>
  <c r="P13" i="13"/>
  <c r="V10" i="13"/>
  <c r="AM13" i="13"/>
  <c r="AJ13" i="13"/>
  <c r="Y13" i="13"/>
  <c r="Z10" i="13"/>
  <c r="E13" i="13"/>
  <c r="G13" i="13"/>
  <c r="S10" i="13"/>
  <c r="I10" i="13"/>
  <c r="AL13" i="13"/>
  <c r="AF10" i="13"/>
  <c r="Q13" i="13"/>
  <c r="AB13" i="13"/>
  <c r="AH10" i="13"/>
  <c r="L17" i="13"/>
  <c r="AC13" i="13"/>
  <c r="E10" i="13"/>
  <c r="N10" i="13"/>
  <c r="M10" i="13"/>
  <c r="Z13" i="13"/>
  <c r="AI13" i="13"/>
  <c r="AE10" i="13"/>
  <c r="AN13" i="13"/>
  <c r="H13" i="13"/>
  <c r="AN17" i="13"/>
  <c r="V17" i="13"/>
  <c r="G10" i="13"/>
  <c r="AN10" i="13"/>
  <c r="AI10" i="13"/>
  <c r="F10" i="13"/>
  <c r="AA10" i="13"/>
  <c r="Y17" i="13"/>
  <c r="W10" i="13"/>
  <c r="J10" i="13"/>
  <c r="K10" i="13"/>
  <c r="X10" i="13"/>
  <c r="AA17" i="13"/>
  <c r="G17" i="13"/>
  <c r="N17" i="13"/>
  <c r="AF13" i="13"/>
  <c r="S13" i="13"/>
  <c r="T13" i="13"/>
  <c r="I13" i="13"/>
  <c r="U10" i="13"/>
  <c r="AJ10" i="13"/>
  <c r="AM10" i="13"/>
  <c r="P10" i="13"/>
  <c r="AC17" i="13"/>
  <c r="AK17" i="13"/>
  <c r="Q17" i="13"/>
  <c r="O13" i="13"/>
  <c r="L13" i="13"/>
  <c r="X13" i="13"/>
  <c r="W13" i="13"/>
  <c r="O17" i="13"/>
  <c r="R10" i="13"/>
  <c r="AB10" i="13"/>
  <c r="AG10" i="13"/>
  <c r="H10" i="13"/>
  <c r="I17" i="13"/>
  <c r="T17" i="13"/>
  <c r="K17" i="13"/>
  <c r="M13" i="13"/>
  <c r="R13" i="13"/>
  <c r="AA13" i="13"/>
  <c r="F13" i="13"/>
  <c r="U17" i="13"/>
  <c r="AK10" i="13"/>
  <c r="T10" i="13"/>
  <c r="Y10" i="13"/>
  <c r="AL10" i="13"/>
  <c r="W17" i="13"/>
  <c r="Z17" i="13"/>
  <c r="J13" i="13"/>
  <c r="K13" i="13"/>
  <c r="AD13" i="13"/>
  <c r="AK13" i="13"/>
  <c r="U13" i="13"/>
  <c r="AC10" i="13"/>
  <c r="O10" i="13"/>
  <c r="L10" i="13"/>
  <c r="Q10" i="13"/>
  <c r="AL17" i="13"/>
  <c r="AD17" i="13"/>
  <c r="AE13" i="13"/>
  <c r="AH13" i="13"/>
  <c r="V13" i="13"/>
  <c r="AG13" i="13"/>
  <c r="AI17" i="13"/>
  <c r="AG17" i="13"/>
  <c r="H17" i="13"/>
  <c r="AM17" i="13"/>
  <c r="AB17" i="13"/>
  <c r="AJ17" i="13"/>
  <c r="S17" i="13"/>
  <c r="AE17" i="13"/>
  <c r="X17" i="13"/>
  <c r="R17" i="13"/>
  <c r="AF17" i="13"/>
  <c r="AH17" i="13"/>
  <c r="E17" i="13"/>
  <c r="F17" i="13"/>
  <c r="M17" i="13"/>
  <c r="P17" i="13"/>
  <c r="X49" i="13"/>
  <c r="V45" i="13"/>
  <c r="O48" i="13"/>
  <c r="AD47" i="13"/>
  <c r="AJ48" i="13"/>
  <c r="I45" i="13"/>
  <c r="Z47" i="13"/>
  <c r="O47" i="13"/>
  <c r="I49" i="13"/>
  <c r="K46" i="13"/>
  <c r="Y49" i="13"/>
  <c r="T46" i="13"/>
  <c r="V46" i="13"/>
  <c r="N46" i="13"/>
  <c r="W46" i="13"/>
  <c r="AI46" i="13"/>
  <c r="AD46" i="13"/>
  <c r="AB48" i="13"/>
  <c r="N48" i="13"/>
  <c r="AH49" i="13"/>
  <c r="AL48" i="13"/>
  <c r="AM49" i="13"/>
  <c r="AD48" i="13"/>
  <c r="R48" i="13"/>
  <c r="AB46" i="13"/>
  <c r="L47" i="13"/>
  <c r="AD45" i="13"/>
  <c r="AN46" i="13"/>
  <c r="X48" i="13"/>
  <c r="Z48" i="13"/>
  <c r="H48" i="13"/>
  <c r="Z46" i="13"/>
  <c r="W49" i="13"/>
  <c r="AC48" i="13"/>
  <c r="X46" i="13"/>
  <c r="I47" i="13"/>
  <c r="E48" i="13"/>
  <c r="Q48" i="13"/>
  <c r="G49" i="13"/>
  <c r="M47" i="13"/>
  <c r="F45" i="13"/>
  <c r="AG49" i="13"/>
  <c r="P47" i="13"/>
  <c r="L46" i="13"/>
  <c r="N45" i="13"/>
  <c r="Y45" i="13"/>
  <c r="AF48" i="13"/>
  <c r="AI45" i="13"/>
  <c r="P45" i="13"/>
  <c r="AM45" i="13"/>
  <c r="W47" i="13"/>
  <c r="AH47" i="13"/>
  <c r="O45" i="13"/>
  <c r="AD49" i="13"/>
  <c r="T45" i="13"/>
  <c r="AB49" i="13"/>
  <c r="AF47" i="13"/>
  <c r="U48" i="13"/>
  <c r="T47" i="13"/>
  <c r="AN47" i="13"/>
  <c r="AE47" i="13"/>
  <c r="AC46" i="13"/>
  <c r="G48" i="13"/>
  <c r="AA46" i="13"/>
  <c r="M49" i="13"/>
  <c r="M48" i="13"/>
  <c r="U46" i="13"/>
  <c r="AM47" i="13"/>
  <c r="AB45" i="13"/>
  <c r="H47" i="13"/>
  <c r="S45" i="13"/>
  <c r="E46" i="13"/>
  <c r="Q49" i="13"/>
  <c r="Y48" i="13"/>
  <c r="G46" i="13"/>
  <c r="AJ47" i="13"/>
  <c r="J49" i="13"/>
  <c r="T49" i="13"/>
  <c r="X45" i="13"/>
  <c r="N49" i="13"/>
  <c r="P46" i="13"/>
  <c r="V48" i="13"/>
  <c r="U47" i="13"/>
  <c r="J48" i="13"/>
  <c r="AA45" i="13"/>
  <c r="AE48" i="13"/>
  <c r="AF46" i="13"/>
  <c r="Z45" i="13"/>
  <c r="N47" i="13"/>
  <c r="AF45" i="13"/>
  <c r="AK48" i="13"/>
  <c r="AG45" i="13"/>
  <c r="U49" i="13"/>
  <c r="AI48" i="13"/>
  <c r="AJ45" i="13"/>
  <c r="O46" i="13"/>
  <c r="M46" i="13"/>
  <c r="P48" i="13"/>
  <c r="Y47" i="13"/>
  <c r="AJ46" i="13"/>
  <c r="AK45" i="13"/>
  <c r="I46" i="13"/>
  <c r="AK46" i="13"/>
  <c r="AN48" i="13"/>
  <c r="P49" i="13"/>
  <c r="AG47" i="13"/>
  <c r="AJ49" i="13"/>
  <c r="AK47" i="13"/>
  <c r="AE49" i="13"/>
  <c r="AL46" i="13"/>
  <c r="H49" i="13"/>
  <c r="W45" i="13"/>
  <c r="AM48" i="13"/>
  <c r="S46" i="13"/>
  <c r="AE46" i="13"/>
  <c r="V47" i="13"/>
  <c r="AK49" i="13"/>
  <c r="AE45" i="13"/>
  <c r="E45" i="13"/>
  <c r="AC49" i="13"/>
  <c r="J46" i="13"/>
  <c r="L48" i="13"/>
  <c r="AG46" i="13"/>
  <c r="L45" i="13"/>
  <c r="AI49" i="13"/>
  <c r="K45" i="13"/>
  <c r="AH46" i="13"/>
  <c r="K49" i="13"/>
  <c r="AB47" i="13"/>
  <c r="G47" i="13"/>
  <c r="AM46" i="13"/>
  <c r="Q46" i="13"/>
  <c r="K47" i="13"/>
  <c r="F48" i="13"/>
  <c r="G45" i="13"/>
  <c r="L49" i="13"/>
  <c r="AL49" i="13"/>
  <c r="AF49" i="13"/>
  <c r="O49" i="13"/>
  <c r="M45" i="13"/>
  <c r="J45" i="13"/>
  <c r="AG48" i="13"/>
  <c r="AI47" i="13"/>
  <c r="F47" i="13"/>
  <c r="AA47" i="13"/>
  <c r="R45" i="13"/>
  <c r="E49" i="13"/>
  <c r="H45" i="13"/>
  <c r="F46" i="13"/>
  <c r="H46" i="13"/>
  <c r="AL45" i="13"/>
  <c r="Q47" i="13"/>
  <c r="S47" i="13"/>
  <c r="U45" i="13"/>
  <c r="E47" i="13"/>
  <c r="V49" i="13"/>
  <c r="AH48" i="13"/>
  <c r="S48" i="13"/>
  <c r="AA49" i="13"/>
  <c r="AA48" i="13"/>
  <c r="Z49" i="13"/>
  <c r="AN45" i="13"/>
  <c r="R49" i="13"/>
  <c r="AC47" i="13"/>
  <c r="Y46" i="13"/>
  <c r="S49" i="13"/>
  <c r="AL47" i="13"/>
  <c r="AH45" i="13"/>
  <c r="Q45" i="13"/>
  <c r="T48" i="13"/>
  <c r="F49" i="13"/>
  <c r="W48" i="13"/>
  <c r="K48" i="13"/>
  <c r="X47" i="13"/>
  <c r="I48" i="13"/>
  <c r="AC45" i="13"/>
  <c r="R47" i="13"/>
  <c r="J47" i="13"/>
  <c r="R46" i="13"/>
  <c r="F71" i="12"/>
  <c r="F79" i="12" s="1"/>
  <c r="F72" i="12" s="1"/>
  <c r="F80" i="12" s="1"/>
  <c r="F73" i="12" s="1"/>
  <c r="F81" i="12" s="1"/>
  <c r="F74" i="12" s="1"/>
  <c r="F82" i="12" s="1"/>
  <c r="G71" i="12"/>
  <c r="G79" i="12" s="1"/>
  <c r="G72" i="12" s="1"/>
  <c r="G80" i="12" s="1"/>
  <c r="G73" i="12" s="1"/>
  <c r="G81" i="12" s="1"/>
  <c r="G74" i="12" s="1"/>
  <c r="G82" i="12" s="1"/>
  <c r="M134" i="12"/>
  <c r="L37" i="12"/>
  <c r="L41" i="12"/>
  <c r="L34" i="12"/>
  <c r="R41" i="12"/>
  <c r="R34" i="12"/>
  <c r="R37" i="12"/>
  <c r="S134" i="12"/>
  <c r="P134" i="12"/>
  <c r="O37" i="12"/>
  <c r="O41" i="12"/>
  <c r="O34" i="12"/>
  <c r="AI134" i="14"/>
  <c r="AH41" i="14"/>
  <c r="AH17" i="14" s="1"/>
  <c r="AH34" i="14"/>
  <c r="AH10" i="14" s="1"/>
  <c r="AH37" i="14"/>
  <c r="AH13" i="14" s="1"/>
  <c r="K134" i="14"/>
  <c r="J37" i="14"/>
  <c r="J13" i="14" s="1"/>
  <c r="J41" i="14"/>
  <c r="J17" i="14" s="1"/>
  <c r="J34" i="14"/>
  <c r="J10" i="14" s="1"/>
  <c r="I71" i="12"/>
  <c r="I79" i="12" s="1"/>
  <c r="I72" i="12" s="1"/>
  <c r="I80" i="12" s="1"/>
  <c r="I73" i="12" s="1"/>
  <c r="I81" i="12" s="1"/>
  <c r="I74" i="12" s="1"/>
  <c r="I82" i="12" s="1"/>
  <c r="AF134" i="12"/>
  <c r="AE37" i="12"/>
  <c r="AE41" i="12"/>
  <c r="AE34" i="12"/>
  <c r="AM134" i="12"/>
  <c r="AL41" i="12"/>
  <c r="AL37" i="12"/>
  <c r="AL34" i="12"/>
  <c r="F134" i="12"/>
  <c r="E123" i="12"/>
  <c r="F123" i="12" s="1"/>
  <c r="G123" i="12" s="1"/>
  <c r="H123" i="12" s="1"/>
  <c r="I123" i="12" s="1"/>
  <c r="J123" i="12" s="1"/>
  <c r="K123" i="12" s="1"/>
  <c r="E37" i="12"/>
  <c r="E34" i="12"/>
  <c r="E41" i="12"/>
  <c r="AK67" i="12"/>
  <c r="AK71" i="12" s="1"/>
  <c r="AK79" i="12" s="1"/>
  <c r="AK72" i="12" s="1"/>
  <c r="AK80" i="12" s="1"/>
  <c r="AK73" i="12" s="1"/>
  <c r="AK81" i="12" s="1"/>
  <c r="AK74" i="12" s="1"/>
  <c r="AK82" i="12" s="1"/>
  <c r="AJ67" i="12"/>
  <c r="AJ71" i="12" s="1"/>
  <c r="AJ79" i="12" s="1"/>
  <c r="AJ72" i="12" s="1"/>
  <c r="AJ80" i="12" s="1"/>
  <c r="AJ73" i="12" s="1"/>
  <c r="AJ81" i="12" s="1"/>
  <c r="AJ74" i="12" s="1"/>
  <c r="AJ82" i="12" s="1"/>
  <c r="S67" i="12"/>
  <c r="S71" i="12" s="1"/>
  <c r="S79" i="12" s="1"/>
  <c r="S72" i="12" s="1"/>
  <c r="S80" i="12" s="1"/>
  <c r="S73" i="12" s="1"/>
  <c r="S81" i="12" s="1"/>
  <c r="S74" i="12" s="1"/>
  <c r="S82" i="12" s="1"/>
  <c r="AC67" i="12"/>
  <c r="AC71" i="12" s="1"/>
  <c r="AC79" i="12" s="1"/>
  <c r="AC72" i="12" s="1"/>
  <c r="AC80" i="12" s="1"/>
  <c r="AC73" i="12" s="1"/>
  <c r="AC81" i="12" s="1"/>
  <c r="AC74" i="12" s="1"/>
  <c r="AC82" i="12" s="1"/>
  <c r="U67" i="12"/>
  <c r="U71" i="12" s="1"/>
  <c r="U79" i="12" s="1"/>
  <c r="U72" i="12" s="1"/>
  <c r="U80" i="12" s="1"/>
  <c r="U73" i="12" s="1"/>
  <c r="U81" i="12" s="1"/>
  <c r="U74" i="12" s="1"/>
  <c r="U82" i="12" s="1"/>
  <c r="AH67" i="12"/>
  <c r="AH71" i="12" s="1"/>
  <c r="AH79" i="12" s="1"/>
  <c r="AH72" i="12" s="1"/>
  <c r="AH80" i="12" s="1"/>
  <c r="AH73" i="12" s="1"/>
  <c r="AH81" i="12" s="1"/>
  <c r="AH74" i="12" s="1"/>
  <c r="AH82" i="12" s="1"/>
  <c r="AA67" i="12"/>
  <c r="AA71" i="12" s="1"/>
  <c r="AA79" i="12" s="1"/>
  <c r="AA72" i="12" s="1"/>
  <c r="AA80" i="12" s="1"/>
  <c r="AA73" i="12" s="1"/>
  <c r="AA81" i="12" s="1"/>
  <c r="AA74" i="12" s="1"/>
  <c r="AA82" i="12" s="1"/>
  <c r="O67" i="12"/>
  <c r="O71" i="12" s="1"/>
  <c r="O79" i="12" s="1"/>
  <c r="O72" i="12" s="1"/>
  <c r="O80" i="12" s="1"/>
  <c r="O73" i="12" s="1"/>
  <c r="O81" i="12" s="1"/>
  <c r="O74" i="12" s="1"/>
  <c r="O82" i="12" s="1"/>
  <c r="AF67" i="12"/>
  <c r="AF71" i="12" s="1"/>
  <c r="AF79" i="12" s="1"/>
  <c r="AF72" i="12" s="1"/>
  <c r="AF80" i="12" s="1"/>
  <c r="AF73" i="12" s="1"/>
  <c r="AF81" i="12" s="1"/>
  <c r="AF74" i="12" s="1"/>
  <c r="AF82" i="12" s="1"/>
  <c r="N67" i="12"/>
  <c r="N71" i="12" s="1"/>
  <c r="N79" i="12" s="1"/>
  <c r="N72" i="12" s="1"/>
  <c r="N80" i="12" s="1"/>
  <c r="N73" i="12" s="1"/>
  <c r="N81" i="12" s="1"/>
  <c r="N74" i="12" s="1"/>
  <c r="N82" i="12" s="1"/>
  <c r="AD67" i="12"/>
  <c r="AD71" i="12" s="1"/>
  <c r="AD79" i="12" s="1"/>
  <c r="AD72" i="12" s="1"/>
  <c r="AD80" i="12" s="1"/>
  <c r="AD73" i="12" s="1"/>
  <c r="AD81" i="12" s="1"/>
  <c r="AD74" i="12" s="1"/>
  <c r="AD82" i="12" s="1"/>
  <c r="P67" i="12"/>
  <c r="P71" i="12" s="1"/>
  <c r="P79" i="12" s="1"/>
  <c r="P72" i="12" s="1"/>
  <c r="P80" i="12" s="1"/>
  <c r="P73" i="12" s="1"/>
  <c r="P81" i="12" s="1"/>
  <c r="P74" i="12" s="1"/>
  <c r="P82" i="12" s="1"/>
  <c r="AI67" i="12"/>
  <c r="AI71" i="12" s="1"/>
  <c r="AI79" i="12" s="1"/>
  <c r="AI72" i="12" s="1"/>
  <c r="AI80" i="12" s="1"/>
  <c r="AI73" i="12" s="1"/>
  <c r="AI81" i="12" s="1"/>
  <c r="AI74" i="12" s="1"/>
  <c r="AI82" i="12" s="1"/>
  <c r="T67" i="12"/>
  <c r="T71" i="12" s="1"/>
  <c r="T79" i="12" s="1"/>
  <c r="T72" i="12" s="1"/>
  <c r="T80" i="12" s="1"/>
  <c r="T73" i="12" s="1"/>
  <c r="T81" i="12" s="1"/>
  <c r="T74" i="12" s="1"/>
  <c r="T82" i="12" s="1"/>
  <c r="Y67" i="12"/>
  <c r="Y71" i="12" s="1"/>
  <c r="Y79" i="12" s="1"/>
  <c r="Y72" i="12" s="1"/>
  <c r="Y80" i="12" s="1"/>
  <c r="Y73" i="12" s="1"/>
  <c r="Y81" i="12" s="1"/>
  <c r="Y74" i="12" s="1"/>
  <c r="Y82" i="12" s="1"/>
  <c r="Q67" i="12"/>
  <c r="Q71" i="12" s="1"/>
  <c r="Q79" i="12" s="1"/>
  <c r="Q72" i="12" s="1"/>
  <c r="Q80" i="12" s="1"/>
  <c r="Q73" i="12" s="1"/>
  <c r="Q81" i="12" s="1"/>
  <c r="Q74" i="12" s="1"/>
  <c r="Q82" i="12" s="1"/>
  <c r="AB67" i="12"/>
  <c r="AB71" i="12" s="1"/>
  <c r="AB79" i="12" s="1"/>
  <c r="AB72" i="12" s="1"/>
  <c r="AB80" i="12" s="1"/>
  <c r="AB73" i="12" s="1"/>
  <c r="AB81" i="12" s="1"/>
  <c r="AB74" i="12" s="1"/>
  <c r="AB82" i="12" s="1"/>
  <c r="Z67" i="12"/>
  <c r="Z71" i="12" s="1"/>
  <c r="Z79" i="12" s="1"/>
  <c r="Z72" i="12" s="1"/>
  <c r="Z80" i="12" s="1"/>
  <c r="Z73" i="12" s="1"/>
  <c r="Z81" i="12" s="1"/>
  <c r="Z74" i="12" s="1"/>
  <c r="Z82" i="12" s="1"/>
  <c r="AN67" i="12"/>
  <c r="AN71" i="12" s="1"/>
  <c r="AN79" i="12" s="1"/>
  <c r="AN72" i="12" s="1"/>
  <c r="AN80" i="12" s="1"/>
  <c r="AN73" i="12" s="1"/>
  <c r="AN81" i="12" s="1"/>
  <c r="AN74" i="12" s="1"/>
  <c r="AN82" i="12" s="1"/>
  <c r="R67" i="12"/>
  <c r="R71" i="12" s="1"/>
  <c r="R79" i="12" s="1"/>
  <c r="R72" i="12" s="1"/>
  <c r="R80" i="12" s="1"/>
  <c r="R73" i="12" s="1"/>
  <c r="R81" i="12" s="1"/>
  <c r="R74" i="12" s="1"/>
  <c r="R82" i="12" s="1"/>
  <c r="AL67" i="12"/>
  <c r="AL71" i="12" s="1"/>
  <c r="AL79" i="12" s="1"/>
  <c r="AL72" i="12" s="1"/>
  <c r="AL80" i="12" s="1"/>
  <c r="AL73" i="12" s="1"/>
  <c r="AL81" i="12" s="1"/>
  <c r="AL74" i="12" s="1"/>
  <c r="AL82" i="12" s="1"/>
  <c r="M67" i="12"/>
  <c r="M71" i="12" s="1"/>
  <c r="M79" i="12" s="1"/>
  <c r="M72" i="12" s="1"/>
  <c r="M80" i="12" s="1"/>
  <c r="M73" i="12" s="1"/>
  <c r="M81" i="12" s="1"/>
  <c r="M74" i="12" s="1"/>
  <c r="M82" i="12" s="1"/>
  <c r="X67" i="12"/>
  <c r="X71" i="12" s="1"/>
  <c r="X79" i="12" s="1"/>
  <c r="X72" i="12" s="1"/>
  <c r="X80" i="12" s="1"/>
  <c r="X73" i="12" s="1"/>
  <c r="X81" i="12" s="1"/>
  <c r="X74" i="12" s="1"/>
  <c r="X82" i="12" s="1"/>
  <c r="AM67" i="12"/>
  <c r="AM71" i="12" s="1"/>
  <c r="AM79" i="12" s="1"/>
  <c r="AM72" i="12" s="1"/>
  <c r="AM80" i="12" s="1"/>
  <c r="AM73" i="12" s="1"/>
  <c r="AM81" i="12" s="1"/>
  <c r="AM74" i="12" s="1"/>
  <c r="AM82" i="12" s="1"/>
  <c r="W67" i="12"/>
  <c r="W71" i="12" s="1"/>
  <c r="W79" i="12" s="1"/>
  <c r="W72" i="12" s="1"/>
  <c r="W80" i="12" s="1"/>
  <c r="W73" i="12" s="1"/>
  <c r="W81" i="12" s="1"/>
  <c r="W74" i="12" s="1"/>
  <c r="W82" i="12" s="1"/>
  <c r="V67" i="12"/>
  <c r="V71" i="12" s="1"/>
  <c r="V79" i="12" s="1"/>
  <c r="V72" i="12" s="1"/>
  <c r="V80" i="12" s="1"/>
  <c r="V73" i="12" s="1"/>
  <c r="V81" i="12" s="1"/>
  <c r="V74" i="12" s="1"/>
  <c r="V82" i="12" s="1"/>
  <c r="AG67" i="12"/>
  <c r="AG71" i="12" s="1"/>
  <c r="AG79" i="12" s="1"/>
  <c r="AG72" i="12" s="1"/>
  <c r="AG80" i="12" s="1"/>
  <c r="AG73" i="12" s="1"/>
  <c r="AG81" i="12" s="1"/>
  <c r="AG74" i="12" s="1"/>
  <c r="AG82" i="12" s="1"/>
  <c r="AE67" i="12"/>
  <c r="AE71" i="12" s="1"/>
  <c r="AE79" i="12" s="1"/>
  <c r="AE72" i="12" s="1"/>
  <c r="AE80" i="12" s="1"/>
  <c r="AE73" i="12" s="1"/>
  <c r="AE81" i="12" s="1"/>
  <c r="AE74" i="12" s="1"/>
  <c r="AE82" i="12" s="1"/>
  <c r="L67" i="12"/>
  <c r="L71" i="12" s="1"/>
  <c r="L79" i="12" s="1"/>
  <c r="L72" i="12" s="1"/>
  <c r="L80" i="12" s="1"/>
  <c r="L73" i="12" s="1"/>
  <c r="L81" i="12" s="1"/>
  <c r="L74" i="12" s="1"/>
  <c r="L82" i="12" s="1"/>
  <c r="J71" i="12"/>
  <c r="J79" i="12" s="1"/>
  <c r="J72" i="12" s="1"/>
  <c r="J80" i="12" s="1"/>
  <c r="J73" i="12" s="1"/>
  <c r="J81" i="12" s="1"/>
  <c r="J74" i="12" s="1"/>
  <c r="J82" i="12" s="1"/>
  <c r="AL134" i="12"/>
  <c r="AK41" i="12"/>
  <c r="AK34" i="12"/>
  <c r="AK37" i="12"/>
  <c r="V134" i="12"/>
  <c r="U34" i="12"/>
  <c r="U37" i="12"/>
  <c r="U41" i="12"/>
  <c r="AI134" i="12"/>
  <c r="AH41" i="12"/>
  <c r="AH37" i="12"/>
  <c r="AH34" i="12"/>
  <c r="T41" i="12"/>
  <c r="U134" i="12"/>
  <c r="T37" i="12"/>
  <c r="T34" i="12"/>
  <c r="G134" i="12"/>
  <c r="F34" i="12"/>
  <c r="F41" i="12"/>
  <c r="F37" i="12"/>
  <c r="AN134" i="12"/>
  <c r="AM37" i="12"/>
  <c r="AM41" i="12"/>
  <c r="AM34" i="12"/>
  <c r="AB134" i="12"/>
  <c r="AA41" i="12"/>
  <c r="AA37" i="12"/>
  <c r="AA34" i="12"/>
  <c r="N134" i="12"/>
  <c r="M37" i="12"/>
  <c r="M41" i="12"/>
  <c r="M34" i="12"/>
  <c r="X34" i="12"/>
  <c r="X37" i="12"/>
  <c r="X41" i="12"/>
  <c r="Y134" i="12"/>
  <c r="K34" i="14"/>
  <c r="K10" i="14" s="1"/>
  <c r="K37" i="14"/>
  <c r="K13" i="14" s="1"/>
  <c r="K41" i="14"/>
  <c r="K17" i="14" s="1"/>
  <c r="L134" i="14"/>
  <c r="U41" i="14"/>
  <c r="U17" i="14" s="1"/>
  <c r="V134" i="14"/>
  <c r="U34" i="14"/>
  <c r="U10" i="14" s="1"/>
  <c r="U37" i="14"/>
  <c r="U13" i="14" s="1"/>
  <c r="Z134" i="14"/>
  <c r="Y34" i="14"/>
  <c r="Y10" i="14" s="1"/>
  <c r="Y37" i="14"/>
  <c r="Y13" i="14" s="1"/>
  <c r="Y41" i="14"/>
  <c r="Y17" i="14" s="1"/>
  <c r="L41" i="14"/>
  <c r="L17" i="14" s="1"/>
  <c r="L34" i="14"/>
  <c r="L10" i="14" s="1"/>
  <c r="M134" i="14"/>
  <c r="L37" i="14"/>
  <c r="L13" i="14" s="1"/>
  <c r="AF134" i="14"/>
  <c r="AE41" i="14"/>
  <c r="AE17" i="14" s="1"/>
  <c r="AE37" i="14"/>
  <c r="AE13" i="14" s="1"/>
  <c r="AE34" i="14"/>
  <c r="AE10" i="14" s="1"/>
  <c r="AB37" i="14"/>
  <c r="AB13" i="14" s="1"/>
  <c r="AC134" i="14"/>
  <c r="AB41" i="14"/>
  <c r="AB17" i="14" s="1"/>
  <c r="AB34" i="14"/>
  <c r="AB10" i="14" s="1"/>
  <c r="R37" i="14"/>
  <c r="R13" i="14" s="1"/>
  <c r="R41" i="14"/>
  <c r="R17" i="14" s="1"/>
  <c r="R34" i="14"/>
  <c r="R10" i="14" s="1"/>
  <c r="S134" i="14"/>
  <c r="N37" i="14"/>
  <c r="N13" i="14" s="1"/>
  <c r="O134" i="14"/>
  <c r="N34" i="14"/>
  <c r="N10" i="14" s="1"/>
  <c r="N41" i="14"/>
  <c r="N17" i="14" s="1"/>
  <c r="N134" i="14"/>
  <c r="M41" i="14"/>
  <c r="M17" i="14" s="1"/>
  <c r="M37" i="14"/>
  <c r="M13" i="14" s="1"/>
  <c r="M34" i="14"/>
  <c r="M10" i="14" s="1"/>
  <c r="AL41" i="14"/>
  <c r="AL17" i="14" s="1"/>
  <c r="AL34" i="14"/>
  <c r="AL10" i="14" s="1"/>
  <c r="AL37" i="14"/>
  <c r="AL13" i="14" s="1"/>
  <c r="AM134" i="14"/>
  <c r="AF37" i="14"/>
  <c r="AF13" i="14" s="1"/>
  <c r="AG134" i="14"/>
  <c r="AF41" i="14"/>
  <c r="AF17" i="14" s="1"/>
  <c r="AF34" i="14"/>
  <c r="AF10" i="14" s="1"/>
  <c r="H134" i="14"/>
  <c r="G34" i="14"/>
  <c r="G10" i="14" s="1"/>
  <c r="G37" i="14"/>
  <c r="G13" i="14" s="1"/>
  <c r="G41" i="14"/>
  <c r="G17" i="14" s="1"/>
  <c r="W41" i="14"/>
  <c r="W17" i="14" s="1"/>
  <c r="W34" i="14"/>
  <c r="W10" i="14" s="1"/>
  <c r="X134" i="14"/>
  <c r="W37" i="14"/>
  <c r="W13" i="14" s="1"/>
  <c r="Q41" i="14"/>
  <c r="Q17" i="14" s="1"/>
  <c r="Q34" i="14"/>
  <c r="Q10" i="14" s="1"/>
  <c r="Q37" i="14"/>
  <c r="Q13" i="14" s="1"/>
  <c r="R134" i="14"/>
  <c r="AC134" i="12"/>
  <c r="AB41" i="12"/>
  <c r="AB37" i="12"/>
  <c r="AB34" i="12"/>
  <c r="T134" i="12"/>
  <c r="S41" i="12"/>
  <c r="S34" i="12"/>
  <c r="S37" i="12"/>
  <c r="AD134" i="12"/>
  <c r="AC34" i="12"/>
  <c r="AC41" i="12"/>
  <c r="AC37" i="12"/>
  <c r="AK134" i="14"/>
  <c r="AJ34" i="14"/>
  <c r="AJ10" i="14" s="1"/>
  <c r="AJ41" i="14"/>
  <c r="AJ17" i="14" s="1"/>
  <c r="AJ37" i="14"/>
  <c r="AJ13" i="14" s="1"/>
  <c r="F134" i="14"/>
  <c r="E41" i="14"/>
  <c r="E17" i="14" s="1"/>
  <c r="E34" i="14"/>
  <c r="E10" i="14" s="1"/>
  <c r="E123" i="14"/>
  <c r="F123" i="14" s="1"/>
  <c r="G123" i="14" s="1"/>
  <c r="H123" i="14" s="1"/>
  <c r="I123" i="14" s="1"/>
  <c r="J123" i="14" s="1"/>
  <c r="K123" i="14" s="1"/>
  <c r="E37" i="14"/>
  <c r="E13" i="14" s="1"/>
  <c r="V41" i="12"/>
  <c r="V37" i="12"/>
  <c r="V34" i="12"/>
  <c r="W134" i="12"/>
  <c r="I134" i="14"/>
  <c r="H34" i="14"/>
  <c r="H10" i="14" s="1"/>
  <c r="H37" i="14"/>
  <c r="H13" i="14" s="1"/>
  <c r="H41" i="14"/>
  <c r="H17" i="14" s="1"/>
  <c r="P134" i="14"/>
  <c r="O34" i="14"/>
  <c r="O10" i="14" s="1"/>
  <c r="O41" i="14"/>
  <c r="O17" i="14" s="1"/>
  <c r="O37" i="14"/>
  <c r="O13" i="14" s="1"/>
  <c r="AH134" i="14"/>
  <c r="AG41" i="14"/>
  <c r="AG17" i="14" s="1"/>
  <c r="AG34" i="14"/>
  <c r="AG10" i="14" s="1"/>
  <c r="AG37" i="14"/>
  <c r="AG13" i="14" s="1"/>
  <c r="AI41" i="14"/>
  <c r="AI17" i="14" s="1"/>
  <c r="AJ134" i="14"/>
  <c r="AI37" i="14"/>
  <c r="AI13" i="14" s="1"/>
  <c r="AI34" i="14"/>
  <c r="AI10" i="14" s="1"/>
  <c r="AM34" i="14"/>
  <c r="AM10" i="14" s="1"/>
  <c r="AM37" i="14"/>
  <c r="AM13" i="14" s="1"/>
  <c r="AM41" i="14"/>
  <c r="AM17" i="14" s="1"/>
  <c r="AN134" i="14"/>
  <c r="V37" i="14"/>
  <c r="V13" i="14" s="1"/>
  <c r="V34" i="14"/>
  <c r="V10" i="14" s="1"/>
  <c r="V41" i="14"/>
  <c r="V17" i="14" s="1"/>
  <c r="W134" i="14"/>
  <c r="Q134" i="14"/>
  <c r="P41" i="14"/>
  <c r="P17" i="14" s="1"/>
  <c r="P34" i="14"/>
  <c r="P10" i="14" s="1"/>
  <c r="P37" i="14"/>
  <c r="P13" i="14" s="1"/>
  <c r="E12" i="12" a="1"/>
  <c r="K71" i="12"/>
  <c r="K79" i="12" s="1"/>
  <c r="K72" i="12" s="1"/>
  <c r="K80" i="12" s="1"/>
  <c r="K73" i="12" s="1"/>
  <c r="K81" i="12" s="1"/>
  <c r="K74" i="12" s="1"/>
  <c r="K82" i="12" s="1"/>
  <c r="N41" i="12"/>
  <c r="N34" i="12"/>
  <c r="N37" i="12"/>
  <c r="O134" i="12"/>
  <c r="Z134" i="12"/>
  <c r="Y41" i="12"/>
  <c r="Y37" i="12"/>
  <c r="Y34" i="12"/>
  <c r="K134" i="12"/>
  <c r="J37" i="12"/>
  <c r="J41" i="12"/>
  <c r="J34" i="12"/>
  <c r="AK134" i="12"/>
  <c r="AJ34" i="12"/>
  <c r="AJ37" i="12"/>
  <c r="AJ41" i="12"/>
  <c r="R134" i="12"/>
  <c r="Q41" i="12"/>
  <c r="Q34" i="12"/>
  <c r="Q37" i="12"/>
  <c r="AH134" i="12"/>
  <c r="AG41" i="12"/>
  <c r="AG37" i="12"/>
  <c r="AG34" i="12"/>
  <c r="X134" i="12"/>
  <c r="W37" i="12"/>
  <c r="W41" i="12"/>
  <c r="W34" i="12"/>
  <c r="H134" i="12"/>
  <c r="G41" i="12"/>
  <c r="G37" i="12"/>
  <c r="G34" i="12"/>
  <c r="U134" i="14"/>
  <c r="T34" i="14"/>
  <c r="T10" i="14" s="1"/>
  <c r="T37" i="14"/>
  <c r="T13" i="14" s="1"/>
  <c r="T41" i="14"/>
  <c r="T17" i="14" s="1"/>
  <c r="AK37" i="14"/>
  <c r="AK13" i="14" s="1"/>
  <c r="AL134" i="14"/>
  <c r="AK41" i="14"/>
  <c r="AK17" i="14" s="1"/>
  <c r="AK34" i="14"/>
  <c r="AK10" i="14" s="1"/>
  <c r="AD41" i="14"/>
  <c r="AD17" i="14" s="1"/>
  <c r="AD34" i="14"/>
  <c r="AD10" i="14" s="1"/>
  <c r="AE134" i="14"/>
  <c r="AD37" i="14"/>
  <c r="AD13" i="14" s="1"/>
  <c r="E16" i="12" a="1"/>
  <c r="AD34" i="12"/>
  <c r="AD41" i="12"/>
  <c r="AE134" i="12"/>
  <c r="AD37" i="12"/>
  <c r="AI41" i="12"/>
  <c r="AI37" i="12"/>
  <c r="AJ134" i="12"/>
  <c r="AI34" i="12"/>
  <c r="AB134" i="14"/>
  <c r="AA41" i="14"/>
  <c r="AA17" i="14" s="1"/>
  <c r="AA34" i="14"/>
  <c r="AA10" i="14" s="1"/>
  <c r="AA37" i="14"/>
  <c r="AA13" i="14" s="1"/>
  <c r="H71" i="12"/>
  <c r="H79" i="12" s="1"/>
  <c r="H72" i="12" s="1"/>
  <c r="H80" i="12" s="1"/>
  <c r="H73" i="12" s="1"/>
  <c r="H81" i="12" s="1"/>
  <c r="H74" i="12" s="1"/>
  <c r="H82" i="12" s="1"/>
  <c r="AD134" i="14"/>
  <c r="AC34" i="14"/>
  <c r="AC10" i="14" s="1"/>
  <c r="AC37" i="14"/>
  <c r="AC13" i="14" s="1"/>
  <c r="AC41" i="14"/>
  <c r="AC17" i="14" s="1"/>
  <c r="G134" i="14"/>
  <c r="F37" i="14"/>
  <c r="F13" i="14" s="1"/>
  <c r="F34" i="14"/>
  <c r="F10" i="14" s="1"/>
  <c r="F41" i="14"/>
  <c r="F17" i="14" s="1"/>
  <c r="I41" i="14"/>
  <c r="I17" i="14" s="1"/>
  <c r="I34" i="14"/>
  <c r="I10" i="14" s="1"/>
  <c r="I37" i="14"/>
  <c r="I13" i="14" s="1"/>
  <c r="J134" i="14"/>
  <c r="S37" i="14"/>
  <c r="S13" i="14" s="1"/>
  <c r="S34" i="14"/>
  <c r="S10" i="14" s="1"/>
  <c r="S41" i="14"/>
  <c r="S17" i="14" s="1"/>
  <c r="T134" i="14"/>
  <c r="Y134" i="14"/>
  <c r="X37" i="14"/>
  <c r="X13" i="14" s="1"/>
  <c r="X34" i="14"/>
  <c r="X10" i="14" s="1"/>
  <c r="X41" i="14"/>
  <c r="X17" i="14" s="1"/>
  <c r="AN37" i="14"/>
  <c r="AN13" i="14" s="1"/>
  <c r="AN41" i="14"/>
  <c r="AN17" i="14" s="1"/>
  <c r="AN34" i="14"/>
  <c r="AN10" i="14" s="1"/>
  <c r="AA134" i="14"/>
  <c r="Z41" i="14"/>
  <c r="Z17" i="14" s="1"/>
  <c r="Z34" i="14"/>
  <c r="Z10" i="14" s="1"/>
  <c r="Z37" i="14"/>
  <c r="Z13" i="14" s="1"/>
  <c r="E9" i="12" a="1"/>
  <c r="AG134" i="12"/>
  <c r="AF41" i="12"/>
  <c r="AF34" i="12"/>
  <c r="AF37" i="12"/>
  <c r="Z41" i="12"/>
  <c r="Z34" i="12"/>
  <c r="AA134" i="12"/>
  <c r="Z37" i="12"/>
  <c r="AN34" i="12"/>
  <c r="AN37" i="12"/>
  <c r="AN41" i="12"/>
  <c r="J134" i="12"/>
  <c r="I34" i="12"/>
  <c r="I37" i="12"/>
  <c r="I41" i="12"/>
  <c r="I134" i="12"/>
  <c r="H34" i="12"/>
  <c r="H41" i="12"/>
  <c r="H37" i="12"/>
  <c r="L134" i="12"/>
  <c r="K37" i="12"/>
  <c r="K41" i="12"/>
  <c r="K34" i="12"/>
  <c r="Q134" i="12"/>
  <c r="P41" i="12"/>
  <c r="P37" i="12"/>
  <c r="P34" i="12"/>
  <c r="E67" i="14" l="1"/>
  <c r="F67" i="14" s="1"/>
  <c r="G67" i="14" s="1"/>
  <c r="H67" i="14" s="1"/>
  <c r="U40" i="14"/>
  <c r="U16" i="14" s="1"/>
  <c r="H78" i="14"/>
  <c r="L40" i="14"/>
  <c r="L16" i="14" s="1"/>
  <c r="V33" i="14"/>
  <c r="V9" i="14" s="1"/>
  <c r="AG40" i="14"/>
  <c r="AG16" i="14" s="1"/>
  <c r="G78" i="14"/>
  <c r="AD36" i="14"/>
  <c r="AD12" i="14" s="1"/>
  <c r="H36" i="14"/>
  <c r="H12" i="14" s="1"/>
  <c r="AH40" i="14"/>
  <c r="AH16" i="14" s="1"/>
  <c r="AL78" i="14"/>
  <c r="AJ40" i="14"/>
  <c r="AJ16" i="14" s="1"/>
  <c r="AC78" i="14"/>
  <c r="Q33" i="14"/>
  <c r="Q9" i="14" s="1"/>
  <c r="AA33" i="14"/>
  <c r="AA9" i="14" s="1"/>
  <c r="AN40" i="14"/>
  <c r="AN16" i="14" s="1"/>
  <c r="S33" i="14"/>
  <c r="S9" i="14" s="1"/>
  <c r="AE78" i="14"/>
  <c r="AA78" i="14"/>
  <c r="AM40" i="14"/>
  <c r="AM16" i="14" s="1"/>
  <c r="X78" i="14"/>
  <c r="U33" i="14"/>
  <c r="U9" i="14" s="1"/>
  <c r="T40" i="14"/>
  <c r="T16" i="14" s="1"/>
  <c r="V78" i="14"/>
  <c r="V36" i="14"/>
  <c r="V12" i="14" s="1"/>
  <c r="W78" i="14"/>
  <c r="M33" i="14"/>
  <c r="M9" i="14" s="1"/>
  <c r="I33" i="14"/>
  <c r="I9" i="14" s="1"/>
  <c r="F36" i="14"/>
  <c r="F12" i="14" s="1"/>
  <c r="H33" i="14"/>
  <c r="H9" i="14" s="1"/>
  <c r="AN33" i="14"/>
  <c r="AN9" i="14" s="1"/>
  <c r="K36" i="14"/>
  <c r="K12" i="14" s="1"/>
  <c r="F40" i="14"/>
  <c r="F16" i="14" s="1"/>
  <c r="Z40" i="14"/>
  <c r="Z16" i="14" s="1"/>
  <c r="G36" i="14"/>
  <c r="G12" i="14" s="1"/>
  <c r="AD40" i="14"/>
  <c r="AD16" i="14" s="1"/>
  <c r="P36" i="14"/>
  <c r="P12" i="14" s="1"/>
  <c r="AH33" i="14"/>
  <c r="AH9" i="14" s="1"/>
  <c r="AF78" i="14"/>
  <c r="L36" i="14"/>
  <c r="L12" i="14" s="1"/>
  <c r="AD33" i="14"/>
  <c r="AD9" i="14" s="1"/>
  <c r="AM33" i="14"/>
  <c r="AM9" i="14" s="1"/>
  <c r="AN78" i="14"/>
  <c r="AG78" i="14"/>
  <c r="M36" i="14"/>
  <c r="M12" i="14" s="1"/>
  <c r="AC33" i="14"/>
  <c r="AC9" i="14" s="1"/>
  <c r="F78" i="14"/>
  <c r="F71" i="14" s="1"/>
  <c r="F79" i="14" s="1"/>
  <c r="F72" i="14" s="1"/>
  <c r="F80" i="14" s="1"/>
  <c r="F73" i="14" s="1"/>
  <c r="F81" i="14" s="1"/>
  <c r="F74" i="14" s="1"/>
  <c r="F82" i="14" s="1"/>
  <c r="U36" i="14"/>
  <c r="U12" i="14" s="1"/>
  <c r="S78" i="14"/>
  <c r="AI40" i="14"/>
  <c r="AI16" i="14" s="1"/>
  <c r="W36" i="14"/>
  <c r="W12" i="14" s="1"/>
  <c r="AL33" i="14"/>
  <c r="AL9" i="14" s="1"/>
  <c r="AB78" i="14"/>
  <c r="T36" i="14"/>
  <c r="T12" i="14" s="1"/>
  <c r="AD78" i="14"/>
  <c r="M78" i="14"/>
  <c r="L33" i="14"/>
  <c r="L9" i="14" s="1"/>
  <c r="I36" i="14"/>
  <c r="I12" i="14" s="1"/>
  <c r="V40" i="14"/>
  <c r="V16" i="14" s="1"/>
  <c r="X33" i="14"/>
  <c r="X9" i="14" s="1"/>
  <c r="AE40" i="14"/>
  <c r="AE16" i="14" s="1"/>
  <c r="AK36" i="14"/>
  <c r="AK12" i="14" s="1"/>
  <c r="Z78" i="14"/>
  <c r="O33" i="14"/>
  <c r="O9" i="14" s="1"/>
  <c r="L78" i="14"/>
  <c r="J36" i="14"/>
  <c r="J12" i="14" s="1"/>
  <c r="R36" i="14"/>
  <c r="R12" i="14" s="1"/>
  <c r="N40" i="14"/>
  <c r="N16" i="14" s="1"/>
  <c r="R78" i="14"/>
  <c r="I67" i="14"/>
  <c r="J67" i="14" s="1"/>
  <c r="K67" i="14" s="1"/>
  <c r="Z67" i="14" s="1"/>
  <c r="AN36" i="14"/>
  <c r="AN12" i="14" s="1"/>
  <c r="AN6" i="14" s="1"/>
  <c r="AG36" i="14"/>
  <c r="AG12" i="14" s="1"/>
  <c r="M40" i="14"/>
  <c r="M16" i="14" s="1"/>
  <c r="Y36" i="14"/>
  <c r="Y12" i="14" s="1"/>
  <c r="E36" i="14"/>
  <c r="E12" i="14" s="1"/>
  <c r="AF40" i="14"/>
  <c r="AF16" i="14" s="1"/>
  <c r="AE33" i="14"/>
  <c r="AE9" i="14" s="1"/>
  <c r="P40" i="14"/>
  <c r="P16" i="14" s="1"/>
  <c r="AM36" i="14"/>
  <c r="AM12" i="14" s="1"/>
  <c r="AI78" i="14"/>
  <c r="AK33" i="14"/>
  <c r="AK9" i="14" s="1"/>
  <c r="AJ33" i="14"/>
  <c r="AJ9" i="14" s="1"/>
  <c r="T78" i="14"/>
  <c r="J78" i="14"/>
  <c r="AC36" i="14"/>
  <c r="AC12" i="14" s="1"/>
  <c r="AI33" i="14"/>
  <c r="AI9" i="14" s="1"/>
  <c r="AB40" i="14"/>
  <c r="AB16" i="14" s="1"/>
  <c r="AK78" i="14"/>
  <c r="N36" i="14"/>
  <c r="N12" i="14" s="1"/>
  <c r="I78" i="14"/>
  <c r="AM78" i="14"/>
  <c r="X36" i="14"/>
  <c r="X12" i="14" s="1"/>
  <c r="X6" i="14" s="1"/>
  <c r="E40" i="14"/>
  <c r="E16" i="14" s="1"/>
  <c r="S40" i="14"/>
  <c r="S16" i="14" s="1"/>
  <c r="O40" i="14"/>
  <c r="O16" i="14" s="1"/>
  <c r="Q78" i="14"/>
  <c r="K78" i="14"/>
  <c r="AG33" i="14"/>
  <c r="AG9" i="14" s="1"/>
  <c r="K40" i="14"/>
  <c r="K16" i="14" s="1"/>
  <c r="Q36" i="14"/>
  <c r="Q12" i="14" s="1"/>
  <c r="AF33" i="14"/>
  <c r="AF9" i="14" s="1"/>
  <c r="O78" i="14"/>
  <c r="Y40" i="14"/>
  <c r="Y16" i="14" s="1"/>
  <c r="H40" i="14"/>
  <c r="H16" i="14" s="1"/>
  <c r="AL36" i="14"/>
  <c r="AL12" i="14" s="1"/>
  <c r="Y78" i="14"/>
  <c r="S36" i="14"/>
  <c r="S12" i="14" s="1"/>
  <c r="P78" i="14"/>
  <c r="P33" i="14"/>
  <c r="P9" i="14" s="1"/>
  <c r="J33" i="14"/>
  <c r="J9" i="14" s="1"/>
  <c r="AH78" i="14"/>
  <c r="AI36" i="14"/>
  <c r="AI12" i="14" s="1"/>
  <c r="AB33" i="14"/>
  <c r="AB9" i="14" s="1"/>
  <c r="AF36" i="14"/>
  <c r="AF12" i="14" s="1"/>
  <c r="Y33" i="14"/>
  <c r="Y9" i="14" s="1"/>
  <c r="T33" i="14"/>
  <c r="T9" i="14" s="1"/>
  <c r="K33" i="14"/>
  <c r="K9" i="14" s="1"/>
  <c r="O36" i="14"/>
  <c r="O12" i="14" s="1"/>
  <c r="W40" i="14"/>
  <c r="W16" i="14" s="1"/>
  <c r="AL40" i="14"/>
  <c r="AL16" i="14" s="1"/>
  <c r="X40" i="14"/>
  <c r="X16" i="14" s="1"/>
  <c r="J40" i="14"/>
  <c r="J16" i="14" s="1"/>
  <c r="AJ78" i="14"/>
  <c r="AB36" i="14"/>
  <c r="AB12" i="14" s="1"/>
  <c r="Q40" i="14"/>
  <c r="Q16" i="14" s="1"/>
  <c r="G33" i="14"/>
  <c r="G9" i="14" s="1"/>
  <c r="Z33" i="14"/>
  <c r="Z9" i="14" s="1"/>
  <c r="I40" i="14"/>
  <c r="I16" i="14" s="1"/>
  <c r="R33" i="14"/>
  <c r="R9" i="14" s="1"/>
  <c r="G40" i="14"/>
  <c r="G16" i="14" s="1"/>
  <c r="Z36" i="14"/>
  <c r="Z12" i="14" s="1"/>
  <c r="AH36" i="14"/>
  <c r="AH12" i="14" s="1"/>
  <c r="W33" i="14"/>
  <c r="W9" i="14" s="1"/>
  <c r="AA40" i="14"/>
  <c r="AA16" i="14" s="1"/>
  <c r="AK40" i="14"/>
  <c r="AK16" i="14" s="1"/>
  <c r="E33" i="14"/>
  <c r="E9" i="14" s="1"/>
  <c r="AE36" i="14"/>
  <c r="AE12" i="14" s="1"/>
  <c r="F33" i="14"/>
  <c r="F9" i="14" s="1"/>
  <c r="N78" i="14"/>
  <c r="U78" i="14"/>
  <c r="AC40" i="14"/>
  <c r="AC16" i="14" s="1"/>
  <c r="AJ36" i="14"/>
  <c r="AJ12" i="14" s="1"/>
  <c r="R40" i="14"/>
  <c r="R16" i="14" s="1"/>
  <c r="AA36" i="14"/>
  <c r="AA12" i="14" s="1"/>
  <c r="N33" i="14"/>
  <c r="N9" i="14" s="1"/>
  <c r="Y36" i="13"/>
  <c r="Y12" i="13" s="1"/>
  <c r="AC78" i="13"/>
  <c r="AL36" i="13"/>
  <c r="AL12" i="13" s="1"/>
  <c r="E7" i="13" a="1"/>
  <c r="E7" i="13" s="1"/>
  <c r="P33" i="13"/>
  <c r="P9" i="13" s="1"/>
  <c r="AA78" i="13"/>
  <c r="I25" i="15"/>
  <c r="J40" i="13"/>
  <c r="J16" i="13" s="1"/>
  <c r="J15" i="13" s="1"/>
  <c r="I26" i="15"/>
  <c r="AE40" i="13"/>
  <c r="AE16" i="13" s="1"/>
  <c r="AE15" i="13" s="1"/>
  <c r="Y33" i="13"/>
  <c r="Y9" i="13" s="1"/>
  <c r="I28" i="15"/>
  <c r="I27" i="15" s="1"/>
  <c r="I29" i="15" s="1"/>
  <c r="H33" i="13"/>
  <c r="H9" i="13" s="1"/>
  <c r="AJ33" i="13"/>
  <c r="AJ9" i="13" s="1"/>
  <c r="AG40" i="13"/>
  <c r="AG16" i="13" s="1"/>
  <c r="AG15" i="13" s="1"/>
  <c r="AM33" i="13"/>
  <c r="AM9" i="13" s="1"/>
  <c r="T40" i="13"/>
  <c r="T16" i="13" s="1"/>
  <c r="T15" i="13" s="1"/>
  <c r="G33" i="13"/>
  <c r="G9" i="13" s="1"/>
  <c r="U33" i="13"/>
  <c r="U9" i="13" s="1"/>
  <c r="X33" i="13"/>
  <c r="X9" i="13" s="1"/>
  <c r="V33" i="13"/>
  <c r="V9" i="13" s="1"/>
  <c r="H40" i="13"/>
  <c r="H16" i="13" s="1"/>
  <c r="H15" i="13" s="1"/>
  <c r="V36" i="13"/>
  <c r="V12" i="13" s="1"/>
  <c r="AM36" i="13"/>
  <c r="AM12" i="13" s="1"/>
  <c r="K36" i="13"/>
  <c r="K12" i="13" s="1"/>
  <c r="AF36" i="13"/>
  <c r="AF12" i="13" s="1"/>
  <c r="AE36" i="13"/>
  <c r="AE12" i="13" s="1"/>
  <c r="AF78" i="13"/>
  <c r="AN78" i="13"/>
  <c r="K78" i="13"/>
  <c r="AG36" i="13"/>
  <c r="AG12" i="13" s="1"/>
  <c r="AM40" i="13"/>
  <c r="AM16" i="13" s="1"/>
  <c r="AM15" i="13" s="1"/>
  <c r="J33" i="13"/>
  <c r="J9" i="13" s="1"/>
  <c r="AG33" i="13"/>
  <c r="AG9" i="13" s="1"/>
  <c r="P40" i="13"/>
  <c r="P16" i="13" s="1"/>
  <c r="P15" i="13" s="1"/>
  <c r="J36" i="13"/>
  <c r="J12" i="13" s="1"/>
  <c r="AH78" i="13"/>
  <c r="Q78" i="13"/>
  <c r="AC33" i="13"/>
  <c r="AC9" i="13" s="1"/>
  <c r="AI78" i="13"/>
  <c r="Q36" i="13"/>
  <c r="Q12" i="13" s="1"/>
  <c r="G78" i="13"/>
  <c r="L40" i="13"/>
  <c r="L16" i="13" s="1"/>
  <c r="L15" i="13" s="1"/>
  <c r="W40" i="13"/>
  <c r="W16" i="13" s="1"/>
  <c r="W15" i="13" s="1"/>
  <c r="AN33" i="13"/>
  <c r="AN9" i="13" s="1"/>
  <c r="N40" i="13"/>
  <c r="N16" i="13" s="1"/>
  <c r="N15" i="13" s="1"/>
  <c r="M33" i="13"/>
  <c r="M9" i="13" s="1"/>
  <c r="R36" i="13"/>
  <c r="R12" i="13" s="1"/>
  <c r="J127" i="12"/>
  <c r="J135" i="12" s="1"/>
  <c r="J128" i="12" s="1"/>
  <c r="J136" i="12" s="1"/>
  <c r="J129" i="12" s="1"/>
  <c r="J137" i="12" s="1"/>
  <c r="J130" i="12" s="1"/>
  <c r="J138" i="12" s="1"/>
  <c r="W78" i="13"/>
  <c r="I36" i="13"/>
  <c r="I12" i="13" s="1"/>
  <c r="G40" i="13"/>
  <c r="G16" i="13" s="1"/>
  <c r="G15" i="13" s="1"/>
  <c r="AK40" i="13"/>
  <c r="AK16" i="13" s="1"/>
  <c r="AK15" i="13" s="1"/>
  <c r="AJ36" i="13"/>
  <c r="AJ12" i="13" s="1"/>
  <c r="X36" i="13"/>
  <c r="X12" i="13" s="1"/>
  <c r="S33" i="13"/>
  <c r="S9" i="13" s="1"/>
  <c r="U78" i="13"/>
  <c r="AD36" i="13"/>
  <c r="AD12" i="13" s="1"/>
  <c r="AE33" i="13"/>
  <c r="AE9" i="13" s="1"/>
  <c r="X40" i="13"/>
  <c r="X16" i="13" s="1"/>
  <c r="X15" i="13" s="1"/>
  <c r="V40" i="13"/>
  <c r="V16" i="13" s="1"/>
  <c r="V15" i="13" s="1"/>
  <c r="Z78" i="13"/>
  <c r="V78" i="13"/>
  <c r="P36" i="13"/>
  <c r="P12" i="13" s="1"/>
  <c r="AM78" i="13"/>
  <c r="I78" i="13"/>
  <c r="AD40" i="13"/>
  <c r="AD16" i="13" s="1"/>
  <c r="AD15" i="13" s="1"/>
  <c r="T33" i="13"/>
  <c r="T9" i="13" s="1"/>
  <c r="E33" i="13"/>
  <c r="E9" i="13" s="1"/>
  <c r="AD33" i="13"/>
  <c r="AD9" i="13" s="1"/>
  <c r="H36" i="13"/>
  <c r="H12" i="13" s="1"/>
  <c r="G36" i="13"/>
  <c r="G12" i="13" s="1"/>
  <c r="H78" i="13"/>
  <c r="Y78" i="13"/>
  <c r="AJ40" i="13"/>
  <c r="AJ16" i="13" s="1"/>
  <c r="AJ15" i="13" s="1"/>
  <c r="AK78" i="13"/>
  <c r="M40" i="13"/>
  <c r="M16" i="13" s="1"/>
  <c r="M15" i="13" s="1"/>
  <c r="W36" i="13"/>
  <c r="W12" i="13" s="1"/>
  <c r="AF40" i="13"/>
  <c r="AF16" i="13" s="1"/>
  <c r="AF15" i="13" s="1"/>
  <c r="S40" i="13"/>
  <c r="S16" i="13" s="1"/>
  <c r="S15" i="13" s="1"/>
  <c r="AL78" i="13"/>
  <c r="AL40" i="13"/>
  <c r="AL16" i="13" s="1"/>
  <c r="AL15" i="13" s="1"/>
  <c r="T78" i="13"/>
  <c r="AK36" i="13"/>
  <c r="AK12" i="13" s="1"/>
  <c r="AG78" i="13"/>
  <c r="AL33" i="13"/>
  <c r="AL9" i="13" s="1"/>
  <c r="AF33" i="13"/>
  <c r="AF9" i="13" s="1"/>
  <c r="S36" i="13"/>
  <c r="S12" i="13" s="1"/>
  <c r="AE78" i="13"/>
  <c r="AK33" i="13"/>
  <c r="AK9" i="13" s="1"/>
  <c r="T36" i="13"/>
  <c r="T12" i="13" s="1"/>
  <c r="Y40" i="13"/>
  <c r="Y16" i="13" s="1"/>
  <c r="Y15" i="13" s="1"/>
  <c r="AN40" i="13"/>
  <c r="AN16" i="13" s="1"/>
  <c r="AN15" i="13" s="1"/>
  <c r="U36" i="13"/>
  <c r="U12" i="13" s="1"/>
  <c r="R33" i="13"/>
  <c r="R9" i="13" s="1"/>
  <c r="Z36" i="13"/>
  <c r="Z12" i="13" s="1"/>
  <c r="Q40" i="13"/>
  <c r="Q16" i="13" s="1"/>
  <c r="Q15" i="13" s="1"/>
  <c r="L78" i="13"/>
  <c r="O40" i="13"/>
  <c r="O16" i="13" s="1"/>
  <c r="O15" i="13" s="1"/>
  <c r="O78" i="13"/>
  <c r="F78" i="13"/>
  <c r="AA36" i="13"/>
  <c r="AA12" i="13" s="1"/>
  <c r="AB33" i="13"/>
  <c r="AB9" i="13" s="1"/>
  <c r="AI36" i="13"/>
  <c r="AI12" i="13" s="1"/>
  <c r="U40" i="13"/>
  <c r="U16" i="13" s="1"/>
  <c r="U15" i="13" s="1"/>
  <c r="I33" i="13"/>
  <c r="I9" i="13" s="1"/>
  <c r="I127" i="12"/>
  <c r="I135" i="12" s="1"/>
  <c r="I128" i="12" s="1"/>
  <c r="I136" i="12" s="1"/>
  <c r="I129" i="12" s="1"/>
  <c r="I137" i="12" s="1"/>
  <c r="I130" i="12" s="1"/>
  <c r="I138" i="12" s="1"/>
  <c r="E40" i="13"/>
  <c r="E16" i="13" s="1"/>
  <c r="E15" i="13" s="1"/>
  <c r="W33" i="13"/>
  <c r="W9" i="13" s="1"/>
  <c r="Z40" i="13"/>
  <c r="Z16" i="13" s="1"/>
  <c r="Z15" i="13" s="1"/>
  <c r="R78" i="13"/>
  <c r="L36" i="13"/>
  <c r="L12" i="13" s="1"/>
  <c r="N33" i="13"/>
  <c r="N9" i="13" s="1"/>
  <c r="F127" i="12"/>
  <c r="F135" i="12" s="1"/>
  <c r="F128" i="12" s="1"/>
  <c r="F136" i="12" s="1"/>
  <c r="F129" i="12" s="1"/>
  <c r="F137" i="12" s="1"/>
  <c r="F130" i="12" s="1"/>
  <c r="F138" i="12" s="1"/>
  <c r="AD78" i="13"/>
  <c r="AH33" i="13"/>
  <c r="AH9" i="13" s="1"/>
  <c r="M78" i="13"/>
  <c r="G127" i="12"/>
  <c r="G135" i="12" s="1"/>
  <c r="G128" i="12" s="1"/>
  <c r="G136" i="12" s="1"/>
  <c r="G129" i="12" s="1"/>
  <c r="G137" i="12" s="1"/>
  <c r="G130" i="12" s="1"/>
  <c r="G138" i="12" s="1"/>
  <c r="N36" i="13"/>
  <c r="N12" i="13" s="1"/>
  <c r="F33" i="13"/>
  <c r="F9" i="13" s="1"/>
  <c r="I40" i="13"/>
  <c r="I16" i="13" s="1"/>
  <c r="I15" i="13" s="1"/>
  <c r="AB78" i="13"/>
  <c r="AH36" i="13"/>
  <c r="AH12" i="13" s="1"/>
  <c r="AA33" i="13"/>
  <c r="AA9" i="13" s="1"/>
  <c r="AC36" i="13"/>
  <c r="AC12" i="13" s="1"/>
  <c r="AH40" i="13"/>
  <c r="AH16" i="13" s="1"/>
  <c r="AH15" i="13" s="1"/>
  <c r="L33" i="13"/>
  <c r="L9" i="13" s="1"/>
  <c r="F36" i="13"/>
  <c r="F12" i="13" s="1"/>
  <c r="O36" i="13"/>
  <c r="O12" i="13" s="1"/>
  <c r="AI33" i="13"/>
  <c r="AI9" i="13" s="1"/>
  <c r="R40" i="13"/>
  <c r="R16" i="13" s="1"/>
  <c r="R15" i="13" s="1"/>
  <c r="N78" i="13"/>
  <c r="E67" i="13"/>
  <c r="F67" i="13" s="1"/>
  <c r="G67" i="13" s="1"/>
  <c r="H67" i="13" s="1"/>
  <c r="I67" i="13" s="1"/>
  <c r="J67" i="13" s="1"/>
  <c r="K67" i="13" s="1"/>
  <c r="T67" i="13" s="1"/>
  <c r="AA40" i="13"/>
  <c r="AA16" i="13" s="1"/>
  <c r="AA15" i="13" s="1"/>
  <c r="AC40" i="13"/>
  <c r="AC16" i="13" s="1"/>
  <c r="AC15" i="13" s="1"/>
  <c r="K33" i="13"/>
  <c r="K9" i="13" s="1"/>
  <c r="AB40" i="13"/>
  <c r="AB16" i="13" s="1"/>
  <c r="AB15" i="13" s="1"/>
  <c r="F40" i="13"/>
  <c r="F16" i="13" s="1"/>
  <c r="F15" i="13" s="1"/>
  <c r="O33" i="13"/>
  <c r="O9" i="13" s="1"/>
  <c r="AI40" i="13"/>
  <c r="AI16" i="13" s="1"/>
  <c r="AI15" i="13" s="1"/>
  <c r="J78" i="13"/>
  <c r="K127" i="12"/>
  <c r="K135" i="12" s="1"/>
  <c r="K128" i="12" s="1"/>
  <c r="K136" i="12" s="1"/>
  <c r="K129" i="12" s="1"/>
  <c r="K137" i="12" s="1"/>
  <c r="K130" i="12" s="1"/>
  <c r="K138" i="12" s="1"/>
  <c r="S78" i="13"/>
  <c r="M36" i="13"/>
  <c r="M12" i="13" s="1"/>
  <c r="E36" i="13"/>
  <c r="E12" i="13" s="1"/>
  <c r="X78" i="13"/>
  <c r="Z33" i="13"/>
  <c r="Z9" i="13" s="1"/>
  <c r="Q33" i="13"/>
  <c r="Q9" i="13" s="1"/>
  <c r="AN36" i="13"/>
  <c r="AN12" i="13" s="1"/>
  <c r="K40" i="13"/>
  <c r="K16" i="13" s="1"/>
  <c r="K15" i="13" s="1"/>
  <c r="AB36" i="13"/>
  <c r="AB12" i="13" s="1"/>
  <c r="P78" i="13"/>
  <c r="AJ78" i="13"/>
  <c r="H127" i="12"/>
  <c r="H135" i="12" s="1"/>
  <c r="H128" i="12" s="1"/>
  <c r="H136" i="12" s="1"/>
  <c r="H129" i="12" s="1"/>
  <c r="H137" i="12" s="1"/>
  <c r="H130" i="12" s="1"/>
  <c r="H138" i="12" s="1"/>
  <c r="F127" i="14"/>
  <c r="F135" i="14" s="1"/>
  <c r="F128" i="14" s="1"/>
  <c r="F136" i="14" s="1"/>
  <c r="F129" i="14" s="1"/>
  <c r="F137" i="14" s="1"/>
  <c r="F130" i="14" s="1"/>
  <c r="F138" i="14" s="1"/>
  <c r="G127" i="14"/>
  <c r="G135" i="14" s="1"/>
  <c r="G128" i="14" s="1"/>
  <c r="G136" i="14" s="1"/>
  <c r="G129" i="14" s="1"/>
  <c r="G137" i="14" s="1"/>
  <c r="G130" i="14" s="1"/>
  <c r="G138" i="14" s="1"/>
  <c r="J127" i="14"/>
  <c r="J135" i="14" s="1"/>
  <c r="J128" i="14" s="1"/>
  <c r="J136" i="14" s="1"/>
  <c r="J129" i="14" s="1"/>
  <c r="J137" i="14" s="1"/>
  <c r="J130" i="14" s="1"/>
  <c r="J138" i="14" s="1"/>
  <c r="I127" i="14"/>
  <c r="I135" i="14" s="1"/>
  <c r="I128" i="14" s="1"/>
  <c r="I136" i="14" s="1"/>
  <c r="I129" i="14" s="1"/>
  <c r="I137" i="14" s="1"/>
  <c r="I130" i="14" s="1"/>
  <c r="I138" i="14" s="1"/>
  <c r="H127" i="14"/>
  <c r="H135" i="14" s="1"/>
  <c r="H128" i="14" s="1"/>
  <c r="H136" i="14" s="1"/>
  <c r="H129" i="14" s="1"/>
  <c r="H137" i="14" s="1"/>
  <c r="H130" i="14" s="1"/>
  <c r="H138" i="14" s="1"/>
  <c r="E7" i="14" a="1"/>
  <c r="H26" i="15"/>
  <c r="M7" i="13"/>
  <c r="AK123" i="14"/>
  <c r="AK127" i="14" s="1"/>
  <c r="AK135" i="14" s="1"/>
  <c r="AK128" i="14" s="1"/>
  <c r="AK136" i="14" s="1"/>
  <c r="AK129" i="14" s="1"/>
  <c r="AK137" i="14" s="1"/>
  <c r="AK130" i="14" s="1"/>
  <c r="AK138" i="14" s="1"/>
  <c r="Z123" i="14"/>
  <c r="Z127" i="14" s="1"/>
  <c r="Z135" i="14" s="1"/>
  <c r="Z128" i="14" s="1"/>
  <c r="Z136" i="14" s="1"/>
  <c r="Z129" i="14" s="1"/>
  <c r="Z137" i="14" s="1"/>
  <c r="Z130" i="14" s="1"/>
  <c r="Z138" i="14" s="1"/>
  <c r="N123" i="14"/>
  <c r="N127" i="14" s="1"/>
  <c r="N135" i="14" s="1"/>
  <c r="N128" i="14" s="1"/>
  <c r="N136" i="14" s="1"/>
  <c r="N129" i="14" s="1"/>
  <c r="N137" i="14" s="1"/>
  <c r="N130" i="14" s="1"/>
  <c r="N138" i="14" s="1"/>
  <c r="AH123" i="14"/>
  <c r="AH127" i="14" s="1"/>
  <c r="AH135" i="14" s="1"/>
  <c r="AH128" i="14" s="1"/>
  <c r="AH136" i="14" s="1"/>
  <c r="AH129" i="14" s="1"/>
  <c r="AH137" i="14" s="1"/>
  <c r="AH130" i="14" s="1"/>
  <c r="AH138" i="14" s="1"/>
  <c r="AF123" i="14"/>
  <c r="AF127" i="14" s="1"/>
  <c r="AF135" i="14" s="1"/>
  <c r="AF128" i="14" s="1"/>
  <c r="AF136" i="14" s="1"/>
  <c r="AF129" i="14" s="1"/>
  <c r="AF137" i="14" s="1"/>
  <c r="AF130" i="14" s="1"/>
  <c r="AF138" i="14" s="1"/>
  <c r="AJ123" i="14"/>
  <c r="AJ127" i="14" s="1"/>
  <c r="AJ135" i="14" s="1"/>
  <c r="AJ128" i="14" s="1"/>
  <c r="AJ136" i="14" s="1"/>
  <c r="AJ129" i="14" s="1"/>
  <c r="AJ137" i="14" s="1"/>
  <c r="AJ130" i="14" s="1"/>
  <c r="AJ138" i="14" s="1"/>
  <c r="Q123" i="14"/>
  <c r="Q127" i="14" s="1"/>
  <c r="Q135" i="14" s="1"/>
  <c r="Q128" i="14" s="1"/>
  <c r="Q136" i="14" s="1"/>
  <c r="Q129" i="14" s="1"/>
  <c r="Q137" i="14" s="1"/>
  <c r="Q130" i="14" s="1"/>
  <c r="Q138" i="14" s="1"/>
  <c r="AA123" i="14"/>
  <c r="AA127" i="14" s="1"/>
  <c r="AA135" i="14" s="1"/>
  <c r="AA128" i="14" s="1"/>
  <c r="AA136" i="14" s="1"/>
  <c r="AA129" i="14" s="1"/>
  <c r="AA137" i="14" s="1"/>
  <c r="AA130" i="14" s="1"/>
  <c r="AA138" i="14" s="1"/>
  <c r="S123" i="14"/>
  <c r="S127" i="14" s="1"/>
  <c r="S135" i="14" s="1"/>
  <c r="S128" i="14" s="1"/>
  <c r="S136" i="14" s="1"/>
  <c r="S129" i="14" s="1"/>
  <c r="S137" i="14" s="1"/>
  <c r="S130" i="14" s="1"/>
  <c r="S138" i="14" s="1"/>
  <c r="R123" i="14"/>
  <c r="R127" i="14" s="1"/>
  <c r="R135" i="14" s="1"/>
  <c r="R128" i="14" s="1"/>
  <c r="R136" i="14" s="1"/>
  <c r="R129" i="14" s="1"/>
  <c r="R137" i="14" s="1"/>
  <c r="R130" i="14" s="1"/>
  <c r="R138" i="14" s="1"/>
  <c r="AC123" i="14"/>
  <c r="AC127" i="14" s="1"/>
  <c r="AC135" i="14" s="1"/>
  <c r="AC128" i="14" s="1"/>
  <c r="AC136" i="14" s="1"/>
  <c r="AC129" i="14" s="1"/>
  <c r="AC137" i="14" s="1"/>
  <c r="AC130" i="14" s="1"/>
  <c r="AC138" i="14" s="1"/>
  <c r="V123" i="14"/>
  <c r="V127" i="14" s="1"/>
  <c r="V135" i="14" s="1"/>
  <c r="V128" i="14" s="1"/>
  <c r="V136" i="14" s="1"/>
  <c r="V129" i="14" s="1"/>
  <c r="V137" i="14" s="1"/>
  <c r="V130" i="14" s="1"/>
  <c r="V138" i="14" s="1"/>
  <c r="T123" i="14"/>
  <c r="T127" i="14" s="1"/>
  <c r="T135" i="14" s="1"/>
  <c r="T128" i="14" s="1"/>
  <c r="T136" i="14" s="1"/>
  <c r="T129" i="14" s="1"/>
  <c r="T137" i="14" s="1"/>
  <c r="T130" i="14" s="1"/>
  <c r="T138" i="14" s="1"/>
  <c r="W123" i="14"/>
  <c r="W127" i="14" s="1"/>
  <c r="W135" i="14" s="1"/>
  <c r="W128" i="14" s="1"/>
  <c r="W136" i="14" s="1"/>
  <c r="W129" i="14" s="1"/>
  <c r="W137" i="14" s="1"/>
  <c r="W130" i="14" s="1"/>
  <c r="W138" i="14" s="1"/>
  <c r="P123" i="14"/>
  <c r="P127" i="14" s="1"/>
  <c r="P135" i="14" s="1"/>
  <c r="P128" i="14" s="1"/>
  <c r="P136" i="14" s="1"/>
  <c r="P129" i="14" s="1"/>
  <c r="P137" i="14" s="1"/>
  <c r="P130" i="14" s="1"/>
  <c r="P138" i="14" s="1"/>
  <c r="O123" i="14"/>
  <c r="O127" i="14" s="1"/>
  <c r="O135" i="14" s="1"/>
  <c r="O128" i="14" s="1"/>
  <c r="O136" i="14" s="1"/>
  <c r="O129" i="14" s="1"/>
  <c r="O137" i="14" s="1"/>
  <c r="O130" i="14" s="1"/>
  <c r="O138" i="14" s="1"/>
  <c r="U123" i="14"/>
  <c r="U127" i="14" s="1"/>
  <c r="U135" i="14" s="1"/>
  <c r="U128" i="14" s="1"/>
  <c r="U136" i="14" s="1"/>
  <c r="U129" i="14" s="1"/>
  <c r="U137" i="14" s="1"/>
  <c r="U130" i="14" s="1"/>
  <c r="U138" i="14" s="1"/>
  <c r="Y123" i="14"/>
  <c r="Y127" i="14" s="1"/>
  <c r="Y135" i="14" s="1"/>
  <c r="Y128" i="14" s="1"/>
  <c r="Y136" i="14" s="1"/>
  <c r="Y129" i="14" s="1"/>
  <c r="Y137" i="14" s="1"/>
  <c r="Y130" i="14" s="1"/>
  <c r="Y138" i="14" s="1"/>
  <c r="AN123" i="14"/>
  <c r="AN127" i="14" s="1"/>
  <c r="AN135" i="14" s="1"/>
  <c r="AN128" i="14" s="1"/>
  <c r="AN136" i="14" s="1"/>
  <c r="AN129" i="14" s="1"/>
  <c r="AN137" i="14" s="1"/>
  <c r="AN130" i="14" s="1"/>
  <c r="AN138" i="14" s="1"/>
  <c r="AI123" i="14"/>
  <c r="AI127" i="14" s="1"/>
  <c r="AI135" i="14" s="1"/>
  <c r="AI128" i="14" s="1"/>
  <c r="AI136" i="14" s="1"/>
  <c r="AI129" i="14" s="1"/>
  <c r="AI137" i="14" s="1"/>
  <c r="AI130" i="14" s="1"/>
  <c r="AI138" i="14" s="1"/>
  <c r="AB123" i="14"/>
  <c r="AB127" i="14" s="1"/>
  <c r="AB135" i="14" s="1"/>
  <c r="AB128" i="14" s="1"/>
  <c r="AB136" i="14" s="1"/>
  <c r="AB129" i="14" s="1"/>
  <c r="AB137" i="14" s="1"/>
  <c r="AB130" i="14" s="1"/>
  <c r="AB138" i="14" s="1"/>
  <c r="AE123" i="14"/>
  <c r="AE127" i="14" s="1"/>
  <c r="AE135" i="14" s="1"/>
  <c r="AE128" i="14" s="1"/>
  <c r="AE136" i="14" s="1"/>
  <c r="AE129" i="14" s="1"/>
  <c r="AE137" i="14" s="1"/>
  <c r="AE130" i="14" s="1"/>
  <c r="AE138" i="14" s="1"/>
  <c r="L123" i="14"/>
  <c r="L127" i="14" s="1"/>
  <c r="L135" i="14" s="1"/>
  <c r="L128" i="14" s="1"/>
  <c r="L136" i="14" s="1"/>
  <c r="L129" i="14" s="1"/>
  <c r="L137" i="14" s="1"/>
  <c r="L130" i="14" s="1"/>
  <c r="L138" i="14" s="1"/>
  <c r="X123" i="14"/>
  <c r="X127" i="14" s="1"/>
  <c r="X135" i="14" s="1"/>
  <c r="X128" i="14" s="1"/>
  <c r="X136" i="14" s="1"/>
  <c r="X129" i="14" s="1"/>
  <c r="X137" i="14" s="1"/>
  <c r="X130" i="14" s="1"/>
  <c r="X138" i="14" s="1"/>
  <c r="AM123" i="14"/>
  <c r="AM127" i="14" s="1"/>
  <c r="AM135" i="14" s="1"/>
  <c r="AM128" i="14" s="1"/>
  <c r="AM136" i="14" s="1"/>
  <c r="AM129" i="14" s="1"/>
  <c r="AM137" i="14" s="1"/>
  <c r="AM130" i="14" s="1"/>
  <c r="AM138" i="14" s="1"/>
  <c r="M123" i="14"/>
  <c r="M127" i="14" s="1"/>
  <c r="M135" i="14" s="1"/>
  <c r="M128" i="14" s="1"/>
  <c r="M136" i="14" s="1"/>
  <c r="M129" i="14" s="1"/>
  <c r="M137" i="14" s="1"/>
  <c r="M130" i="14" s="1"/>
  <c r="M138" i="14" s="1"/>
  <c r="AD123" i="14"/>
  <c r="AD127" i="14" s="1"/>
  <c r="AD135" i="14" s="1"/>
  <c r="AD128" i="14" s="1"/>
  <c r="AD136" i="14" s="1"/>
  <c r="AD129" i="14" s="1"/>
  <c r="AD137" i="14" s="1"/>
  <c r="AD130" i="14" s="1"/>
  <c r="AD138" i="14" s="1"/>
  <c r="AL123" i="14"/>
  <c r="AL127" i="14" s="1"/>
  <c r="AL135" i="14" s="1"/>
  <c r="AL128" i="14" s="1"/>
  <c r="AL136" i="14" s="1"/>
  <c r="AL129" i="14" s="1"/>
  <c r="AL137" i="14" s="1"/>
  <c r="AL130" i="14" s="1"/>
  <c r="AL138" i="14" s="1"/>
  <c r="AG123" i="14"/>
  <c r="AG127" i="14" s="1"/>
  <c r="AG135" i="14" s="1"/>
  <c r="AG128" i="14" s="1"/>
  <c r="AG136" i="14" s="1"/>
  <c r="AG129" i="14" s="1"/>
  <c r="AG137" i="14" s="1"/>
  <c r="AG130" i="14" s="1"/>
  <c r="AG138" i="14" s="1"/>
  <c r="H25" i="15"/>
  <c r="H28" i="15"/>
  <c r="E17" i="12" a="1"/>
  <c r="K127" i="14"/>
  <c r="K135" i="14" s="1"/>
  <c r="K128" i="14" s="1"/>
  <c r="K136" i="14" s="1"/>
  <c r="K129" i="14" s="1"/>
  <c r="K137" i="14" s="1"/>
  <c r="K130" i="14" s="1"/>
  <c r="K138" i="14" s="1"/>
  <c r="H16" i="12"/>
  <c r="P16" i="12"/>
  <c r="X16" i="12"/>
  <c r="AF16" i="12"/>
  <c r="I16" i="12"/>
  <c r="Q16" i="12"/>
  <c r="Y16" i="12"/>
  <c r="AG16" i="12"/>
  <c r="J16" i="12"/>
  <c r="R16" i="12"/>
  <c r="Z16" i="12"/>
  <c r="AH16" i="12"/>
  <c r="K16" i="12"/>
  <c r="S16" i="12"/>
  <c r="AA16" i="12"/>
  <c r="AI16" i="12"/>
  <c r="L16" i="12"/>
  <c r="T16" i="12"/>
  <c r="AB16" i="12"/>
  <c r="AJ16" i="12"/>
  <c r="E16" i="12"/>
  <c r="W16" i="12"/>
  <c r="F16" i="12"/>
  <c r="AC16" i="12"/>
  <c r="AN16" i="12"/>
  <c r="O16" i="12"/>
  <c r="G16" i="12"/>
  <c r="AD16" i="12"/>
  <c r="AM16" i="12"/>
  <c r="V16" i="12"/>
  <c r="M16" i="12"/>
  <c r="AE16" i="12"/>
  <c r="AL16" i="12"/>
  <c r="N16" i="12"/>
  <c r="AK16" i="12"/>
  <c r="U16" i="12"/>
  <c r="K12" i="12"/>
  <c r="S12" i="12"/>
  <c r="AA12" i="12"/>
  <c r="AI12" i="12"/>
  <c r="L12" i="12"/>
  <c r="T12" i="12"/>
  <c r="AB12" i="12"/>
  <c r="AJ12" i="12"/>
  <c r="E12" i="12"/>
  <c r="M12" i="12"/>
  <c r="U12" i="12"/>
  <c r="AC12" i="12"/>
  <c r="AK12" i="12"/>
  <c r="F12" i="12"/>
  <c r="N12" i="12"/>
  <c r="V12" i="12"/>
  <c r="AD12" i="12"/>
  <c r="AL12" i="12"/>
  <c r="AM12" i="12"/>
  <c r="G12" i="12"/>
  <c r="O12" i="12"/>
  <c r="W12" i="12"/>
  <c r="AE12" i="12"/>
  <c r="H12" i="12"/>
  <c r="P12" i="12"/>
  <c r="J12" i="12"/>
  <c r="AH12" i="12"/>
  <c r="Q12" i="12"/>
  <c r="Z12" i="12"/>
  <c r="R12" i="12"/>
  <c r="AN12" i="12"/>
  <c r="AG12" i="12"/>
  <c r="X12" i="12"/>
  <c r="Y12" i="12"/>
  <c r="AF12" i="12"/>
  <c r="I12" i="12"/>
  <c r="E10" i="12" a="1"/>
  <c r="E13" i="12" a="1"/>
  <c r="G9" i="12"/>
  <c r="O9" i="12"/>
  <c r="W9" i="12"/>
  <c r="AE9" i="12"/>
  <c r="H9" i="12"/>
  <c r="P9" i="12"/>
  <c r="X9" i="12"/>
  <c r="AF9" i="12"/>
  <c r="I9" i="12"/>
  <c r="Q9" i="12"/>
  <c r="Y9" i="12"/>
  <c r="AG9" i="12"/>
  <c r="AM9" i="12"/>
  <c r="J9" i="12"/>
  <c r="R9" i="12"/>
  <c r="Z9" i="12"/>
  <c r="AH9" i="12"/>
  <c r="K9" i="12"/>
  <c r="S9" i="12"/>
  <c r="AA9" i="12"/>
  <c r="AI9" i="12"/>
  <c r="U9" i="12"/>
  <c r="V9" i="12"/>
  <c r="AN9" i="12"/>
  <c r="T9" i="12"/>
  <c r="E9" i="12"/>
  <c r="AB9" i="12"/>
  <c r="M9" i="12"/>
  <c r="N9" i="12"/>
  <c r="F9" i="12"/>
  <c r="AC9" i="12"/>
  <c r="L9" i="12"/>
  <c r="AD9" i="12"/>
  <c r="AJ9" i="12"/>
  <c r="AK9" i="12"/>
  <c r="AL9" i="12"/>
  <c r="N123" i="12"/>
  <c r="N127" i="12" s="1"/>
  <c r="N135" i="12" s="1"/>
  <c r="N128" i="12" s="1"/>
  <c r="N136" i="12" s="1"/>
  <c r="N129" i="12" s="1"/>
  <c r="N137" i="12" s="1"/>
  <c r="N130" i="12" s="1"/>
  <c r="N138" i="12" s="1"/>
  <c r="R123" i="12"/>
  <c r="R127" i="12" s="1"/>
  <c r="R135" i="12" s="1"/>
  <c r="R128" i="12" s="1"/>
  <c r="R136" i="12" s="1"/>
  <c r="R129" i="12" s="1"/>
  <c r="R137" i="12" s="1"/>
  <c r="R130" i="12" s="1"/>
  <c r="R138" i="12" s="1"/>
  <c r="AN123" i="12"/>
  <c r="AN127" i="12" s="1"/>
  <c r="AN135" i="12" s="1"/>
  <c r="AN128" i="12" s="1"/>
  <c r="AN136" i="12" s="1"/>
  <c r="AN129" i="12" s="1"/>
  <c r="AN137" i="12" s="1"/>
  <c r="AN130" i="12" s="1"/>
  <c r="AN138" i="12" s="1"/>
  <c r="S123" i="12"/>
  <c r="S127" i="12" s="1"/>
  <c r="S135" i="12" s="1"/>
  <c r="S128" i="12" s="1"/>
  <c r="S136" i="12" s="1"/>
  <c r="S129" i="12" s="1"/>
  <c r="S137" i="12" s="1"/>
  <c r="S130" i="12" s="1"/>
  <c r="S138" i="12" s="1"/>
  <c r="AF123" i="12"/>
  <c r="AF127" i="12" s="1"/>
  <c r="AF135" i="12" s="1"/>
  <c r="AF128" i="12" s="1"/>
  <c r="AF136" i="12" s="1"/>
  <c r="AF129" i="12" s="1"/>
  <c r="AF137" i="12" s="1"/>
  <c r="AF130" i="12" s="1"/>
  <c r="AF138" i="12" s="1"/>
  <c r="AD123" i="12"/>
  <c r="AD127" i="12" s="1"/>
  <c r="AD135" i="12" s="1"/>
  <c r="AD128" i="12" s="1"/>
  <c r="AD136" i="12" s="1"/>
  <c r="AD129" i="12" s="1"/>
  <c r="AD137" i="12" s="1"/>
  <c r="AD130" i="12" s="1"/>
  <c r="AD138" i="12" s="1"/>
  <c r="V123" i="12"/>
  <c r="V127" i="12" s="1"/>
  <c r="V135" i="12" s="1"/>
  <c r="V128" i="12" s="1"/>
  <c r="V136" i="12" s="1"/>
  <c r="V129" i="12" s="1"/>
  <c r="V137" i="12" s="1"/>
  <c r="V130" i="12" s="1"/>
  <c r="V138" i="12" s="1"/>
  <c r="Y123" i="12"/>
  <c r="Y127" i="12" s="1"/>
  <c r="Y135" i="12" s="1"/>
  <c r="Y128" i="12" s="1"/>
  <c r="Y136" i="12" s="1"/>
  <c r="Y129" i="12" s="1"/>
  <c r="Y137" i="12" s="1"/>
  <c r="Y130" i="12" s="1"/>
  <c r="Y138" i="12" s="1"/>
  <c r="U123" i="12"/>
  <c r="U127" i="12" s="1"/>
  <c r="U135" i="12" s="1"/>
  <c r="U128" i="12" s="1"/>
  <c r="U136" i="12" s="1"/>
  <c r="U129" i="12" s="1"/>
  <c r="U137" i="12" s="1"/>
  <c r="U130" i="12" s="1"/>
  <c r="U138" i="12" s="1"/>
  <c r="W123" i="12"/>
  <c r="W127" i="12" s="1"/>
  <c r="W135" i="12" s="1"/>
  <c r="W128" i="12" s="1"/>
  <c r="W136" i="12" s="1"/>
  <c r="W129" i="12" s="1"/>
  <c r="W137" i="12" s="1"/>
  <c r="W130" i="12" s="1"/>
  <c r="W138" i="12" s="1"/>
  <c r="Q123" i="12"/>
  <c r="Q127" i="12" s="1"/>
  <c r="Q135" i="12" s="1"/>
  <c r="Q128" i="12" s="1"/>
  <c r="Q136" i="12" s="1"/>
  <c r="Q129" i="12" s="1"/>
  <c r="Q137" i="12" s="1"/>
  <c r="Q130" i="12" s="1"/>
  <c r="Q138" i="12" s="1"/>
  <c r="AJ123" i="12"/>
  <c r="AJ127" i="12" s="1"/>
  <c r="AJ135" i="12" s="1"/>
  <c r="AJ128" i="12" s="1"/>
  <c r="AJ136" i="12" s="1"/>
  <c r="AJ129" i="12" s="1"/>
  <c r="AJ137" i="12" s="1"/>
  <c r="AJ130" i="12" s="1"/>
  <c r="AJ138" i="12" s="1"/>
  <c r="T123" i="12"/>
  <c r="T127" i="12" s="1"/>
  <c r="T135" i="12" s="1"/>
  <c r="T128" i="12" s="1"/>
  <c r="T136" i="12" s="1"/>
  <c r="T129" i="12" s="1"/>
  <c r="T137" i="12" s="1"/>
  <c r="T130" i="12" s="1"/>
  <c r="T138" i="12" s="1"/>
  <c r="AB123" i="12"/>
  <c r="AB127" i="12" s="1"/>
  <c r="AB135" i="12" s="1"/>
  <c r="AB128" i="12" s="1"/>
  <c r="AB136" i="12" s="1"/>
  <c r="AB129" i="12" s="1"/>
  <c r="AB137" i="12" s="1"/>
  <c r="AB130" i="12" s="1"/>
  <c r="AB138" i="12" s="1"/>
  <c r="AH123" i="12"/>
  <c r="AH127" i="12" s="1"/>
  <c r="AH135" i="12" s="1"/>
  <c r="AH128" i="12" s="1"/>
  <c r="AH136" i="12" s="1"/>
  <c r="AH129" i="12" s="1"/>
  <c r="AH137" i="12" s="1"/>
  <c r="AH130" i="12" s="1"/>
  <c r="AH138" i="12" s="1"/>
  <c r="AK123" i="12"/>
  <c r="AK127" i="12" s="1"/>
  <c r="AK135" i="12" s="1"/>
  <c r="AK128" i="12" s="1"/>
  <c r="AK136" i="12" s="1"/>
  <c r="AK129" i="12" s="1"/>
  <c r="AK137" i="12" s="1"/>
  <c r="AK130" i="12" s="1"/>
  <c r="AK138" i="12" s="1"/>
  <c r="Z123" i="12"/>
  <c r="Z127" i="12" s="1"/>
  <c r="Z135" i="12" s="1"/>
  <c r="Z128" i="12" s="1"/>
  <c r="Z136" i="12" s="1"/>
  <c r="Z129" i="12" s="1"/>
  <c r="Z137" i="12" s="1"/>
  <c r="Z130" i="12" s="1"/>
  <c r="Z138" i="12" s="1"/>
  <c r="AA123" i="12"/>
  <c r="AA127" i="12" s="1"/>
  <c r="AA135" i="12" s="1"/>
  <c r="AA128" i="12" s="1"/>
  <c r="AA136" i="12" s="1"/>
  <c r="AA129" i="12" s="1"/>
  <c r="AA137" i="12" s="1"/>
  <c r="AA130" i="12" s="1"/>
  <c r="AA138" i="12" s="1"/>
  <c r="AI123" i="12"/>
  <c r="AI127" i="12" s="1"/>
  <c r="AI135" i="12" s="1"/>
  <c r="AI128" i="12" s="1"/>
  <c r="AI136" i="12" s="1"/>
  <c r="AI129" i="12" s="1"/>
  <c r="AI137" i="12" s="1"/>
  <c r="AI130" i="12" s="1"/>
  <c r="AI138" i="12" s="1"/>
  <c r="M123" i="12"/>
  <c r="M127" i="12" s="1"/>
  <c r="M135" i="12" s="1"/>
  <c r="M128" i="12" s="1"/>
  <c r="M136" i="12" s="1"/>
  <c r="M129" i="12" s="1"/>
  <c r="M137" i="12" s="1"/>
  <c r="M130" i="12" s="1"/>
  <c r="M138" i="12" s="1"/>
  <c r="P123" i="12"/>
  <c r="P127" i="12" s="1"/>
  <c r="P135" i="12" s="1"/>
  <c r="P128" i="12" s="1"/>
  <c r="P136" i="12" s="1"/>
  <c r="P129" i="12" s="1"/>
  <c r="P137" i="12" s="1"/>
  <c r="P130" i="12" s="1"/>
  <c r="P138" i="12" s="1"/>
  <c r="X123" i="12"/>
  <c r="X127" i="12" s="1"/>
  <c r="X135" i="12" s="1"/>
  <c r="X128" i="12" s="1"/>
  <c r="X136" i="12" s="1"/>
  <c r="X129" i="12" s="1"/>
  <c r="X137" i="12" s="1"/>
  <c r="X130" i="12" s="1"/>
  <c r="X138" i="12" s="1"/>
  <c r="AC123" i="12"/>
  <c r="AC127" i="12" s="1"/>
  <c r="AC135" i="12" s="1"/>
  <c r="AC128" i="12" s="1"/>
  <c r="AC136" i="12" s="1"/>
  <c r="AC129" i="12" s="1"/>
  <c r="AC137" i="12" s="1"/>
  <c r="AC130" i="12" s="1"/>
  <c r="AC138" i="12" s="1"/>
  <c r="AL123" i="12"/>
  <c r="AL127" i="12" s="1"/>
  <c r="AL135" i="12" s="1"/>
  <c r="AL128" i="12" s="1"/>
  <c r="AL136" i="12" s="1"/>
  <c r="AL129" i="12" s="1"/>
  <c r="AL137" i="12" s="1"/>
  <c r="AL130" i="12" s="1"/>
  <c r="AL138" i="12" s="1"/>
  <c r="AG123" i="12"/>
  <c r="AG127" i="12" s="1"/>
  <c r="AG135" i="12" s="1"/>
  <c r="AG128" i="12" s="1"/>
  <c r="AG136" i="12" s="1"/>
  <c r="AG129" i="12" s="1"/>
  <c r="AG137" i="12" s="1"/>
  <c r="AG130" i="12" s="1"/>
  <c r="AG138" i="12" s="1"/>
  <c r="O123" i="12"/>
  <c r="O127" i="12" s="1"/>
  <c r="O135" i="12" s="1"/>
  <c r="O128" i="12" s="1"/>
  <c r="O136" i="12" s="1"/>
  <c r="O129" i="12" s="1"/>
  <c r="O137" i="12" s="1"/>
  <c r="O130" i="12" s="1"/>
  <c r="O138" i="12" s="1"/>
  <c r="AE123" i="12"/>
  <c r="AE127" i="12" s="1"/>
  <c r="AE135" i="12" s="1"/>
  <c r="AE128" i="12" s="1"/>
  <c r="AE136" i="12" s="1"/>
  <c r="AE129" i="12" s="1"/>
  <c r="AE137" i="12" s="1"/>
  <c r="AE130" i="12" s="1"/>
  <c r="AE138" i="12" s="1"/>
  <c r="L123" i="12"/>
  <c r="L127" i="12" s="1"/>
  <c r="L135" i="12" s="1"/>
  <c r="L128" i="12" s="1"/>
  <c r="L136" i="12" s="1"/>
  <c r="L129" i="12" s="1"/>
  <c r="L137" i="12" s="1"/>
  <c r="L130" i="12" s="1"/>
  <c r="L138" i="12" s="1"/>
  <c r="AM123" i="12"/>
  <c r="AM127" i="12" s="1"/>
  <c r="AM135" i="12" s="1"/>
  <c r="AM128" i="12" s="1"/>
  <c r="AM136" i="12" s="1"/>
  <c r="AM129" i="12" s="1"/>
  <c r="AM137" i="12" s="1"/>
  <c r="AM130" i="12" s="1"/>
  <c r="AM138" i="12" s="1"/>
  <c r="H71" i="14" l="1"/>
  <c r="H79" i="14" s="1"/>
  <c r="H72" i="14" s="1"/>
  <c r="H80" i="14" s="1"/>
  <c r="H73" i="14" s="1"/>
  <c r="H81" i="14" s="1"/>
  <c r="H74" i="14" s="1"/>
  <c r="H82" i="14" s="1"/>
  <c r="V6" i="14"/>
  <c r="G71" i="14"/>
  <c r="G79" i="14" s="1"/>
  <c r="G72" i="14" s="1"/>
  <c r="G80" i="14" s="1"/>
  <c r="G73" i="14" s="1"/>
  <c r="G81" i="14" s="1"/>
  <c r="G74" i="14" s="1"/>
  <c r="G82" i="14" s="1"/>
  <c r="AE67" i="13"/>
  <c r="AE71" i="13" s="1"/>
  <c r="AE79" i="13" s="1"/>
  <c r="AE72" i="13" s="1"/>
  <c r="AE80" i="13" s="1"/>
  <c r="AE73" i="13" s="1"/>
  <c r="AE81" i="13" s="1"/>
  <c r="AE74" i="13" s="1"/>
  <c r="AE82" i="13" s="1"/>
  <c r="J71" i="13"/>
  <c r="J79" i="13" s="1"/>
  <c r="J72" i="13" s="1"/>
  <c r="J80" i="13" s="1"/>
  <c r="J73" i="13" s="1"/>
  <c r="J81" i="13" s="1"/>
  <c r="J74" i="13" s="1"/>
  <c r="J82" i="13" s="1"/>
  <c r="AM67" i="14"/>
  <c r="AM71" i="14" s="1"/>
  <c r="AM79" i="14" s="1"/>
  <c r="AM72" i="14" s="1"/>
  <c r="AM80" i="14" s="1"/>
  <c r="AM73" i="14" s="1"/>
  <c r="AM81" i="14" s="1"/>
  <c r="AM74" i="14" s="1"/>
  <c r="AM82" i="14" s="1"/>
  <c r="U6" i="14"/>
  <c r="K6" i="14"/>
  <c r="H6" i="14"/>
  <c r="AL67" i="14"/>
  <c r="AL71" i="14" s="1"/>
  <c r="AL79" i="14" s="1"/>
  <c r="AL72" i="14" s="1"/>
  <c r="AL80" i="14" s="1"/>
  <c r="AL73" i="14" s="1"/>
  <c r="AL81" i="14" s="1"/>
  <c r="AL74" i="14" s="1"/>
  <c r="AL82" i="14" s="1"/>
  <c r="X67" i="14"/>
  <c r="X71" i="14" s="1"/>
  <c r="X79" i="14" s="1"/>
  <c r="X72" i="14" s="1"/>
  <c r="X80" i="14" s="1"/>
  <c r="X73" i="14" s="1"/>
  <c r="X81" i="14" s="1"/>
  <c r="X74" i="14" s="1"/>
  <c r="X82" i="14" s="1"/>
  <c r="AD6" i="14"/>
  <c r="M6" i="14"/>
  <c r="L67" i="14"/>
  <c r="L71" i="14" s="1"/>
  <c r="L79" i="14" s="1"/>
  <c r="L72" i="14" s="1"/>
  <c r="L80" i="14" s="1"/>
  <c r="L73" i="14" s="1"/>
  <c r="L81" i="14" s="1"/>
  <c r="L74" i="14" s="1"/>
  <c r="L82" i="14" s="1"/>
  <c r="AC6" i="14"/>
  <c r="Q67" i="14"/>
  <c r="Q71" i="14" s="1"/>
  <c r="Q79" i="14" s="1"/>
  <c r="Q72" i="14" s="1"/>
  <c r="Q80" i="14" s="1"/>
  <c r="Q73" i="14" s="1"/>
  <c r="Q81" i="14" s="1"/>
  <c r="Q74" i="14" s="1"/>
  <c r="Q82" i="14" s="1"/>
  <c r="AH6" i="14"/>
  <c r="T6" i="14"/>
  <c r="Q6" i="14"/>
  <c r="O67" i="14"/>
  <c r="O71" i="14" s="1"/>
  <c r="O79" i="14" s="1"/>
  <c r="O72" i="14" s="1"/>
  <c r="O80" i="14" s="1"/>
  <c r="O73" i="14" s="1"/>
  <c r="O81" i="14" s="1"/>
  <c r="O74" i="14" s="1"/>
  <c r="O82" i="14" s="1"/>
  <c r="AB67" i="14"/>
  <c r="AB71" i="14" s="1"/>
  <c r="AB79" i="14" s="1"/>
  <c r="AB72" i="14" s="1"/>
  <c r="AB80" i="14" s="1"/>
  <c r="AB73" i="14" s="1"/>
  <c r="AB81" i="14" s="1"/>
  <c r="AB74" i="14" s="1"/>
  <c r="AB82" i="14" s="1"/>
  <c r="I71" i="14"/>
  <c r="I79" i="14" s="1"/>
  <c r="I72" i="14" s="1"/>
  <c r="I80" i="14" s="1"/>
  <c r="I73" i="14" s="1"/>
  <c r="I81" i="14" s="1"/>
  <c r="I74" i="14" s="1"/>
  <c r="I82" i="14" s="1"/>
  <c r="AA6" i="14"/>
  <c r="J6" i="14"/>
  <c r="P6" i="14"/>
  <c r="J71" i="14"/>
  <c r="J79" i="14" s="1"/>
  <c r="J72" i="14" s="1"/>
  <c r="J80" i="14" s="1"/>
  <c r="J73" i="14" s="1"/>
  <c r="J81" i="14" s="1"/>
  <c r="J74" i="14" s="1"/>
  <c r="J82" i="14" s="1"/>
  <c r="S6" i="14"/>
  <c r="E6" i="14"/>
  <c r="R6" i="14"/>
  <c r="P7" i="13"/>
  <c r="Y6" i="14"/>
  <c r="I6" i="14"/>
  <c r="V7" i="13"/>
  <c r="AE6" i="14"/>
  <c r="AB6" i="14"/>
  <c r="AL6" i="14"/>
  <c r="N6" i="14"/>
  <c r="W7" i="13"/>
  <c r="F6" i="14"/>
  <c r="AE7" i="13"/>
  <c r="AH7" i="13"/>
  <c r="AG6" i="14"/>
  <c r="L6" i="14"/>
  <c r="AM7" i="13"/>
  <c r="L7" i="13"/>
  <c r="AL7" i="13"/>
  <c r="AM6" i="14"/>
  <c r="I7" i="13"/>
  <c r="AC7" i="13"/>
  <c r="AJ6" i="14"/>
  <c r="G6" i="14"/>
  <c r="H16" i="15"/>
  <c r="H6" i="15" s="1"/>
  <c r="AI6" i="14"/>
  <c r="Z71" i="14"/>
  <c r="Z79" i="14" s="1"/>
  <c r="Z72" i="14" s="1"/>
  <c r="Z80" i="14" s="1"/>
  <c r="Z73" i="14" s="1"/>
  <c r="Z81" i="14" s="1"/>
  <c r="Z74" i="14" s="1"/>
  <c r="Z82" i="14" s="1"/>
  <c r="AK6" i="14"/>
  <c r="W6" i="14"/>
  <c r="H15" i="15"/>
  <c r="H5" i="15" s="1"/>
  <c r="V67" i="14"/>
  <c r="V71" i="14" s="1"/>
  <c r="V79" i="14" s="1"/>
  <c r="V72" i="14" s="1"/>
  <c r="V80" i="14" s="1"/>
  <c r="V73" i="14" s="1"/>
  <c r="V81" i="14" s="1"/>
  <c r="V74" i="14" s="1"/>
  <c r="V82" i="14" s="1"/>
  <c r="Y67" i="14"/>
  <c r="Y71" i="14" s="1"/>
  <c r="Y79" i="14" s="1"/>
  <c r="Y72" i="14" s="1"/>
  <c r="Y80" i="14" s="1"/>
  <c r="Y73" i="14" s="1"/>
  <c r="Y81" i="14" s="1"/>
  <c r="Y74" i="14" s="1"/>
  <c r="Y82" i="14" s="1"/>
  <c r="AC67" i="14"/>
  <c r="AC71" i="14" s="1"/>
  <c r="AC79" i="14" s="1"/>
  <c r="AC72" i="14" s="1"/>
  <c r="AC80" i="14" s="1"/>
  <c r="AC73" i="14" s="1"/>
  <c r="AC81" i="14" s="1"/>
  <c r="AC74" i="14" s="1"/>
  <c r="AC82" i="14" s="1"/>
  <c r="P67" i="14"/>
  <c r="P71" i="14" s="1"/>
  <c r="P79" i="14" s="1"/>
  <c r="P72" i="14" s="1"/>
  <c r="P80" i="14" s="1"/>
  <c r="P73" i="14" s="1"/>
  <c r="P81" i="14" s="1"/>
  <c r="P74" i="14" s="1"/>
  <c r="P82" i="14" s="1"/>
  <c r="AF6" i="14"/>
  <c r="E15" i="14" a="1"/>
  <c r="J15" i="14" s="1"/>
  <c r="E11" i="14" a="1"/>
  <c r="AK11" i="14" s="1"/>
  <c r="W67" i="14"/>
  <c r="W71" i="14" s="1"/>
  <c r="W79" i="14" s="1"/>
  <c r="W72" i="14" s="1"/>
  <c r="W80" i="14" s="1"/>
  <c r="W73" i="14" s="1"/>
  <c r="W81" i="14" s="1"/>
  <c r="W74" i="14" s="1"/>
  <c r="W82" i="14" s="1"/>
  <c r="AH67" i="14"/>
  <c r="AH71" i="14" s="1"/>
  <c r="AH79" i="14" s="1"/>
  <c r="AH72" i="14" s="1"/>
  <c r="AH80" i="14" s="1"/>
  <c r="AH73" i="14" s="1"/>
  <c r="AH81" i="14" s="1"/>
  <c r="AH74" i="14" s="1"/>
  <c r="AH82" i="14" s="1"/>
  <c r="AG67" i="14"/>
  <c r="AG71" i="14" s="1"/>
  <c r="AG79" i="14" s="1"/>
  <c r="AG72" i="14" s="1"/>
  <c r="AG80" i="14" s="1"/>
  <c r="AG73" i="14" s="1"/>
  <c r="AG81" i="14" s="1"/>
  <c r="AG74" i="14" s="1"/>
  <c r="AG82" i="14" s="1"/>
  <c r="AD67" i="14"/>
  <c r="AD71" i="14" s="1"/>
  <c r="AD79" i="14" s="1"/>
  <c r="AD72" i="14" s="1"/>
  <c r="AD80" i="14" s="1"/>
  <c r="AD73" i="14" s="1"/>
  <c r="AD81" i="14" s="1"/>
  <c r="AD74" i="14" s="1"/>
  <c r="AD82" i="14" s="1"/>
  <c r="AE67" i="14"/>
  <c r="AE71" i="14" s="1"/>
  <c r="AE79" i="14" s="1"/>
  <c r="AE72" i="14" s="1"/>
  <c r="AE80" i="14" s="1"/>
  <c r="AE73" i="14" s="1"/>
  <c r="AE81" i="14" s="1"/>
  <c r="AE74" i="14" s="1"/>
  <c r="AE82" i="14" s="1"/>
  <c r="M67" i="14"/>
  <c r="M71" i="14" s="1"/>
  <c r="M79" i="14" s="1"/>
  <c r="M72" i="14" s="1"/>
  <c r="M80" i="14" s="1"/>
  <c r="M73" i="14" s="1"/>
  <c r="M81" i="14" s="1"/>
  <c r="M74" i="14" s="1"/>
  <c r="M82" i="14" s="1"/>
  <c r="N67" i="14"/>
  <c r="N71" i="14" s="1"/>
  <c r="N79" i="14" s="1"/>
  <c r="N72" i="14" s="1"/>
  <c r="N80" i="14" s="1"/>
  <c r="N73" i="14" s="1"/>
  <c r="N81" i="14" s="1"/>
  <c r="N74" i="14" s="1"/>
  <c r="N82" i="14" s="1"/>
  <c r="S67" i="14"/>
  <c r="S71" i="14" s="1"/>
  <c r="S79" i="14" s="1"/>
  <c r="S72" i="14" s="1"/>
  <c r="S80" i="14" s="1"/>
  <c r="S73" i="14" s="1"/>
  <c r="S81" i="14" s="1"/>
  <c r="S74" i="14" s="1"/>
  <c r="S82" i="14" s="1"/>
  <c r="AA67" i="14"/>
  <c r="AA71" i="14" s="1"/>
  <c r="AA79" i="14" s="1"/>
  <c r="AA72" i="14" s="1"/>
  <c r="AA80" i="14" s="1"/>
  <c r="AA73" i="14" s="1"/>
  <c r="AA81" i="14" s="1"/>
  <c r="AA74" i="14" s="1"/>
  <c r="AA82" i="14" s="1"/>
  <c r="AJ67" i="14"/>
  <c r="AJ71" i="14" s="1"/>
  <c r="AJ79" i="14" s="1"/>
  <c r="AJ72" i="14" s="1"/>
  <c r="AJ80" i="14" s="1"/>
  <c r="AJ73" i="14" s="1"/>
  <c r="AJ81" i="14" s="1"/>
  <c r="AJ74" i="14" s="1"/>
  <c r="AJ82" i="14" s="1"/>
  <c r="AI67" i="14"/>
  <c r="AI71" i="14" s="1"/>
  <c r="AI79" i="14" s="1"/>
  <c r="AI72" i="14" s="1"/>
  <c r="AI80" i="14" s="1"/>
  <c r="AI73" i="14" s="1"/>
  <c r="AI81" i="14" s="1"/>
  <c r="AI74" i="14" s="1"/>
  <c r="AI82" i="14" s="1"/>
  <c r="T67" i="14"/>
  <c r="T71" i="14" s="1"/>
  <c r="T79" i="14" s="1"/>
  <c r="T72" i="14" s="1"/>
  <c r="T80" i="14" s="1"/>
  <c r="T73" i="14" s="1"/>
  <c r="T81" i="14" s="1"/>
  <c r="T74" i="14" s="1"/>
  <c r="T82" i="14" s="1"/>
  <c r="AK67" i="14"/>
  <c r="AK71" i="14" s="1"/>
  <c r="AK79" i="14" s="1"/>
  <c r="AK72" i="14" s="1"/>
  <c r="AK80" i="14" s="1"/>
  <c r="AK73" i="14" s="1"/>
  <c r="AK81" i="14" s="1"/>
  <c r="AK74" i="14" s="1"/>
  <c r="AK82" i="14" s="1"/>
  <c r="R67" i="14"/>
  <c r="R71" i="14" s="1"/>
  <c r="R79" i="14" s="1"/>
  <c r="R72" i="14" s="1"/>
  <c r="R80" i="14" s="1"/>
  <c r="R73" i="14" s="1"/>
  <c r="R81" i="14" s="1"/>
  <c r="R74" i="14" s="1"/>
  <c r="R82" i="14" s="1"/>
  <c r="K71" i="14"/>
  <c r="K79" i="14" s="1"/>
  <c r="K72" i="14" s="1"/>
  <c r="K80" i="14" s="1"/>
  <c r="K73" i="14" s="1"/>
  <c r="K81" i="14" s="1"/>
  <c r="K74" i="14" s="1"/>
  <c r="K82" i="14" s="1"/>
  <c r="AF67" i="14"/>
  <c r="AF71" i="14" s="1"/>
  <c r="AF79" i="14" s="1"/>
  <c r="AF72" i="14" s="1"/>
  <c r="AF80" i="14" s="1"/>
  <c r="AF73" i="14" s="1"/>
  <c r="AF81" i="14" s="1"/>
  <c r="AF74" i="14" s="1"/>
  <c r="AF82" i="14" s="1"/>
  <c r="U67" i="14"/>
  <c r="U71" i="14" s="1"/>
  <c r="U79" i="14" s="1"/>
  <c r="U72" i="14" s="1"/>
  <c r="U80" i="14" s="1"/>
  <c r="U73" i="14" s="1"/>
  <c r="U81" i="14" s="1"/>
  <c r="U74" i="14" s="1"/>
  <c r="U82" i="14" s="1"/>
  <c r="AN67" i="14"/>
  <c r="AN71" i="14" s="1"/>
  <c r="AN79" i="14" s="1"/>
  <c r="AN72" i="14" s="1"/>
  <c r="AN80" i="14" s="1"/>
  <c r="AN73" i="14" s="1"/>
  <c r="AN81" i="14" s="1"/>
  <c r="AN74" i="14" s="1"/>
  <c r="AN82" i="14" s="1"/>
  <c r="Z6" i="14"/>
  <c r="H18" i="15"/>
  <c r="H8" i="15" s="1"/>
  <c r="E8" i="14" a="1"/>
  <c r="Y8" i="14" s="1"/>
  <c r="AI7" i="13"/>
  <c r="AN7" i="13"/>
  <c r="Y7" i="13"/>
  <c r="O6" i="14"/>
  <c r="AG7" i="13"/>
  <c r="AD7" i="13"/>
  <c r="Q7" i="13"/>
  <c r="F7" i="13"/>
  <c r="AJ7" i="13"/>
  <c r="T7" i="13"/>
  <c r="U7" i="13"/>
  <c r="AF7" i="13"/>
  <c r="O7" i="13"/>
  <c r="S7" i="13"/>
  <c r="G7" i="13"/>
  <c r="N7" i="13"/>
  <c r="AA7" i="13"/>
  <c r="AK7" i="13"/>
  <c r="I24" i="15"/>
  <c r="X7" i="13"/>
  <c r="AB7" i="13"/>
  <c r="K7" i="13"/>
  <c r="J7" i="13"/>
  <c r="H71" i="13"/>
  <c r="H79" i="13" s="1"/>
  <c r="H72" i="13" s="1"/>
  <c r="H80" i="13" s="1"/>
  <c r="H73" i="13" s="1"/>
  <c r="H81" i="13" s="1"/>
  <c r="H74" i="13" s="1"/>
  <c r="H82" i="13" s="1"/>
  <c r="R7" i="13"/>
  <c r="H7" i="13"/>
  <c r="Z7" i="13"/>
  <c r="R67" i="13"/>
  <c r="AJ67" i="13"/>
  <c r="AJ71" i="13" s="1"/>
  <c r="AJ79" i="13" s="1"/>
  <c r="AJ72" i="13" s="1"/>
  <c r="AJ80" i="13" s="1"/>
  <c r="AJ73" i="13" s="1"/>
  <c r="AJ81" i="13" s="1"/>
  <c r="AJ74" i="13" s="1"/>
  <c r="AJ82" i="13" s="1"/>
  <c r="AF67" i="13"/>
  <c r="AL67" i="13"/>
  <c r="AL71" i="13" s="1"/>
  <c r="AL79" i="13" s="1"/>
  <c r="AL72" i="13" s="1"/>
  <c r="AL80" i="13" s="1"/>
  <c r="AL73" i="13" s="1"/>
  <c r="AL81" i="13" s="1"/>
  <c r="AL74" i="13" s="1"/>
  <c r="AL82" i="13" s="1"/>
  <c r="L67" i="13"/>
  <c r="L71" i="13" s="1"/>
  <c r="L79" i="13" s="1"/>
  <c r="L72" i="13" s="1"/>
  <c r="L80" i="13" s="1"/>
  <c r="L73" i="13" s="1"/>
  <c r="L81" i="13" s="1"/>
  <c r="L74" i="13" s="1"/>
  <c r="L82" i="13" s="1"/>
  <c r="AG67" i="13"/>
  <c r="AG71" i="13" s="1"/>
  <c r="AG79" i="13" s="1"/>
  <c r="AG72" i="13" s="1"/>
  <c r="AG80" i="13" s="1"/>
  <c r="AG73" i="13" s="1"/>
  <c r="AG81" i="13" s="1"/>
  <c r="AG74" i="13" s="1"/>
  <c r="AG82" i="13" s="1"/>
  <c r="AD67" i="13"/>
  <c r="AD71" i="13" s="1"/>
  <c r="AD79" i="13" s="1"/>
  <c r="AD72" i="13" s="1"/>
  <c r="AD80" i="13" s="1"/>
  <c r="AD73" i="13" s="1"/>
  <c r="AD81" i="13" s="1"/>
  <c r="AD74" i="13" s="1"/>
  <c r="AD82" i="13" s="1"/>
  <c r="K71" i="13"/>
  <c r="K79" i="13" s="1"/>
  <c r="K72" i="13" s="1"/>
  <c r="K80" i="13" s="1"/>
  <c r="K73" i="13" s="1"/>
  <c r="K81" i="13" s="1"/>
  <c r="K74" i="13" s="1"/>
  <c r="K82" i="13" s="1"/>
  <c r="R71" i="13"/>
  <c r="R79" i="13" s="1"/>
  <c r="R72" i="13" s="1"/>
  <c r="R80" i="13" s="1"/>
  <c r="R73" i="13" s="1"/>
  <c r="R81" i="13" s="1"/>
  <c r="R74" i="13" s="1"/>
  <c r="R82" i="13" s="1"/>
  <c r="T71" i="13"/>
  <c r="T79" i="13" s="1"/>
  <c r="T72" i="13" s="1"/>
  <c r="T80" i="13" s="1"/>
  <c r="T73" i="13" s="1"/>
  <c r="T81" i="13" s="1"/>
  <c r="T74" i="13" s="1"/>
  <c r="T82" i="13" s="1"/>
  <c r="AF71" i="13"/>
  <c r="AF79" i="13" s="1"/>
  <c r="AF72" i="13" s="1"/>
  <c r="AF80" i="13" s="1"/>
  <c r="AF73" i="13" s="1"/>
  <c r="AF81" i="13" s="1"/>
  <c r="AF74" i="13" s="1"/>
  <c r="AF82" i="13" s="1"/>
  <c r="F71" i="13"/>
  <c r="F79" i="13" s="1"/>
  <c r="F72" i="13" s="1"/>
  <c r="F80" i="13" s="1"/>
  <c r="F73" i="13" s="1"/>
  <c r="F81" i="13" s="1"/>
  <c r="F74" i="13" s="1"/>
  <c r="F82" i="13" s="1"/>
  <c r="E8" i="13" a="1"/>
  <c r="AH8" i="13" s="1"/>
  <c r="AC67" i="13"/>
  <c r="AC71" i="13" s="1"/>
  <c r="AC79" i="13" s="1"/>
  <c r="AC72" i="13" s="1"/>
  <c r="AC80" i="13" s="1"/>
  <c r="AC73" i="13" s="1"/>
  <c r="AC81" i="13" s="1"/>
  <c r="AC74" i="13" s="1"/>
  <c r="AC82" i="13" s="1"/>
  <c r="O67" i="13"/>
  <c r="O71" i="13" s="1"/>
  <c r="O79" i="13" s="1"/>
  <c r="O72" i="13" s="1"/>
  <c r="O80" i="13" s="1"/>
  <c r="O73" i="13" s="1"/>
  <c r="O81" i="13" s="1"/>
  <c r="O74" i="13" s="1"/>
  <c r="O82" i="13" s="1"/>
  <c r="W67" i="13"/>
  <c r="W71" i="13" s="1"/>
  <c r="W79" i="13" s="1"/>
  <c r="W72" i="13" s="1"/>
  <c r="W80" i="13" s="1"/>
  <c r="W73" i="13" s="1"/>
  <c r="W81" i="13" s="1"/>
  <c r="W74" i="13" s="1"/>
  <c r="W82" i="13" s="1"/>
  <c r="AN67" i="13"/>
  <c r="AN71" i="13" s="1"/>
  <c r="AN79" i="13" s="1"/>
  <c r="AN72" i="13" s="1"/>
  <c r="AN80" i="13" s="1"/>
  <c r="AN73" i="13" s="1"/>
  <c r="AN81" i="13" s="1"/>
  <c r="AN74" i="13" s="1"/>
  <c r="AN82" i="13" s="1"/>
  <c r="AA67" i="13"/>
  <c r="AA71" i="13" s="1"/>
  <c r="AA79" i="13" s="1"/>
  <c r="AA72" i="13" s="1"/>
  <c r="AA80" i="13" s="1"/>
  <c r="AA73" i="13" s="1"/>
  <c r="AA81" i="13" s="1"/>
  <c r="AA74" i="13" s="1"/>
  <c r="AA82" i="13" s="1"/>
  <c r="V67" i="13"/>
  <c r="V71" i="13" s="1"/>
  <c r="V79" i="13" s="1"/>
  <c r="V72" i="13" s="1"/>
  <c r="V80" i="13" s="1"/>
  <c r="V73" i="13" s="1"/>
  <c r="V81" i="13" s="1"/>
  <c r="V74" i="13" s="1"/>
  <c r="V82" i="13" s="1"/>
  <c r="AH67" i="13"/>
  <c r="AH71" i="13" s="1"/>
  <c r="AH79" i="13" s="1"/>
  <c r="AH72" i="13" s="1"/>
  <c r="AH80" i="13" s="1"/>
  <c r="AH73" i="13" s="1"/>
  <c r="AH81" i="13" s="1"/>
  <c r="AH74" i="13" s="1"/>
  <c r="AH82" i="13" s="1"/>
  <c r="N67" i="13"/>
  <c r="N71" i="13" s="1"/>
  <c r="N79" i="13" s="1"/>
  <c r="N72" i="13" s="1"/>
  <c r="N80" i="13" s="1"/>
  <c r="N73" i="13" s="1"/>
  <c r="N81" i="13" s="1"/>
  <c r="N74" i="13" s="1"/>
  <c r="N82" i="13" s="1"/>
  <c r="Z67" i="13"/>
  <c r="Z71" i="13" s="1"/>
  <c r="Z79" i="13" s="1"/>
  <c r="Z72" i="13" s="1"/>
  <c r="Z80" i="13" s="1"/>
  <c r="Z73" i="13" s="1"/>
  <c r="Z81" i="13" s="1"/>
  <c r="Z74" i="13" s="1"/>
  <c r="Z82" i="13" s="1"/>
  <c r="I15" i="15"/>
  <c r="I5" i="15" s="1"/>
  <c r="G71" i="13"/>
  <c r="G79" i="13" s="1"/>
  <c r="G72" i="13" s="1"/>
  <c r="G80" i="13" s="1"/>
  <c r="G73" i="13" s="1"/>
  <c r="G81" i="13" s="1"/>
  <c r="G74" i="13" s="1"/>
  <c r="G82" i="13" s="1"/>
  <c r="AI67" i="13"/>
  <c r="AI71" i="13" s="1"/>
  <c r="AI79" i="13" s="1"/>
  <c r="AI72" i="13" s="1"/>
  <c r="AI80" i="13" s="1"/>
  <c r="AI73" i="13" s="1"/>
  <c r="AI81" i="13" s="1"/>
  <c r="AI74" i="13" s="1"/>
  <c r="AI82" i="13" s="1"/>
  <c r="U67" i="13"/>
  <c r="U71" i="13" s="1"/>
  <c r="U79" i="13" s="1"/>
  <c r="U72" i="13" s="1"/>
  <c r="U80" i="13" s="1"/>
  <c r="U73" i="13" s="1"/>
  <c r="U81" i="13" s="1"/>
  <c r="U74" i="13" s="1"/>
  <c r="U82" i="13" s="1"/>
  <c r="M67" i="13"/>
  <c r="M71" i="13" s="1"/>
  <c r="M79" i="13" s="1"/>
  <c r="M72" i="13" s="1"/>
  <c r="M80" i="13" s="1"/>
  <c r="M73" i="13" s="1"/>
  <c r="M81" i="13" s="1"/>
  <c r="M74" i="13" s="1"/>
  <c r="M82" i="13" s="1"/>
  <c r="S67" i="13"/>
  <c r="S71" i="13" s="1"/>
  <c r="S79" i="13" s="1"/>
  <c r="S72" i="13" s="1"/>
  <c r="S80" i="13" s="1"/>
  <c r="S73" i="13" s="1"/>
  <c r="S81" i="13" s="1"/>
  <c r="S74" i="13" s="1"/>
  <c r="S82" i="13" s="1"/>
  <c r="I18" i="15"/>
  <c r="I8" i="15" s="1"/>
  <c r="AK67" i="13"/>
  <c r="AK71" i="13" s="1"/>
  <c r="AK79" i="13" s="1"/>
  <c r="AK72" i="13" s="1"/>
  <c r="AK80" i="13" s="1"/>
  <c r="AK73" i="13" s="1"/>
  <c r="AK81" i="13" s="1"/>
  <c r="AK74" i="13" s="1"/>
  <c r="AK82" i="13" s="1"/>
  <c r="Y67" i="13"/>
  <c r="Y71" i="13" s="1"/>
  <c r="Y79" i="13" s="1"/>
  <c r="Y72" i="13" s="1"/>
  <c r="Y80" i="13" s="1"/>
  <c r="Y73" i="13" s="1"/>
  <c r="Y81" i="13" s="1"/>
  <c r="Y74" i="13" s="1"/>
  <c r="Y82" i="13" s="1"/>
  <c r="Q67" i="13"/>
  <c r="Q71" i="13" s="1"/>
  <c r="Q79" i="13" s="1"/>
  <c r="Q72" i="13" s="1"/>
  <c r="Q80" i="13" s="1"/>
  <c r="Q73" i="13" s="1"/>
  <c r="Q81" i="13" s="1"/>
  <c r="Q74" i="13" s="1"/>
  <c r="Q82" i="13" s="1"/>
  <c r="AM67" i="13"/>
  <c r="AM71" i="13" s="1"/>
  <c r="AM79" i="13" s="1"/>
  <c r="AM72" i="13" s="1"/>
  <c r="AM80" i="13" s="1"/>
  <c r="AM73" i="13" s="1"/>
  <c r="AM81" i="13" s="1"/>
  <c r="AM74" i="13" s="1"/>
  <c r="AM82" i="13" s="1"/>
  <c r="I71" i="13"/>
  <c r="I79" i="13" s="1"/>
  <c r="I72" i="13" s="1"/>
  <c r="I80" i="13" s="1"/>
  <c r="I73" i="13" s="1"/>
  <c r="I81" i="13" s="1"/>
  <c r="I74" i="13" s="1"/>
  <c r="I82" i="13" s="1"/>
  <c r="X67" i="13"/>
  <c r="X71" i="13" s="1"/>
  <c r="X79" i="13" s="1"/>
  <c r="X72" i="13" s="1"/>
  <c r="X80" i="13" s="1"/>
  <c r="X73" i="13" s="1"/>
  <c r="X81" i="13" s="1"/>
  <c r="X74" i="13" s="1"/>
  <c r="X82" i="13" s="1"/>
  <c r="P67" i="13"/>
  <c r="P71" i="13" s="1"/>
  <c r="P79" i="13" s="1"/>
  <c r="P72" i="13" s="1"/>
  <c r="P80" i="13" s="1"/>
  <c r="P73" i="13" s="1"/>
  <c r="P81" i="13" s="1"/>
  <c r="P74" i="13" s="1"/>
  <c r="P82" i="13" s="1"/>
  <c r="AB67" i="13"/>
  <c r="AB71" i="13" s="1"/>
  <c r="AB79" i="13" s="1"/>
  <c r="AB72" i="13" s="1"/>
  <c r="AB80" i="13" s="1"/>
  <c r="AB73" i="13" s="1"/>
  <c r="AB81" i="13" s="1"/>
  <c r="AB74" i="13" s="1"/>
  <c r="AB82" i="13" s="1"/>
  <c r="I16" i="15"/>
  <c r="I6" i="15" s="1"/>
  <c r="E11" i="13" a="1"/>
  <c r="AK11" i="13" s="1"/>
  <c r="E6" i="13" a="1"/>
  <c r="F6" i="13" s="1"/>
  <c r="J18" i="15"/>
  <c r="W7" i="14"/>
  <c r="AN7" i="14"/>
  <c r="AJ7" i="14"/>
  <c r="Y7" i="14"/>
  <c r="AA7" i="14"/>
  <c r="N7" i="14"/>
  <c r="Q7" i="14"/>
  <c r="V7" i="14"/>
  <c r="G7" i="14"/>
  <c r="H7" i="14"/>
  <c r="O7" i="14"/>
  <c r="AE7" i="14"/>
  <c r="J7" i="14"/>
  <c r="AK7" i="14"/>
  <c r="S7" i="14"/>
  <c r="AC7" i="14"/>
  <c r="AM7" i="14"/>
  <c r="AD7" i="14"/>
  <c r="AL7" i="14"/>
  <c r="R7" i="14"/>
  <c r="P7" i="14"/>
  <c r="K7" i="14"/>
  <c r="Z7" i="14"/>
  <c r="T7" i="14"/>
  <c r="AB7" i="14"/>
  <c r="U7" i="14"/>
  <c r="AH7" i="14"/>
  <c r="F7" i="14"/>
  <c r="L7" i="14"/>
  <c r="E7" i="14"/>
  <c r="AI7" i="14"/>
  <c r="M7" i="14"/>
  <c r="I7" i="14"/>
  <c r="AG7" i="14"/>
  <c r="X7" i="14"/>
  <c r="AF7" i="14"/>
  <c r="J15" i="15"/>
  <c r="H27" i="15"/>
  <c r="E10" i="12"/>
  <c r="E8" i="12" s="1"/>
  <c r="J10" i="12"/>
  <c r="J8" i="12" s="1"/>
  <c r="T10" i="12"/>
  <c r="T8" i="12" s="1"/>
  <c r="H10" i="12"/>
  <c r="H8" i="12" s="1"/>
  <c r="AN10" i="12"/>
  <c r="AN8" i="12" s="1"/>
  <c r="M10" i="12"/>
  <c r="M8" i="12" s="1"/>
  <c r="AI10" i="12"/>
  <c r="AI8" i="12" s="1"/>
  <c r="AK10" i="12"/>
  <c r="AK8" i="12" s="1"/>
  <c r="F10" i="12"/>
  <c r="F8" i="12" s="1"/>
  <c r="L10" i="12"/>
  <c r="L8" i="12" s="1"/>
  <c r="AD10" i="12"/>
  <c r="AD8" i="12" s="1"/>
  <c r="AG10" i="12"/>
  <c r="AG8" i="12" s="1"/>
  <c r="AH10" i="12"/>
  <c r="AH8" i="12" s="1"/>
  <c r="I10" i="12"/>
  <c r="I8" i="12" s="1"/>
  <c r="N10" i="12"/>
  <c r="N8" i="12" s="1"/>
  <c r="S10" i="12"/>
  <c r="S8" i="12" s="1"/>
  <c r="X10" i="12"/>
  <c r="X8" i="12" s="1"/>
  <c r="G10" i="12"/>
  <c r="G8" i="12" s="1"/>
  <c r="V10" i="12"/>
  <c r="V8" i="12" s="1"/>
  <c r="P10" i="12"/>
  <c r="P8" i="12" s="1"/>
  <c r="R10" i="12"/>
  <c r="R8" i="12" s="1"/>
  <c r="AM10" i="12"/>
  <c r="AM8" i="12" s="1"/>
  <c r="Y10" i="12"/>
  <c r="Y8" i="12" s="1"/>
  <c r="AF10" i="12"/>
  <c r="AF8" i="12" s="1"/>
  <c r="K10" i="12"/>
  <c r="K8" i="12" s="1"/>
  <c r="Z10" i="12"/>
  <c r="Z8" i="12" s="1"/>
  <c r="AJ10" i="12"/>
  <c r="AJ8" i="12" s="1"/>
  <c r="O10" i="12"/>
  <c r="O8" i="12" s="1"/>
  <c r="AL10" i="12"/>
  <c r="AL8" i="12" s="1"/>
  <c r="AC10" i="12"/>
  <c r="AC8" i="12" s="1"/>
  <c r="AE10" i="12"/>
  <c r="AE8" i="12" s="1"/>
  <c r="W10" i="12"/>
  <c r="W8" i="12" s="1"/>
  <c r="Q10" i="12"/>
  <c r="Q8" i="12" s="1"/>
  <c r="AB10" i="12"/>
  <c r="AB8" i="12" s="1"/>
  <c r="AA10" i="12"/>
  <c r="AA8" i="12" s="1"/>
  <c r="U10" i="12"/>
  <c r="U8" i="12" s="1"/>
  <c r="E17" i="12"/>
  <c r="M17" i="12"/>
  <c r="U17" i="12"/>
  <c r="AC17" i="12"/>
  <c r="AK17" i="12"/>
  <c r="F17" i="12"/>
  <c r="N17" i="12"/>
  <c r="V17" i="12"/>
  <c r="AD17" i="12"/>
  <c r="AL17" i="12"/>
  <c r="G17" i="12"/>
  <c r="O17" i="12"/>
  <c r="W17" i="12"/>
  <c r="AE17" i="12"/>
  <c r="J17" i="12"/>
  <c r="R17" i="12"/>
  <c r="Z17" i="12"/>
  <c r="AH17" i="12"/>
  <c r="AN17" i="12"/>
  <c r="K17" i="12"/>
  <c r="AA17" i="12"/>
  <c r="AM17" i="12"/>
  <c r="L17" i="12"/>
  <c r="AB17" i="12"/>
  <c r="P17" i="12"/>
  <c r="AF17" i="12"/>
  <c r="Q17" i="12"/>
  <c r="AG17" i="12"/>
  <c r="S17" i="12"/>
  <c r="AI17" i="12"/>
  <c r="H17" i="12"/>
  <c r="T17" i="12"/>
  <c r="X17" i="12"/>
  <c r="AJ17" i="12"/>
  <c r="I17" i="12"/>
  <c r="Y17" i="12"/>
  <c r="J13" i="12"/>
  <c r="J11" i="12" s="1"/>
  <c r="T13" i="12"/>
  <c r="T11" i="12" s="1"/>
  <c r="AA13" i="12"/>
  <c r="AA11" i="12" s="1"/>
  <c r="Y13" i="12"/>
  <c r="Y11" i="12" s="1"/>
  <c r="M13" i="12"/>
  <c r="M11" i="12" s="1"/>
  <c r="AI13" i="12"/>
  <c r="AI11" i="12" s="1"/>
  <c r="AK13" i="12"/>
  <c r="AK11" i="12" s="1"/>
  <c r="H13" i="12"/>
  <c r="H11" i="12" s="1"/>
  <c r="AN13" i="12"/>
  <c r="AN11" i="12" s="1"/>
  <c r="AD13" i="12"/>
  <c r="AD11" i="12" s="1"/>
  <c r="AG13" i="12"/>
  <c r="AG11" i="12" s="1"/>
  <c r="AH13" i="12"/>
  <c r="AH11" i="12" s="1"/>
  <c r="F13" i="12"/>
  <c r="F11" i="12" s="1"/>
  <c r="L13" i="12"/>
  <c r="L11" i="12" s="1"/>
  <c r="S13" i="12"/>
  <c r="S11" i="12" s="1"/>
  <c r="X13" i="12"/>
  <c r="X11" i="12" s="1"/>
  <c r="O13" i="12"/>
  <c r="O11" i="12" s="1"/>
  <c r="Q13" i="12"/>
  <c r="Q11" i="12" s="1"/>
  <c r="AJ13" i="12"/>
  <c r="AJ11" i="12" s="1"/>
  <c r="K13" i="12"/>
  <c r="K11" i="12" s="1"/>
  <c r="Z13" i="12"/>
  <c r="Z11" i="12" s="1"/>
  <c r="AL13" i="12"/>
  <c r="AL11" i="12" s="1"/>
  <c r="G13" i="12"/>
  <c r="G11" i="12" s="1"/>
  <c r="AB13" i="12"/>
  <c r="AB11" i="12" s="1"/>
  <c r="AC13" i="12"/>
  <c r="AC11" i="12" s="1"/>
  <c r="U13" i="12"/>
  <c r="U11" i="12" s="1"/>
  <c r="I13" i="12"/>
  <c r="I11" i="12" s="1"/>
  <c r="AE13" i="12"/>
  <c r="AE11" i="12" s="1"/>
  <c r="W13" i="12"/>
  <c r="W11" i="12" s="1"/>
  <c r="E13" i="12"/>
  <c r="R13" i="12"/>
  <c r="R11" i="12" s="1"/>
  <c r="N13" i="12"/>
  <c r="N11" i="12" s="1"/>
  <c r="AF13" i="12"/>
  <c r="AF11" i="12" s="1"/>
  <c r="P13" i="12"/>
  <c r="P11" i="12" s="1"/>
  <c r="AM13" i="12"/>
  <c r="AM11" i="12" s="1"/>
  <c r="V13" i="12"/>
  <c r="V11" i="12" s="1"/>
  <c r="E6" i="12" a="1"/>
  <c r="J16" i="15"/>
  <c r="H24" i="15"/>
  <c r="AK8" i="14" l="1"/>
  <c r="W8" i="14"/>
  <c r="L8" i="14"/>
  <c r="AG15" i="14"/>
  <c r="AG8" i="14"/>
  <c r="AM15" i="14"/>
  <c r="N8" i="14"/>
  <c r="AC15" i="14"/>
  <c r="AF8" i="14"/>
  <c r="AD8" i="14"/>
  <c r="AL8" i="14"/>
  <c r="AK15" i="14"/>
  <c r="AA15" i="14"/>
  <c r="V8" i="14"/>
  <c r="AJ8" i="14"/>
  <c r="X15" i="14"/>
  <c r="AM11" i="14"/>
  <c r="H8" i="14"/>
  <c r="AN8" i="14"/>
  <c r="P8" i="14"/>
  <c r="E8" i="14"/>
  <c r="U15" i="14"/>
  <c r="H17" i="15"/>
  <c r="H7" i="15" s="1"/>
  <c r="H15" i="14"/>
  <c r="AD15" i="14"/>
  <c r="H14" i="15"/>
  <c r="AB15" i="14"/>
  <c r="Y11" i="14"/>
  <c r="G11" i="14"/>
  <c r="AI8" i="14"/>
  <c r="AE8" i="14"/>
  <c r="T8" i="14"/>
  <c r="Q8" i="14"/>
  <c r="P15" i="14"/>
  <c r="S15" i="14"/>
  <c r="AL15" i="14"/>
  <c r="L15" i="14"/>
  <c r="K11" i="14"/>
  <c r="AB8" i="14"/>
  <c r="G8" i="14"/>
  <c r="AA8" i="14"/>
  <c r="I8" i="14"/>
  <c r="Q15" i="14"/>
  <c r="AN15" i="14"/>
  <c r="R15" i="14"/>
  <c r="G15" i="14"/>
  <c r="Q11" i="14"/>
  <c r="F8" i="14"/>
  <c r="S8" i="14"/>
  <c r="U8" i="14"/>
  <c r="R8" i="14"/>
  <c r="AF15" i="14"/>
  <c r="AH15" i="14"/>
  <c r="V15" i="14"/>
  <c r="I15" i="14"/>
  <c r="AC11" i="14"/>
  <c r="AH8" i="14"/>
  <c r="O8" i="14"/>
  <c r="M8" i="14"/>
  <c r="J8" i="14"/>
  <c r="K8" i="14"/>
  <c r="F15" i="14"/>
  <c r="O15" i="14"/>
  <c r="M15" i="14"/>
  <c r="K15" i="14"/>
  <c r="S11" i="14"/>
  <c r="Z15" i="14"/>
  <c r="AI15" i="14"/>
  <c r="T15" i="14"/>
  <c r="AJ15" i="14"/>
  <c r="N15" i="14"/>
  <c r="AG11" i="14"/>
  <c r="AF11" i="14"/>
  <c r="AM8" i="14"/>
  <c r="X8" i="14"/>
  <c r="Z8" i="14"/>
  <c r="AC8" i="14"/>
  <c r="E15" i="14"/>
  <c r="AE15" i="14"/>
  <c r="W15" i="14"/>
  <c r="Y15" i="14"/>
  <c r="AD11" i="14"/>
  <c r="E11" i="14"/>
  <c r="W11" i="14"/>
  <c r="Z11" i="14"/>
  <c r="R11" i="14"/>
  <c r="AI11" i="14"/>
  <c r="V11" i="14"/>
  <c r="AL11" i="14"/>
  <c r="T11" i="14"/>
  <c r="P11" i="14"/>
  <c r="AE11" i="14"/>
  <c r="H11" i="14"/>
  <c r="X11" i="14"/>
  <c r="M11" i="14"/>
  <c r="AJ11" i="14"/>
  <c r="AN11" i="14"/>
  <c r="AB11" i="14"/>
  <c r="AA11" i="14"/>
  <c r="U11" i="14"/>
  <c r="F11" i="14"/>
  <c r="J11" i="14"/>
  <c r="AH11" i="14"/>
  <c r="N11" i="14"/>
  <c r="L11" i="14"/>
  <c r="O11" i="14"/>
  <c r="I11" i="14"/>
  <c r="L11" i="13"/>
  <c r="AF11" i="13"/>
  <c r="AB11" i="13"/>
  <c r="V11" i="13"/>
  <c r="AM11" i="13"/>
  <c r="Y8" i="13"/>
  <c r="X8" i="13"/>
  <c r="E8" i="13"/>
  <c r="W8" i="13"/>
  <c r="V8" i="13"/>
  <c r="H8" i="13"/>
  <c r="S8" i="13"/>
  <c r="AA8" i="13"/>
  <c r="AF8" i="13"/>
  <c r="L8" i="13"/>
  <c r="G8" i="13"/>
  <c r="N8" i="13"/>
  <c r="AK8" i="13"/>
  <c r="T8" i="13"/>
  <c r="J8" i="13"/>
  <c r="AN8" i="13"/>
  <c r="K8" i="13"/>
  <c r="Q8" i="13"/>
  <c r="AL8" i="13"/>
  <c r="R8" i="13"/>
  <c r="O8" i="13"/>
  <c r="AB8" i="13"/>
  <c r="Z8" i="13"/>
  <c r="F8" i="13"/>
  <c r="AI8" i="13"/>
  <c r="M8" i="13"/>
  <c r="AD8" i="13"/>
  <c r="P8" i="13"/>
  <c r="AJ8" i="13"/>
  <c r="I8" i="13"/>
  <c r="U8" i="13"/>
  <c r="AG8" i="13"/>
  <c r="AE8" i="13"/>
  <c r="AM8" i="13"/>
  <c r="AC8" i="13"/>
  <c r="AE11" i="13"/>
  <c r="H11" i="13"/>
  <c r="Z11" i="13"/>
  <c r="S11" i="13"/>
  <c r="AH11" i="13"/>
  <c r="G11" i="13"/>
  <c r="W11" i="13"/>
  <c r="AI11" i="13"/>
  <c r="O11" i="13"/>
  <c r="T11" i="13"/>
  <c r="K11" i="13"/>
  <c r="P11" i="13"/>
  <c r="AD11" i="13"/>
  <c r="I11" i="13"/>
  <c r="AG11" i="13"/>
  <c r="AA11" i="13"/>
  <c r="J11" i="13"/>
  <c r="N11" i="13"/>
  <c r="E11" i="13"/>
  <c r="U6" i="13"/>
  <c r="AB6" i="13"/>
  <c r="F11" i="13"/>
  <c r="AJ11" i="13"/>
  <c r="AL11" i="13"/>
  <c r="AN11" i="13"/>
  <c r="U11" i="13"/>
  <c r="R11" i="13"/>
  <c r="Q11" i="13"/>
  <c r="Y11" i="13"/>
  <c r="AG6" i="13"/>
  <c r="L6" i="13"/>
  <c r="I17" i="15"/>
  <c r="I7" i="15" s="1"/>
  <c r="I9" i="15" s="1"/>
  <c r="K18" i="15"/>
  <c r="AK6" i="13"/>
  <c r="N6" i="13"/>
  <c r="S6" i="13"/>
  <c r="Z6" i="13"/>
  <c r="X11" i="13"/>
  <c r="M11" i="13"/>
  <c r="AC11" i="13"/>
  <c r="I6" i="13"/>
  <c r="T6" i="13"/>
  <c r="AC6" i="13"/>
  <c r="I14" i="15"/>
  <c r="I4" i="15" s="1"/>
  <c r="K15" i="15"/>
  <c r="AN6" i="13"/>
  <c r="M6" i="13"/>
  <c r="AD6" i="13"/>
  <c r="W6" i="13"/>
  <c r="V6" i="13"/>
  <c r="Q6" i="13"/>
  <c r="G6" i="13"/>
  <c r="AE6" i="13"/>
  <c r="K6" i="13"/>
  <c r="AM6" i="13"/>
  <c r="AL6" i="13"/>
  <c r="AI6" i="13"/>
  <c r="X6" i="13"/>
  <c r="E6" i="13"/>
  <c r="Y6" i="13"/>
  <c r="J6" i="13"/>
  <c r="AH6" i="13"/>
  <c r="AF6" i="13"/>
  <c r="O6" i="13"/>
  <c r="AJ6" i="13"/>
  <c r="AA6" i="13"/>
  <c r="P6" i="13"/>
  <c r="R6" i="13"/>
  <c r="H6" i="13"/>
  <c r="E5" i="14" a="1"/>
  <c r="P5" i="14" s="1"/>
  <c r="H29" i="15"/>
  <c r="H4" i="15"/>
  <c r="J28" i="15"/>
  <c r="I6" i="12"/>
  <c r="AM6" i="12"/>
  <c r="AA6" i="12"/>
  <c r="AG6" i="12"/>
  <c r="AD6" i="12"/>
  <c r="AH6" i="12"/>
  <c r="AK6" i="12"/>
  <c r="AL6" i="12"/>
  <c r="Z6" i="12"/>
  <c r="E6" i="12"/>
  <c r="Y6" i="12"/>
  <c r="U6" i="12"/>
  <c r="J6" i="12"/>
  <c r="M6" i="12"/>
  <c r="T6" i="12"/>
  <c r="W6" i="12"/>
  <c r="AE6" i="12"/>
  <c r="K6" i="12"/>
  <c r="G6" i="12"/>
  <c r="H6" i="12"/>
  <c r="L6" i="12"/>
  <c r="V6" i="12"/>
  <c r="Q6" i="12"/>
  <c r="AB6" i="12"/>
  <c r="X6" i="12"/>
  <c r="N6" i="12"/>
  <c r="F6" i="12"/>
  <c r="P6" i="12"/>
  <c r="AF6" i="12"/>
  <c r="AC6" i="12"/>
  <c r="O6" i="12"/>
  <c r="R6" i="12"/>
  <c r="AI6" i="12"/>
  <c r="AN6" i="12"/>
  <c r="AJ6" i="12"/>
  <c r="S6" i="12"/>
  <c r="J25" i="15"/>
  <c r="K25" i="15" s="1"/>
  <c r="J14" i="15"/>
  <c r="E15" i="12" a="1"/>
  <c r="K16" i="15"/>
  <c r="J26" i="15"/>
  <c r="E7" i="12" a="1"/>
  <c r="E11" i="12"/>
  <c r="J17" i="15"/>
  <c r="H19" i="15" l="1"/>
  <c r="K17" i="15"/>
  <c r="K19" i="15" s="1"/>
  <c r="I19" i="15"/>
  <c r="E5" i="13" a="1"/>
  <c r="AD5" i="13" s="1"/>
  <c r="K14" i="15"/>
  <c r="Y5" i="14"/>
  <c r="S5" i="14"/>
  <c r="K5" i="14"/>
  <c r="AD5" i="14"/>
  <c r="Z5" i="14"/>
  <c r="X5" i="14"/>
  <c r="T5" i="14"/>
  <c r="AF5" i="14"/>
  <c r="R5" i="14"/>
  <c r="AB5" i="14"/>
  <c r="L5" i="14"/>
  <c r="AJ5" i="14"/>
  <c r="V5" i="14"/>
  <c r="Q5" i="14"/>
  <c r="U5" i="14"/>
  <c r="G5" i="14"/>
  <c r="AA5" i="14"/>
  <c r="AM5" i="14"/>
  <c r="AL5" i="14"/>
  <c r="AN5" i="14"/>
  <c r="AI5" i="14"/>
  <c r="H5" i="14"/>
  <c r="E5" i="14"/>
  <c r="F5" i="14"/>
  <c r="M5" i="14"/>
  <c r="AG5" i="14"/>
  <c r="I5" i="14"/>
  <c r="AH5" i="14"/>
  <c r="O5" i="14"/>
  <c r="AK5" i="14"/>
  <c r="AC5" i="14"/>
  <c r="AE5" i="14"/>
  <c r="W5" i="14"/>
  <c r="J5" i="14"/>
  <c r="N5" i="14"/>
  <c r="J24" i="15"/>
  <c r="K24" i="15" s="1"/>
  <c r="K26" i="15"/>
  <c r="H9" i="15"/>
  <c r="Z7" i="12"/>
  <c r="AG7" i="12"/>
  <c r="G7" i="12"/>
  <c r="T7" i="12"/>
  <c r="AK7" i="12"/>
  <c r="M7" i="12"/>
  <c r="R7" i="12"/>
  <c r="AB7" i="12"/>
  <c r="H7" i="12"/>
  <c r="U7" i="12"/>
  <c r="X7" i="12"/>
  <c r="AL7" i="12"/>
  <c r="O7" i="12"/>
  <c r="N7" i="12"/>
  <c r="W7" i="12"/>
  <c r="Q7" i="12"/>
  <c r="AF7" i="12"/>
  <c r="S7" i="12"/>
  <c r="P7" i="12"/>
  <c r="L7" i="12"/>
  <c r="AN7" i="12"/>
  <c r="I7" i="12"/>
  <c r="AE7" i="12"/>
  <c r="F7" i="12"/>
  <c r="AH7" i="12"/>
  <c r="V7" i="12"/>
  <c r="AC7" i="12"/>
  <c r="Y7" i="12"/>
  <c r="AJ7" i="12"/>
  <c r="AI7" i="12"/>
  <c r="J7" i="12"/>
  <c r="AD7" i="12"/>
  <c r="AA7" i="12"/>
  <c r="K7" i="12"/>
  <c r="AM7" i="12"/>
  <c r="E7" i="12"/>
  <c r="J5" i="15"/>
  <c r="K5" i="15" s="1"/>
  <c r="J27" i="15"/>
  <c r="K28" i="15"/>
  <c r="AB15" i="12"/>
  <c r="AG15" i="12"/>
  <c r="I15" i="12"/>
  <c r="AA15" i="12"/>
  <c r="AN15" i="12"/>
  <c r="S15" i="12"/>
  <c r="Z15" i="12"/>
  <c r="AD15" i="12"/>
  <c r="L15" i="12"/>
  <c r="P15" i="12"/>
  <c r="K15" i="12"/>
  <c r="Q15" i="12"/>
  <c r="AC15" i="12"/>
  <c r="N15" i="12"/>
  <c r="Y15" i="12"/>
  <c r="H15" i="12"/>
  <c r="V15" i="12"/>
  <c r="AE15" i="12"/>
  <c r="AM15" i="12"/>
  <c r="R15" i="12"/>
  <c r="F15" i="12"/>
  <c r="AL15" i="12"/>
  <c r="O15" i="12"/>
  <c r="G15" i="12"/>
  <c r="T15" i="12"/>
  <c r="AF15" i="12"/>
  <c r="E15" i="12"/>
  <c r="AH15" i="12"/>
  <c r="M15" i="12"/>
  <c r="AJ15" i="12"/>
  <c r="AI15" i="12"/>
  <c r="W15" i="12"/>
  <c r="U15" i="12"/>
  <c r="AK15" i="12"/>
  <c r="J15" i="12"/>
  <c r="X15" i="12"/>
  <c r="J8" i="15"/>
  <c r="K8" i="15" s="1"/>
  <c r="J19" i="15"/>
  <c r="J6" i="15"/>
  <c r="K6" i="15" s="1"/>
  <c r="Y5" i="13" l="1"/>
  <c r="AA5" i="13"/>
  <c r="H5" i="13"/>
  <c r="N5" i="13"/>
  <c r="T5" i="13"/>
  <c r="AL5" i="13"/>
  <c r="G5" i="13"/>
  <c r="O5" i="13"/>
  <c r="M5" i="13"/>
  <c r="AM5" i="13"/>
  <c r="R5" i="13"/>
  <c r="J5" i="13"/>
  <c r="E5" i="13"/>
  <c r="AC5" i="13"/>
  <c r="AN5" i="13"/>
  <c r="K5" i="13"/>
  <c r="F5" i="13"/>
  <c r="AG5" i="13"/>
  <c r="L5" i="13"/>
  <c r="AE5" i="13"/>
  <c r="AH5" i="13"/>
  <c r="Q5" i="13"/>
  <c r="V5" i="13"/>
  <c r="U5" i="13"/>
  <c r="X5" i="13"/>
  <c r="AB5" i="13"/>
  <c r="AK5" i="13"/>
  <c r="AI5" i="13"/>
  <c r="AF5" i="13"/>
  <c r="W5" i="13"/>
  <c r="AJ5" i="13"/>
  <c r="Z5" i="13"/>
  <c r="P5" i="13"/>
  <c r="I5" i="13"/>
  <c r="S5" i="13"/>
  <c r="J4" i="15"/>
  <c r="K4" i="15" s="1"/>
  <c r="E5" i="12" a="1"/>
  <c r="R5" i="12" s="1"/>
  <c r="J29" i="15"/>
  <c r="K27" i="15"/>
  <c r="K29" i="15" s="1"/>
  <c r="J7" i="15"/>
  <c r="G5" i="12" l="1"/>
  <c r="AD5" i="12"/>
  <c r="L5" i="12"/>
  <c r="AE5" i="12"/>
  <c r="E5" i="12"/>
  <c r="M5" i="12"/>
  <c r="V5" i="12"/>
  <c r="AM5" i="12"/>
  <c r="X5" i="12"/>
  <c r="P5" i="12"/>
  <c r="F5" i="12"/>
  <c r="AN5" i="12"/>
  <c r="Q5" i="12"/>
  <c r="W5" i="12"/>
  <c r="AJ5" i="12"/>
  <c r="AH5" i="12"/>
  <c r="AK5" i="12"/>
  <c r="H5" i="12"/>
  <c r="AB5" i="12"/>
  <c r="O5" i="12"/>
  <c r="Y5" i="12"/>
  <c r="AL5" i="12"/>
  <c r="N5" i="12"/>
  <c r="K5" i="12"/>
  <c r="I5" i="12"/>
  <c r="T5" i="12"/>
  <c r="AA5" i="12"/>
  <c r="AI5" i="12"/>
  <c r="J5" i="12"/>
  <c r="U5" i="12"/>
  <c r="Z5" i="12"/>
  <c r="AC5" i="12"/>
  <c r="AG5" i="12"/>
  <c r="S5" i="12"/>
  <c r="AF5" i="12"/>
  <c r="J9" i="15"/>
  <c r="K7" i="15"/>
  <c r="K9" i="15" s="1"/>
</calcChain>
</file>

<file path=xl/sharedStrings.xml><?xml version="1.0" encoding="utf-8"?>
<sst xmlns="http://schemas.openxmlformats.org/spreadsheetml/2006/main" count="832" uniqueCount="159">
  <si>
    <t>Design Option Names</t>
  </si>
  <si>
    <t>Long Names</t>
  </si>
  <si>
    <t>EL 0</t>
  </si>
  <si>
    <t>EL 1</t>
  </si>
  <si>
    <t>EL 2</t>
  </si>
  <si>
    <t>EL 3</t>
  </si>
  <si>
    <t>EL 4</t>
  </si>
  <si>
    <t>CADR 10-99</t>
  </si>
  <si>
    <t>CADR 100-149</t>
  </si>
  <si>
    <t>CADR 150+</t>
  </si>
  <si>
    <t>Short Names</t>
  </si>
  <si>
    <t>Sector</t>
  </si>
  <si>
    <t>Res</t>
  </si>
  <si>
    <t>Residential</t>
  </si>
  <si>
    <t>Com</t>
  </si>
  <si>
    <t>Commercial</t>
  </si>
  <si>
    <t>TSL Configuration</t>
  </si>
  <si>
    <t>1st Year</t>
  </si>
  <si>
    <t>2nd Year</t>
  </si>
  <si>
    <t>#Years</t>
  </si>
  <si>
    <t>Discount factor</t>
  </si>
  <si>
    <t>Prc Index Scen</t>
  </si>
  <si>
    <t>NIAplus (benefits)</t>
  </si>
  <si>
    <t>Refence Benefits</t>
  </si>
  <si>
    <t>Low Benefits</t>
  </si>
  <si>
    <t>High Benefits</t>
  </si>
  <si>
    <t>Eff Trend</t>
  </si>
  <si>
    <t>Linear</t>
  </si>
  <si>
    <t>growth</t>
  </si>
  <si>
    <t>Prc Elast</t>
  </si>
  <si>
    <t>Retail</t>
  </si>
  <si>
    <t>Use Std Shipm</t>
  </si>
  <si>
    <t>Auto</t>
  </si>
  <si>
    <t>NIAplus</t>
  </si>
  <si>
    <t>EIA</t>
  </si>
  <si>
    <t>MIA</t>
  </si>
  <si>
    <t>Elasticity</t>
  </si>
  <si>
    <t>AutoFit</t>
  </si>
  <si>
    <t>Elec Site-to-Primary</t>
  </si>
  <si>
    <t>Conversion Factors</t>
  </si>
  <si>
    <t>Res [Other Uses]</t>
  </si>
  <si>
    <t>MMBtu/kWh</t>
  </si>
  <si>
    <t>Com [Other Uses]</t>
  </si>
  <si>
    <t>Energy Conversion</t>
  </si>
  <si>
    <t>Site</t>
  </si>
  <si>
    <t>Site-to-Primary</t>
  </si>
  <si>
    <t>MMBtu/MMBtu</t>
  </si>
  <si>
    <t>Full-Fuel Cycle</t>
  </si>
  <si>
    <t>Source: AEO 2022</t>
  </si>
  <si>
    <t>Base Price</t>
  </si>
  <si>
    <t>AEO Price Trends</t>
  </si>
  <si>
    <t>Reference</t>
  </si>
  <si>
    <t>Low Growth</t>
  </si>
  <si>
    <t>High Growth</t>
  </si>
  <si>
    <t>Energy Prices: High Growth</t>
  </si>
  <si>
    <t>Energy Prices: Low Growth</t>
  </si>
  <si>
    <t>Energy Prices: Reference</t>
  </si>
  <si>
    <t>Prob of Survival</t>
  </si>
  <si>
    <t>All Product Classes</t>
  </si>
  <si>
    <t>Shipments for MIA</t>
  </si>
  <si>
    <t>Total Shipments</t>
  </si>
  <si>
    <t>Shipments by PC</t>
  </si>
  <si>
    <t>BC Eff Distrib</t>
  </si>
  <si>
    <t>%</t>
  </si>
  <si>
    <t>Affected Stock</t>
  </si>
  <si>
    <t>No-Stds Case</t>
  </si>
  <si>
    <t>Total Stock</t>
  </si>
  <si>
    <t>Stock by PC</t>
  </si>
  <si>
    <t>Price Elasticity</t>
  </si>
  <si>
    <t>Shipments</t>
  </si>
  <si>
    <t>Equipment Costs</t>
  </si>
  <si>
    <t>Installation</t>
  </si>
  <si>
    <t>Annual Energy Consumption</t>
  </si>
  <si>
    <t>Energy Efficiency</t>
  </si>
  <si>
    <t>CADR/watt</t>
  </si>
  <si>
    <t>kWh</t>
  </si>
  <si>
    <t>BC Eff Dist</t>
  </si>
  <si>
    <t>Annual Mnt &amp; Rpr</t>
  </si>
  <si>
    <t>Energy Consumption</t>
  </si>
  <si>
    <t>Unit Lifetime Costs and Energy Cons</t>
  </si>
  <si>
    <t>MMBtu</t>
  </si>
  <si>
    <t>[] Energy Consumption: Elec (Com)</t>
  </si>
  <si>
    <t>[] Energy Consumption: Elec (Res)</t>
  </si>
  <si>
    <t>[] &amp; zEO &amp; " Costs" (Com)</t>
  </si>
  <si>
    <t>[] &amp; zEO &amp; " Costs" (Res)</t>
  </si>
  <si>
    <t>[] Equipment Costs (Com)</t>
  </si>
  <si>
    <t>[] Equipment Costs (Res)</t>
  </si>
  <si>
    <t>[effSumBC_Com]</t>
  </si>
  <si>
    <t>[effPercBC_Com]</t>
  </si>
  <si>
    <t>[all zeros]</t>
  </si>
  <si>
    <t>[effSumPol_Com]</t>
  </si>
  <si>
    <t>[effPercPol_Com]</t>
  </si>
  <si>
    <t>Efficiency Trends</t>
  </si>
  <si>
    <t>Annual Growth Rate</t>
  </si>
  <si>
    <t>Annual Trend</t>
  </si>
  <si>
    <t>Standards Case</t>
  </si>
  <si>
    <t>No-Stds Case Efficiency Distribution</t>
  </si>
  <si>
    <t>Reference Efficiency Distribution</t>
  </si>
  <si>
    <t>Std Case Efficiency Distribution</t>
  </si>
  <si>
    <t>[effSumBC_Res]</t>
  </si>
  <si>
    <t>[effPercBC_Res]</t>
  </si>
  <si>
    <t>[effSumPol_Res]</t>
  </si>
  <si>
    <t>[effPercPol_Res]</t>
  </si>
  <si>
    <t>Mkt Avg LT Costs &amp; Energy Cons</t>
  </si>
  <si>
    <t>Mkt Total Costs and Savings</t>
  </si>
  <si>
    <t>Net-Benefits</t>
  </si>
  <si>
    <t>Incr Equipment Costs</t>
  </si>
  <si>
    <t>Energy Savings</t>
  </si>
  <si>
    <t>mi MMBtu</t>
  </si>
  <si>
    <t>Economic Growth</t>
  </si>
  <si>
    <t>Discount Rate</t>
  </si>
  <si>
    <t>Analysis Period</t>
  </si>
  <si>
    <t>Price Trend</t>
  </si>
  <si>
    <t>TSL</t>
  </si>
  <si>
    <t>1st compliance year</t>
  </si>
  <si>
    <t>2nd compliance year</t>
  </si>
  <si>
    <t>National</t>
  </si>
  <si>
    <t>NPV</t>
  </si>
  <si>
    <t>quads</t>
  </si>
  <si>
    <t>Perc of BC Energy Consumption</t>
  </si>
  <si>
    <t>Total</t>
  </si>
  <si>
    <t xml:space="preserve">Derived Total Price Indices </t>
  </si>
  <si>
    <t>Ref</t>
  </si>
  <si>
    <t>Low</t>
  </si>
  <si>
    <t>High</t>
  </si>
  <si>
    <t>2028 re-indexed</t>
  </si>
  <si>
    <t>Filters/yr</t>
  </si>
  <si>
    <t>Annual Maintenance/Repair</t>
  </si>
  <si>
    <t>Filters/Yr</t>
  </si>
  <si>
    <t>EL0</t>
  </si>
  <si>
    <t>Baseline</t>
  </si>
  <si>
    <t>Tier 1</t>
  </si>
  <si>
    <t>Tier 2</t>
  </si>
  <si>
    <t>EL1</t>
  </si>
  <si>
    <t>EL2</t>
  </si>
  <si>
    <t>EL3</t>
  </si>
  <si>
    <t>EL4</t>
  </si>
  <si>
    <t>Analysis Period: Full</t>
  </si>
  <si>
    <t>Price Trend: Ref</t>
  </si>
  <si>
    <t>Prod Class</t>
  </si>
  <si>
    <t>AEO Scen</t>
  </si>
  <si>
    <t>Disc Rate</t>
  </si>
  <si>
    <t>Operating Cost Savings</t>
  </si>
  <si>
    <t>Electricity</t>
  </si>
  <si>
    <t>2021$</t>
  </si>
  <si>
    <t>Data</t>
  </si>
  <si>
    <t>Sum of NPV</t>
  </si>
  <si>
    <t>Yes</t>
  </si>
  <si>
    <t>No New Standards</t>
  </si>
  <si>
    <t>Full</t>
  </si>
  <si>
    <t>Generated by User215 on 12/20/22 at 10:12:29 AM</t>
  </si>
  <si>
    <t>Site Energy Savings</t>
  </si>
  <si>
    <t>Sum of Site Energy Savings</t>
  </si>
  <si>
    <t>FFC</t>
  </si>
  <si>
    <t>TSL 1</t>
  </si>
  <si>
    <t>TSL 2</t>
  </si>
  <si>
    <t>TSL 3</t>
  </si>
  <si>
    <t>TSL 4</t>
  </si>
  <si>
    <t>TSL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</si>
</sst>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"/>
    <numFmt numFmtId="165" formatCode="0.00000"/>
    <numFmt numFmtId="166" formatCode="0.0"/>
    <numFmt numFmtId="167" formatCode="0.0%"/>
    <numFmt numFmtId="168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C0C0C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i/>
      <sz val="11"/>
      <color indexed="9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3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 indent="1"/>
    </xf>
    <xf numFmtId="164" fontId="0" fillId="0" borderId="0" xfId="0" applyNumberFormat="1"/>
    <xf numFmtId="0" fontId="3" fillId="0" borderId="0" xfId="0" applyFont="1"/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left" vertical="center" indent="1"/>
    </xf>
    <xf numFmtId="0" fontId="2" fillId="3" borderId="0" xfId="0" applyFont="1" applyFill="1" applyAlignment="1">
      <alignment vertical="center"/>
    </xf>
    <xf numFmtId="165" fontId="0" fillId="3" borderId="0" xfId="0" applyNumberFormat="1" applyFill="1" applyAlignment="1">
      <alignment vertical="center"/>
    </xf>
    <xf numFmtId="165" fontId="0" fillId="3" borderId="6" xfId="0" applyNumberFormat="1" applyFill="1" applyBorder="1" applyAlignment="1">
      <alignment vertical="center"/>
    </xf>
    <xf numFmtId="0" fontId="0" fillId="3" borderId="7" xfId="0" applyFill="1" applyBorder="1" applyAlignment="1">
      <alignment horizontal="left" vertical="center" indent="1"/>
    </xf>
    <xf numFmtId="0" fontId="2" fillId="3" borderId="8" xfId="0" applyFont="1" applyFill="1" applyBorder="1" applyAlignment="1">
      <alignment vertical="center"/>
    </xf>
    <xf numFmtId="165" fontId="0" fillId="3" borderId="8" xfId="0" applyNumberFormat="1" applyFill="1" applyBorder="1" applyAlignment="1">
      <alignment vertical="center"/>
    </xf>
    <xf numFmtId="165" fontId="0" fillId="3" borderId="9" xfId="0" applyNumberForma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5" xfId="0" applyFill="1" applyBorder="1" applyAlignment="1">
      <alignment horizontal="left" vertical="center" indent="2"/>
    </xf>
    <xf numFmtId="164" fontId="0" fillId="3" borderId="8" xfId="0" applyNumberFormat="1" applyFill="1" applyBorder="1" applyAlignment="1">
      <alignment vertical="center"/>
    </xf>
    <xf numFmtId="164" fontId="0" fillId="3" borderId="9" xfId="0" applyNumberFormat="1" applyFill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vertical="center"/>
    </xf>
    <xf numFmtId="0" fontId="0" fillId="5" borderId="0" xfId="0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2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3" borderId="6" xfId="0" applyNumberForma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11" xfId="0" applyFill="1" applyBorder="1" applyAlignment="1">
      <alignment horizontal="left" vertical="center" indent="1"/>
    </xf>
    <xf numFmtId="0" fontId="0" fillId="3" borderId="10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7" xfId="0" applyFill="1" applyBorder="1" applyAlignment="1">
      <alignment horizontal="left" vertical="center" indent="2"/>
    </xf>
    <xf numFmtId="166" fontId="0" fillId="3" borderId="0" xfId="0" applyNumberFormat="1" applyFill="1" applyAlignment="1">
      <alignment vertical="center"/>
    </xf>
    <xf numFmtId="166" fontId="0" fillId="3" borderId="6" xfId="0" applyNumberForma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167" fontId="0" fillId="3" borderId="0" xfId="0" applyNumberFormat="1" applyFill="1" applyAlignment="1">
      <alignment vertical="center"/>
    </xf>
    <xf numFmtId="167" fontId="0" fillId="3" borderId="6" xfId="0" applyNumberFormat="1" applyFill="1" applyBorder="1" applyAlignment="1">
      <alignment vertical="center"/>
    </xf>
    <xf numFmtId="167" fontId="0" fillId="3" borderId="8" xfId="0" applyNumberFormat="1" applyFill="1" applyBorder="1" applyAlignment="1">
      <alignment vertical="center"/>
    </xf>
    <xf numFmtId="167" fontId="0" fillId="3" borderId="9" xfId="0" applyNumberFormat="1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 indent="1"/>
    </xf>
    <xf numFmtId="166" fontId="0" fillId="3" borderId="8" xfId="0" applyNumberFormat="1" applyFill="1" applyBorder="1" applyAlignment="1">
      <alignment vertical="center"/>
    </xf>
    <xf numFmtId="166" fontId="0" fillId="3" borderId="9" xfId="0" applyNumberFormat="1" applyFill="1" applyBorder="1" applyAlignment="1">
      <alignment vertical="center"/>
    </xf>
    <xf numFmtId="0" fontId="0" fillId="3" borderId="5" xfId="0" applyFill="1" applyBorder="1" applyAlignment="1">
      <alignment horizontal="left" vertical="center" indent="3"/>
    </xf>
    <xf numFmtId="0" fontId="0" fillId="5" borderId="6" xfId="0" applyFill="1" applyBorder="1" applyAlignment="1">
      <alignment vertical="center"/>
    </xf>
    <xf numFmtId="0" fontId="1" fillId="5" borderId="11" xfId="0" applyFont="1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0" fillId="5" borderId="12" xfId="0" applyFill="1" applyBorder="1" applyAlignment="1">
      <alignment vertical="center"/>
    </xf>
    <xf numFmtId="2" fontId="0" fillId="3" borderId="6" xfId="0" applyNumberForma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7" xfId="0" applyFill="1" applyBorder="1" applyAlignment="1">
      <alignment horizontal="left" vertical="center" indent="3"/>
    </xf>
    <xf numFmtId="2" fontId="0" fillId="3" borderId="8" xfId="0" applyNumberFormat="1" applyFill="1" applyBorder="1" applyAlignment="1">
      <alignment vertical="center"/>
    </xf>
    <xf numFmtId="2" fontId="0" fillId="3" borderId="9" xfId="0" applyNumberFormat="1" applyFill="1" applyBorder="1" applyAlignment="1">
      <alignment vertical="center"/>
    </xf>
    <xf numFmtId="0" fontId="0" fillId="3" borderId="0" xfId="0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0" fontId="7" fillId="4" borderId="2" xfId="0" applyFont="1" applyFill="1" applyBorder="1" applyAlignment="1" applyProtection="1">
      <alignment vertical="center"/>
      <protection locked="0"/>
    </xf>
    <xf numFmtId="0" fontId="5" fillId="4" borderId="4" xfId="0" applyFont="1" applyFill="1" applyBorder="1" applyAlignment="1" applyProtection="1">
      <alignment vertical="center"/>
      <protection locked="0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9" fontId="0" fillId="3" borderId="0" xfId="0" applyNumberFormat="1" applyFill="1" applyAlignment="1" applyProtection="1">
      <alignment horizontal="left" vertical="center"/>
      <protection locked="0"/>
    </xf>
    <xf numFmtId="0" fontId="1" fillId="3" borderId="11" xfId="0" applyFont="1" applyFill="1" applyBorder="1" applyAlignment="1" applyProtection="1">
      <alignment vertical="center"/>
      <protection locked="0"/>
    </xf>
    <xf numFmtId="0" fontId="2" fillId="3" borderId="12" xfId="0" applyFont="1" applyFill="1" applyBorder="1" applyAlignment="1" applyProtection="1">
      <alignment vertical="center"/>
      <protection locked="0"/>
    </xf>
    <xf numFmtId="166" fontId="0" fillId="3" borderId="10" xfId="0" applyNumberFormat="1" applyFill="1" applyBorder="1" applyAlignment="1" applyProtection="1">
      <alignment vertical="center"/>
      <protection locked="0"/>
    </xf>
    <xf numFmtId="166" fontId="0" fillId="3" borderId="13" xfId="0" applyNumberFormat="1" applyFill="1" applyBorder="1" applyAlignment="1" applyProtection="1">
      <alignment vertical="center"/>
      <protection locked="0"/>
    </xf>
    <xf numFmtId="0" fontId="0" fillId="3" borderId="5" xfId="0" applyFill="1" applyBorder="1" applyAlignment="1" applyProtection="1">
      <alignment horizontal="left" vertical="center" indent="1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vertical="center"/>
      <protection locked="0"/>
    </xf>
    <xf numFmtId="166" fontId="0" fillId="3" borderId="14" xfId="0" applyNumberFormat="1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left" vertical="center" indent="1"/>
      <protection locked="0"/>
    </xf>
    <xf numFmtId="0" fontId="2" fillId="3" borderId="9" xfId="0" applyFont="1" applyFill="1" applyBorder="1" applyAlignment="1" applyProtection="1">
      <alignment vertical="center"/>
      <protection locked="0"/>
    </xf>
    <xf numFmtId="166" fontId="0" fillId="3" borderId="8" xfId="0" applyNumberFormat="1" applyFill="1" applyBorder="1" applyAlignment="1" applyProtection="1">
      <alignment vertical="center"/>
      <protection locked="0"/>
    </xf>
    <xf numFmtId="166" fontId="0" fillId="3" borderId="15" xfId="0" applyNumberForma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167" fontId="0" fillId="3" borderId="3" xfId="0" applyNumberFormat="1" applyFill="1" applyBorder="1" applyAlignment="1" applyProtection="1">
      <alignment vertical="center"/>
      <protection locked="0"/>
    </xf>
    <xf numFmtId="167" fontId="0" fillId="3" borderId="1" xfId="0" applyNumberFormat="1" applyFill="1" applyBorder="1" applyAlignment="1" applyProtection="1">
      <alignment vertical="center"/>
      <protection locked="0"/>
    </xf>
    <xf numFmtId="0" fontId="0" fillId="3" borderId="0" xfId="0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164" fontId="0" fillId="2" borderId="0" xfId="0" applyNumberFormat="1" applyFill="1" applyAlignment="1">
      <alignment vertical="center"/>
    </xf>
    <xf numFmtId="167" fontId="0" fillId="2" borderId="0" xfId="2" applyNumberFormat="1" applyFont="1" applyFill="1" applyAlignment="1">
      <alignment vertical="center"/>
    </xf>
    <xf numFmtId="0" fontId="9" fillId="0" borderId="0" xfId="0" applyFont="1" applyAlignment="1">
      <alignment horizontal="center"/>
    </xf>
    <xf numFmtId="9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2" fontId="0" fillId="3" borderId="14" xfId="0" applyNumberFormat="1" applyFill="1" applyBorder="1" applyAlignment="1" applyProtection="1">
      <alignment vertical="center"/>
      <protection locked="0"/>
    </xf>
    <xf numFmtId="0" fontId="0" fillId="0" borderId="16" xfId="0" applyBorder="1"/>
    <xf numFmtId="0" fontId="0" fillId="0" borderId="17" xfId="0" applyBorder="1"/>
    <xf numFmtId="0" fontId="0" fillId="0" borderId="17" xfId="0" pivotButton="1" applyBorder="1"/>
    <xf numFmtId="0" fontId="0" fillId="0" borderId="16" xfId="0" pivotButton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6" fontId="0" fillId="0" borderId="16" xfId="0" applyNumberFormat="1" applyBorder="1"/>
    <xf numFmtId="166" fontId="0" fillId="0" borderId="20" xfId="0" applyNumberFormat="1" applyBorder="1"/>
    <xf numFmtId="0" fontId="0" fillId="0" borderId="21" xfId="0" applyBorder="1"/>
    <xf numFmtId="166" fontId="0" fillId="0" borderId="21" xfId="0" applyNumberFormat="1" applyBorder="1"/>
    <xf numFmtId="166" fontId="0" fillId="0" borderId="22" xfId="0" applyNumberFormat="1" applyBorder="1"/>
    <xf numFmtId="0" fontId="0" fillId="0" borderId="23" xfId="0" applyBorder="1"/>
    <xf numFmtId="166" fontId="0" fillId="0" borderId="23" xfId="0" applyNumberFormat="1" applyBorder="1"/>
    <xf numFmtId="166" fontId="0" fillId="0" borderId="24" xfId="0" applyNumberFormat="1" applyBorder="1"/>
    <xf numFmtId="9" fontId="0" fillId="0" borderId="17" xfId="0" applyNumberFormat="1" applyBorder="1" applyAlignment="1">
      <alignment horizontal="left"/>
    </xf>
    <xf numFmtId="166" fontId="0" fillId="2" borderId="0" xfId="0" applyNumberFormat="1" applyFill="1" applyAlignment="1">
      <alignment vertical="center"/>
    </xf>
    <xf numFmtId="2" fontId="0" fillId="3" borderId="0" xfId="0" applyNumberFormat="1" applyFill="1" applyAlignment="1" applyProtection="1">
      <alignment vertical="center"/>
      <protection locked="0"/>
    </xf>
    <xf numFmtId="0" fontId="0" fillId="3" borderId="0" xfId="0" applyFill="1" applyBorder="1" applyAlignment="1">
      <alignment vertical="center"/>
    </xf>
    <xf numFmtId="2" fontId="0" fillId="3" borderId="0" xfId="0" applyNumberFormat="1" applyFill="1" applyBorder="1" applyAlignment="1">
      <alignment vertical="center"/>
    </xf>
    <xf numFmtId="9" fontId="0" fillId="3" borderId="8" xfId="2" applyFont="1" applyFill="1" applyBorder="1" applyAlignment="1">
      <alignment vertical="center"/>
    </xf>
    <xf numFmtId="9" fontId="0" fillId="3" borderId="9" xfId="2" applyFont="1" applyFill="1" applyBorder="1" applyAlignment="1">
      <alignment vertical="center"/>
    </xf>
    <xf numFmtId="166" fontId="0" fillId="3" borderId="0" xfId="0" applyNumberFormat="1" applyFill="1" applyBorder="1" applyAlignment="1">
      <alignment vertical="center"/>
    </xf>
    <xf numFmtId="9" fontId="0" fillId="3" borderId="8" xfId="0" applyNumberFormat="1" applyFill="1" applyBorder="1" applyAlignment="1">
      <alignment vertical="center"/>
    </xf>
    <xf numFmtId="9" fontId="0" fillId="3" borderId="9" xfId="0" applyNumberForma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7" borderId="0" xfId="0" applyFill="1" applyAlignment="1">
      <alignment vertical="center"/>
    </xf>
    <xf numFmtId="0" fontId="1" fillId="7" borderId="0" xfId="0" applyFont="1" applyFill="1" applyAlignment="1">
      <alignment vertical="center"/>
    </xf>
    <xf numFmtId="2" fontId="0" fillId="7" borderId="0" xfId="0" applyNumberFormat="1" applyFill="1" applyAlignment="1">
      <alignment vertical="center"/>
    </xf>
    <xf numFmtId="0" fontId="0" fillId="7" borderId="0" xfId="0" applyFill="1" applyAlignment="1">
      <alignment horizontal="center" vertical="center"/>
    </xf>
    <xf numFmtId="168" fontId="0" fillId="7" borderId="0" xfId="1" applyNumberFormat="1" applyFont="1" applyFill="1" applyAlignment="1">
      <alignment horizontal="center" vertical="center"/>
    </xf>
    <xf numFmtId="44" fontId="0" fillId="7" borderId="0" xfId="1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164" fontId="0" fillId="3" borderId="0" xfId="0" applyNumberFormat="1" applyFill="1" applyBorder="1" applyAlignment="1">
      <alignment vertical="center"/>
    </xf>
    <xf numFmtId="0" fontId="4" fillId="6" borderId="2" xfId="0" applyFont="1" applyFill="1" applyBorder="1" applyAlignment="1">
      <alignment vertical="center"/>
    </xf>
    <xf numFmtId="0" fontId="4" fillId="6" borderId="3" xfId="0" applyFont="1" applyFill="1" applyBorder="1" applyAlignment="1">
      <alignment vertical="center"/>
    </xf>
    <xf numFmtId="0" fontId="4" fillId="6" borderId="4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3833"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numFmt numFmtId="167" formatCode="0.0%"/>
    </dxf>
    <dxf>
      <numFmt numFmtId="164" formatCode="0.000"/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642323"/>
      <rgbColor rgb="00808000"/>
      <rgbColor rgb="00800080"/>
      <rgbColor rgb="00008080"/>
      <rgbColor rgb="00F0F0FF"/>
      <rgbColor rgb="00808080"/>
      <rgbColor rgb="009999FF"/>
      <rgbColor rgb="00993366"/>
      <rgbColor rgb="00FFFFCC"/>
      <rgbColor rgb="00CCFFFF"/>
      <rgbColor rgb="00660066"/>
      <rgbColor rgb="00FF8080"/>
      <rgbColor rgb="00005082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AEEF3"/>
      <rgbColor rgb="00CCFFCC"/>
      <rgbColor rgb="00FFFF99"/>
      <rgbColor rgb="0096D2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Air</a:t>
            </a:r>
            <a:r>
              <a:rPr lang="en-US" sz="2400" baseline="0"/>
              <a:t> Cleaner Shipments Projections (2024 - 2057)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895118929379603E-2"/>
          <c:y val="0.12941096822575268"/>
          <c:w val="0.87901651597841535"/>
          <c:h val="0.70246882290856572"/>
        </c:manualLayout>
      </c:layout>
      <c:lineChart>
        <c:grouping val="standard"/>
        <c:varyColors val="0"/>
        <c:ser>
          <c:idx val="0"/>
          <c:order val="0"/>
          <c:tx>
            <c:strRef>
              <c:f>'Shipments w Elasticity'!$B$4</c:f>
              <c:strCache>
                <c:ptCount val="1"/>
                <c:pt idx="0">
                  <c:v>No New Standards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Elasticity'!$C$4:$AJ$4</c:f>
              <c:numCache>
                <c:formatCode>General</c:formatCode>
                <c:ptCount val="34"/>
                <c:pt idx="0">
                  <c:v>8.2127347841074965</c:v>
                </c:pt>
                <c:pt idx="1">
                  <c:v>8.5984294340082918</c:v>
                </c:pt>
                <c:pt idx="2">
                  <c:v>9.0122912362700944</c:v>
                </c:pt>
                <c:pt idx="3">
                  <c:v>9.4703081184118609</c:v>
                </c:pt>
                <c:pt idx="4">
                  <c:v>9.9670926866355813</c:v>
                </c:pt>
                <c:pt idx="5">
                  <c:v>10.494559173428762</c:v>
                </c:pt>
                <c:pt idx="6">
                  <c:v>11.046397652219259</c:v>
                </c:pt>
                <c:pt idx="7">
                  <c:v>11.618404085770958</c:v>
                </c:pt>
                <c:pt idx="8">
                  <c:v>12.210331454247907</c:v>
                </c:pt>
                <c:pt idx="9">
                  <c:v>12.824714907367937</c:v>
                </c:pt>
                <c:pt idx="10">
                  <c:v>13.465427859557796</c:v>
                </c:pt>
                <c:pt idx="11">
                  <c:v>14.136991745687819</c:v>
                </c:pt>
                <c:pt idx="12">
                  <c:v>14.843206467369427</c:v>
                </c:pt>
                <c:pt idx="13">
                  <c:v>15.586476240436248</c:v>
                </c:pt>
                <c:pt idx="14">
                  <c:v>16.369473128948382</c:v>
                </c:pt>
                <c:pt idx="15">
                  <c:v>17.190628033199836</c:v>
                </c:pt>
                <c:pt idx="16">
                  <c:v>18.052436324644866</c:v>
                </c:pt>
                <c:pt idx="17">
                  <c:v>18.955938520315428</c:v>
                </c:pt>
                <c:pt idx="18">
                  <c:v>19.902673592501202</c:v>
                </c:pt>
                <c:pt idx="19">
                  <c:v>20.894704857773277</c:v>
                </c:pt>
                <c:pt idx="20">
                  <c:v>21.934412373627794</c:v>
                </c:pt>
                <c:pt idx="21">
                  <c:v>23.024524492715912</c:v>
                </c:pt>
                <c:pt idx="22">
                  <c:v>24.167797168625285</c:v>
                </c:pt>
                <c:pt idx="23">
                  <c:v>25.367001754271541</c:v>
                </c:pt>
                <c:pt idx="24">
                  <c:v>26.624910204793775</c:v>
                </c:pt>
                <c:pt idx="25">
                  <c:v>27.944321902036265</c:v>
                </c:pt>
                <c:pt idx="26">
                  <c:v>29.328123100175667</c:v>
                </c:pt>
                <c:pt idx="27">
                  <c:v>30.779340545114337</c:v>
                </c:pt>
                <c:pt idx="28">
                  <c:v>32.301181969831163</c:v>
                </c:pt>
                <c:pt idx="29">
                  <c:v>33.897058210285969</c:v>
                </c:pt>
                <c:pt idx="30">
                  <c:v>35.570585160088655</c:v>
                </c:pt>
                <c:pt idx="31">
                  <c:v>37.325577124247054</c:v>
                </c:pt>
                <c:pt idx="32">
                  <c:v>39.166042399535925</c:v>
                </c:pt>
                <c:pt idx="33">
                  <c:v>41.096167382286389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D3-BB48-9119-594456E6173C}"/>
            </c:ext>
          </c:extLst>
        </c:ser>
        <c:ser>
          <c:idx val="1"/>
          <c:order val="1"/>
          <c:tx>
            <c:strRef>
              <c:f>'Shipments w Elasticity'!$B$5</c:f>
              <c:strCache>
                <c:ptCount val="1"/>
                <c:pt idx="0">
                  <c:v>TSL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Elasticity'!$C$5:$AJ$5</c:f>
              <c:numCache>
                <c:formatCode>General</c:formatCode>
                <c:ptCount val="34"/>
                <c:pt idx="0">
                  <c:v>8.2127347841074965</c:v>
                </c:pt>
                <c:pt idx="1">
                  <c:v>8.5984294340082918</c:v>
                </c:pt>
                <c:pt idx="2">
                  <c:v>9.0122912362700944</c:v>
                </c:pt>
                <c:pt idx="3">
                  <c:v>9.4703081184118609</c:v>
                </c:pt>
                <c:pt idx="4">
                  <c:v>9.9455159135469593</c:v>
                </c:pt>
                <c:pt idx="5">
                  <c:v>10.477038054531986</c:v>
                </c:pt>
                <c:pt idx="6">
                  <c:v>11.031596152298558</c:v>
                </c:pt>
                <c:pt idx="7">
                  <c:v>11.604975766838797</c:v>
                </c:pt>
                <c:pt idx="8">
                  <c:v>12.198445966476864</c:v>
                </c:pt>
                <c:pt idx="9">
                  <c:v>12.812876427664184</c:v>
                </c:pt>
                <c:pt idx="10">
                  <c:v>13.453668620554694</c:v>
                </c:pt>
                <c:pt idx="11">
                  <c:v>14.125343467809101</c:v>
                </c:pt>
                <c:pt idx="12">
                  <c:v>14.831701749744514</c:v>
                </c:pt>
                <c:pt idx="13">
                  <c:v>15.575150240788323</c:v>
                </c:pt>
                <c:pt idx="14">
                  <c:v>16.357687051846796</c:v>
                </c:pt>
                <c:pt idx="15">
                  <c:v>17.17836398700004</c:v>
                </c:pt>
                <c:pt idx="16">
                  <c:v>18.039675311609404</c:v>
                </c:pt>
                <c:pt idx="17">
                  <c:v>18.94266150883324</c:v>
                </c:pt>
                <c:pt idx="18">
                  <c:v>19.888861187556422</c:v>
                </c:pt>
                <c:pt idx="19">
                  <c:v>20.880336970748914</c:v>
                </c:pt>
                <c:pt idx="20">
                  <c:v>21.919468050405413</c:v>
                </c:pt>
                <c:pt idx="21">
                  <c:v>23.008981730480222</c:v>
                </c:pt>
                <c:pt idx="22">
                  <c:v>24.151632956996089</c:v>
                </c:pt>
                <c:pt idx="23">
                  <c:v>25.350192124227839</c:v>
                </c:pt>
                <c:pt idx="24">
                  <c:v>26.607342447845248</c:v>
                </c:pt>
                <c:pt idx="25">
                  <c:v>27.925962369513414</c:v>
                </c:pt>
                <c:pt idx="26">
                  <c:v>29.308936757822398</c:v>
                </c:pt>
                <c:pt idx="27">
                  <c:v>30.759290912969998</c:v>
                </c:pt>
                <c:pt idx="28">
                  <c:v>32.280231037946123</c:v>
                </c:pt>
                <c:pt idx="29">
                  <c:v>33.875166342854769</c:v>
                </c:pt>
                <c:pt idx="30">
                  <c:v>35.547711001314141</c:v>
                </c:pt>
                <c:pt idx="31">
                  <c:v>37.301677511433248</c:v>
                </c:pt>
                <c:pt idx="32">
                  <c:v>39.141072281847642</c:v>
                </c:pt>
                <c:pt idx="33">
                  <c:v>41.070079752325228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3-BB48-9119-594456E6173C}"/>
            </c:ext>
          </c:extLst>
        </c:ser>
        <c:ser>
          <c:idx val="2"/>
          <c:order val="2"/>
          <c:tx>
            <c:strRef>
              <c:f>'Shipments w Elasticity'!$B$6</c:f>
              <c:strCache>
                <c:ptCount val="1"/>
                <c:pt idx="0">
                  <c:v>TSL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Elasticity'!$C$6:$AJ$6</c:f>
              <c:numCache>
                <c:formatCode>General</c:formatCode>
                <c:ptCount val="34"/>
                <c:pt idx="0">
                  <c:v>8.2127347841074965</c:v>
                </c:pt>
                <c:pt idx="1">
                  <c:v>8.5984294340082918</c:v>
                </c:pt>
                <c:pt idx="2">
                  <c:v>9.0122912362700944</c:v>
                </c:pt>
                <c:pt idx="3">
                  <c:v>9.4703081184118609</c:v>
                </c:pt>
                <c:pt idx="4">
                  <c:v>9.8926853541332633</c:v>
                </c:pt>
                <c:pt idx="5">
                  <c:v>10.434064193100561</c:v>
                </c:pt>
                <c:pt idx="6">
                  <c:v>10.995231154564379</c:v>
                </c:pt>
                <c:pt idx="7">
                  <c:v>11.571929155018285</c:v>
                </c:pt>
                <c:pt idx="8">
                  <c:v>12.169147661940178</c:v>
                </c:pt>
                <c:pt idx="9">
                  <c:v>12.783646013637862</c:v>
                </c:pt>
                <c:pt idx="10">
                  <c:v>13.424586511246096</c:v>
                </c:pt>
                <c:pt idx="11">
                  <c:v>14.096489138301987</c:v>
                </c:pt>
                <c:pt idx="12">
                  <c:v>14.803157174187159</c:v>
                </c:pt>
                <c:pt idx="13">
                  <c:v>15.54700408323456</c:v>
                </c:pt>
                <c:pt idx="14">
                  <c:v>16.328350833150978</c:v>
                </c:pt>
                <c:pt idx="15">
                  <c:v>17.147789525954511</c:v>
                </c:pt>
                <c:pt idx="16">
                  <c:v>18.00781142275693</c:v>
                </c:pt>
                <c:pt idx="17">
                  <c:v>18.909456666414464</c:v>
                </c:pt>
                <c:pt idx="18">
                  <c:v>19.854262697920056</c:v>
                </c:pt>
                <c:pt idx="19">
                  <c:v>20.844290135069478</c:v>
                </c:pt>
                <c:pt idx="20">
                  <c:v>21.881915717739137</c:v>
                </c:pt>
                <c:pt idx="21">
                  <c:v>22.96986381802326</c:v>
                </c:pt>
                <c:pt idx="22">
                  <c:v>24.110886532057386</c:v>
                </c:pt>
                <c:pt idx="23">
                  <c:v>25.307751506572274</c:v>
                </c:pt>
                <c:pt idx="24">
                  <c:v>26.56291720956072</c:v>
                </c:pt>
                <c:pt idx="25">
                  <c:v>27.879460905365914</c:v>
                </c:pt>
                <c:pt idx="26">
                  <c:v>29.260263470786754</c:v>
                </c:pt>
                <c:pt idx="27">
                  <c:v>30.708346031531168</c:v>
                </c:pt>
                <c:pt idx="28">
                  <c:v>32.226910369884514</c:v>
                </c:pt>
                <c:pt idx="29">
                  <c:v>33.819360996908678</c:v>
                </c:pt>
                <c:pt idx="30">
                  <c:v>35.489307110375222</c:v>
                </c:pt>
                <c:pt idx="31">
                  <c:v>37.240555971343781</c:v>
                </c:pt>
                <c:pt idx="32">
                  <c:v>39.077108501935967</c:v>
                </c:pt>
                <c:pt idx="33">
                  <c:v>41.003143436153252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3-BB48-9119-594456E6173C}"/>
            </c:ext>
          </c:extLst>
        </c:ser>
        <c:ser>
          <c:idx val="3"/>
          <c:order val="3"/>
          <c:tx>
            <c:strRef>
              <c:f>'Shipments w Elasticity'!$B$7</c:f>
              <c:strCache>
                <c:ptCount val="1"/>
                <c:pt idx="0">
                  <c:v>TSL 3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Elasticity'!$C$7:$AJ$7</c:f>
              <c:numCache>
                <c:formatCode>General</c:formatCode>
                <c:ptCount val="34"/>
                <c:pt idx="0">
                  <c:v>8.1945872440194094</c:v>
                </c:pt>
                <c:pt idx="1">
                  <c:v>8.5837827156881428</c:v>
                </c:pt>
                <c:pt idx="2">
                  <c:v>8.9699231360466918</c:v>
                </c:pt>
                <c:pt idx="3">
                  <c:v>9.4318697097982991</c:v>
                </c:pt>
                <c:pt idx="4">
                  <c:v>9.9329893259053517</c:v>
                </c:pt>
                <c:pt idx="5">
                  <c:v>10.460473829673948</c:v>
                </c:pt>
                <c:pt idx="6">
                  <c:v>11.01242309777642</c:v>
                </c:pt>
                <c:pt idx="7">
                  <c:v>11.58465613605517</c:v>
                </c:pt>
                <c:pt idx="8">
                  <c:v>12.176935142667459</c:v>
                </c:pt>
                <c:pt idx="9">
                  <c:v>12.791797091782762</c:v>
                </c:pt>
                <c:pt idx="10">
                  <c:v>13.431147370412633</c:v>
                </c:pt>
                <c:pt idx="11">
                  <c:v>14.101294532398612</c:v>
                </c:pt>
                <c:pt idx="12">
                  <c:v>14.806030666074676</c:v>
                </c:pt>
                <c:pt idx="13">
                  <c:v>15.547755933847926</c:v>
                </c:pt>
                <c:pt idx="14">
                  <c:v>16.329137862735617</c:v>
                </c:pt>
                <c:pt idx="15">
                  <c:v>17.148613343401536</c:v>
                </c:pt>
                <c:pt idx="16">
                  <c:v>18.008673739701628</c:v>
                </c:pt>
                <c:pt idx="17">
                  <c:v>18.910359226684385</c:v>
                </c:pt>
                <c:pt idx="18">
                  <c:v>19.855207300741153</c:v>
                </c:pt>
                <c:pt idx="19">
                  <c:v>20.845278659044062</c:v>
                </c:pt>
                <c:pt idx="20">
                  <c:v>21.882691530387731</c:v>
                </c:pt>
                <c:pt idx="21">
                  <c:v>22.970405012822198</c:v>
                </c:pt>
                <c:pt idx="22">
                  <c:v>24.111169669552751</c:v>
                </c:pt>
                <c:pt idx="23">
                  <c:v>25.307751506572274</c:v>
                </c:pt>
                <c:pt idx="24">
                  <c:v>26.56291720956072</c:v>
                </c:pt>
                <c:pt idx="25">
                  <c:v>27.879460905365914</c:v>
                </c:pt>
                <c:pt idx="26">
                  <c:v>29.260263470786754</c:v>
                </c:pt>
                <c:pt idx="27">
                  <c:v>30.708346031531168</c:v>
                </c:pt>
                <c:pt idx="28">
                  <c:v>32.226910369884514</c:v>
                </c:pt>
                <c:pt idx="29">
                  <c:v>33.819360996908678</c:v>
                </c:pt>
                <c:pt idx="30">
                  <c:v>35.489307110375222</c:v>
                </c:pt>
                <c:pt idx="31">
                  <c:v>37.240555971343781</c:v>
                </c:pt>
                <c:pt idx="32">
                  <c:v>39.077108501935967</c:v>
                </c:pt>
                <c:pt idx="33">
                  <c:v>41.003143436153252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D3-BB48-9119-594456E6173C}"/>
            </c:ext>
          </c:extLst>
        </c:ser>
        <c:ser>
          <c:idx val="4"/>
          <c:order val="4"/>
          <c:tx>
            <c:strRef>
              <c:f>'Shipments w Elasticity'!$B$8</c:f>
              <c:strCache>
                <c:ptCount val="1"/>
                <c:pt idx="0">
                  <c:v>TSL 4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Elasticity'!$C$8:$AJ$8</c:f>
              <c:numCache>
                <c:formatCode>General</c:formatCode>
                <c:ptCount val="34"/>
                <c:pt idx="0">
                  <c:v>8.2127347841074965</c:v>
                </c:pt>
                <c:pt idx="1">
                  <c:v>8.5984294340082918</c:v>
                </c:pt>
                <c:pt idx="2">
                  <c:v>9.0122912362700944</c:v>
                </c:pt>
                <c:pt idx="3">
                  <c:v>9.4703081184118609</c:v>
                </c:pt>
                <c:pt idx="4">
                  <c:v>9.5805410038461289</c:v>
                </c:pt>
                <c:pt idx="5">
                  <c:v>10.177587278601179</c:v>
                </c:pt>
                <c:pt idx="6">
                  <c:v>10.776051252204208</c:v>
                </c:pt>
                <c:pt idx="7">
                  <c:v>11.370823760473062</c:v>
                </c:pt>
                <c:pt idx="8">
                  <c:v>11.989164857598139</c:v>
                </c:pt>
                <c:pt idx="9">
                  <c:v>12.602414714835541</c:v>
                </c:pt>
                <c:pt idx="10">
                  <c:v>13.242634036489958</c:v>
                </c:pt>
                <c:pt idx="11">
                  <c:v>13.914348263258734</c:v>
                </c:pt>
                <c:pt idx="12">
                  <c:v>14.621387582770476</c:v>
                </c:pt>
                <c:pt idx="13">
                  <c:v>15.366219841746116</c:v>
                </c:pt>
                <c:pt idx="14">
                  <c:v>16.138314200410655</c:v>
                </c:pt>
                <c:pt idx="15">
                  <c:v>16.948063040105438</c:v>
                </c:pt>
                <c:pt idx="16">
                  <c:v>17.797929532783872</c:v>
                </c:pt>
                <c:pt idx="17">
                  <c:v>18.688942821886471</c:v>
                </c:pt>
                <c:pt idx="18">
                  <c:v>19.622623735027265</c:v>
                </c:pt>
                <c:pt idx="19">
                  <c:v>20.601010323662937</c:v>
                </c:pt>
                <c:pt idx="20">
                  <c:v>21.626453210840346</c:v>
                </c:pt>
                <c:pt idx="21">
                  <c:v>22.701646727939572</c:v>
                </c:pt>
                <c:pt idx="22">
                  <c:v>23.829312760414901</c:v>
                </c:pt>
                <c:pt idx="23">
                  <c:v>25.012188739857383</c:v>
                </c:pt>
                <c:pt idx="24">
                  <c:v>26.251144245896004</c:v>
                </c:pt>
                <c:pt idx="25">
                  <c:v>27.550614550823724</c:v>
                </c:pt>
                <c:pt idx="26">
                  <c:v>28.91343601896499</c:v>
                </c:pt>
                <c:pt idx="27">
                  <c:v>30.342582944453572</c:v>
                </c:pt>
                <c:pt idx="28">
                  <c:v>31.841207431888343</c:v>
                </c:pt>
                <c:pt idx="29">
                  <c:v>33.412661147302728</c:v>
                </c:pt>
                <c:pt idx="30">
                  <c:v>35.060497190712297</c:v>
                </c:pt>
                <c:pt idx="31">
                  <c:v>36.78846349165034</c:v>
                </c:pt>
                <c:pt idx="32">
                  <c:v>38.600498401715868</c:v>
                </c:pt>
                <c:pt idx="33">
                  <c:v>40.500714983147581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D3-BB48-9119-594456E6173C}"/>
            </c:ext>
          </c:extLst>
        </c:ser>
        <c:ser>
          <c:idx val="5"/>
          <c:order val="5"/>
          <c:tx>
            <c:strRef>
              <c:f>'Shipments w Elasticity'!$B$9</c:f>
              <c:strCache>
                <c:ptCount val="1"/>
                <c:pt idx="0">
                  <c:v>TSL 5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'Shipments w Elasticity'!$C$3:$AJ$3</c:f>
              <c:numCache>
                <c:formatCode>General</c:formatCode>
                <c:ptCount val="34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</c:numCache>
            </c:numRef>
          </c:cat>
          <c:val>
            <c:numRef>
              <c:f>'Shipments w Elasticity'!$C$9:$AJ$9</c:f>
              <c:numCache>
                <c:formatCode>General</c:formatCode>
                <c:ptCount val="34"/>
                <c:pt idx="0">
                  <c:v>8.2127347841074965</c:v>
                </c:pt>
                <c:pt idx="1">
                  <c:v>8.5984294340082918</c:v>
                </c:pt>
                <c:pt idx="2">
                  <c:v>9.0122912362700944</c:v>
                </c:pt>
                <c:pt idx="3">
                  <c:v>9.4703081184118609</c:v>
                </c:pt>
                <c:pt idx="4">
                  <c:v>9.3327208982143688</c:v>
                </c:pt>
                <c:pt idx="5">
                  <c:v>9.9756406036025087</c:v>
                </c:pt>
                <c:pt idx="6">
                  <c:v>10.604858567617814</c:v>
                </c:pt>
                <c:pt idx="7">
                  <c:v>11.214980859322765</c:v>
                </c:pt>
                <c:pt idx="8">
                  <c:v>11.850760151971173</c:v>
                </c:pt>
                <c:pt idx="9">
                  <c:v>12.464095602164919</c:v>
                </c:pt>
                <c:pt idx="10">
                  <c:v>13.104785104139722</c:v>
                </c:pt>
                <c:pt idx="11">
                  <c:v>13.777351246559798</c:v>
                </c:pt>
                <c:pt idx="12">
                  <c:v>14.485637653456918</c:v>
                </c:pt>
                <c:pt idx="13">
                  <c:v>15.232145649446368</c:v>
                </c:pt>
                <c:pt idx="14">
                  <c:v>15.998344113540021</c:v>
                </c:pt>
                <c:pt idx="15">
                  <c:v>16.801949489633749</c:v>
                </c:pt>
                <c:pt idx="16">
                  <c:v>17.645409398710509</c:v>
                </c:pt>
                <c:pt idx="17">
                  <c:v>18.529750120073452</c:v>
                </c:pt>
                <c:pt idx="18">
                  <c:v>19.456485632949626</c:v>
                </c:pt>
                <c:pt idx="19">
                  <c:v>20.427643070934884</c:v>
                </c:pt>
                <c:pt idx="20">
                  <c:v>21.445559914347992</c:v>
                </c:pt>
                <c:pt idx="21">
                  <c:v>22.512914947783461</c:v>
                </c:pt>
                <c:pt idx="22">
                  <c:v>23.63241480219267</c:v>
                </c:pt>
                <c:pt idx="23">
                  <c:v>24.806782048880883</c:v>
                </c:pt>
                <c:pt idx="24">
                  <c:v>26.035795175201102</c:v>
                </c:pt>
                <c:pt idx="25">
                  <c:v>27.324847972341509</c:v>
                </c:pt>
                <c:pt idx="26">
                  <c:v>28.676755128129592</c:v>
                </c:pt>
                <c:pt idx="27">
                  <c:v>30.094468228415629</c:v>
                </c:pt>
                <c:pt idx="28">
                  <c:v>31.58111531838426</c:v>
                </c:pt>
                <c:pt idx="29">
                  <c:v>33.140022484306577</c:v>
                </c:pt>
                <c:pt idx="30">
                  <c:v>34.774715719968064</c:v>
                </c:pt>
                <c:pt idx="31">
                  <c:v>36.488914385074445</c:v>
                </c:pt>
                <c:pt idx="32">
                  <c:v>38.286526842356295</c:v>
                </c:pt>
                <c:pt idx="33">
                  <c:v>40.171634882133482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D3-BB48-9119-594456E61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780256"/>
        <c:axId val="1946009104"/>
      </c:lineChart>
      <c:catAx>
        <c:axId val="34378025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09104"/>
        <c:crosses val="autoZero"/>
        <c:auto val="1"/>
        <c:lblAlgn val="ctr"/>
        <c:lblOffset val="100"/>
        <c:tickLblSkip val="5"/>
        <c:noMultiLvlLbl val="0"/>
      </c:catAx>
      <c:valAx>
        <c:axId val="194600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Units shipped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802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610466604548299"/>
          <c:y val="0.17468284773914006"/>
          <c:w val="0.21908432803194475"/>
          <c:h val="0.3789565916287079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388938</xdr:colOff>
      <xdr:row>16</xdr:row>
      <xdr:rowOff>14288</xdr:rowOff>
    </xdr:from>
    <xdr:to>
      <xdr:col>14</xdr:col>
      <xdr:colOff>606425</xdr:colOff>
      <xdr:row>41</xdr:row>
      <xdr:rowOff>58738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D704EF-1767-A550-B357-02FAD73879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215" refreshedDate="44915.425803009261" createdVersion="1" refreshedVersion="8" recordCount="30" xr:uid="{5AEA0391-3B2B-1747-A445-435A359D9766}">
  <cacheSource type="worksheet">
    <worksheetSource ref="A5:I35" sheet="All Scenarios"/>
  </cacheSource>
  <cacheFields count="9">
    <cacheField name="TSL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Prod Class" numFmtId="0">
      <sharedItems/>
    </cacheField>
    <cacheField name="AEO Scen" numFmtId="0">
      <sharedItems count="1">
        <s v="Reference"/>
      </sharedItems>
    </cacheField>
    <cacheField name="Disc Rate" numFmtId="9">
      <sharedItems containsSemiMixedTypes="0" containsString="0" containsNumber="1" minValue="0.03" maxValue="7.0000000000000007E-2" count="2">
        <n v="0.03"/>
        <n v="7.0000000000000007E-2"/>
      </sharedItems>
    </cacheField>
    <cacheField name="NPV" numFmtId="164">
      <sharedItems containsSemiMixedTypes="0" containsString="0" containsNumber="1" minValue="188.75696081984614" maxValue="9961.4745525308499"/>
    </cacheField>
    <cacheField name="Incr Equipment Costs" numFmtId="164">
      <sharedItems containsSemiMixedTypes="0" containsString="0" containsNumber="1" minValue="16.37667537310741" maxValue="191.00157705380849"/>
    </cacheField>
    <cacheField name="Operating Cost Savings" numFmtId="164">
      <sharedItems containsSemiMixedTypes="0" containsString="0" containsNumber="1" minValue="205.13363619295353" maxValue="10152.476129584658"/>
    </cacheField>
    <cacheField name="Site Energy Savings" numFmtId="164">
      <sharedItems containsSemiMixedTypes="0" containsString="0" containsNumber="1" minValue="6.6124640679460795E-3" maxValue="0.52603781668518468"/>
    </cacheField>
    <cacheField name="Electricity" numFmtId="164">
      <sharedItems containsSemiMixedTypes="0" containsString="0" containsNumber="1" minValue="6.6124640679460795E-3" maxValue="0.526037816685184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CADR 10-99"/>
    <x v="0"/>
    <x v="0"/>
    <n v="479.10154113091096"/>
    <n v="34.75011059746722"/>
    <n v="513.85165172837822"/>
    <n v="6.6124640679460795E-3"/>
    <n v="6.6124640679460795E-3"/>
  </r>
  <r>
    <x v="0"/>
    <s v="CADR 100-149"/>
    <x v="0"/>
    <x v="0"/>
    <n v="825.06469964066014"/>
    <n v="35.696087301988669"/>
    <n v="860.76078694264879"/>
    <n v="2.9129154138511616E-2"/>
    <n v="2.9129154138511616E-2"/>
  </r>
  <r>
    <x v="0"/>
    <s v="CADR 150+"/>
    <x v="0"/>
    <x v="0"/>
    <n v="4139.7786954622352"/>
    <n v="64.625892884380818"/>
    <n v="4204.4045883466169"/>
    <n v="0.23585471291249127"/>
    <n v="0.23585471291249127"/>
  </r>
  <r>
    <x v="0"/>
    <s v="CADR 10-99"/>
    <x v="0"/>
    <x v="1"/>
    <n v="188.75696081984614"/>
    <n v="16.37667537310741"/>
    <n v="205.13363619295353"/>
    <n v="6.6124640679460795E-3"/>
    <n v="6.6124640679460795E-3"/>
  </r>
  <r>
    <x v="0"/>
    <s v="CADR 100-149"/>
    <x v="0"/>
    <x v="1"/>
    <n v="327.8722882778506"/>
    <n v="16.803150234222898"/>
    <n v="344.67543851207347"/>
    <n v="2.9129154138511616E-2"/>
    <n v="2.9129154138511616E-2"/>
  </r>
  <r>
    <x v="0"/>
    <s v="CADR 150+"/>
    <x v="0"/>
    <x v="1"/>
    <n v="1658.4588244403897"/>
    <n v="30.222656250434703"/>
    <n v="1688.6814806908242"/>
    <n v="0.23585471291249127"/>
    <n v="0.23585471291249127"/>
  </r>
  <r>
    <x v="1"/>
    <s v="CADR 10-99"/>
    <x v="0"/>
    <x v="0"/>
    <n v="803.36764892837596"/>
    <n v="141.65033652992108"/>
    <n v="945.01798545829706"/>
    <n v="2.2797946877826894E-2"/>
    <n v="2.2797946877826894E-2"/>
  </r>
  <r>
    <x v="1"/>
    <s v="CADR 100-149"/>
    <x v="0"/>
    <x v="0"/>
    <n v="2694.0248583692601"/>
    <n v="130.26507675376683"/>
    <n v="2824.2899351230271"/>
    <n v="9.0716124037629131E-2"/>
    <n v="9.0716124037629131E-2"/>
  </r>
  <r>
    <x v="1"/>
    <s v="CADR 150+"/>
    <x v="0"/>
    <x v="0"/>
    <n v="9312.4449575694998"/>
    <n v="177.6114657336027"/>
    <n v="9490.0564233031018"/>
    <n v="0.50600827820033223"/>
    <n v="0.50600827820033223"/>
  </r>
  <r>
    <x v="1"/>
    <s v="CADR 10-99"/>
    <x v="0"/>
    <x v="1"/>
    <n v="311.4711297249566"/>
    <n v="66.153488475506833"/>
    <n v="377.62461820046343"/>
    <n v="2.2797946877826894E-2"/>
    <n v="2.2797946877826894E-2"/>
  </r>
  <r>
    <x v="1"/>
    <s v="CADR 100-149"/>
    <x v="0"/>
    <x v="1"/>
    <n v="1068.9535474064573"/>
    <n v="61.258649976425332"/>
    <n v="1130.2121973828828"/>
    <n v="9.0716124037629131E-2"/>
    <n v="9.0716124037629131E-2"/>
  </r>
  <r>
    <x v="1"/>
    <s v="CADR 150+"/>
    <x v="0"/>
    <x v="1"/>
    <n v="3726.5135915736378"/>
    <n v="83.18947630460319"/>
    <n v="3809.7030678782412"/>
    <n v="0.50600827820033223"/>
    <n v="0.50600827820033223"/>
  </r>
  <r>
    <x v="2"/>
    <s v="CADR 10-99"/>
    <x v="0"/>
    <x v="0"/>
    <n v="863.83689056112507"/>
    <n v="151.38467136636501"/>
    <n v="1015.22156192749"/>
    <n v="2.3600879723223958E-2"/>
    <n v="2.3600879723223958E-2"/>
  </r>
  <r>
    <x v="2"/>
    <s v="CADR 100-149"/>
    <x v="0"/>
    <x v="0"/>
    <n v="2862.7360216550132"/>
    <n v="139.72804430096284"/>
    <n v="3002.4640659559755"/>
    <n v="9.3982639867089796E-2"/>
    <n v="9.3982639867089796E-2"/>
  </r>
  <r>
    <x v="2"/>
    <s v="CADR 150+"/>
    <x v="0"/>
    <x v="0"/>
    <n v="9961.4745525308499"/>
    <n v="191.00157705380849"/>
    <n v="10152.476129584658"/>
    <n v="0.52603781668518468"/>
    <n v="0.52603781668518468"/>
  </r>
  <r>
    <x v="2"/>
    <s v="CADR 10-99"/>
    <x v="0"/>
    <x v="1"/>
    <n v="863.83689056112507"/>
    <n v="151.38467136636501"/>
    <n v="1015.22156192749"/>
    <n v="2.3600879723223958E-2"/>
    <n v="2.3600879723223958E-2"/>
  </r>
  <r>
    <x v="2"/>
    <s v="CADR 100-149"/>
    <x v="0"/>
    <x v="1"/>
    <n v="2862.7360216550132"/>
    <n v="139.72804430096284"/>
    <n v="3002.4640659559755"/>
    <n v="9.3982639867089796E-2"/>
    <n v="9.3982639867089796E-2"/>
  </r>
  <r>
    <x v="2"/>
    <s v="CADR 150+"/>
    <x v="0"/>
    <x v="1"/>
    <n v="9961.4745525308499"/>
    <n v="191.00157705380849"/>
    <n v="10152.476129584658"/>
    <n v="0.52603781668518468"/>
    <n v="0.52603781668518468"/>
  </r>
  <r>
    <x v="3"/>
    <s v="CADR 10-99"/>
    <x v="0"/>
    <x v="0"/>
    <n v="863.83689056112507"/>
    <n v="151.38467136636501"/>
    <n v="1015.22156192749"/>
    <n v="2.3600879723223958E-2"/>
    <n v="2.3600879723223958E-2"/>
  </r>
  <r>
    <x v="3"/>
    <s v="CADR 100-149"/>
    <x v="0"/>
    <x v="0"/>
    <n v="2862.7360216550132"/>
    <n v="139.72804430096284"/>
    <n v="3002.4640659559755"/>
    <n v="9.3982639867089796E-2"/>
    <n v="9.3982639867089796E-2"/>
  </r>
  <r>
    <x v="3"/>
    <s v="CADR 150+"/>
    <x v="0"/>
    <x v="0"/>
    <n v="9961.4745525308499"/>
    <n v="191.00157705380849"/>
    <n v="10152.476129584658"/>
    <n v="0.52603781668518468"/>
    <n v="0.52603781668518468"/>
  </r>
  <r>
    <x v="3"/>
    <s v="CADR 10-99"/>
    <x v="0"/>
    <x v="1"/>
    <n v="863.83689056112507"/>
    <n v="151.38467136636501"/>
    <n v="1015.22156192749"/>
    <n v="2.3600879723223958E-2"/>
    <n v="2.3600879723223958E-2"/>
  </r>
  <r>
    <x v="3"/>
    <s v="CADR 100-149"/>
    <x v="0"/>
    <x v="1"/>
    <n v="2862.7360216550132"/>
    <n v="139.72804430096284"/>
    <n v="3002.4640659559755"/>
    <n v="9.3982639867089796E-2"/>
    <n v="9.3982639867089796E-2"/>
  </r>
  <r>
    <x v="3"/>
    <s v="CADR 150+"/>
    <x v="0"/>
    <x v="1"/>
    <n v="9961.4745525308499"/>
    <n v="191.00157705380849"/>
    <n v="10152.476129584658"/>
    <n v="0.52603781668518468"/>
    <n v="0.52603781668518468"/>
  </r>
  <r>
    <x v="4"/>
    <s v="CADR 10-99"/>
    <x v="0"/>
    <x v="0"/>
    <n v="863.83689056112507"/>
    <n v="151.38467136636501"/>
    <n v="1015.22156192749"/>
    <n v="2.3600879723223958E-2"/>
    <n v="2.3600879723223958E-2"/>
  </r>
  <r>
    <x v="4"/>
    <s v="CADR 100-149"/>
    <x v="0"/>
    <x v="0"/>
    <n v="2862.7360216550132"/>
    <n v="139.72804430096284"/>
    <n v="3002.4640659559755"/>
    <n v="9.3982639867089796E-2"/>
    <n v="9.3982639867089796E-2"/>
  </r>
  <r>
    <x v="4"/>
    <s v="CADR 150+"/>
    <x v="0"/>
    <x v="0"/>
    <n v="9961.4745525308499"/>
    <n v="191.00157705380849"/>
    <n v="10152.476129584658"/>
    <n v="0.52603781668518468"/>
    <n v="0.52603781668518468"/>
  </r>
  <r>
    <x v="4"/>
    <s v="CADR 10-99"/>
    <x v="0"/>
    <x v="1"/>
    <n v="863.83689056112507"/>
    <n v="151.38467136636501"/>
    <n v="1015.22156192749"/>
    <n v="2.3600879723223958E-2"/>
    <n v="2.3600879723223958E-2"/>
  </r>
  <r>
    <x v="4"/>
    <s v="CADR 100-149"/>
    <x v="0"/>
    <x v="1"/>
    <n v="2862.7360216550132"/>
    <n v="139.72804430096284"/>
    <n v="3002.4640659559755"/>
    <n v="9.3982639867089796E-2"/>
    <n v="9.3982639867089796E-2"/>
  </r>
  <r>
    <x v="4"/>
    <s v="CADR 150+"/>
    <x v="0"/>
    <x v="1"/>
    <n v="9961.4745525308499"/>
    <n v="191.00157705380849"/>
    <n v="10152.476129584658"/>
    <n v="0.52603781668518468"/>
    <n v="0.526037816685184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8D64E-A4B3-EE45-9714-3A3426B0E791}" name="ScenResults" cacheId="0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colGrandTotals="0" itemPrintTitles="1" showDropZones="0" indent="0" compact="0" compactData="0" gridDropZones="1">
  <location ref="K8:P11" firstHeaderRow="1" firstDataRow="2" firstDataCol="1" rowPageCount="2" colPageCount="1"/>
  <pivotFields count="9">
    <pivotField axis="axisCol" compact="0" outline="0" showAll="0" includeNewItemsInFilter="1">
      <items count="6">
        <item x="0"/>
        <item x="1"/>
        <item x="2"/>
        <item x="3"/>
        <item x="4"/>
        <item t="default"/>
      </items>
    </pivotField>
    <pivotField compact="0" outline="0" showAll="0" includeNewItemsInFilter="1"/>
    <pivotField axis="axisPage" compact="0" outline="0" showAll="0" includeNewItemsInFilter="1">
      <items count="2">
        <item x="0"/>
        <item t="default"/>
      </items>
    </pivotField>
    <pivotField axis="axisPage" compact="0" numFmtId="9" outline="0" showAll="0" includeNewItemsInFilter="1">
      <items count="3">
        <item x="0"/>
        <item x="1"/>
        <item t="default"/>
      </items>
    </pivotField>
    <pivotField dataField="1"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dataField="1" compact="0" numFmtId="164" outline="0" showAll="0" includeNewItemsInFilter="1"/>
    <pivotField compact="0" numFmtId="164" outline="0" showAll="0" includeNewItemsInFilter="1"/>
  </pivotFields>
  <rowFields count="1">
    <field x="-2"/>
  </rowFields>
  <rowItems count="2">
    <i>
      <x/>
    </i>
    <i i="1">
      <x v="1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pageFields count="2">
    <pageField fld="2" item="0" hier="-1"/>
    <pageField fld="3" item="1" hier="-1"/>
  </pageFields>
  <dataFields count="2">
    <dataField name="Sum of Site Energy Savings" fld="7" baseField="0" baseItem="0" numFmtId="166"/>
    <dataField name="Sum of NPV" fld="4" baseField="0" baseItem="0" numFmtId="166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AllScenarios"/>
  <dimension ref="A1:P35"/>
  <sheetViews>
    <sheetView topLeftCell="F1" zoomScale="85" zoomScaleNormal="85" workbookViewId="0">
      <selection activeCell="K11" sqref="K11"/>
    </sheetView>
  </sheetViews>
  <sheetFormatPr defaultColWidth="8.81640625" defaultRowHeight="14.5" x14ac:dyDescent="0.35"/>
  <cols>
    <col min="1" max="1" width="8.81640625" customWidth="1"/>
    <col min="2" max="2" width="12.36328125" bestFit="1" customWidth="1"/>
    <col min="3" max="4" width="8.81640625" bestFit="1" customWidth="1"/>
    <col min="5" max="5" width="8.6328125" bestFit="1" customWidth="1"/>
    <col min="6" max="6" width="18" bestFit="1" customWidth="1"/>
    <col min="7" max="7" width="19.6328125" bestFit="1" customWidth="1"/>
    <col min="8" max="8" width="16.36328125" bestFit="1" customWidth="1"/>
    <col min="9" max="10" width="9.453125" bestFit="1" customWidth="1"/>
    <col min="11" max="11" width="20.81640625" bestFit="1" customWidth="1"/>
    <col min="12" max="12" width="11.36328125" bestFit="1" customWidth="1"/>
    <col min="13" max="13" width="6.6328125" bestFit="1" customWidth="1"/>
    <col min="14" max="16" width="7.6328125" bestFit="1" customWidth="1"/>
    <col min="17" max="17" width="10" bestFit="1" customWidth="1"/>
  </cols>
  <sheetData>
    <row r="1" spans="1:16" x14ac:dyDescent="0.35">
      <c r="A1" t="s">
        <v>150</v>
      </c>
    </row>
    <row r="2" spans="1:16" x14ac:dyDescent="0.35">
      <c r="A2" t="s">
        <v>137</v>
      </c>
    </row>
    <row r="3" spans="1:16" x14ac:dyDescent="0.35">
      <c r="A3" t="s">
        <v>138</v>
      </c>
    </row>
    <row r="5" spans="1:16" x14ac:dyDescent="0.35">
      <c r="A5" s="92" t="s">
        <v>113</v>
      </c>
      <c r="B5" s="92" t="s">
        <v>139</v>
      </c>
      <c r="C5" s="92" t="s">
        <v>140</v>
      </c>
      <c r="D5" s="92" t="s">
        <v>141</v>
      </c>
      <c r="E5" s="92" t="s">
        <v>117</v>
      </c>
      <c r="F5" s="92" t="s">
        <v>106</v>
      </c>
      <c r="G5" s="92" t="s">
        <v>142</v>
      </c>
      <c r="H5" s="92" t="s">
        <v>151</v>
      </c>
      <c r="I5" s="92" t="s">
        <v>143</v>
      </c>
      <c r="K5" s="100" t="s">
        <v>140</v>
      </c>
      <c r="L5" s="99" t="s">
        <v>51</v>
      </c>
    </row>
    <row r="6" spans="1:16" x14ac:dyDescent="0.35">
      <c r="A6">
        <v>1</v>
      </c>
      <c r="B6" t="s">
        <v>7</v>
      </c>
      <c r="C6" t="s">
        <v>51</v>
      </c>
      <c r="D6" s="93">
        <v>0.03</v>
      </c>
      <c r="E6" s="4">
        <v>479.10154113091096</v>
      </c>
      <c r="F6" s="4">
        <v>34.75011059746722</v>
      </c>
      <c r="G6" s="4">
        <v>513.85165172837822</v>
      </c>
      <c r="H6" s="4">
        <v>6.6124640679460795E-3</v>
      </c>
      <c r="I6" s="4">
        <v>6.6124640679460795E-3</v>
      </c>
      <c r="K6" s="100" t="s">
        <v>141</v>
      </c>
      <c r="L6" s="113">
        <v>7.0000000000000007E-2</v>
      </c>
    </row>
    <row r="7" spans="1:16" x14ac:dyDescent="0.35">
      <c r="A7">
        <v>1</v>
      </c>
      <c r="B7" t="s">
        <v>8</v>
      </c>
      <c r="C7" t="s">
        <v>51</v>
      </c>
      <c r="D7" s="93">
        <v>0.03</v>
      </c>
      <c r="E7" s="4">
        <v>825.06469964066014</v>
      </c>
      <c r="F7" s="4">
        <v>35.696087301988669</v>
      </c>
      <c r="G7" s="4">
        <v>860.76078694264879</v>
      </c>
      <c r="H7" s="4">
        <v>2.9129154138511616E-2</v>
      </c>
      <c r="I7" s="4">
        <v>2.9129154138511616E-2</v>
      </c>
    </row>
    <row r="8" spans="1:16" x14ac:dyDescent="0.35">
      <c r="A8">
        <v>1</v>
      </c>
      <c r="B8" t="s">
        <v>9</v>
      </c>
      <c r="C8" t="s">
        <v>51</v>
      </c>
      <c r="D8" s="93">
        <v>0.03</v>
      </c>
      <c r="E8" s="4">
        <v>4139.7786954622352</v>
      </c>
      <c r="F8" s="4">
        <v>64.625892884380818</v>
      </c>
      <c r="G8" s="4">
        <v>4204.4045883466169</v>
      </c>
      <c r="H8" s="4">
        <v>0.23585471291249127</v>
      </c>
      <c r="I8" s="4">
        <v>0.23585471291249127</v>
      </c>
      <c r="K8" s="98"/>
      <c r="L8" s="101" t="s">
        <v>113</v>
      </c>
      <c r="M8" s="102"/>
      <c r="N8" s="102"/>
      <c r="O8" s="102"/>
      <c r="P8" s="103"/>
    </row>
    <row r="9" spans="1:16" x14ac:dyDescent="0.35">
      <c r="A9">
        <v>1</v>
      </c>
      <c r="B9" t="s">
        <v>7</v>
      </c>
      <c r="C9" t="s">
        <v>51</v>
      </c>
      <c r="D9" s="93">
        <v>7.0000000000000007E-2</v>
      </c>
      <c r="E9" s="4">
        <v>188.75696081984614</v>
      </c>
      <c r="F9" s="4">
        <v>16.37667537310741</v>
      </c>
      <c r="G9" s="4">
        <v>205.13363619295353</v>
      </c>
      <c r="H9" s="4">
        <v>6.6124640679460795E-3</v>
      </c>
      <c r="I9" s="4">
        <v>6.6124640679460795E-3</v>
      </c>
      <c r="K9" s="101" t="s">
        <v>145</v>
      </c>
      <c r="L9" s="98">
        <v>1</v>
      </c>
      <c r="M9" s="104">
        <v>2</v>
      </c>
      <c r="N9" s="104">
        <v>3</v>
      </c>
      <c r="O9" s="104">
        <v>4</v>
      </c>
      <c r="P9" s="110">
        <v>5</v>
      </c>
    </row>
    <row r="10" spans="1:16" x14ac:dyDescent="0.35">
      <c r="A10">
        <v>1</v>
      </c>
      <c r="B10" t="s">
        <v>8</v>
      </c>
      <c r="C10" t="s">
        <v>51</v>
      </c>
      <c r="D10" s="93">
        <v>7.0000000000000007E-2</v>
      </c>
      <c r="E10" s="4">
        <v>327.8722882778506</v>
      </c>
      <c r="F10" s="4">
        <v>16.803150234222898</v>
      </c>
      <c r="G10" s="4">
        <v>344.67543851207347</v>
      </c>
      <c r="H10" s="4">
        <v>2.9129154138511616E-2</v>
      </c>
      <c r="I10" s="4">
        <v>2.9129154138511616E-2</v>
      </c>
      <c r="K10" s="98" t="s">
        <v>152</v>
      </c>
      <c r="L10" s="105">
        <v>0.27159633111894899</v>
      </c>
      <c r="M10" s="106">
        <v>0.6195223491157883</v>
      </c>
      <c r="N10" s="106">
        <v>0.64362133627549845</v>
      </c>
      <c r="O10" s="106">
        <v>0.64362133627549845</v>
      </c>
      <c r="P10" s="111">
        <v>0.64362133627549845</v>
      </c>
    </row>
    <row r="11" spans="1:16" x14ac:dyDescent="0.35">
      <c r="A11">
        <v>1</v>
      </c>
      <c r="B11" t="s">
        <v>9</v>
      </c>
      <c r="C11" t="s">
        <v>51</v>
      </c>
      <c r="D11" s="93">
        <v>7.0000000000000007E-2</v>
      </c>
      <c r="E11" s="4">
        <v>1658.4588244403897</v>
      </c>
      <c r="F11" s="4">
        <v>30.222656250434703</v>
      </c>
      <c r="G11" s="4">
        <v>1688.6814806908242</v>
      </c>
      <c r="H11" s="4">
        <v>0.23585471291249127</v>
      </c>
      <c r="I11" s="4">
        <v>0.23585471291249127</v>
      </c>
      <c r="K11" s="107" t="s">
        <v>146</v>
      </c>
      <c r="L11" s="108">
        <v>2175.0880735380865</v>
      </c>
      <c r="M11" s="109">
        <v>5106.938268705052</v>
      </c>
      <c r="N11" s="109">
        <v>13688.047464746989</v>
      </c>
      <c r="O11" s="109">
        <v>13688.047464746989</v>
      </c>
      <c r="P11" s="112">
        <v>13688.047464746989</v>
      </c>
    </row>
    <row r="12" spans="1:16" x14ac:dyDescent="0.35">
      <c r="A12">
        <v>2</v>
      </c>
      <c r="B12" t="s">
        <v>7</v>
      </c>
      <c r="C12" t="s">
        <v>51</v>
      </c>
      <c r="D12" s="93">
        <v>0.03</v>
      </c>
      <c r="E12" s="4">
        <v>803.36764892837596</v>
      </c>
      <c r="F12" s="4">
        <v>141.65033652992108</v>
      </c>
      <c r="G12" s="4">
        <v>945.01798545829706</v>
      </c>
      <c r="H12" s="4">
        <v>2.2797946877826894E-2</v>
      </c>
      <c r="I12" s="4">
        <v>2.2797946877826894E-2</v>
      </c>
    </row>
    <row r="13" spans="1:16" x14ac:dyDescent="0.35">
      <c r="A13">
        <v>2</v>
      </c>
      <c r="B13" t="s">
        <v>8</v>
      </c>
      <c r="C13" t="s">
        <v>51</v>
      </c>
      <c r="D13" s="93">
        <v>0.03</v>
      </c>
      <c r="E13" s="4">
        <v>2694.0248583692601</v>
      </c>
      <c r="F13" s="4">
        <v>130.26507675376683</v>
      </c>
      <c r="G13" s="4">
        <v>2824.2899351230271</v>
      </c>
      <c r="H13" s="4">
        <v>9.0716124037629131E-2</v>
      </c>
      <c r="I13" s="4">
        <v>9.0716124037629131E-2</v>
      </c>
    </row>
    <row r="14" spans="1:16" x14ac:dyDescent="0.35">
      <c r="A14">
        <v>2</v>
      </c>
      <c r="B14" t="s">
        <v>9</v>
      </c>
      <c r="C14" t="s">
        <v>51</v>
      </c>
      <c r="D14" s="93">
        <v>0.03</v>
      </c>
      <c r="E14" s="4">
        <v>9312.4449575694998</v>
      </c>
      <c r="F14" s="4">
        <v>177.6114657336027</v>
      </c>
      <c r="G14" s="4">
        <v>9490.0564233031018</v>
      </c>
      <c r="H14" s="4">
        <v>0.50600827820033223</v>
      </c>
      <c r="I14" s="4">
        <v>0.50600827820033223</v>
      </c>
    </row>
    <row r="15" spans="1:16" x14ac:dyDescent="0.35">
      <c r="A15">
        <v>2</v>
      </c>
      <c r="B15" t="s">
        <v>7</v>
      </c>
      <c r="C15" t="s">
        <v>51</v>
      </c>
      <c r="D15" s="93">
        <v>7.0000000000000007E-2</v>
      </c>
      <c r="E15" s="4">
        <v>311.4711297249566</v>
      </c>
      <c r="F15" s="4">
        <v>66.153488475506833</v>
      </c>
      <c r="G15" s="4">
        <v>377.62461820046343</v>
      </c>
      <c r="H15" s="4">
        <v>2.2797946877826894E-2</v>
      </c>
      <c r="I15" s="4">
        <v>2.2797946877826894E-2</v>
      </c>
    </row>
    <row r="16" spans="1:16" x14ac:dyDescent="0.35">
      <c r="A16">
        <v>2</v>
      </c>
      <c r="B16" t="s">
        <v>8</v>
      </c>
      <c r="C16" t="s">
        <v>51</v>
      </c>
      <c r="D16" s="93">
        <v>7.0000000000000007E-2</v>
      </c>
      <c r="E16" s="4">
        <v>1068.9535474064573</v>
      </c>
      <c r="F16" s="4">
        <v>61.258649976425332</v>
      </c>
      <c r="G16" s="4">
        <v>1130.2121973828828</v>
      </c>
      <c r="H16" s="4">
        <v>9.0716124037629131E-2</v>
      </c>
      <c r="I16" s="4">
        <v>9.0716124037629131E-2</v>
      </c>
    </row>
    <row r="17" spans="1:9" x14ac:dyDescent="0.35">
      <c r="A17">
        <v>2</v>
      </c>
      <c r="B17" t="s">
        <v>9</v>
      </c>
      <c r="C17" t="s">
        <v>51</v>
      </c>
      <c r="D17" s="93">
        <v>7.0000000000000007E-2</v>
      </c>
      <c r="E17" s="4">
        <v>3726.5135915736378</v>
      </c>
      <c r="F17" s="4">
        <v>83.18947630460319</v>
      </c>
      <c r="G17" s="4">
        <v>3809.7030678782412</v>
      </c>
      <c r="H17" s="4">
        <v>0.50600827820033223</v>
      </c>
      <c r="I17" s="4">
        <v>0.50600827820033223</v>
      </c>
    </row>
    <row r="18" spans="1:9" x14ac:dyDescent="0.35">
      <c r="A18">
        <v>3</v>
      </c>
      <c r="B18" t="s">
        <v>7</v>
      </c>
      <c r="C18" t="s">
        <v>51</v>
      </c>
      <c r="D18" s="93">
        <v>0.03</v>
      </c>
      <c r="E18" s="4">
        <v>863.83689056112507</v>
      </c>
      <c r="F18" s="4">
        <v>151.38467136636501</v>
      </c>
      <c r="G18" s="4">
        <v>1015.22156192749</v>
      </c>
      <c r="H18" s="4">
        <v>2.3600879723223958E-2</v>
      </c>
      <c r="I18" s="4">
        <v>2.3600879723223958E-2</v>
      </c>
    </row>
    <row r="19" spans="1:9" x14ac:dyDescent="0.35">
      <c r="A19">
        <v>3</v>
      </c>
      <c r="B19" t="s">
        <v>8</v>
      </c>
      <c r="C19" t="s">
        <v>51</v>
      </c>
      <c r="D19" s="93">
        <v>0.03</v>
      </c>
      <c r="E19" s="4">
        <v>2862.7360216550132</v>
      </c>
      <c r="F19" s="4">
        <v>139.72804430096284</v>
      </c>
      <c r="G19" s="4">
        <v>3002.4640659559755</v>
      </c>
      <c r="H19" s="4">
        <v>9.3982639867089796E-2</v>
      </c>
      <c r="I19" s="4">
        <v>9.3982639867089796E-2</v>
      </c>
    </row>
    <row r="20" spans="1:9" x14ac:dyDescent="0.35">
      <c r="A20">
        <v>3</v>
      </c>
      <c r="B20" t="s">
        <v>9</v>
      </c>
      <c r="C20" t="s">
        <v>51</v>
      </c>
      <c r="D20" s="93">
        <v>0.03</v>
      </c>
      <c r="E20" s="4">
        <v>9961.4745525308499</v>
      </c>
      <c r="F20" s="4">
        <v>191.00157705380849</v>
      </c>
      <c r="G20" s="4">
        <v>10152.476129584658</v>
      </c>
      <c r="H20" s="4">
        <v>0.52603781668518468</v>
      </c>
      <c r="I20" s="4">
        <v>0.52603781668518468</v>
      </c>
    </row>
    <row r="21" spans="1:9" x14ac:dyDescent="0.35">
      <c r="A21">
        <v>3</v>
      </c>
      <c r="B21" t="s">
        <v>7</v>
      </c>
      <c r="C21" t="s">
        <v>51</v>
      </c>
      <c r="D21" s="93">
        <v>7.0000000000000007E-2</v>
      </c>
      <c r="E21" s="4">
        <v>863.83689056112507</v>
      </c>
      <c r="F21" s="4">
        <v>151.38467136636501</v>
      </c>
      <c r="G21" s="4">
        <v>1015.22156192749</v>
      </c>
      <c r="H21" s="4">
        <v>2.3600879723223958E-2</v>
      </c>
      <c r="I21" s="4">
        <v>2.3600879723223958E-2</v>
      </c>
    </row>
    <row r="22" spans="1:9" x14ac:dyDescent="0.35">
      <c r="A22">
        <v>3</v>
      </c>
      <c r="B22" t="s">
        <v>8</v>
      </c>
      <c r="C22" t="s">
        <v>51</v>
      </c>
      <c r="D22" s="93">
        <v>7.0000000000000007E-2</v>
      </c>
      <c r="E22" s="4">
        <v>2862.7360216550132</v>
      </c>
      <c r="F22" s="4">
        <v>139.72804430096284</v>
      </c>
      <c r="G22" s="4">
        <v>3002.4640659559755</v>
      </c>
      <c r="H22" s="4">
        <v>9.3982639867089796E-2</v>
      </c>
      <c r="I22" s="4">
        <v>9.3982639867089796E-2</v>
      </c>
    </row>
    <row r="23" spans="1:9" x14ac:dyDescent="0.35">
      <c r="A23">
        <v>3</v>
      </c>
      <c r="B23" t="s">
        <v>9</v>
      </c>
      <c r="C23" t="s">
        <v>51</v>
      </c>
      <c r="D23" s="93">
        <v>7.0000000000000007E-2</v>
      </c>
      <c r="E23" s="4">
        <v>9961.4745525308499</v>
      </c>
      <c r="F23" s="4">
        <v>191.00157705380849</v>
      </c>
      <c r="G23" s="4">
        <v>10152.476129584658</v>
      </c>
      <c r="H23" s="4">
        <v>0.52603781668518468</v>
      </c>
      <c r="I23" s="4">
        <v>0.52603781668518468</v>
      </c>
    </row>
    <row r="24" spans="1:9" x14ac:dyDescent="0.35">
      <c r="A24">
        <v>4</v>
      </c>
      <c r="B24" t="s">
        <v>7</v>
      </c>
      <c r="C24" t="s">
        <v>51</v>
      </c>
      <c r="D24" s="93">
        <v>0.03</v>
      </c>
      <c r="E24" s="4">
        <v>863.83689056112507</v>
      </c>
      <c r="F24" s="4">
        <v>151.38467136636501</v>
      </c>
      <c r="G24" s="4">
        <v>1015.22156192749</v>
      </c>
      <c r="H24" s="4">
        <v>2.3600879723223958E-2</v>
      </c>
      <c r="I24" s="4">
        <v>2.3600879723223958E-2</v>
      </c>
    </row>
    <row r="25" spans="1:9" x14ac:dyDescent="0.35">
      <c r="A25">
        <v>4</v>
      </c>
      <c r="B25" t="s">
        <v>8</v>
      </c>
      <c r="C25" t="s">
        <v>51</v>
      </c>
      <c r="D25" s="93">
        <v>0.03</v>
      </c>
      <c r="E25" s="4">
        <v>2862.7360216550132</v>
      </c>
      <c r="F25" s="4">
        <v>139.72804430096284</v>
      </c>
      <c r="G25" s="4">
        <v>3002.4640659559755</v>
      </c>
      <c r="H25" s="4">
        <v>9.3982639867089796E-2</v>
      </c>
      <c r="I25" s="4">
        <v>9.3982639867089796E-2</v>
      </c>
    </row>
    <row r="26" spans="1:9" x14ac:dyDescent="0.35">
      <c r="A26">
        <v>4</v>
      </c>
      <c r="B26" t="s">
        <v>9</v>
      </c>
      <c r="C26" t="s">
        <v>51</v>
      </c>
      <c r="D26" s="93">
        <v>0.03</v>
      </c>
      <c r="E26" s="4">
        <v>9961.4745525308499</v>
      </c>
      <c r="F26" s="4">
        <v>191.00157705380849</v>
      </c>
      <c r="G26" s="4">
        <v>10152.476129584658</v>
      </c>
      <c r="H26" s="4">
        <v>0.52603781668518468</v>
      </c>
      <c r="I26" s="4">
        <v>0.52603781668518468</v>
      </c>
    </row>
    <row r="27" spans="1:9" x14ac:dyDescent="0.35">
      <c r="A27">
        <v>4</v>
      </c>
      <c r="B27" t="s">
        <v>7</v>
      </c>
      <c r="C27" t="s">
        <v>51</v>
      </c>
      <c r="D27" s="93">
        <v>7.0000000000000007E-2</v>
      </c>
      <c r="E27" s="4">
        <v>863.83689056112507</v>
      </c>
      <c r="F27" s="4">
        <v>151.38467136636501</v>
      </c>
      <c r="G27" s="4">
        <v>1015.22156192749</v>
      </c>
      <c r="H27" s="4">
        <v>2.3600879723223958E-2</v>
      </c>
      <c r="I27" s="4">
        <v>2.3600879723223958E-2</v>
      </c>
    </row>
    <row r="28" spans="1:9" x14ac:dyDescent="0.35">
      <c r="A28">
        <v>4</v>
      </c>
      <c r="B28" t="s">
        <v>8</v>
      </c>
      <c r="C28" t="s">
        <v>51</v>
      </c>
      <c r="D28" s="93">
        <v>7.0000000000000007E-2</v>
      </c>
      <c r="E28" s="4">
        <v>2862.7360216550132</v>
      </c>
      <c r="F28" s="4">
        <v>139.72804430096284</v>
      </c>
      <c r="G28" s="4">
        <v>3002.4640659559755</v>
      </c>
      <c r="H28" s="4">
        <v>9.3982639867089796E-2</v>
      </c>
      <c r="I28" s="4">
        <v>9.3982639867089796E-2</v>
      </c>
    </row>
    <row r="29" spans="1:9" x14ac:dyDescent="0.35">
      <c r="A29">
        <v>4</v>
      </c>
      <c r="B29" t="s">
        <v>9</v>
      </c>
      <c r="C29" t="s">
        <v>51</v>
      </c>
      <c r="D29" s="93">
        <v>7.0000000000000007E-2</v>
      </c>
      <c r="E29" s="4">
        <v>9961.4745525308499</v>
      </c>
      <c r="F29" s="4">
        <v>191.00157705380849</v>
      </c>
      <c r="G29" s="4">
        <v>10152.476129584658</v>
      </c>
      <c r="H29" s="4">
        <v>0.52603781668518468</v>
      </c>
      <c r="I29" s="4">
        <v>0.52603781668518468</v>
      </c>
    </row>
    <row r="30" spans="1:9" x14ac:dyDescent="0.35">
      <c r="A30">
        <v>5</v>
      </c>
      <c r="B30" t="s">
        <v>7</v>
      </c>
      <c r="C30" t="s">
        <v>51</v>
      </c>
      <c r="D30" s="93">
        <v>0.03</v>
      </c>
      <c r="E30" s="4">
        <v>863.83689056112507</v>
      </c>
      <c r="F30" s="4">
        <v>151.38467136636501</v>
      </c>
      <c r="G30" s="4">
        <v>1015.22156192749</v>
      </c>
      <c r="H30" s="4">
        <v>2.3600879723223958E-2</v>
      </c>
      <c r="I30" s="4">
        <v>2.3600879723223958E-2</v>
      </c>
    </row>
    <row r="31" spans="1:9" x14ac:dyDescent="0.35">
      <c r="A31">
        <v>5</v>
      </c>
      <c r="B31" t="s">
        <v>8</v>
      </c>
      <c r="C31" t="s">
        <v>51</v>
      </c>
      <c r="D31" s="93">
        <v>0.03</v>
      </c>
      <c r="E31" s="4">
        <v>2862.7360216550132</v>
      </c>
      <c r="F31" s="4">
        <v>139.72804430096284</v>
      </c>
      <c r="G31" s="4">
        <v>3002.4640659559755</v>
      </c>
      <c r="H31" s="4">
        <v>9.3982639867089796E-2</v>
      </c>
      <c r="I31" s="4">
        <v>9.3982639867089796E-2</v>
      </c>
    </row>
    <row r="32" spans="1:9" x14ac:dyDescent="0.35">
      <c r="A32">
        <v>5</v>
      </c>
      <c r="B32" t="s">
        <v>9</v>
      </c>
      <c r="C32" t="s">
        <v>51</v>
      </c>
      <c r="D32" s="93">
        <v>0.03</v>
      </c>
      <c r="E32" s="4">
        <v>9961.4745525308499</v>
      </c>
      <c r="F32" s="4">
        <v>191.00157705380849</v>
      </c>
      <c r="G32" s="4">
        <v>10152.476129584658</v>
      </c>
      <c r="H32" s="4">
        <v>0.52603781668518468</v>
      </c>
      <c r="I32" s="4">
        <v>0.52603781668518468</v>
      </c>
    </row>
    <row r="33" spans="1:9" x14ac:dyDescent="0.35">
      <c r="A33">
        <v>5</v>
      </c>
      <c r="B33" t="s">
        <v>7</v>
      </c>
      <c r="C33" t="s">
        <v>51</v>
      </c>
      <c r="D33" s="93">
        <v>7.0000000000000007E-2</v>
      </c>
      <c r="E33" s="4">
        <v>863.83689056112507</v>
      </c>
      <c r="F33" s="4">
        <v>151.38467136636501</v>
      </c>
      <c r="G33" s="4">
        <v>1015.22156192749</v>
      </c>
      <c r="H33" s="4">
        <v>2.3600879723223958E-2</v>
      </c>
      <c r="I33" s="4">
        <v>2.3600879723223958E-2</v>
      </c>
    </row>
    <row r="34" spans="1:9" x14ac:dyDescent="0.35">
      <c r="A34">
        <v>5</v>
      </c>
      <c r="B34" t="s">
        <v>8</v>
      </c>
      <c r="C34" t="s">
        <v>51</v>
      </c>
      <c r="D34" s="93">
        <v>7.0000000000000007E-2</v>
      </c>
      <c r="E34" s="4">
        <v>2862.7360216550132</v>
      </c>
      <c r="F34" s="4">
        <v>139.72804430096284</v>
      </c>
      <c r="G34" s="4">
        <v>3002.4640659559755</v>
      </c>
      <c r="H34" s="4">
        <v>9.3982639867089796E-2</v>
      </c>
      <c r="I34" s="4">
        <v>9.3982639867089796E-2</v>
      </c>
    </row>
    <row r="35" spans="1:9" x14ac:dyDescent="0.35">
      <c r="A35">
        <v>5</v>
      </c>
      <c r="B35" t="s">
        <v>9</v>
      </c>
      <c r="C35" t="s">
        <v>51</v>
      </c>
      <c r="D35" s="93">
        <v>7.0000000000000007E-2</v>
      </c>
      <c r="E35" s="4">
        <v>9961.4745525308499</v>
      </c>
      <c r="F35" s="4">
        <v>191.00157705380849</v>
      </c>
      <c r="G35" s="4">
        <v>10152.476129584658</v>
      </c>
      <c r="H35" s="4">
        <v>0.52603781668518468</v>
      </c>
      <c r="I35" s="4">
        <v>0.52603781668518468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L30"/>
  <sheetViews>
    <sheetView tabSelected="1" zoomScaleNormal="100" workbookViewId="0">
      <selection activeCell="E13" sqref="E13"/>
    </sheetView>
  </sheetViews>
  <sheetFormatPr defaultColWidth="9.1796875" defaultRowHeight="14.5" x14ac:dyDescent="0.35"/>
  <cols>
    <col min="1" max="1" width="9.1796875" style="62"/>
    <col min="2" max="2" width="3.453125" style="62" customWidth="1"/>
    <col min="3" max="3" width="18.1796875" style="62" bestFit="1" customWidth="1"/>
    <col min="4" max="4" width="9.1796875" style="62" bestFit="1" customWidth="1"/>
    <col min="5" max="5" width="9.1796875" style="62"/>
    <col min="6" max="6" width="27.26953125" style="62" bestFit="1" customWidth="1"/>
    <col min="7" max="7" width="9" style="62" bestFit="1" customWidth="1"/>
    <col min="8" max="8" width="11.26953125" style="62" bestFit="1" customWidth="1"/>
    <col min="9" max="9" width="13.36328125" style="62" bestFit="1" customWidth="1"/>
    <col min="10" max="10" width="10.6328125" style="62" bestFit="1" customWidth="1"/>
    <col min="11" max="11" width="6.36328125" style="62" bestFit="1" customWidth="1"/>
    <col min="12" max="12" width="4.36328125" style="62" bestFit="1" customWidth="1"/>
    <col min="13" max="13" width="3.453125" style="62" customWidth="1"/>
    <col min="14" max="14" width="3.1796875" style="62" bestFit="1" customWidth="1"/>
    <col min="15" max="15" width="27.453125" style="62" bestFit="1" customWidth="1"/>
    <col min="16" max="16" width="3.1796875" style="62" bestFit="1" customWidth="1"/>
    <col min="17" max="16384" width="9.1796875" style="62"/>
  </cols>
  <sheetData>
    <row r="2" spans="2:12" x14ac:dyDescent="0.35"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</row>
    <row r="3" spans="2:12" x14ac:dyDescent="0.35">
      <c r="B3" s="61"/>
      <c r="C3" s="63" t="s">
        <v>109</v>
      </c>
      <c r="D3" s="64" t="s">
        <v>51</v>
      </c>
      <c r="E3" s="61"/>
      <c r="F3" s="65" t="s">
        <v>116</v>
      </c>
      <c r="G3" s="66"/>
      <c r="H3" s="67" t="str">
        <f>INDEX(_pcName,1)</f>
        <v>CADR 10-99</v>
      </c>
      <c r="I3" s="67" t="str">
        <f>INDEX(_pcName,2)</f>
        <v>CADR 100-149</v>
      </c>
      <c r="J3" s="67" t="str">
        <f>INDEX(_pcName,3)</f>
        <v>CADR 150+</v>
      </c>
      <c r="K3" s="68" t="s">
        <v>120</v>
      </c>
      <c r="L3" s="61"/>
    </row>
    <row r="4" spans="2:12" x14ac:dyDescent="0.35">
      <c r="B4" s="61"/>
      <c r="C4" s="63" t="s">
        <v>110</v>
      </c>
      <c r="D4" s="69">
        <v>7.0000000000000007E-2</v>
      </c>
      <c r="E4" s="61"/>
      <c r="F4" s="70" t="s">
        <v>117</v>
      </c>
      <c r="G4" s="71" t="str">
        <f>"mi " &amp; _yearDol &amp; "$"</f>
        <v>mi 2021$</v>
      </c>
      <c r="H4" s="72">
        <f t="array" ref="H4:J8" ca="1">Summ_Res+Summ_Com</f>
        <v>355.95920213661554</v>
      </c>
      <c r="I4" s="72">
        <f ca="1"/>
        <v>1193.9028050826059</v>
      </c>
      <c r="J4" s="72">
        <f ca="1"/>
        <v>4213.2661515447289</v>
      </c>
      <c r="K4" s="73">
        <f ca="1">SUM($H4,$I4,$J4)</f>
        <v>5763.1281587639505</v>
      </c>
      <c r="L4" s="115"/>
    </row>
    <row r="5" spans="2:12" x14ac:dyDescent="0.35">
      <c r="B5" s="61"/>
      <c r="C5" s="63" t="s">
        <v>111</v>
      </c>
      <c r="D5" s="64" t="s">
        <v>149</v>
      </c>
      <c r="E5" s="61"/>
      <c r="F5" s="74" t="s">
        <v>106</v>
      </c>
      <c r="G5" s="75" t="str">
        <f>"mi " &amp; _yearDol &amp; "$"</f>
        <v>mi 2021$</v>
      </c>
      <c r="H5" s="76">
        <f ca="1"/>
        <v>74.485685652187101</v>
      </c>
      <c r="I5" s="76">
        <f ca="1"/>
        <v>69.363851883794098</v>
      </c>
      <c r="J5" s="76">
        <f ca="1"/>
        <v>94.701963682612515</v>
      </c>
      <c r="K5" s="77">
        <f ca="1">SUM($H5,$I5,$J5)</f>
        <v>238.55150121859373</v>
      </c>
      <c r="L5" s="61"/>
    </row>
    <row r="6" spans="2:12" x14ac:dyDescent="0.35">
      <c r="B6" s="61"/>
      <c r="C6" s="63" t="s">
        <v>107</v>
      </c>
      <c r="D6" s="64" t="s">
        <v>153</v>
      </c>
      <c r="E6" s="61"/>
      <c r="F6" s="78" t="str">
        <f>zEO &amp; " Cost Savings"</f>
        <v>Operating Cost Savings</v>
      </c>
      <c r="G6" s="79" t="str">
        <f>"mi " &amp; _yearDol &amp; "$"</f>
        <v>mi 2021$</v>
      </c>
      <c r="H6" s="80">
        <f ca="1"/>
        <v>430.4448877888027</v>
      </c>
      <c r="I6" s="80">
        <f ca="1"/>
        <v>1263.2666569663998</v>
      </c>
      <c r="J6" s="80">
        <f ca="1"/>
        <v>4307.9681152273415</v>
      </c>
      <c r="K6" s="81">
        <f ca="1">SUM($H6,$I6,$J6)</f>
        <v>6001.6796599825439</v>
      </c>
      <c r="L6" s="61"/>
    </row>
    <row r="7" spans="2:12" x14ac:dyDescent="0.35">
      <c r="B7" s="61"/>
      <c r="C7" s="61"/>
      <c r="D7" s="61"/>
      <c r="E7" s="61"/>
      <c r="F7" s="82" t="str">
        <f>sEnergy&amp;" Energy Savings"</f>
        <v>FFC Energy Savings</v>
      </c>
      <c r="G7" s="75" t="s">
        <v>118</v>
      </c>
      <c r="H7" s="76">
        <f ca="1"/>
        <v>6.6022200099248834E-2</v>
      </c>
      <c r="I7" s="76">
        <f ca="1"/>
        <v>0.26302149117323664</v>
      </c>
      <c r="J7" s="76">
        <f ca="1"/>
        <v>1.4723821067278284</v>
      </c>
      <c r="K7" s="97">
        <f ca="1">SUM($H7,$I7,$J7)</f>
        <v>1.8014257980003139</v>
      </c>
      <c r="L7" s="61"/>
    </row>
    <row r="8" spans="2:12" x14ac:dyDescent="0.35">
      <c r="B8" s="61"/>
      <c r="C8" s="63" t="s">
        <v>112</v>
      </c>
      <c r="D8" s="64" t="s">
        <v>122</v>
      </c>
      <c r="E8" s="61"/>
      <c r="F8" s="74" t="str">
        <f>INDEX(_fuel,1)</f>
        <v>Electricity</v>
      </c>
      <c r="G8" s="75" t="s">
        <v>118</v>
      </c>
      <c r="H8" s="76">
        <f ca="1"/>
        <v>6.6022200099248834E-2</v>
      </c>
      <c r="I8" s="76">
        <f ca="1"/>
        <v>0.26302149117323664</v>
      </c>
      <c r="J8" s="76">
        <f ca="1"/>
        <v>1.4723821067278284</v>
      </c>
      <c r="K8" s="97">
        <f ca="1">SUM($H8,$I8,$J8)</f>
        <v>1.8014257980003139</v>
      </c>
      <c r="L8" s="61"/>
    </row>
    <row r="9" spans="2:12" x14ac:dyDescent="0.35">
      <c r="B9" s="61"/>
      <c r="C9" s="63" t="s">
        <v>36</v>
      </c>
      <c r="D9" s="64" t="s">
        <v>147</v>
      </c>
      <c r="E9" s="61"/>
      <c r="F9" s="83" t="s">
        <v>119</v>
      </c>
      <c r="G9" s="84" t="s">
        <v>63</v>
      </c>
      <c r="H9" s="85">
        <f ca="1">IF(SUM('CADR 10-99'!bcCons)=0,"",H$7/(0.001*SUM('CADR 10-99'!bcCons)))</f>
        <v>9.5756580720044823E-2</v>
      </c>
      <c r="I9" s="85">
        <f ca="1">IF(SUM('CADR 100-149'!bcCons)=0,"",I$7/(0.001*SUM('CADR 100-149'!bcCons)))</f>
        <v>0.19120362726284079</v>
      </c>
      <c r="J9" s="85">
        <f ca="1">IF(SUM('CADR 150+'!bcCons)=0,"",J$7/(0.001*SUM('CADR 150+'!bcCons)))</f>
        <v>0.31981774789729606</v>
      </c>
      <c r="K9" s="86">
        <f ca="1">IF(SUM('CADR 10-99'!bcCons,'CADR 100-149'!bcCons,'CADR 150+'!bcCons)=0,"",$K$7/(0.001*SUM('CADR 10-99'!bcCons,'CADR 100-149'!bcCons,'CADR 150+'!bcCons)))</f>
        <v>0.27012317764150257</v>
      </c>
      <c r="L9" s="61"/>
    </row>
    <row r="10" spans="2:12" x14ac:dyDescent="0.3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</row>
    <row r="11" spans="2:12" x14ac:dyDescent="0.35">
      <c r="B11" s="61"/>
      <c r="C11" s="63" t="s">
        <v>113</v>
      </c>
      <c r="D11" s="64">
        <v>3</v>
      </c>
      <c r="E11" s="61"/>
      <c r="F11" s="61"/>
      <c r="G11" s="61"/>
      <c r="H11" s="61"/>
      <c r="I11" s="61"/>
      <c r="J11" s="61"/>
      <c r="K11" s="61"/>
      <c r="L11" s="61"/>
    </row>
    <row r="12" spans="2:12" x14ac:dyDescent="0.35">
      <c r="B12" s="61"/>
      <c r="C12" s="63" t="s">
        <v>114</v>
      </c>
      <c r="D12" s="87">
        <f ca="1">INDEX(tsl1stYear,iTSL)</f>
        <v>2024</v>
      </c>
      <c r="E12" s="61"/>
      <c r="F12" s="61"/>
      <c r="G12" s="61"/>
      <c r="H12" s="61"/>
      <c r="I12" s="61"/>
      <c r="J12" s="61"/>
      <c r="K12" s="61"/>
      <c r="L12" s="61"/>
    </row>
    <row r="13" spans="2:12" x14ac:dyDescent="0.35">
      <c r="B13" s="61"/>
      <c r="C13" s="63" t="s">
        <v>115</v>
      </c>
      <c r="D13" s="87">
        <f ca="1">INDEX(tsl2ndYear,iTSL)</f>
        <v>2026</v>
      </c>
      <c r="E13" s="61"/>
      <c r="F13" s="65" t="str">
        <f>INDEX(_Sector,2,1)</f>
        <v>Residential</v>
      </c>
      <c r="G13" s="66"/>
      <c r="H13" s="67" t="str">
        <f>INDEX(_pcName,1)</f>
        <v>CADR 10-99</v>
      </c>
      <c r="I13" s="67" t="str">
        <f>INDEX(_pcName,2)</f>
        <v>CADR 100-149</v>
      </c>
      <c r="J13" s="67" t="str">
        <f>INDEX(_pcName,3)</f>
        <v>CADR 150+</v>
      </c>
      <c r="K13" s="68" t="s">
        <v>120</v>
      </c>
      <c r="L13" s="61"/>
    </row>
    <row r="14" spans="2:12" x14ac:dyDescent="0.35">
      <c r="B14" s="61"/>
      <c r="C14" s="61"/>
      <c r="D14" s="61"/>
      <c r="E14" s="61"/>
      <c r="F14" s="70" t="s">
        <v>117</v>
      </c>
      <c r="G14" s="71" t="str">
        <f>"mi " &amp; _yearDol &amp; "$"</f>
        <v>mi 2021$</v>
      </c>
      <c r="H14" s="72">
        <f ca="1">$H$16-$H$15</f>
        <v>182.12923230424792</v>
      </c>
      <c r="I14" s="72">
        <f ca="1">$I$16-$I$15</f>
        <v>633.04990568357198</v>
      </c>
      <c r="J14" s="72">
        <f ca="1">$J$16-$J$15</f>
        <v>2185.1835580767715</v>
      </c>
      <c r="K14" s="73">
        <f ca="1">SUM($H14,$I14,$J14)</f>
        <v>3000.3626960645915</v>
      </c>
      <c r="L14" s="115"/>
    </row>
    <row r="15" spans="2:12" x14ac:dyDescent="0.35">
      <c r="B15" s="61"/>
      <c r="C15" s="61"/>
      <c r="D15" s="61"/>
      <c r="E15" s="61"/>
      <c r="F15" s="74" t="s">
        <v>106</v>
      </c>
      <c r="G15" s="75" t="str">
        <f>"mi " &amp; _yearDol &amp; "$"</f>
        <v>mi 2021$</v>
      </c>
      <c r="H15" s="76">
        <f ca="1">1*NPV(dRate,'CADR 10-99'!iec_Res)*(1+dRate)^(_yearD-(yearC-1))</f>
        <v>44.832778008978011</v>
      </c>
      <c r="I15" s="76">
        <f ca="1">1*NPV(dRate,'CADR 100-149'!iec_Res)*(1+dRate)^(_yearD-(yearC-1))</f>
        <v>41.736902030971265</v>
      </c>
      <c r="J15" s="76">
        <f ca="1">1*NPV(dRate,'CADR 150+'!iec_Res)*(1+dRate)^(_yearD-(yearC-1))</f>
        <v>56.991840582020991</v>
      </c>
      <c r="K15" s="77">
        <f ca="1">SUM($H15,$I15,$J15)</f>
        <v>143.56152062197026</v>
      </c>
      <c r="L15" s="115"/>
    </row>
    <row r="16" spans="2:12" x14ac:dyDescent="0.35">
      <c r="B16" s="61"/>
      <c r="C16" s="61"/>
      <c r="D16" s="61"/>
      <c r="E16" s="61"/>
      <c r="F16" s="78" t="str">
        <f>zEO &amp; " Cost Savings"</f>
        <v>Operating Cost Savings</v>
      </c>
      <c r="G16" s="79" t="str">
        <f>"mi " &amp; _yearDol &amp; "$"</f>
        <v>mi 2021$</v>
      </c>
      <c r="H16" s="80">
        <f ca="1">1*NPV(dRate,'CADR 10-99'!ecs_Res)*(1+dRate)^(_yearD-(yearC-1))</f>
        <v>226.96201031322593</v>
      </c>
      <c r="I16" s="80">
        <f ca="1">1*NPV(dRate,'CADR 100-149'!ecs_Res)*(1+dRate)^(_yearD-(yearC-1))</f>
        <v>674.78680771454322</v>
      </c>
      <c r="J16" s="80">
        <f ca="1">1*NPV(dRate,'CADR 150+'!ecs_Res)*(1+dRate)^(_yearD-(yearC-1))</f>
        <v>2242.1753986587923</v>
      </c>
      <c r="K16" s="81">
        <f ca="1">SUM($H16,$I16,$J16)</f>
        <v>3143.9242166865615</v>
      </c>
      <c r="L16" s="115"/>
    </row>
    <row r="17" spans="2:12" x14ac:dyDescent="0.35">
      <c r="B17" s="61"/>
      <c r="C17" s="61"/>
      <c r="D17" s="61"/>
      <c r="E17" s="61"/>
      <c r="F17" s="82" t="str">
        <f>sEnergy&amp;" Energy Savings"</f>
        <v>FFC Energy Savings</v>
      </c>
      <c r="G17" s="75" t="s">
        <v>118</v>
      </c>
      <c r="H17" s="115">
        <f ca="1">SUM($H$18)</f>
        <v>2.5030919053548782E-2</v>
      </c>
      <c r="I17" s="115">
        <f ca="1">SUM($I$18)</f>
        <v>0.10917625352489574</v>
      </c>
      <c r="J17" s="115">
        <f ca="1">SUM($J$18)</f>
        <v>0.61802128589175864</v>
      </c>
      <c r="K17" s="97">
        <f ca="1">SUM($H17,$I17,$J17)</f>
        <v>0.75222845847020314</v>
      </c>
      <c r="L17" s="115"/>
    </row>
    <row r="18" spans="2:12" x14ac:dyDescent="0.35">
      <c r="B18" s="61"/>
      <c r="C18" s="61"/>
      <c r="D18" s="61"/>
      <c r="E18" s="61"/>
      <c r="F18" s="74" t="str">
        <f>INDEX(_fuel,1)</f>
        <v>Electricity</v>
      </c>
      <c r="G18" s="75" t="s">
        <v>118</v>
      </c>
      <c r="H18" s="115">
        <f ca="1">0.001*SUM('CADR 10-99'!savElec_Res)</f>
        <v>2.5030919053548782E-2</v>
      </c>
      <c r="I18" s="115">
        <f ca="1">0.001*SUM('CADR 100-149'!savElec_Res)</f>
        <v>0.10917625352489574</v>
      </c>
      <c r="J18" s="115">
        <f ca="1">0.001*SUM('CADR 150+'!savElec_Res)</f>
        <v>0.61802128589175864</v>
      </c>
      <c r="K18" s="97">
        <f ca="1">SUM($H18,$I18,$J18)</f>
        <v>0.75222845847020314</v>
      </c>
      <c r="L18" s="115"/>
    </row>
    <row r="19" spans="2:12" x14ac:dyDescent="0.35">
      <c r="B19" s="61"/>
      <c r="C19" s="61"/>
      <c r="D19" s="61"/>
      <c r="E19" s="61"/>
      <c r="F19" s="83" t="s">
        <v>119</v>
      </c>
      <c r="G19" s="84" t="s">
        <v>63</v>
      </c>
      <c r="H19" s="85">
        <f ca="1">IF(SUM('CADR 10-99'!bcCons_Res)=0,"",H$17/(0.001*SUM('CADR 10-99'!bcCons_Res)))</f>
        <v>8.5326355671839021E-2</v>
      </c>
      <c r="I19" s="85">
        <f ca="1">IF(SUM('CADR 100-149'!bcCons_Res)=0,"",I$17/(0.001*SUM('CADR 100-149'!bcCons_Res)))</f>
        <v>0.1880364188348026</v>
      </c>
      <c r="J19" s="85">
        <f ca="1">IF(SUM('CADR 150+'!bcCons_Res)=0,"",J$17/(0.001*SUM('CADR 150+'!bcCons_Res)))</f>
        <v>0.31773143968993056</v>
      </c>
      <c r="K19" s="86">
        <f ca="1">IF(SUM('CADR 10-99'!bcCons_Res,'CADR 100-149'!bcCons_Res,'CADR 150+'!bcCons_Res)=0,"",$K$17/(0.001*SUM('CADR 10-99'!bcCons_Res,'CADR 100-149'!bcCons_Res,'CADR 150+'!bcCons_Res)))</f>
        <v>0.26683537543490365</v>
      </c>
      <c r="L19" s="115"/>
    </row>
    <row r="20" spans="2:12" x14ac:dyDescent="0.35"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115"/>
    </row>
    <row r="21" spans="2:12" x14ac:dyDescent="0.35"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115"/>
    </row>
    <row r="22" spans="2:12" x14ac:dyDescent="0.35"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115"/>
    </row>
    <row r="23" spans="2:12" x14ac:dyDescent="0.35">
      <c r="B23" s="61"/>
      <c r="C23" s="61"/>
      <c r="D23" s="61"/>
      <c r="E23" s="61"/>
      <c r="F23" s="65" t="str">
        <f>INDEX(_Sector,2,2)</f>
        <v>Commercial</v>
      </c>
      <c r="G23" s="66"/>
      <c r="H23" s="67" t="str">
        <f>INDEX(_pcName,1)</f>
        <v>CADR 10-99</v>
      </c>
      <c r="I23" s="67" t="str">
        <f>INDEX(_pcName,2)</f>
        <v>CADR 100-149</v>
      </c>
      <c r="J23" s="67" t="str">
        <f>INDEX(_pcName,3)</f>
        <v>CADR 150+</v>
      </c>
      <c r="K23" s="68" t="s">
        <v>120</v>
      </c>
      <c r="L23" s="115"/>
    </row>
    <row r="24" spans="2:12" x14ac:dyDescent="0.35">
      <c r="B24" s="61"/>
      <c r="C24" s="61"/>
      <c r="D24" s="61"/>
      <c r="E24" s="61"/>
      <c r="F24" s="70" t="s">
        <v>117</v>
      </c>
      <c r="G24" s="71" t="str">
        <f>"mi " &amp; _yearDol &amp; "$"</f>
        <v>mi 2021$</v>
      </c>
      <c r="H24" s="72">
        <f ca="1">$H$26-$H$25</f>
        <v>173.82996983236765</v>
      </c>
      <c r="I24" s="72">
        <f ca="1">$I$26-$I$25</f>
        <v>560.85289939903384</v>
      </c>
      <c r="J24" s="72">
        <f ca="1">$J$26-$J$25</f>
        <v>2028.0825934679576</v>
      </c>
      <c r="K24" s="73">
        <f ca="1">SUM($H24,$I24,$J24)</f>
        <v>2762.765462699359</v>
      </c>
      <c r="L24" s="115"/>
    </row>
    <row r="25" spans="2:12" x14ac:dyDescent="0.35">
      <c r="B25" s="61"/>
      <c r="C25" s="61"/>
      <c r="D25" s="61"/>
      <c r="E25" s="61"/>
      <c r="F25" s="74" t="s">
        <v>106</v>
      </c>
      <c r="G25" s="75" t="str">
        <f>"mi " &amp; _yearDol &amp; "$"</f>
        <v>mi 2021$</v>
      </c>
      <c r="H25" s="76">
        <f ca="1">1*NPV(dRate,'CADR 10-99'!iec_Com)*(1+dRate)^(_yearD-(yearC-1))</f>
        <v>29.65290764320909</v>
      </c>
      <c r="I25" s="76">
        <f ca="1">1*NPV(dRate,'CADR 100-149'!iec_Com)*(1+dRate)^(_yearD-(yearC-1))</f>
        <v>27.62694985282284</v>
      </c>
      <c r="J25" s="76">
        <f ca="1">1*NPV(dRate,'CADR 150+'!iec_Com)*(1+dRate)^(_yearD-(yearC-1))</f>
        <v>37.710123100591524</v>
      </c>
      <c r="K25" s="77">
        <f ca="1">SUM($H25,$I25,$J25)</f>
        <v>94.989980596623454</v>
      </c>
      <c r="L25" s="61"/>
    </row>
    <row r="26" spans="2:12" x14ac:dyDescent="0.35">
      <c r="B26" s="61"/>
      <c r="C26" s="61"/>
      <c r="D26" s="61"/>
      <c r="E26" s="61"/>
      <c r="F26" s="78" t="str">
        <f>zEO &amp; " Cost Savings"</f>
        <v>Operating Cost Savings</v>
      </c>
      <c r="G26" s="79" t="str">
        <f>"mi " &amp; _yearDol &amp; "$"</f>
        <v>mi 2021$</v>
      </c>
      <c r="H26" s="80">
        <f ca="1">1*NPV(dRate,'CADR 10-99'!ecs_Com)*(1+dRate)^(_yearD-(yearC-1))</f>
        <v>203.48287747557674</v>
      </c>
      <c r="I26" s="80">
        <f ca="1">1*NPV(dRate,'CADR 100-149'!ecs_Com)*(1+dRate)^(_yearD-(yearC-1))</f>
        <v>588.47984925185665</v>
      </c>
      <c r="J26" s="80">
        <f ca="1">1*NPV(dRate,'CADR 150+'!ecs_Com)*(1+dRate)^(_yearD-(yearC-1))</f>
        <v>2065.7927165685492</v>
      </c>
      <c r="K26" s="81">
        <f ca="1">SUM($H26,$I26,$J26)</f>
        <v>2857.7554432959823</v>
      </c>
      <c r="L26" s="61"/>
    </row>
    <row r="27" spans="2:12" x14ac:dyDescent="0.35">
      <c r="B27" s="61"/>
      <c r="C27" s="61"/>
      <c r="D27" s="61"/>
      <c r="E27" s="61"/>
      <c r="F27" s="82" t="str">
        <f>sEnergy&amp;" Energy Savings"</f>
        <v>FFC Energy Savings</v>
      </c>
      <c r="G27" s="75" t="s">
        <v>118</v>
      </c>
      <c r="H27" s="115">
        <f ca="1">SUM($H$28)</f>
        <v>4.0991281045700052E-2</v>
      </c>
      <c r="I27" s="115">
        <f ca="1">SUM($I$28)</f>
        <v>0.1538452376483409</v>
      </c>
      <c r="J27" s="115">
        <f ca="1">SUM($J$28)</f>
        <v>0.85436082083606968</v>
      </c>
      <c r="K27" s="97">
        <f ca="1">SUM($H27,$I27,$J27)</f>
        <v>1.0491973395301106</v>
      </c>
      <c r="L27" s="61"/>
    </row>
    <row r="28" spans="2:12" x14ac:dyDescent="0.35">
      <c r="B28" s="61"/>
      <c r="C28" s="61"/>
      <c r="D28" s="61"/>
      <c r="E28" s="61"/>
      <c r="F28" s="74" t="str">
        <f>INDEX(_fuel,1)</f>
        <v>Electricity</v>
      </c>
      <c r="G28" s="75" t="s">
        <v>118</v>
      </c>
      <c r="H28" s="115">
        <f ca="1">0.001*SUM('CADR 10-99'!savElec_Com)</f>
        <v>4.0991281045700052E-2</v>
      </c>
      <c r="I28" s="115">
        <f ca="1">0.001*SUM('CADR 100-149'!savElec_Com)</f>
        <v>0.1538452376483409</v>
      </c>
      <c r="J28" s="115">
        <f ca="1">0.001*SUM('CADR 150+'!savElec_Com)</f>
        <v>0.85436082083606968</v>
      </c>
      <c r="K28" s="97">
        <f ca="1">SUM($H28,$I28,$J28)</f>
        <v>1.0491973395301106</v>
      </c>
      <c r="L28" s="61"/>
    </row>
    <row r="29" spans="2:12" x14ac:dyDescent="0.35">
      <c r="B29" s="61"/>
      <c r="C29" s="61"/>
      <c r="D29" s="61"/>
      <c r="E29" s="61"/>
      <c r="F29" s="83" t="s">
        <v>119</v>
      </c>
      <c r="G29" s="84" t="s">
        <v>63</v>
      </c>
      <c r="H29" s="85">
        <f ca="1">IF(SUM('CADR 10-99'!bcCons_Com)=0,"",H$27/(0.001*SUM('CADR 10-99'!bcCons_Com)))</f>
        <v>0.10348081864480259</v>
      </c>
      <c r="I29" s="85">
        <f ca="1">IF(SUM('CADR 100-149'!bcCons_Com)=0,"",I$27/(0.001*SUM('CADR 100-149'!bcCons_Com)))</f>
        <v>0.19351674292290716</v>
      </c>
      <c r="J29" s="85">
        <f ca="1">IF(SUM('CADR 150+'!bcCons_Com)=0,"",J$27/(0.001*SUM('CADR 150+'!bcCons_Com)))</f>
        <v>0.32134408582573099</v>
      </c>
      <c r="K29" s="86">
        <f ca="1">IF(SUM('CADR 10-99'!bcCons_Com,'CADR 100-149'!bcCons_Com,'CADR 150+'!bcCons_Com)=0,"",$K$27/(0.001*SUM('CADR 10-99'!bcCons_Com,'CADR 100-149'!bcCons_Com,'CADR 150+'!bcCons_Com)))</f>
        <v>0.27253069977103928</v>
      </c>
      <c r="L29" s="61"/>
    </row>
    <row r="30" spans="2:12" x14ac:dyDescent="0.35"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</row>
  </sheetData>
  <sheetProtection sheet="1" objects="1" scenarios="1" selectLockedCells="1"/>
  <conditionalFormatting sqref="D3">
    <cfRule type="containsBlanks" dxfId="3832" priority="2" stopIfTrue="1">
      <formula>LEN(TRIM(D3))=0</formula>
    </cfRule>
    <cfRule type="notContainsBlanks" dxfId="3831" priority="3" stopIfTrue="1">
      <formula>LEN(TRIM(D3))&gt;0</formula>
    </cfRule>
  </conditionalFormatting>
  <conditionalFormatting sqref="D4">
    <cfRule type="containsBlanks" dxfId="3830" priority="4" stopIfTrue="1">
      <formula>LEN(TRIM(D4))=0</formula>
    </cfRule>
    <cfRule type="notContainsBlanks" dxfId="3829" priority="5" stopIfTrue="1">
      <formula>LEN(TRIM(D4))&gt;0</formula>
    </cfRule>
  </conditionalFormatting>
  <conditionalFormatting sqref="D5">
    <cfRule type="containsBlanks" dxfId="3828" priority="6" stopIfTrue="1">
      <formula>LEN(TRIM(D5))=0</formula>
    </cfRule>
    <cfRule type="notContainsBlanks" dxfId="3827" priority="7" stopIfTrue="1">
      <formula>LEN(TRIM(D5))&gt;0</formula>
    </cfRule>
  </conditionalFormatting>
  <conditionalFormatting sqref="D6">
    <cfRule type="containsBlanks" dxfId="3826" priority="8" stopIfTrue="1">
      <formula>LEN(TRIM(D6))=0</formula>
    </cfRule>
    <cfRule type="notContainsBlanks" dxfId="3825" priority="9" stopIfTrue="1">
      <formula>LEN(TRIM(D6))&gt;0</formula>
    </cfRule>
  </conditionalFormatting>
  <conditionalFormatting sqref="D8">
    <cfRule type="containsBlanks" dxfId="3824" priority="10" stopIfTrue="1">
      <formula>LEN(TRIM(D8))=0</formula>
    </cfRule>
    <cfRule type="notContainsBlanks" dxfId="3823" priority="11" stopIfTrue="1">
      <formula>LEN(TRIM(D8))&gt;0</formula>
    </cfRule>
  </conditionalFormatting>
  <conditionalFormatting sqref="D9">
    <cfRule type="cellIs" dxfId="3822" priority="1" operator="equal">
      <formula>"No"</formula>
    </cfRule>
    <cfRule type="containsBlanks" dxfId="3821" priority="12" stopIfTrue="1">
      <formula>LEN(TRIM(D9))=0</formula>
    </cfRule>
    <cfRule type="notContainsBlanks" dxfId="3820" priority="13" stopIfTrue="1">
      <formula>LEN(TRIM(D9))&gt;0</formula>
    </cfRule>
  </conditionalFormatting>
  <conditionalFormatting sqref="D11">
    <cfRule type="containsBlanks" dxfId="3819" priority="14" stopIfTrue="1">
      <formula>LEN(TRIM(D11))=0</formula>
    </cfRule>
    <cfRule type="notContainsBlanks" dxfId="3818" priority="15" stopIfTrue="1">
      <formula>LEN(TRIM(D11))&gt;0</formula>
    </cfRule>
  </conditionalFormatting>
  <conditionalFormatting sqref="D12">
    <cfRule type="notContainsBlanks" dxfId="3817" priority="16" stopIfTrue="1">
      <formula>LEN(TRIM(D12))&gt;0</formula>
    </cfRule>
  </conditionalFormatting>
  <conditionalFormatting sqref="D13">
    <cfRule type="notContainsBlanks" dxfId="3816" priority="17" stopIfTrue="1">
      <formula>LEN(TRIM(D13))&gt;0</formula>
    </cfRule>
  </conditionalFormatting>
  <dataValidations count="7">
    <dataValidation type="list" allowBlank="1" showInputMessage="1" showErrorMessage="1" sqref="D3" xr:uid="{00000000-0002-0000-0100-000000000000}">
      <formula1>"Reference,Low,High"</formula1>
    </dataValidation>
    <dataValidation type="list" allowBlank="1" showInputMessage="1" showErrorMessage="1" sqref="D4" xr:uid="{00000000-0002-0000-0100-000001000000}">
      <formula1>"3%,7%"</formula1>
    </dataValidation>
    <dataValidation type="list" allowBlank="1" showInputMessage="1" showErrorMessage="1" sqref="D5" xr:uid="{00000000-0002-0000-0100-000002000000}">
      <formula1>"Full,Short"</formula1>
    </dataValidation>
    <dataValidation type="list" allowBlank="1" showInputMessage="1" showErrorMessage="1" sqref="D6" xr:uid="{00000000-0002-0000-0100-000003000000}">
      <formula1>"Site,Primary,FFC"</formula1>
    </dataValidation>
    <dataValidation type="list" allowBlank="1" showInputMessage="1" showErrorMessage="1" sqref="D8" xr:uid="{00000000-0002-0000-0100-000004000000}">
      <formula1>_PIdx</formula1>
    </dataValidation>
    <dataValidation type="list" allowBlank="1" showInputMessage="1" showErrorMessage="1" sqref="D9" xr:uid="{00000000-0002-0000-0100-000005000000}">
      <formula1>"No,Yes"</formula1>
    </dataValidation>
    <dataValidation type="list" allowBlank="1" showInputMessage="1" showErrorMessage="1" sqref="D11" xr:uid="{00000000-0002-0000-0100-000006000000}">
      <formula1>_TSL</formula1>
    </dataValidation>
  </dataValidations>
  <pageMargins left="0.7" right="0.7" top="0.75" bottom="0.75" header="0.3" footer="0.3"/>
  <customProperties>
    <customPr name="IsPC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B2:AO345"/>
  <sheetViews>
    <sheetView zoomScale="85" zoomScaleNormal="85" workbookViewId="0">
      <selection activeCell="F283" sqref="F283:X284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31.81640625" style="6" bestFit="1" customWidth="1"/>
    <col min="4" max="4" width="10.81640625" style="6" bestFit="1" customWidth="1"/>
    <col min="5" max="25" width="6.81640625" style="6" bestFit="1" customWidth="1"/>
    <col min="26" max="26" width="8.453125" style="6" bestFit="1" customWidth="1"/>
    <col min="27" max="28" width="6.81640625" style="6" bestFit="1" customWidth="1"/>
    <col min="29" max="29" width="25.36328125" style="6" bestFit="1" customWidth="1"/>
    <col min="30" max="30" width="8.08984375" style="6" bestFit="1" customWidth="1"/>
    <col min="31" max="40" width="6.81640625" style="6" bestFit="1" customWidth="1"/>
    <col min="41" max="41" width="3.453125" style="6" customWidth="1"/>
    <col min="42" max="16384" width="9.1796875" style="6"/>
  </cols>
  <sheetData>
    <row r="2" spans="2:41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</row>
    <row r="3" spans="2:41" x14ac:dyDescent="0.35">
      <c r="B3" s="8"/>
      <c r="C3" s="23" t="s">
        <v>104</v>
      </c>
      <c r="D3" s="24"/>
      <c r="E3" s="26">
        <f t="array" ref="E3:AN3">_yS</f>
        <v>2024</v>
      </c>
      <c r="F3" s="26">
        <v>2025</v>
      </c>
      <c r="G3" s="26">
        <v>2026</v>
      </c>
      <c r="H3" s="26">
        <v>2027</v>
      </c>
      <c r="I3" s="26">
        <v>2028</v>
      </c>
      <c r="J3" s="26">
        <v>2029</v>
      </c>
      <c r="K3" s="26">
        <v>2030</v>
      </c>
      <c r="L3" s="26">
        <v>2031</v>
      </c>
      <c r="M3" s="26">
        <v>2032</v>
      </c>
      <c r="N3" s="26">
        <v>2033</v>
      </c>
      <c r="O3" s="26">
        <v>2034</v>
      </c>
      <c r="P3" s="26">
        <v>2035</v>
      </c>
      <c r="Q3" s="26">
        <v>2036</v>
      </c>
      <c r="R3" s="26">
        <v>2037</v>
      </c>
      <c r="S3" s="26">
        <v>2038</v>
      </c>
      <c r="T3" s="26">
        <v>2039</v>
      </c>
      <c r="U3" s="26">
        <v>2040</v>
      </c>
      <c r="V3" s="26">
        <v>2041</v>
      </c>
      <c r="W3" s="26">
        <v>2042</v>
      </c>
      <c r="X3" s="26">
        <v>2043</v>
      </c>
      <c r="Y3" s="26">
        <v>2044</v>
      </c>
      <c r="Z3" s="26">
        <v>2045</v>
      </c>
      <c r="AA3" s="26">
        <v>2046</v>
      </c>
      <c r="AB3" s="26">
        <v>2047</v>
      </c>
      <c r="AC3" s="26">
        <v>2048</v>
      </c>
      <c r="AD3" s="26">
        <v>2049</v>
      </c>
      <c r="AE3" s="26">
        <v>2050</v>
      </c>
      <c r="AF3" s="26">
        <v>2051</v>
      </c>
      <c r="AG3" s="26">
        <v>2052</v>
      </c>
      <c r="AH3" s="26">
        <v>2053</v>
      </c>
      <c r="AI3" s="26">
        <v>2054</v>
      </c>
      <c r="AJ3" s="26">
        <v>2055</v>
      </c>
      <c r="AK3" s="26">
        <v>2056</v>
      </c>
      <c r="AL3" s="26">
        <v>2057</v>
      </c>
      <c r="AM3" s="26">
        <v>2058</v>
      </c>
      <c r="AN3" s="27">
        <v>2059</v>
      </c>
      <c r="AO3" s="8"/>
    </row>
    <row r="4" spans="2:41" x14ac:dyDescent="0.35">
      <c r="B4" s="8"/>
      <c r="C4" s="57" t="str">
        <f ca="1">"Stds Case (CSL " &amp; stdCSL1 &amp; ",CSL " &amp; stdCSL2 &amp; "): " &amp; INDEX(_doName,1,stdCSL1+1) &amp; "," &amp; INDEX(_doName,1,stdCSL2+1)</f>
        <v>Stds Case (CSL 1,CSL 2): Tier 1,Tier 2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8"/>
      <c r="AO4" s="8"/>
    </row>
    <row r="5" spans="2:41" x14ac:dyDescent="0.35">
      <c r="B5" s="8"/>
      <c r="C5" s="10" t="s">
        <v>105</v>
      </c>
      <c r="D5" s="11" t="str">
        <f>"mi " &amp; _yearDol &amp; "$"</f>
        <v>mi 2021$</v>
      </c>
      <c r="E5" s="32">
        <f t="array" aca="1" ref="E5:AN5" ca="1">tnet_Res+tnet_Com</f>
        <v>9.8230717104843279</v>
      </c>
      <c r="F5" s="32">
        <f ca="1"/>
        <v>10.324332519184019</v>
      </c>
      <c r="G5" s="32">
        <f ca="1"/>
        <v>17.715197020648972</v>
      </c>
      <c r="H5" s="32">
        <f ca="1"/>
        <v>18.723575098360797</v>
      </c>
      <c r="I5" s="32">
        <f ca="1"/>
        <v>19.815461387161875</v>
      </c>
      <c r="J5" s="32">
        <f ca="1"/>
        <v>20.933928713329195</v>
      </c>
      <c r="K5" s="32">
        <f ca="1"/>
        <v>22.100024901317326</v>
      </c>
      <c r="L5" s="32">
        <f ca="1"/>
        <v>23.307143109566155</v>
      </c>
      <c r="M5" s="32">
        <f ca="1"/>
        <v>24.548412398929059</v>
      </c>
      <c r="N5" s="32">
        <f ca="1"/>
        <v>25.831787635748597</v>
      </c>
      <c r="O5" s="32">
        <f ca="1"/>
        <v>27.137391310611903</v>
      </c>
      <c r="P5" s="32">
        <f ca="1"/>
        <v>28.490891835091261</v>
      </c>
      <c r="Q5" s="32">
        <f ca="1"/>
        <v>29.921143781489434</v>
      </c>
      <c r="R5" s="32">
        <f ca="1"/>
        <v>31.425522140004404</v>
      </c>
      <c r="S5" s="32">
        <f ca="1"/>
        <v>33.016980857807965</v>
      </c>
      <c r="T5" s="32">
        <f ca="1"/>
        <v>34.695242731781761</v>
      </c>
      <c r="U5" s="32">
        <f ca="1"/>
        <v>36.448261086831366</v>
      </c>
      <c r="V5" s="32">
        <f ca="1"/>
        <v>38.280818840313088</v>
      </c>
      <c r="W5" s="32">
        <f ca="1"/>
        <v>40.207250319269761</v>
      </c>
      <c r="X5" s="32">
        <f ca="1"/>
        <v>42.220470332815296</v>
      </c>
      <c r="Y5" s="32">
        <f ca="1"/>
        <v>44.328446987941732</v>
      </c>
      <c r="Z5" s="32">
        <f ca="1"/>
        <v>46.560967585894673</v>
      </c>
      <c r="AA5" s="32">
        <f ca="1"/>
        <v>48.89757008086994</v>
      </c>
      <c r="AB5" s="32">
        <f ca="1"/>
        <v>51.351544482552271</v>
      </c>
      <c r="AC5" s="32">
        <f ca="1"/>
        <v>53.938208095922107</v>
      </c>
      <c r="AD5" s="32">
        <f ca="1"/>
        <v>56.64440928395058</v>
      </c>
      <c r="AE5" s="32">
        <f ca="1"/>
        <v>59.492660739303801</v>
      </c>
      <c r="AF5" s="32">
        <f ca="1"/>
        <v>62.517983422399112</v>
      </c>
      <c r="AG5" s="32">
        <f ca="1"/>
        <v>65.693600155643566</v>
      </c>
      <c r="AH5" s="32">
        <f ca="1"/>
        <v>69.02691307585647</v>
      </c>
      <c r="AI5" s="32">
        <f ca="1"/>
        <v>72.525769727236622</v>
      </c>
      <c r="AJ5" s="32">
        <f ca="1"/>
        <v>76.19845165154922</v>
      </c>
      <c r="AK5" s="32">
        <f ca="1"/>
        <v>80.053667343740301</v>
      </c>
      <c r="AL5" s="32">
        <f ca="1"/>
        <v>84.100521558842615</v>
      </c>
      <c r="AM5" s="32">
        <f ca="1"/>
        <v>0</v>
      </c>
      <c r="AN5" s="55">
        <f ca="1"/>
        <v>0</v>
      </c>
      <c r="AO5" s="8"/>
    </row>
    <row r="6" spans="2:41" x14ac:dyDescent="0.35">
      <c r="B6" s="8"/>
      <c r="C6" s="20" t="str">
        <f>INDEX(_Sector,2,1)</f>
        <v>Residential</v>
      </c>
      <c r="D6" s="8"/>
      <c r="E6" s="32">
        <f t="array" ref="E6:AN6" ca="1">tecs_Res-tiec_Res</f>
        <v>5.2625981052710529</v>
      </c>
      <c r="F6" s="32">
        <f ca="1"/>
        <v>5.5342129817476859</v>
      </c>
      <c r="G6" s="32">
        <f ca="1"/>
        <v>8.9234834736965638</v>
      </c>
      <c r="H6" s="32">
        <f ca="1"/>
        <v>9.4427032256801056</v>
      </c>
      <c r="I6" s="32">
        <f ca="1"/>
        <v>10.005219324145372</v>
      </c>
      <c r="J6" s="32">
        <f ca="1"/>
        <v>10.581077420010118</v>
      </c>
      <c r="K6" s="32">
        <f ca="1"/>
        <v>11.182377416244307</v>
      </c>
      <c r="L6" s="32">
        <f ca="1"/>
        <v>11.805563888552413</v>
      </c>
      <c r="M6" s="32">
        <f ca="1"/>
        <v>12.448102720334475</v>
      </c>
      <c r="N6" s="32">
        <f ca="1"/>
        <v>13.112707569158175</v>
      </c>
      <c r="O6" s="32">
        <f ca="1"/>
        <v>13.790791940404119</v>
      </c>
      <c r="P6" s="32">
        <f ca="1"/>
        <v>14.495260922605922</v>
      </c>
      <c r="Q6" s="32">
        <f ca="1"/>
        <v>15.239103301702556</v>
      </c>
      <c r="R6" s="32">
        <f ca="1"/>
        <v>16.021731647164756</v>
      </c>
      <c r="S6" s="32">
        <f ca="1"/>
        <v>16.84954947174387</v>
      </c>
      <c r="T6" s="32">
        <f ca="1"/>
        <v>17.721792874601761</v>
      </c>
      <c r="U6" s="32">
        <f ca="1"/>
        <v>18.63488915588789</v>
      </c>
      <c r="V6" s="32">
        <f ca="1"/>
        <v>19.590258849400726</v>
      </c>
      <c r="W6" s="32">
        <f ca="1"/>
        <v>20.593454318806039</v>
      </c>
      <c r="X6" s="32">
        <f ca="1"/>
        <v>21.642268509762658</v>
      </c>
      <c r="Y6" s="32">
        <f ca="1"/>
        <v>22.741350062635945</v>
      </c>
      <c r="Z6" s="32">
        <f ca="1"/>
        <v>23.902087748198113</v>
      </c>
      <c r="AA6" s="32">
        <f ca="1"/>
        <v>25.117262794361181</v>
      </c>
      <c r="AB6" s="32">
        <f ca="1"/>
        <v>26.393093424783217</v>
      </c>
      <c r="AC6" s="32">
        <f ca="1"/>
        <v>27.734769351991787</v>
      </c>
      <c r="AD6" s="32">
        <f ca="1"/>
        <v>29.138796802267052</v>
      </c>
      <c r="AE6" s="32">
        <f ca="1"/>
        <v>30.615490478626157</v>
      </c>
      <c r="AF6" s="32">
        <f ca="1"/>
        <v>32.179540819574186</v>
      </c>
      <c r="AG6" s="32">
        <f ca="1"/>
        <v>33.821553700088941</v>
      </c>
      <c r="AH6" s="32">
        <f ca="1"/>
        <v>35.545380883741529</v>
      </c>
      <c r="AI6" s="32">
        <f ca="1"/>
        <v>37.355105935514871</v>
      </c>
      <c r="AJ6" s="32">
        <f ca="1"/>
        <v>39.255038532470905</v>
      </c>
      <c r="AK6" s="32">
        <f ca="1"/>
        <v>41.24971100751111</v>
      </c>
      <c r="AL6" s="32">
        <f ca="1"/>
        <v>43.343862690048923</v>
      </c>
      <c r="AM6" s="32">
        <f ca="1"/>
        <v>0</v>
      </c>
      <c r="AN6" s="55">
        <f ca="1"/>
        <v>0</v>
      </c>
      <c r="AO6" s="8"/>
    </row>
    <row r="7" spans="2:41" x14ac:dyDescent="0.35">
      <c r="B7" s="8"/>
      <c r="C7" s="20" t="str">
        <f>INDEX(_Sector,2,2)</f>
        <v>Commercial</v>
      </c>
      <c r="D7" s="8"/>
      <c r="E7" s="32">
        <f t="array" aca="1" ref="E7:AN7" ca="1">tecs_Com-tiec_Com</f>
        <v>4.5604736052132751</v>
      </c>
      <c r="F7" s="32">
        <f ca="1"/>
        <v>4.7901195374363326</v>
      </c>
      <c r="G7" s="32">
        <f ca="1"/>
        <v>8.7917135469524084</v>
      </c>
      <c r="H7" s="32">
        <f ca="1"/>
        <v>9.2808718726806916</v>
      </c>
      <c r="I7" s="32">
        <f ca="1"/>
        <v>9.8102420630165028</v>
      </c>
      <c r="J7" s="32">
        <f ca="1"/>
        <v>10.352851293319077</v>
      </c>
      <c r="K7" s="32">
        <f ca="1"/>
        <v>10.917647485073019</v>
      </c>
      <c r="L7" s="32">
        <f ca="1"/>
        <v>11.501579221013742</v>
      </c>
      <c r="M7" s="32">
        <f ca="1"/>
        <v>12.100309678594584</v>
      </c>
      <c r="N7" s="32">
        <f ca="1"/>
        <v>12.719080066590422</v>
      </c>
      <c r="O7" s="32">
        <f ca="1"/>
        <v>13.346599370207784</v>
      </c>
      <c r="P7" s="32">
        <f ca="1"/>
        <v>13.995630912485339</v>
      </c>
      <c r="Q7" s="32">
        <f ca="1"/>
        <v>14.682040479786878</v>
      </c>
      <c r="R7" s="32">
        <f ca="1"/>
        <v>15.403790492839647</v>
      </c>
      <c r="S7" s="32">
        <f ca="1"/>
        <v>16.167431386064095</v>
      </c>
      <c r="T7" s="32">
        <f ca="1"/>
        <v>16.97344985718</v>
      </c>
      <c r="U7" s="32">
        <f ca="1"/>
        <v>17.813371930943475</v>
      </c>
      <c r="V7" s="32">
        <f ca="1"/>
        <v>18.690559990912362</v>
      </c>
      <c r="W7" s="32">
        <f ca="1"/>
        <v>19.613796000463722</v>
      </c>
      <c r="X7" s="32">
        <f ca="1"/>
        <v>20.578201823052638</v>
      </c>
      <c r="Y7" s="32">
        <f ca="1"/>
        <v>21.587096925305786</v>
      </c>
      <c r="Z7" s="32">
        <f ca="1"/>
        <v>22.65887983769656</v>
      </c>
      <c r="AA7" s="32">
        <f ca="1"/>
        <v>23.780307286508759</v>
      </c>
      <c r="AB7" s="32">
        <f ca="1"/>
        <v>24.958451057769054</v>
      </c>
      <c r="AC7" s="32">
        <f ca="1"/>
        <v>26.20343874393032</v>
      </c>
      <c r="AD7" s="32">
        <f ca="1"/>
        <v>27.505612481683528</v>
      </c>
      <c r="AE7" s="32">
        <f ca="1"/>
        <v>28.877170260677644</v>
      </c>
      <c r="AF7" s="32">
        <f ca="1"/>
        <v>30.338442602824927</v>
      </c>
      <c r="AG7" s="32">
        <f ca="1"/>
        <v>31.872046455554624</v>
      </c>
      <c r="AH7" s="32">
        <f ca="1"/>
        <v>33.48153219211494</v>
      </c>
      <c r="AI7" s="32">
        <f ca="1"/>
        <v>35.170663791721751</v>
      </c>
      <c r="AJ7" s="32">
        <f ca="1"/>
        <v>36.943413119078315</v>
      </c>
      <c r="AK7" s="32">
        <f ca="1"/>
        <v>38.803956336229191</v>
      </c>
      <c r="AL7" s="32">
        <f ca="1"/>
        <v>40.756658868793693</v>
      </c>
      <c r="AM7" s="32">
        <f ca="1"/>
        <v>0</v>
      </c>
      <c r="AN7" s="55">
        <f ca="1"/>
        <v>0</v>
      </c>
      <c r="AO7" s="8"/>
    </row>
    <row r="8" spans="2:41" x14ac:dyDescent="0.35">
      <c r="B8" s="8"/>
      <c r="C8" s="10" t="s">
        <v>106</v>
      </c>
      <c r="D8" s="11" t="str">
        <f>"mi " &amp; _yearDol &amp; "$"</f>
        <v>mi 2021$</v>
      </c>
      <c r="E8" s="32">
        <f t="array" aca="1" ref="E8:AN8" ca="1">tiec_Res+tiec_Com</f>
        <v>1.0543794555174912</v>
      </c>
      <c r="F8" s="32">
        <f ca="1"/>
        <v>1.0868066201668469</v>
      </c>
      <c r="G8" s="32">
        <f ca="1"/>
        <v>4.3249306246456882</v>
      </c>
      <c r="H8" s="32">
        <f ca="1"/>
        <v>4.504450696781447</v>
      </c>
      <c r="I8" s="32">
        <f ca="1"/>
        <v>4.6998280661969574</v>
      </c>
      <c r="J8" s="32">
        <f ca="1"/>
        <v>4.9060025012065864</v>
      </c>
      <c r="K8" s="32">
        <f ca="1"/>
        <v>5.1205807780344514</v>
      </c>
      <c r="L8" s="32">
        <f ca="1"/>
        <v>5.3414504311474218</v>
      </c>
      <c r="M8" s="32">
        <f ca="1"/>
        <v>5.568377344794385</v>
      </c>
      <c r="N8" s="32">
        <f ca="1"/>
        <v>5.8023877494612606</v>
      </c>
      <c r="O8" s="32">
        <f ca="1"/>
        <v>6.044768637569959</v>
      </c>
      <c r="P8" s="32">
        <f ca="1"/>
        <v>6.2976244473862977</v>
      </c>
      <c r="Q8" s="32">
        <f ca="1"/>
        <v>6.5623899551063687</v>
      </c>
      <c r="R8" s="32">
        <f ca="1"/>
        <v>6.8398436658441426</v>
      </c>
      <c r="S8" s="32">
        <f ca="1"/>
        <v>7.1308562204578152</v>
      </c>
      <c r="T8" s="32">
        <f ca="1"/>
        <v>7.4344501190828254</v>
      </c>
      <c r="U8" s="32">
        <f ca="1"/>
        <v>7.7514192518994776</v>
      </c>
      <c r="V8" s="32">
        <f ca="1"/>
        <v>8.0819170858557925</v>
      </c>
      <c r="W8" s="32">
        <f ca="1"/>
        <v>8.4263045431332131</v>
      </c>
      <c r="X8" s="32">
        <f ca="1"/>
        <v>8.7851521298382522</v>
      </c>
      <c r="Y8" s="32">
        <f ca="1"/>
        <v>9.1591168030114147</v>
      </c>
      <c r="Z8" s="32">
        <f ca="1"/>
        <v>9.5490350050619952</v>
      </c>
      <c r="AA8" s="32">
        <f ca="1"/>
        <v>9.9557024234815401</v>
      </c>
      <c r="AB8" s="32">
        <f ca="1"/>
        <v>10.379897310397013</v>
      </c>
      <c r="AC8" s="32">
        <f ca="1"/>
        <v>10.822375144898956</v>
      </c>
      <c r="AD8" s="32">
        <f ca="1"/>
        <v>11.283880221341775</v>
      </c>
      <c r="AE8" s="32">
        <f ca="1"/>
        <v>11.765169704148377</v>
      </c>
      <c r="AF8" s="32">
        <f ca="1"/>
        <v>12.267034284406208</v>
      </c>
      <c r="AG8" s="32">
        <f ca="1"/>
        <v>12.790312740538269</v>
      </c>
      <c r="AH8" s="32">
        <f ca="1"/>
        <v>13.335898655594377</v>
      </c>
      <c r="AI8" s="32">
        <f ca="1"/>
        <v>13.904738992178892</v>
      </c>
      <c r="AJ8" s="32">
        <f ca="1"/>
        <v>14.497829394660101</v>
      </c>
      <c r="AK8" s="32">
        <f ca="1"/>
        <v>15.116210534489653</v>
      </c>
      <c r="AL8" s="32">
        <f ca="1"/>
        <v>15.760960224661346</v>
      </c>
      <c r="AM8" s="32">
        <f ca="1"/>
        <v>0</v>
      </c>
      <c r="AN8" s="55">
        <f ca="1"/>
        <v>0</v>
      </c>
      <c r="AO8" s="8"/>
    </row>
    <row r="9" spans="2:41" x14ac:dyDescent="0.35">
      <c r="B9" s="8"/>
      <c r="C9" s="20" t="str">
        <f>INDEX(_Sector,2,1)</f>
        <v>Residential</v>
      </c>
      <c r="D9" s="8"/>
      <c r="E9" s="32">
        <f t="array" ref="E9:AN9" ca="1">tlccQmPol_Res*tShpsmlStd_Res-tlccQmBC_Res*IF(bStdShipm,tShpsmlStd_Res,tShpsmlBC_Res)</f>
        <v>0.63485270197359966</v>
      </c>
      <c r="F9" s="32">
        <f ca="1"/>
        <v>0.65435368544467565</v>
      </c>
      <c r="G9" s="32">
        <f ca="1"/>
        <v>2.6039284696458367</v>
      </c>
      <c r="H9" s="32">
        <f ca="1"/>
        <v>2.7119402639180947</v>
      </c>
      <c r="I9" s="32">
        <f ca="1"/>
        <v>2.8294943182195027</v>
      </c>
      <c r="J9" s="32">
        <f ca="1"/>
        <v>2.9535488525620934</v>
      </c>
      <c r="K9" s="32">
        <f ca="1"/>
        <v>3.0826576782770161</v>
      </c>
      <c r="L9" s="32">
        <f ca="1"/>
        <v>3.2155487859088083</v>
      </c>
      <c r="M9" s="32">
        <f ca="1"/>
        <v>3.3520810324419017</v>
      </c>
      <c r="N9" s="32">
        <f ca="1"/>
        <v>3.4928719706656466</v>
      </c>
      <c r="O9" s="32">
        <f ca="1"/>
        <v>3.6386981742963656</v>
      </c>
      <c r="P9" s="32">
        <f ca="1"/>
        <v>3.7908241008649384</v>
      </c>
      <c r="Q9" s="32">
        <f ca="1"/>
        <v>3.9501129647513267</v>
      </c>
      <c r="R9" s="32">
        <f ca="1"/>
        <v>4.1170328819916051</v>
      </c>
      <c r="S9" s="32">
        <f ca="1"/>
        <v>4.2921073826962868</v>
      </c>
      <c r="T9" s="32">
        <f ca="1"/>
        <v>4.4747475882959122</v>
      </c>
      <c r="U9" s="32">
        <f ca="1"/>
        <v>4.6654308325485374</v>
      </c>
      <c r="V9" s="32">
        <f ca="1"/>
        <v>4.8642489627498833</v>
      </c>
      <c r="W9" s="32">
        <f ca="1"/>
        <v>5.0714186778487829</v>
      </c>
      <c r="X9" s="32">
        <f ca="1"/>
        <v>5.287282793688604</v>
      </c>
      <c r="Y9" s="32">
        <f ca="1"/>
        <v>5.5122363846776352</v>
      </c>
      <c r="Z9" s="32">
        <f ca="1"/>
        <v>5.746782002944002</v>
      </c>
      <c r="AA9" s="32">
        <f ca="1"/>
        <v>5.9913978694960406</v>
      </c>
      <c r="AB9" s="32">
        <f ca="1"/>
        <v>6.2465516686455089</v>
      </c>
      <c r="AC9" s="32">
        <f ca="1"/>
        <v>6.5126973371658039</v>
      </c>
      <c r="AD9" s="32">
        <f ca="1"/>
        <v>6.7902820391890373</v>
      </c>
      <c r="AE9" s="32">
        <f ca="1"/>
        <v>7.0797606417203269</v>
      </c>
      <c r="AF9" s="32">
        <f ca="1"/>
        <v>7.3816081432440228</v>
      </c>
      <c r="AG9" s="32">
        <f ca="1"/>
        <v>7.6963284324937717</v>
      </c>
      <c r="AH9" s="32">
        <f ca="1"/>
        <v>8.0244583265276788</v>
      </c>
      <c r="AI9" s="32">
        <f ca="1"/>
        <v>8.3665667089852604</v>
      </c>
      <c r="AJ9" s="32">
        <f ca="1"/>
        <v>8.7232516993026366</v>
      </c>
      <c r="AK9" s="32">
        <f ca="1"/>
        <v>9.0951384499102232</v>
      </c>
      <c r="AL9" s="32">
        <f ca="1"/>
        <v>9.4828743981904609</v>
      </c>
      <c r="AM9" s="32">
        <f ca="1"/>
        <v>0</v>
      </c>
      <c r="AN9" s="55">
        <f ca="1"/>
        <v>0</v>
      </c>
      <c r="AO9" s="8"/>
    </row>
    <row r="10" spans="2:41" x14ac:dyDescent="0.35">
      <c r="B10" s="8"/>
      <c r="C10" s="20" t="str">
        <f>INDEX(_Sector,2,2)</f>
        <v>Commercial</v>
      </c>
      <c r="D10" s="8"/>
      <c r="E10" s="32">
        <f t="array" ref="E10:AN10" ca="1">tlccQmPol_Com*tShpsmlStd_Com-tlccQmBC_Com*IF(bStdShipm,tShpsmlStd_Com,tShpsmlBC_Com)</f>
        <v>0.41952675354389157</v>
      </c>
      <c r="F10" s="32">
        <f ca="1"/>
        <v>0.43245293472217128</v>
      </c>
      <c r="G10" s="32">
        <f ca="1"/>
        <v>1.7210021549998515</v>
      </c>
      <c r="H10" s="32">
        <f ca="1"/>
        <v>1.7925104328633523</v>
      </c>
      <c r="I10" s="32">
        <f ca="1"/>
        <v>1.8703337479774547</v>
      </c>
      <c r="J10" s="32">
        <f ca="1"/>
        <v>1.952453648644493</v>
      </c>
      <c r="K10" s="32">
        <f ca="1"/>
        <v>2.0379230997574354</v>
      </c>
      <c r="L10" s="32">
        <f ca="1"/>
        <v>2.1259016452386135</v>
      </c>
      <c r="M10" s="32">
        <f ca="1"/>
        <v>2.2162963123524833</v>
      </c>
      <c r="N10" s="32">
        <f ca="1"/>
        <v>2.309515778795614</v>
      </c>
      <c r="O10" s="32">
        <f ca="1"/>
        <v>2.4060704632735934</v>
      </c>
      <c r="P10" s="32">
        <f ca="1"/>
        <v>2.5068003465213593</v>
      </c>
      <c r="Q10" s="32">
        <f ca="1"/>
        <v>2.612276990355042</v>
      </c>
      <c r="R10" s="32">
        <f ca="1"/>
        <v>2.7228107838525375</v>
      </c>
      <c r="S10" s="32">
        <f ca="1"/>
        <v>2.8387488377615284</v>
      </c>
      <c r="T10" s="32">
        <f ca="1"/>
        <v>2.9597025307869131</v>
      </c>
      <c r="U10" s="32">
        <f ca="1"/>
        <v>3.0859884193509401</v>
      </c>
      <c r="V10" s="32">
        <f ca="1"/>
        <v>3.2176681231059092</v>
      </c>
      <c r="W10" s="32">
        <f ca="1"/>
        <v>3.3548858652844302</v>
      </c>
      <c r="X10" s="32">
        <f ca="1"/>
        <v>3.4978693361496482</v>
      </c>
      <c r="Y10" s="32">
        <f ca="1"/>
        <v>3.6468804183337795</v>
      </c>
      <c r="Z10" s="32">
        <f ca="1"/>
        <v>3.8022530021179932</v>
      </c>
      <c r="AA10" s="32">
        <f ca="1"/>
        <v>3.9643045539854995</v>
      </c>
      <c r="AB10" s="32">
        <f ca="1"/>
        <v>4.1333456417515038</v>
      </c>
      <c r="AC10" s="32">
        <f ca="1"/>
        <v>4.3096778077331521</v>
      </c>
      <c r="AD10" s="32">
        <f ca="1"/>
        <v>4.4935981821527378</v>
      </c>
      <c r="AE10" s="32">
        <f ca="1"/>
        <v>4.6854090624280502</v>
      </c>
      <c r="AF10" s="32">
        <f ca="1"/>
        <v>4.8854261411621849</v>
      </c>
      <c r="AG10" s="32">
        <f ca="1"/>
        <v>5.0939843080444973</v>
      </c>
      <c r="AH10" s="32">
        <f ca="1"/>
        <v>5.3114403290666985</v>
      </c>
      <c r="AI10" s="32">
        <f ca="1"/>
        <v>5.5381722831936315</v>
      </c>
      <c r="AJ10" s="32">
        <f ca="1"/>
        <v>5.7745776953574648</v>
      </c>
      <c r="AK10" s="32">
        <f ca="1"/>
        <v>6.0210720845794299</v>
      </c>
      <c r="AL10" s="32">
        <f ca="1"/>
        <v>6.2780858264708854</v>
      </c>
      <c r="AM10" s="32">
        <f ca="1"/>
        <v>0</v>
      </c>
      <c r="AN10" s="55">
        <f ca="1"/>
        <v>0</v>
      </c>
      <c r="AO10" s="8"/>
    </row>
    <row r="11" spans="2:41" x14ac:dyDescent="0.35">
      <c r="B11" s="8"/>
      <c r="C11" s="10" t="str">
        <f>zEO&amp;" Costs Savings"</f>
        <v>Operating Costs Savings</v>
      </c>
      <c r="D11" s="11" t="str">
        <f>"mi " &amp; _yearDol &amp; "$"</f>
        <v>mi 2021$</v>
      </c>
      <c r="E11" s="32">
        <f t="array" aca="1" ref="E11:AN11" ca="1">tecs_Res+tecs_Com</f>
        <v>10.877451166001819</v>
      </c>
      <c r="F11" s="32">
        <f ca="1"/>
        <v>11.411139139350865</v>
      </c>
      <c r="G11" s="32">
        <f ca="1"/>
        <v>22.04012764529466</v>
      </c>
      <c r="H11" s="32">
        <f ca="1"/>
        <v>23.228025795142244</v>
      </c>
      <c r="I11" s="32">
        <f ca="1"/>
        <v>24.515289453358832</v>
      </c>
      <c r="J11" s="32">
        <f ca="1"/>
        <v>25.839931214535781</v>
      </c>
      <c r="K11" s="32">
        <f ca="1"/>
        <v>27.220605679351777</v>
      </c>
      <c r="L11" s="32">
        <f ca="1"/>
        <v>28.648593540713577</v>
      </c>
      <c r="M11" s="32">
        <f ca="1"/>
        <v>30.116789743723444</v>
      </c>
      <c r="N11" s="32">
        <f ca="1"/>
        <v>31.634175385209858</v>
      </c>
      <c r="O11" s="32">
        <f ca="1"/>
        <v>33.182159948181862</v>
      </c>
      <c r="P11" s="32">
        <f ca="1"/>
        <v>34.788516282477559</v>
      </c>
      <c r="Q11" s="32">
        <f ca="1"/>
        <v>36.483533736595803</v>
      </c>
      <c r="R11" s="32">
        <f ca="1"/>
        <v>38.265365805848546</v>
      </c>
      <c r="S11" s="32">
        <f ca="1"/>
        <v>40.147837078265781</v>
      </c>
      <c r="T11" s="32">
        <f ca="1"/>
        <v>42.129692850864586</v>
      </c>
      <c r="U11" s="32">
        <f ca="1"/>
        <v>44.199680338730843</v>
      </c>
      <c r="V11" s="32">
        <f ca="1"/>
        <v>46.362735926168881</v>
      </c>
      <c r="W11" s="32">
        <f ca="1"/>
        <v>48.633554862402974</v>
      </c>
      <c r="X11" s="32">
        <f ca="1"/>
        <v>51.005622462653548</v>
      </c>
      <c r="Y11" s="32">
        <f ca="1"/>
        <v>53.487563790953146</v>
      </c>
      <c r="Z11" s="32">
        <f ca="1"/>
        <v>56.110002590956668</v>
      </c>
      <c r="AA11" s="32">
        <f ca="1"/>
        <v>58.85327250435148</v>
      </c>
      <c r="AB11" s="32">
        <f ca="1"/>
        <v>61.731441792949283</v>
      </c>
      <c r="AC11" s="32">
        <f ca="1"/>
        <v>64.760583240821063</v>
      </c>
      <c r="AD11" s="32">
        <f ca="1"/>
        <v>67.928289505292355</v>
      </c>
      <c r="AE11" s="32">
        <f ca="1"/>
        <v>71.257830443452178</v>
      </c>
      <c r="AF11" s="32">
        <f ca="1"/>
        <v>74.78501770680532</v>
      </c>
      <c r="AG11" s="32">
        <f ca="1"/>
        <v>78.483912896181835</v>
      </c>
      <c r="AH11" s="32">
        <f ca="1"/>
        <v>82.362811731450847</v>
      </c>
      <c r="AI11" s="32">
        <f ca="1"/>
        <v>86.430508719415513</v>
      </c>
      <c r="AJ11" s="32">
        <f ca="1"/>
        <v>90.696281046209322</v>
      </c>
      <c r="AK11" s="32">
        <f ca="1"/>
        <v>95.169877878229954</v>
      </c>
      <c r="AL11" s="32">
        <f ca="1"/>
        <v>99.861481783503962</v>
      </c>
      <c r="AM11" s="32">
        <f ca="1"/>
        <v>0</v>
      </c>
      <c r="AN11" s="55">
        <f ca="1"/>
        <v>0</v>
      </c>
      <c r="AO11" s="8"/>
    </row>
    <row r="12" spans="2:41" x14ac:dyDescent="0.35">
      <c r="B12" s="8"/>
      <c r="C12" s="20" t="str">
        <f>INDEX(_Sector,2,1)</f>
        <v>Residential</v>
      </c>
      <c r="D12" s="8"/>
      <c r="E12" s="32">
        <f t="array" ref="E12:AN12" ca="1">tlccEmBC_Res*IF(bStdShipm,tShpsmlStd_Res,tShpsmlBC_Res)-tlccEmPol_Res*tShpsmlStd_Res</f>
        <v>5.8974508072446525</v>
      </c>
      <c r="F12" s="32">
        <f ca="1"/>
        <v>6.1885666671923616</v>
      </c>
      <c r="G12" s="32">
        <f ca="1"/>
        <v>11.5274119433424</v>
      </c>
      <c r="H12" s="32">
        <f ca="1"/>
        <v>12.1546434895982</v>
      </c>
      <c r="I12" s="32">
        <f ca="1"/>
        <v>12.834713642364875</v>
      </c>
      <c r="J12" s="32">
        <f ca="1"/>
        <v>13.534626272572211</v>
      </c>
      <c r="K12" s="32">
        <f ca="1"/>
        <v>14.265035094521323</v>
      </c>
      <c r="L12" s="32">
        <f ca="1"/>
        <v>15.021112674461222</v>
      </c>
      <c r="M12" s="32">
        <f ca="1"/>
        <v>15.800183752776377</v>
      </c>
      <c r="N12" s="32">
        <f ca="1"/>
        <v>16.605579539823822</v>
      </c>
      <c r="O12" s="32">
        <f ca="1"/>
        <v>17.429490114700485</v>
      </c>
      <c r="P12" s="32">
        <f ca="1"/>
        <v>18.286085023470861</v>
      </c>
      <c r="Q12" s="32">
        <f ca="1"/>
        <v>19.189216266453883</v>
      </c>
      <c r="R12" s="32">
        <f ca="1"/>
        <v>20.138764529156362</v>
      </c>
      <c r="S12" s="32">
        <f ca="1"/>
        <v>21.141656854440157</v>
      </c>
      <c r="T12" s="32">
        <f ca="1"/>
        <v>22.196540462897673</v>
      </c>
      <c r="U12" s="32">
        <f ca="1"/>
        <v>23.300319988436428</v>
      </c>
      <c r="V12" s="32">
        <f ca="1"/>
        <v>24.454507812150609</v>
      </c>
      <c r="W12" s="32">
        <f ca="1"/>
        <v>25.664872996654822</v>
      </c>
      <c r="X12" s="32">
        <f ca="1"/>
        <v>26.929551303451262</v>
      </c>
      <c r="Y12" s="32">
        <f ca="1"/>
        <v>28.25358644731358</v>
      </c>
      <c r="Z12" s="32">
        <f ca="1"/>
        <v>29.648869751142115</v>
      </c>
      <c r="AA12" s="32">
        <f ca="1"/>
        <v>31.108660663857222</v>
      </c>
      <c r="AB12" s="32">
        <f ca="1"/>
        <v>32.639645093428726</v>
      </c>
      <c r="AC12" s="32">
        <f ca="1"/>
        <v>34.247466689157591</v>
      </c>
      <c r="AD12" s="32">
        <f ca="1"/>
        <v>35.929078841456089</v>
      </c>
      <c r="AE12" s="32">
        <f ca="1"/>
        <v>37.695251120346484</v>
      </c>
      <c r="AF12" s="32">
        <f ca="1"/>
        <v>39.561148962818208</v>
      </c>
      <c r="AG12" s="32">
        <f ca="1"/>
        <v>41.517882132582713</v>
      </c>
      <c r="AH12" s="32">
        <f ca="1"/>
        <v>43.569839210269208</v>
      </c>
      <c r="AI12" s="32">
        <f ca="1"/>
        <v>45.721672644500131</v>
      </c>
      <c r="AJ12" s="32">
        <f ca="1"/>
        <v>47.978290231773542</v>
      </c>
      <c r="AK12" s="32">
        <f ca="1"/>
        <v>50.344849457421333</v>
      </c>
      <c r="AL12" s="32">
        <f ca="1"/>
        <v>52.826737088239383</v>
      </c>
      <c r="AM12" s="32">
        <f ca="1"/>
        <v>0</v>
      </c>
      <c r="AN12" s="55">
        <f ca="1"/>
        <v>0</v>
      </c>
      <c r="AO12" s="8"/>
    </row>
    <row r="13" spans="2:41" x14ac:dyDescent="0.35">
      <c r="B13" s="8"/>
      <c r="C13" s="20" t="str">
        <f>INDEX(_Sector,2,2)</f>
        <v>Commercial</v>
      </c>
      <c r="D13" s="8"/>
      <c r="E13" s="32">
        <f t="array" ref="E13:AN13" ca="1">tlccEmBC_Com*IF(bStdShipm,tShpsmlStd_Com,tShpsmlBC_Com)-tlccEmPol_Com*tShpsmlStd_Com</f>
        <v>4.9800003587571666</v>
      </c>
      <c r="F13" s="32">
        <f ca="1"/>
        <v>5.2225724721585038</v>
      </c>
      <c r="G13" s="32">
        <f ca="1"/>
        <v>10.51271570195226</v>
      </c>
      <c r="H13" s="32">
        <f ca="1"/>
        <v>11.073382305544044</v>
      </c>
      <c r="I13" s="32">
        <f ca="1"/>
        <v>11.680575810993957</v>
      </c>
      <c r="J13" s="32">
        <f ca="1"/>
        <v>12.30530494196357</v>
      </c>
      <c r="K13" s="32">
        <f ca="1"/>
        <v>12.955570584830454</v>
      </c>
      <c r="L13" s="32">
        <f ca="1"/>
        <v>13.627480866252355</v>
      </c>
      <c r="M13" s="32">
        <f ca="1"/>
        <v>14.316605990947068</v>
      </c>
      <c r="N13" s="32">
        <f ca="1"/>
        <v>15.028595845386036</v>
      </c>
      <c r="O13" s="32">
        <f ca="1"/>
        <v>15.752669833481377</v>
      </c>
      <c r="P13" s="32">
        <f ca="1"/>
        <v>16.502431259006698</v>
      </c>
      <c r="Q13" s="32">
        <f ca="1"/>
        <v>17.29431747014192</v>
      </c>
      <c r="R13" s="32">
        <f ca="1"/>
        <v>18.126601276692185</v>
      </c>
      <c r="S13" s="32">
        <f ca="1"/>
        <v>19.006180223825623</v>
      </c>
      <c r="T13" s="32">
        <f ca="1"/>
        <v>19.933152387966913</v>
      </c>
      <c r="U13" s="32">
        <f ca="1"/>
        <v>20.899360350294415</v>
      </c>
      <c r="V13" s="32">
        <f ca="1"/>
        <v>21.908228114018272</v>
      </c>
      <c r="W13" s="32">
        <f ca="1"/>
        <v>22.968681865748152</v>
      </c>
      <c r="X13" s="32">
        <f ca="1"/>
        <v>24.076071159202286</v>
      </c>
      <c r="Y13" s="32">
        <f ca="1"/>
        <v>25.233977343639566</v>
      </c>
      <c r="Z13" s="32">
        <f ca="1"/>
        <v>26.461132839814553</v>
      </c>
      <c r="AA13" s="32">
        <f ca="1"/>
        <v>27.744611840494258</v>
      </c>
      <c r="AB13" s="32">
        <f ca="1"/>
        <v>29.091796699520557</v>
      </c>
      <c r="AC13" s="32">
        <f ca="1"/>
        <v>30.513116551663472</v>
      </c>
      <c r="AD13" s="32">
        <f ca="1"/>
        <v>31.999210663836266</v>
      </c>
      <c r="AE13" s="32">
        <f ca="1"/>
        <v>33.562579323105695</v>
      </c>
      <c r="AF13" s="32">
        <f ca="1"/>
        <v>35.223868743987111</v>
      </c>
      <c r="AG13" s="32">
        <f ca="1"/>
        <v>36.966030763599122</v>
      </c>
      <c r="AH13" s="32">
        <f ca="1"/>
        <v>38.792972521181639</v>
      </c>
      <c r="AI13" s="32">
        <f ca="1"/>
        <v>40.708836074915382</v>
      </c>
      <c r="AJ13" s="32">
        <f ca="1"/>
        <v>42.71799081443578</v>
      </c>
      <c r="AK13" s="32">
        <f ca="1"/>
        <v>44.825028420808621</v>
      </c>
      <c r="AL13" s="32">
        <f ca="1"/>
        <v>47.034744695264578</v>
      </c>
      <c r="AM13" s="32">
        <f ca="1"/>
        <v>0</v>
      </c>
      <c r="AN13" s="55">
        <f ca="1"/>
        <v>0</v>
      </c>
      <c r="AO13" s="8"/>
    </row>
    <row r="14" spans="2:41" x14ac:dyDescent="0.35">
      <c r="B14" s="8"/>
      <c r="C14" s="10" t="s">
        <v>107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8"/>
      <c r="AO14" s="8"/>
    </row>
    <row r="15" spans="2:41" x14ac:dyDescent="0.35">
      <c r="B15" s="8"/>
      <c r="C15" s="20" t="str">
        <f>INDEX(_fuel,1)</f>
        <v>Electricity</v>
      </c>
      <c r="D15" s="11" t="s">
        <v>108</v>
      </c>
      <c r="E15" s="40">
        <f t="array" aca="1" ref="E15:AN15" ca="1">tsavElec_Res+tsavElec_Com</f>
        <v>0.23523490810495229</v>
      </c>
      <c r="F15" s="40">
        <f ca="1"/>
        <v>0.24468008309832578</v>
      </c>
      <c r="G15" s="40">
        <f ca="1"/>
        <v>0.87698178985965702</v>
      </c>
      <c r="H15" s="40">
        <f ca="1"/>
        <v>0.91940594485473515</v>
      </c>
      <c r="I15" s="40">
        <f ca="1"/>
        <v>0.96626012336574041</v>
      </c>
      <c r="J15" s="40">
        <f ca="1"/>
        <v>1.0160163152021733</v>
      </c>
      <c r="K15" s="40">
        <f ca="1"/>
        <v>1.0682150791655003</v>
      </c>
      <c r="L15" s="40">
        <f ca="1"/>
        <v>1.1221312203525109</v>
      </c>
      <c r="M15" s="40">
        <f ca="1"/>
        <v>1.177908262309562</v>
      </c>
      <c r="N15" s="40">
        <f ca="1"/>
        <v>1.2358033701012143</v>
      </c>
      <c r="O15" s="40">
        <f ca="1"/>
        <v>1.2958845192055231</v>
      </c>
      <c r="P15" s="40">
        <f ca="1"/>
        <v>1.3590324786851902</v>
      </c>
      <c r="Q15" s="40">
        <f ca="1"/>
        <v>1.4253114139077363</v>
      </c>
      <c r="R15" s="40">
        <f ca="1"/>
        <v>1.4952106821271318</v>
      </c>
      <c r="S15" s="40">
        <f ca="1"/>
        <v>1.569034899424576</v>
      </c>
      <c r="T15" s="40">
        <f ca="1"/>
        <v>1.6464969490024446</v>
      </c>
      <c r="U15" s="40">
        <f ca="1"/>
        <v>1.7276913328888952</v>
      </c>
      <c r="V15" s="40">
        <f ca="1"/>
        <v>1.8128905841635206</v>
      </c>
      <c r="W15" s="40">
        <f ca="1"/>
        <v>1.9023558521355168</v>
      </c>
      <c r="X15" s="40">
        <f ca="1"/>
        <v>1.9962310500374709</v>
      </c>
      <c r="Y15" s="40">
        <f ca="1"/>
        <v>2.0947501563991793</v>
      </c>
      <c r="Z15" s="40">
        <f ca="1"/>
        <v>2.1985585885756365</v>
      </c>
      <c r="AA15" s="40">
        <f ca="1"/>
        <v>2.3077692095806679</v>
      </c>
      <c r="AB15" s="40">
        <f ca="1"/>
        <v>2.422436949048441</v>
      </c>
      <c r="AC15" s="40">
        <f ca="1"/>
        <v>2.5428405133164791</v>
      </c>
      <c r="AD15" s="40">
        <f ca="1"/>
        <v>2.6690923391081913</v>
      </c>
      <c r="AE15" s="40">
        <f ca="1"/>
        <v>2.8013370319206814</v>
      </c>
      <c r="AF15" s="40">
        <f ca="1"/>
        <v>2.9399643103777695</v>
      </c>
      <c r="AG15" s="40">
        <f ca="1"/>
        <v>3.0853384565074187</v>
      </c>
      <c r="AH15" s="40">
        <f ca="1"/>
        <v>3.23778534282172</v>
      </c>
      <c r="AI15" s="40">
        <f ca="1"/>
        <v>3.3976504336074811</v>
      </c>
      <c r="AJ15" s="40">
        <f ca="1"/>
        <v>3.5652981504753392</v>
      </c>
      <c r="AK15" s="40">
        <f ca="1"/>
        <v>3.7411114505757439</v>
      </c>
      <c r="AL15" s="40">
        <f ca="1"/>
        <v>3.925490308941697</v>
      </c>
      <c r="AM15" s="40">
        <f ca="1"/>
        <v>0</v>
      </c>
      <c r="AN15" s="41">
        <f ca="1"/>
        <v>0</v>
      </c>
      <c r="AO15" s="8"/>
    </row>
    <row r="16" spans="2:41" x14ac:dyDescent="0.35">
      <c r="B16" s="8"/>
      <c r="C16" s="50" t="str">
        <f>INDEX(_Sector,2,1)</f>
        <v>Residential</v>
      </c>
      <c r="D16" s="8"/>
      <c r="E16" s="40">
        <f t="array" ref="E16:AN16" ca="1">tlccFmElecBC_Res*IF(bStdShipm,tShpsmlStd_Res,tShpsmlBC_Res)-tlccFmElecPol_Res*tShpsmlStd_Res</f>
        <v>9.1182151950025769E-2</v>
      </c>
      <c r="F16" s="40">
        <f ca="1"/>
        <v>9.4844832928103084E-2</v>
      </c>
      <c r="G16" s="40">
        <f ca="1"/>
        <v>0.33285471261974786</v>
      </c>
      <c r="H16" s="40">
        <f ca="1"/>
        <v>0.34893196803063287</v>
      </c>
      <c r="I16" s="40">
        <f ca="1"/>
        <v>0.36666809973676573</v>
      </c>
      <c r="J16" s="40">
        <f ca="1"/>
        <v>0.3855145522719079</v>
      </c>
      <c r="K16" s="40">
        <f ca="1"/>
        <v>0.40528326107330326</v>
      </c>
      <c r="L16" s="40">
        <f ca="1"/>
        <v>0.42569479320432091</v>
      </c>
      <c r="M16" s="40">
        <f ca="1"/>
        <v>0.44680283306031221</v>
      </c>
      <c r="N16" s="40">
        <f ca="1"/>
        <v>0.46870985887010441</v>
      </c>
      <c r="O16" s="40">
        <f ca="1"/>
        <v>0.49144431288684753</v>
      </c>
      <c r="P16" s="40">
        <f ca="1"/>
        <v>0.51535015309490007</v>
      </c>
      <c r="Q16" s="40">
        <f ca="1"/>
        <v>0.5404436489378126</v>
      </c>
      <c r="R16" s="40">
        <f ca="1"/>
        <v>0.56691132222442864</v>
      </c>
      <c r="S16" s="40">
        <f ca="1"/>
        <v>0.59486524938334284</v>
      </c>
      <c r="T16" s="40">
        <f ca="1"/>
        <v>0.62419285007455994</v>
      </c>
      <c r="U16" s="40">
        <f ca="1"/>
        <v>0.65493114121939477</v>
      </c>
      <c r="V16" s="40">
        <f ca="1"/>
        <v>0.68718941051017879</v>
      </c>
      <c r="W16" s="40">
        <f ca="1"/>
        <v>0.72106509774509586</v>
      </c>
      <c r="X16" s="40">
        <f ca="1"/>
        <v>0.75661197037103278</v>
      </c>
      <c r="Y16" s="40">
        <f ca="1"/>
        <v>0.79392310558716872</v>
      </c>
      <c r="Z16" s="40">
        <f ca="1"/>
        <v>0.83324444644774509</v>
      </c>
      <c r="AA16" s="40">
        <f ca="1"/>
        <v>0.87461785551410998</v>
      </c>
      <c r="AB16" s="40">
        <f ca="1"/>
        <v>0.91806134062266054</v>
      </c>
      <c r="AC16" s="40">
        <f ca="1"/>
        <v>0.96368400287910916</v>
      </c>
      <c r="AD16" s="40">
        <f ca="1"/>
        <v>1.0115262867825141</v>
      </c>
      <c r="AE16" s="40">
        <f ca="1"/>
        <v>1.0616410580931745</v>
      </c>
      <c r="AF16" s="40">
        <f ca="1"/>
        <v>1.1141769242841253</v>
      </c>
      <c r="AG16" s="40">
        <f ca="1"/>
        <v>1.1692696357131247</v>
      </c>
      <c r="AH16" s="40">
        <f ca="1"/>
        <v>1.2270426860153343</v>
      </c>
      <c r="AI16" s="40">
        <f ca="1"/>
        <v>1.2876269933569269</v>
      </c>
      <c r="AJ16" s="40">
        <f ca="1"/>
        <v>1.3511606599720416</v>
      </c>
      <c r="AK16" s="40">
        <f ca="1"/>
        <v>1.4177888122961484</v>
      </c>
      <c r="AL16" s="40">
        <f ca="1"/>
        <v>1.4876630257917789</v>
      </c>
      <c r="AM16" s="40">
        <f ca="1"/>
        <v>0</v>
      </c>
      <c r="AN16" s="41">
        <f ca="1"/>
        <v>0</v>
      </c>
      <c r="AO16" s="8"/>
    </row>
    <row r="17" spans="2:41" x14ac:dyDescent="0.35">
      <c r="B17" s="8"/>
      <c r="C17" s="58" t="str">
        <f>INDEX(_Sector,2,2)</f>
        <v>Commercial</v>
      </c>
      <c r="D17" s="56"/>
      <c r="E17" s="48">
        <f t="array" ref="E17:AN17" ca="1">tlccFmElecBC_Com*IF(bStdShipm,tShpsmlStd_Com,tShpsmlBC_Com)-tlccFmElecPol_Com*tShpsmlStd_Com</f>
        <v>0.14405275615492652</v>
      </c>
      <c r="F17" s="48">
        <f ca="1"/>
        <v>0.1498352501702227</v>
      </c>
      <c r="G17" s="48">
        <f ca="1"/>
        <v>0.54412707723990916</v>
      </c>
      <c r="H17" s="48">
        <f ca="1"/>
        <v>0.57047397682410228</v>
      </c>
      <c r="I17" s="48">
        <f ca="1"/>
        <v>0.59959202362897468</v>
      </c>
      <c r="J17" s="48">
        <f ca="1"/>
        <v>0.63050176293026539</v>
      </c>
      <c r="K17" s="48">
        <f ca="1"/>
        <v>0.66293181809219703</v>
      </c>
      <c r="L17" s="48">
        <f ca="1"/>
        <v>0.69643642714818998</v>
      </c>
      <c r="M17" s="48">
        <f ca="1"/>
        <v>0.73110542924924982</v>
      </c>
      <c r="N17" s="48">
        <f ca="1"/>
        <v>0.76709351123110991</v>
      </c>
      <c r="O17" s="48">
        <f ca="1"/>
        <v>0.80444020631867552</v>
      </c>
      <c r="P17" s="48">
        <f ca="1"/>
        <v>0.84368232559029011</v>
      </c>
      <c r="Q17" s="48">
        <f ca="1"/>
        <v>0.8848677649699237</v>
      </c>
      <c r="R17" s="48">
        <f ca="1"/>
        <v>0.92829935990270318</v>
      </c>
      <c r="S17" s="48">
        <f ca="1"/>
        <v>0.97416965004123313</v>
      </c>
      <c r="T17" s="48">
        <f ca="1"/>
        <v>1.0223040989278847</v>
      </c>
      <c r="U17" s="48">
        <f ca="1"/>
        <v>1.0727601916695004</v>
      </c>
      <c r="V17" s="48">
        <f ca="1"/>
        <v>1.1257011736533418</v>
      </c>
      <c r="W17" s="48">
        <f ca="1"/>
        <v>1.181290754390421</v>
      </c>
      <c r="X17" s="48">
        <f ca="1"/>
        <v>1.2396190796664381</v>
      </c>
      <c r="Y17" s="48">
        <f ca="1"/>
        <v>1.3008270508120106</v>
      </c>
      <c r="Z17" s="48">
        <f ca="1"/>
        <v>1.3653141421278914</v>
      </c>
      <c r="AA17" s="48">
        <f ca="1"/>
        <v>1.4331513540665579</v>
      </c>
      <c r="AB17" s="48">
        <f ca="1"/>
        <v>1.5043756084257804</v>
      </c>
      <c r="AC17" s="48">
        <f ca="1"/>
        <v>1.5791565104373699</v>
      </c>
      <c r="AD17" s="48">
        <f ca="1"/>
        <v>1.6575660523256772</v>
      </c>
      <c r="AE17" s="48">
        <f ca="1"/>
        <v>1.7396959738275068</v>
      </c>
      <c r="AF17" s="48">
        <f ca="1"/>
        <v>1.8257873860936442</v>
      </c>
      <c r="AG17" s="48">
        <f ca="1"/>
        <v>1.916068820794294</v>
      </c>
      <c r="AH17" s="48">
        <f ca="1"/>
        <v>2.0107426568063858</v>
      </c>
      <c r="AI17" s="48">
        <f ca="1"/>
        <v>2.1100234402505542</v>
      </c>
      <c r="AJ17" s="48">
        <f ca="1"/>
        <v>2.2141374905032976</v>
      </c>
      <c r="AK17" s="48">
        <f ca="1"/>
        <v>2.3233226382795955</v>
      </c>
      <c r="AL17" s="48">
        <f ca="1"/>
        <v>2.4378272831499181</v>
      </c>
      <c r="AM17" s="48">
        <f ca="1"/>
        <v>0</v>
      </c>
      <c r="AN17" s="49">
        <f ca="1"/>
        <v>0</v>
      </c>
      <c r="AO17" s="8"/>
    </row>
    <row r="18" spans="2:41" x14ac:dyDescent="0.3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2:41" x14ac:dyDescent="0.35">
      <c r="B19" s="8"/>
      <c r="C19" s="23" t="s">
        <v>103</v>
      </c>
      <c r="D19" s="24"/>
      <c r="E19" s="26">
        <f t="array" ref="E19:AN19">_yS</f>
        <v>2024</v>
      </c>
      <c r="F19" s="26">
        <v>2025</v>
      </c>
      <c r="G19" s="26">
        <v>2026</v>
      </c>
      <c r="H19" s="26">
        <v>2027</v>
      </c>
      <c r="I19" s="26">
        <v>2028</v>
      </c>
      <c r="J19" s="26">
        <v>2029</v>
      </c>
      <c r="K19" s="26">
        <v>2030</v>
      </c>
      <c r="L19" s="26">
        <v>2031</v>
      </c>
      <c r="M19" s="26">
        <v>2032</v>
      </c>
      <c r="N19" s="26">
        <v>2033</v>
      </c>
      <c r="O19" s="26">
        <v>2034</v>
      </c>
      <c r="P19" s="26">
        <v>2035</v>
      </c>
      <c r="Q19" s="26">
        <v>2036</v>
      </c>
      <c r="R19" s="26">
        <v>2037</v>
      </c>
      <c r="S19" s="26">
        <v>2038</v>
      </c>
      <c r="T19" s="26">
        <v>2039</v>
      </c>
      <c r="U19" s="26">
        <v>2040</v>
      </c>
      <c r="V19" s="26">
        <v>2041</v>
      </c>
      <c r="W19" s="26">
        <v>2042</v>
      </c>
      <c r="X19" s="26">
        <v>2043</v>
      </c>
      <c r="Y19" s="26">
        <v>2044</v>
      </c>
      <c r="Z19" s="26">
        <v>2045</v>
      </c>
      <c r="AA19" s="26">
        <v>2046</v>
      </c>
      <c r="AB19" s="26">
        <v>2047</v>
      </c>
      <c r="AC19" s="26">
        <v>2048</v>
      </c>
      <c r="AD19" s="26">
        <v>2049</v>
      </c>
      <c r="AE19" s="26">
        <v>2050</v>
      </c>
      <c r="AF19" s="26">
        <v>2051</v>
      </c>
      <c r="AG19" s="26">
        <v>2052</v>
      </c>
      <c r="AH19" s="26">
        <v>2053</v>
      </c>
      <c r="AI19" s="26">
        <v>2054</v>
      </c>
      <c r="AJ19" s="26">
        <v>2055</v>
      </c>
      <c r="AK19" s="26">
        <v>2056</v>
      </c>
      <c r="AL19" s="26">
        <v>2057</v>
      </c>
      <c r="AM19" s="26">
        <v>2058</v>
      </c>
      <c r="AN19" s="27">
        <v>2059</v>
      </c>
      <c r="AO19" s="8"/>
    </row>
    <row r="20" spans="2:41" x14ac:dyDescent="0.35">
      <c r="B20" s="8"/>
      <c r="C20" s="9" t="str">
        <f>"No-Stds Case (CSL 0): " &amp; INDEX(_doName,1,1)</f>
        <v>No-Stds Case (CSL 0): Baseline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18"/>
      <c r="AO20" s="8"/>
    </row>
    <row r="21" spans="2:41" x14ac:dyDescent="0.35">
      <c r="B21" s="8"/>
      <c r="C21" s="10" t="s">
        <v>70</v>
      </c>
      <c r="D21" s="11" t="str">
        <f>_yearDol &amp; "$"</f>
        <v>2021$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55"/>
      <c r="AO21" s="8"/>
    </row>
    <row r="22" spans="2:41" x14ac:dyDescent="0.35">
      <c r="B22" s="8"/>
      <c r="C22" s="20" t="str">
        <f>INDEX(_Sector,2,1)</f>
        <v>Residential</v>
      </c>
      <c r="D22" s="8"/>
      <c r="E22" s="32">
        <f>SUMPRODUCT(INDEX(bcEff_Res,,1),INDEX(tlccQu_Res,,1))</f>
        <v>69.561149151939659</v>
      </c>
      <c r="F22" s="32">
        <f ca="1">SUMPRODUCT(INDEX(bcEff_Res,,2),INDEX(tlccQu_Res,,2))</f>
        <v>69.062342429918402</v>
      </c>
      <c r="G22" s="32">
        <f ca="1">SUMPRODUCT(INDEX(bcEff_Res,,3),INDEX(tlccQu_Res,,3))</f>
        <v>68.586256886386096</v>
      </c>
      <c r="H22" s="32">
        <f ca="1">SUMPRODUCT(INDEX(bcEff_Res,,4),INDEX(tlccQu_Res,,4))</f>
        <v>68.129174242574905</v>
      </c>
      <c r="I22" s="32">
        <f ca="1">SUMPRODUCT(INDEX(bcEff_Res,,5),INDEX(tlccQu_Res,,5))</f>
        <v>67.688428324260087</v>
      </c>
      <c r="J22" s="32">
        <f ca="1">SUMPRODUCT(INDEX(bcEff_Res,,6),INDEX(tlccQu_Res,,6))</f>
        <v>67.262222464288925</v>
      </c>
      <c r="K22" s="32">
        <f ca="1">SUMPRODUCT(INDEX(bcEff_Res,,7),INDEX(tlccQu_Res,,7))</f>
        <v>66.849316641486254</v>
      </c>
      <c r="L22" s="32">
        <f ca="1">SUMPRODUCT(INDEX(bcEff_Res,,8),INDEX(tlccQu_Res,,8))</f>
        <v>66.448800868602106</v>
      </c>
      <c r="M22" s="32">
        <f ca="1">SUMPRODUCT(INDEX(bcEff_Res,,9),INDEX(tlccQu_Res,,9))</f>
        <v>66.059884754401097</v>
      </c>
      <c r="N22" s="32">
        <f ca="1">SUMPRODUCT(INDEX(bcEff_Res,,10),INDEX(tlccQu_Res,,10))</f>
        <v>65.681796791504354</v>
      </c>
      <c r="O22" s="32">
        <f ca="1">SUMPRODUCT(INDEX(bcEff_Res,,11),INDEX(tlccQu_Res,,11))</f>
        <v>65.313760398841211</v>
      </c>
      <c r="P22" s="32">
        <f ca="1">SUMPRODUCT(INDEX(bcEff_Res,,12),INDEX(tlccQu_Res,,12))</f>
        <v>64.95499763652883</v>
      </c>
      <c r="Q22" s="32">
        <f ca="1">SUMPRODUCT(INDEX(bcEff_Res,,13),INDEX(tlccQu_Res,,13))</f>
        <v>64.604764476839279</v>
      </c>
      <c r="R22" s="32">
        <f ca="1">SUMPRODUCT(INDEX(bcEff_Res,,14),INDEX(tlccQu_Res,,14))</f>
        <v>64.262387699502824</v>
      </c>
      <c r="S22" s="32">
        <f ca="1">SUMPRODUCT(INDEX(bcEff_Res,,15),INDEX(tlccQu_Res,,15))</f>
        <v>63.927253987624375</v>
      </c>
      <c r="T22" s="32">
        <f ca="1">SUMPRODUCT(INDEX(bcEff_Res,,16),INDEX(tlccQu_Res,,16))</f>
        <v>63.598884672566001</v>
      </c>
      <c r="U22" s="32">
        <f ca="1">SUMPRODUCT(INDEX(bcEff_Res,,17),INDEX(tlccQu_Res,,17))</f>
        <v>63.27683630844345</v>
      </c>
      <c r="V22" s="32">
        <f ca="1">SUMPRODUCT(INDEX(bcEff_Res,,18),INDEX(tlccQu_Res,,18))</f>
        <v>62.960723489112247</v>
      </c>
      <c r="W22" s="32">
        <f ca="1">SUMPRODUCT(INDEX(bcEff_Res,,19),INDEX(tlccQu_Res,,19))</f>
        <v>62.650202697521912</v>
      </c>
      <c r="X22" s="32">
        <f ca="1">SUMPRODUCT(INDEX(bcEff_Res,,20),INDEX(tlccQu_Res,,20))</f>
        <v>62.344960014163213</v>
      </c>
      <c r="Y22" s="32">
        <f ca="1">SUMPRODUCT(INDEX(bcEff_Res,,21),INDEX(tlccQu_Res,,21))</f>
        <v>62.044704962656013</v>
      </c>
      <c r="Z22" s="32">
        <f ca="1">SUMPRODUCT(INDEX(bcEff_Res,,22),INDEX(tlccQu_Res,,22))</f>
        <v>61.74916553442722</v>
      </c>
      <c r="AA22" s="32">
        <f ca="1">SUMPRODUCT(INDEX(bcEff_Res,,23),INDEX(tlccQu_Res,,23))</f>
        <v>61.45808831330703</v>
      </c>
      <c r="AB22" s="32">
        <f ca="1">SUMPRODUCT(INDEX(bcEff_Res,,24),INDEX(tlccQu_Res,,24))</f>
        <v>61.171238410004491</v>
      </c>
      <c r="AC22" s="32">
        <f ca="1">SUMPRODUCT(INDEX(bcEff_Res,,25),INDEX(tlccQu_Res,,25))</f>
        <v>60.88839925999298</v>
      </c>
      <c r="AD22" s="32">
        <f ca="1">SUMPRODUCT(INDEX(bcEff_Res,,26),INDEX(tlccQu_Res,,26))</f>
        <v>60.609371894213517</v>
      </c>
      <c r="AE22" s="32">
        <f ca="1">SUMPRODUCT(INDEX(bcEff_Res,,27),INDEX(tlccQu_Res,,27))</f>
        <v>60.333973565676388</v>
      </c>
      <c r="AF22" s="32">
        <f ca="1">SUMPRODUCT(INDEX(bcEff_Res,,28),INDEX(tlccQu_Res,,28))</f>
        <v>60.062036040308442</v>
      </c>
      <c r="AG22" s="32">
        <f ca="1">SUMPRODUCT(INDEX(bcEff_Res,,29),INDEX(tlccQu_Res,,29))</f>
        <v>59.793403829582395</v>
      </c>
      <c r="AH22" s="32">
        <f ca="1">SUMPRODUCT(INDEX(bcEff_Res,,30),INDEX(tlccQu_Res,,30))</f>
        <v>59.527932587209932</v>
      </c>
      <c r="AI22" s="32">
        <f ca="1">SUMPRODUCT(INDEX(bcEff_Res,,31),INDEX(tlccQu_Res,,31))</f>
        <v>59.265487815931095</v>
      </c>
      <c r="AJ22" s="32">
        <f ca="1">SUMPRODUCT(INDEX(bcEff_Res,,32),INDEX(tlccQu_Res,,32))</f>
        <v>59.005943881593346</v>
      </c>
      <c r="AK22" s="32">
        <f ca="1">SUMPRODUCT(INDEX(bcEff_Res,,33),INDEX(tlccQu_Res,,33))</f>
        <v>58.749183247642378</v>
      </c>
      <c r="AL22" s="32">
        <f ca="1">SUMPRODUCT(INDEX(bcEff_Res,,34),INDEX(tlccQu_Res,,34))</f>
        <v>58.49509594684983</v>
      </c>
      <c r="AM22" s="32">
        <f ca="1">SUMPRODUCT(INDEX(bcEff_Res,,35),INDEX(tlccQu_Res,,35))</f>
        <v>58.243578995753957</v>
      </c>
      <c r="AN22" s="55">
        <f ca="1">SUMPRODUCT(INDEX(bcEff_Res,,36),INDEX(tlccQu_Res,,36))</f>
        <v>57.994535966813011</v>
      </c>
      <c r="AO22" s="8"/>
    </row>
    <row r="23" spans="2:41" x14ac:dyDescent="0.35">
      <c r="B23" s="8"/>
      <c r="C23" s="20" t="str">
        <f>INDEX(_Sector,2,2)</f>
        <v>Commercial</v>
      </c>
      <c r="D23" s="8"/>
      <c r="E23" s="32">
        <f>SUMPRODUCT(INDEX(bcEff_Com,,1),INDEX(tlccQu_Com,,1))</f>
        <v>67.273684107441099</v>
      </c>
      <c r="F23" s="32">
        <f ca="1">SUMPRODUCT(INDEX(bcEff_Com,,2),INDEX(tlccQu_Com,,2))</f>
        <v>66.791302330943068</v>
      </c>
      <c r="G23" s="32">
        <f ca="1">SUMPRODUCT(INDEX(bcEff_Com,,3),INDEX(tlccQu_Com,,3))</f>
        <v>66.330893559137536</v>
      </c>
      <c r="H23" s="32">
        <f ca="1">SUMPRODUCT(INDEX(bcEff_Com,,4),INDEX(tlccQu_Com,,4))</f>
        <v>65.888861950512464</v>
      </c>
      <c r="I23" s="32">
        <f ca="1">SUMPRODUCT(INDEX(bcEff_Com,,5),INDEX(tlccQu_Com,,5))</f>
        <v>65.462629123898893</v>
      </c>
      <c r="J23" s="32">
        <f ca="1">SUMPRODUCT(INDEX(bcEff_Com,,6),INDEX(tlccQu_Com,,6))</f>
        <v>65.05045757365663</v>
      </c>
      <c r="K23" s="32">
        <f ca="1">SUMPRODUCT(INDEX(bcEff_Com,,7),INDEX(tlccQu_Com,,7))</f>
        <v>64.651148110618863</v>
      </c>
      <c r="L23" s="32">
        <f ca="1">SUMPRODUCT(INDEX(bcEff_Com,,8),INDEX(tlccQu_Com,,8))</f>
        <v>64.26382071202957</v>
      </c>
      <c r="M23" s="32">
        <f ca="1">SUMPRODUCT(INDEX(bcEff_Com,,9),INDEX(tlccQu_Com,,9))</f>
        <v>63.887711013032778</v>
      </c>
      <c r="N23" s="32">
        <f ca="1">SUMPRODUCT(INDEX(bcEff_Com,,10),INDEX(tlccQu_Com,,10))</f>
        <v>63.522072910812319</v>
      </c>
      <c r="O23" s="32">
        <f ca="1">SUMPRODUCT(INDEX(bcEff_Com,,11),INDEX(tlccQu_Com,,11))</f>
        <v>63.166155395929252</v>
      </c>
      <c r="P23" s="32">
        <f ca="1">SUMPRODUCT(INDEX(bcEff_Com,,12),INDEX(tlccQu_Com,,12))</f>
        <v>62.819206144876013</v>
      </c>
      <c r="Q23" s="32">
        <f ca="1">SUMPRODUCT(INDEX(bcEff_Com,,13),INDEX(tlccQu_Com,,13))</f>
        <v>62.480505629624417</v>
      </c>
      <c r="R23" s="32">
        <f ca="1">SUMPRODUCT(INDEX(bcEff_Com,,14),INDEX(tlccQu_Com,,14))</f>
        <v>62.149402798022642</v>
      </c>
      <c r="S23" s="32">
        <f ca="1">SUMPRODUCT(INDEX(bcEff_Com,,15),INDEX(tlccQu_Com,,15))</f>
        <v>61.825304528766715</v>
      </c>
      <c r="T23" s="32">
        <f ca="1">SUMPRODUCT(INDEX(bcEff_Com,,16),INDEX(tlccQu_Com,,16))</f>
        <v>61.507747915047801</v>
      </c>
      <c r="U23" s="32">
        <f ca="1">SUMPRODUCT(INDEX(bcEff_Com,,17),INDEX(tlccQu_Com,,17))</f>
        <v>61.196304112979114</v>
      </c>
      <c r="V23" s="32">
        <f ca="1">SUMPRODUCT(INDEX(bcEff_Com,,18),INDEX(tlccQu_Com,,18))</f>
        <v>60.890600407253402</v>
      </c>
      <c r="W23" s="32">
        <f ca="1">SUMPRODUCT(INDEX(bcEff_Com,,19),INDEX(tlccQu_Com,,19))</f>
        <v>60.590304592313402</v>
      </c>
      <c r="X23" s="32">
        <f ca="1">SUMPRODUCT(INDEX(bcEff_Com,,20),INDEX(tlccQu_Com,,20))</f>
        <v>60.295113085541111</v>
      </c>
      <c r="Y23" s="32">
        <f ca="1">SUMPRODUCT(INDEX(bcEff_Com,,21),INDEX(tlccQu_Com,,21))</f>
        <v>60.00474497550114</v>
      </c>
      <c r="Z23" s="32">
        <f ca="1">SUMPRODUCT(INDEX(bcEff_Com,,22),INDEX(tlccQu_Com,,22))</f>
        <v>59.71893721044831</v>
      </c>
      <c r="AA23" s="32">
        <f ca="1">SUMPRODUCT(INDEX(bcEff_Com,,23),INDEX(tlccQu_Com,,23))</f>
        <v>59.437444718821297</v>
      </c>
      <c r="AB23" s="32">
        <f ca="1">SUMPRODUCT(INDEX(bcEff_Com,,24),INDEX(tlccQu_Com,,24))</f>
        <v>59.160040345875665</v>
      </c>
      <c r="AC23" s="32">
        <f ca="1">SUMPRODUCT(INDEX(bcEff_Com,,25),INDEX(tlccQu_Com,,25))</f>
        <v>58.886514658224783</v>
      </c>
      <c r="AD23" s="32">
        <f ca="1">SUMPRODUCT(INDEX(bcEff_Com,,26),INDEX(tlccQu_Com,,26))</f>
        <v>58.616675238557676</v>
      </c>
      <c r="AE23" s="32">
        <f ca="1">SUMPRODUCT(INDEX(bcEff_Com,,27),INDEX(tlccQu_Com,,27))</f>
        <v>58.350345357464633</v>
      </c>
      <c r="AF23" s="32">
        <f ca="1">SUMPRODUCT(INDEX(bcEff_Com,,28),INDEX(tlccQu_Com,,28))</f>
        <v>58.087362320564246</v>
      </c>
      <c r="AG23" s="32">
        <f ca="1">SUMPRODUCT(INDEX(bcEff_Com,,29),INDEX(tlccQu_Com,,29))</f>
        <v>57.827575759329619</v>
      </c>
      <c r="AH23" s="32">
        <f ca="1">SUMPRODUCT(INDEX(bcEff_Com,,30),INDEX(tlccQu_Com,,30))</f>
        <v>57.570846080575777</v>
      </c>
      <c r="AI23" s="32">
        <f ca="1">SUMPRODUCT(INDEX(bcEff_Com,,31),INDEX(tlccQu_Com,,31))</f>
        <v>57.317043215832683</v>
      </c>
      <c r="AJ23" s="32">
        <f ca="1">SUMPRODUCT(INDEX(bcEff_Com,,32),INDEX(tlccQu_Com,,32))</f>
        <v>57.066045667889071</v>
      </c>
      <c r="AK23" s="32">
        <f ca="1">SUMPRODUCT(INDEX(bcEff_Com,,33),INDEX(tlccQu_Com,,33))</f>
        <v>56.817739770490277</v>
      </c>
      <c r="AL23" s="32">
        <f ca="1">SUMPRODUCT(INDEX(bcEff_Com,,34),INDEX(tlccQu_Com,,34))</f>
        <v>56.572019177461307</v>
      </c>
      <c r="AM23" s="32">
        <f ca="1">SUMPRODUCT(INDEX(bcEff_Com,,35),INDEX(tlccQu_Com,,35))</f>
        <v>56.328784296428907</v>
      </c>
      <c r="AN23" s="55">
        <f ca="1">SUMPRODUCT(INDEX(bcEff_Com,,36),INDEX(tlccQu_Com,,36))</f>
        <v>56.087941875063422</v>
      </c>
      <c r="AO23" s="8"/>
    </row>
    <row r="24" spans="2:41" x14ac:dyDescent="0.35">
      <c r="B24" s="8"/>
      <c r="C24" s="10" t="str">
        <f>zEO&amp;" Costs"</f>
        <v>Operating Costs</v>
      </c>
      <c r="D24" s="11" t="str">
        <f>_yearDol &amp; "$"</f>
        <v>2021$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55"/>
      <c r="AO24" s="8"/>
    </row>
    <row r="25" spans="2:41" x14ac:dyDescent="0.35">
      <c r="B25" s="8"/>
      <c r="C25" s="20" t="str">
        <f>INDEX(_Sector,2,1)</f>
        <v>Residential</v>
      </c>
      <c r="D25" s="8"/>
      <c r="E25" s="32">
        <f ca="1">SUMPRODUCT(INDEX(bcEff_Res,,1),INDEX(tlccEu_Res,,1))</f>
        <v>93.387628606267057</v>
      </c>
      <c r="F25" s="32">
        <f ca="1">SUMPRODUCT(INDEX(bcEff_Res,,2),INDEX(tlccEu_Res,,2))</f>
        <v>93.450595304086008</v>
      </c>
      <c r="G25" s="32">
        <f ca="1">SUMPRODUCT(INDEX(bcEff_Res,,3),INDEX(tlccEu_Res,,3))</f>
        <v>93.549592904665673</v>
      </c>
      <c r="H25" s="32">
        <f ca="1">SUMPRODUCT(INDEX(bcEff_Res,,4),INDEX(tlccEu_Res,,4))</f>
        <v>93.664341301448275</v>
      </c>
      <c r="I25" s="32">
        <f ca="1">SUMPRODUCT(INDEX(bcEff_Res,,5),INDEX(tlccEu_Res,,5))</f>
        <v>93.771969596415559</v>
      </c>
      <c r="J25" s="32">
        <f ca="1">SUMPRODUCT(INDEX(bcEff_Res,,6),INDEX(tlccEu_Res,,6))</f>
        <v>93.862251844031718</v>
      </c>
      <c r="K25" s="32">
        <f ca="1">SUMPRODUCT(INDEX(bcEff_Res,,7),INDEX(tlccEu_Res,,7))</f>
        <v>93.932246791353336</v>
      </c>
      <c r="L25" s="32">
        <f ca="1">SUMPRODUCT(INDEX(bcEff_Res,,8),INDEX(tlccEu_Res,,8))</f>
        <v>93.987969171731592</v>
      </c>
      <c r="M25" s="32">
        <f ca="1">SUMPRODUCT(INDEX(bcEff_Res,,9),INDEX(tlccEu_Res,,9))</f>
        <v>94.016603696711201</v>
      </c>
      <c r="N25" s="32">
        <f ca="1">SUMPRODUCT(INDEX(bcEff_Res,,10),INDEX(tlccEu_Res,,10))</f>
        <v>94.021830862346178</v>
      </c>
      <c r="O25" s="32">
        <f ca="1">SUMPRODUCT(INDEX(bcEff_Res,,11),INDEX(tlccEu_Res,,11))</f>
        <v>93.98454056942218</v>
      </c>
      <c r="P25" s="32">
        <f ca="1">SUMPRODUCT(INDEX(bcEff_Res,,12),INDEX(tlccEu_Res,,12))</f>
        <v>93.912188498880113</v>
      </c>
      <c r="Q25" s="32">
        <f ca="1">SUMPRODUCT(INDEX(bcEff_Res,,13),INDEX(tlccEu_Res,,13))</f>
        <v>93.854617971423707</v>
      </c>
      <c r="R25" s="32">
        <f ca="1">SUMPRODUCT(INDEX(bcEff_Res,,14),INDEX(tlccEu_Res,,14))</f>
        <v>93.794820679048726</v>
      </c>
      <c r="S25" s="32">
        <f ca="1">SUMPRODUCT(INDEX(bcEff_Res,,15),INDEX(tlccEu_Res,,15))</f>
        <v>93.749215550226964</v>
      </c>
      <c r="T25" s="32">
        <f ca="1">SUMPRODUCT(INDEX(bcEff_Res,,16),INDEX(tlccEu_Res,,16))</f>
        <v>93.719045584599115</v>
      </c>
      <c r="U25" s="32">
        <f ca="1">SUMPRODUCT(INDEX(bcEff_Res,,17),INDEX(tlccEu_Res,,17))</f>
        <v>93.676418655878166</v>
      </c>
      <c r="V25" s="32">
        <f ca="1">SUMPRODUCT(INDEX(bcEff_Res,,18),INDEX(tlccEu_Res,,18))</f>
        <v>93.62393987849012</v>
      </c>
      <c r="W25" s="32">
        <f ca="1">SUMPRODUCT(INDEX(bcEff_Res,,19),INDEX(tlccEu_Res,,19))</f>
        <v>93.57734681304899</v>
      </c>
      <c r="X25" s="32">
        <f ca="1">SUMPRODUCT(INDEX(bcEff_Res,,20),INDEX(tlccEu_Res,,20))</f>
        <v>93.520045052136751</v>
      </c>
      <c r="Y25" s="32">
        <f ca="1">SUMPRODUCT(INDEX(bcEff_Res,,21),INDEX(tlccEu_Res,,21))</f>
        <v>93.4644552813986</v>
      </c>
      <c r="Z25" s="32">
        <f ca="1">SUMPRODUCT(INDEX(bcEff_Res,,22),INDEX(tlccEu_Res,,22))</f>
        <v>93.434223412449114</v>
      </c>
      <c r="AA25" s="32">
        <f ca="1">SUMPRODUCT(INDEX(bcEff_Res,,23),INDEX(tlccEu_Res,,23))</f>
        <v>93.394534785956523</v>
      </c>
      <c r="AB25" s="32">
        <f ca="1">SUMPRODUCT(INDEX(bcEff_Res,,24),INDEX(tlccEu_Res,,24))</f>
        <v>93.356027278939621</v>
      </c>
      <c r="AC25" s="32">
        <f ca="1">SUMPRODUCT(INDEX(bcEff_Res,,25),INDEX(tlccEu_Res,,25))</f>
        <v>93.324561094646967</v>
      </c>
      <c r="AD25" s="32">
        <f ca="1">SUMPRODUCT(INDEX(bcEff_Res,,26),INDEX(tlccEu_Res,,26))</f>
        <v>93.281740942989089</v>
      </c>
      <c r="AE25" s="32">
        <f ca="1">SUMPRODUCT(INDEX(bcEff_Res,,27),INDEX(tlccEu_Res,,27))</f>
        <v>93.247206490340687</v>
      </c>
      <c r="AF25" s="32">
        <f ca="1">SUMPRODUCT(INDEX(bcEff_Res,,28),INDEX(tlccEu_Res,,28))</f>
        <v>93.247206490340687</v>
      </c>
      <c r="AG25" s="32">
        <f ca="1">SUMPRODUCT(INDEX(bcEff_Res,,29),INDEX(tlccEu_Res,,29))</f>
        <v>93.247206490340687</v>
      </c>
      <c r="AH25" s="32">
        <f ca="1">SUMPRODUCT(INDEX(bcEff_Res,,30),INDEX(tlccEu_Res,,30))</f>
        <v>93.247206490340687</v>
      </c>
      <c r="AI25" s="32">
        <f ca="1">SUMPRODUCT(INDEX(bcEff_Res,,31),INDEX(tlccEu_Res,,31))</f>
        <v>93.247206490340687</v>
      </c>
      <c r="AJ25" s="32">
        <f ca="1">SUMPRODUCT(INDEX(bcEff_Res,,32),INDEX(tlccEu_Res,,32))</f>
        <v>93.247206490340687</v>
      </c>
      <c r="AK25" s="32">
        <f ca="1">SUMPRODUCT(INDEX(bcEff_Res,,33),INDEX(tlccEu_Res,,33))</f>
        <v>93.247206490340687</v>
      </c>
      <c r="AL25" s="32">
        <f ca="1">SUMPRODUCT(INDEX(bcEff_Res,,34),INDEX(tlccEu_Res,,34))</f>
        <v>93.247206490340687</v>
      </c>
      <c r="AM25" s="32">
        <f ca="1">SUMPRODUCT(INDEX(bcEff_Res,,35),INDEX(tlccEu_Res,,35))</f>
        <v>93.247206490340687</v>
      </c>
      <c r="AN25" s="55">
        <f ca="1">SUMPRODUCT(INDEX(bcEff_Res,,36),INDEX(tlccEu_Res,,36))</f>
        <v>93.247206490340687</v>
      </c>
      <c r="AO25" s="8"/>
    </row>
    <row r="26" spans="2:41" x14ac:dyDescent="0.35">
      <c r="B26" s="8"/>
      <c r="C26" s="20" t="str">
        <f>INDEX(_Sector,2,2)</f>
        <v>Commercial</v>
      </c>
      <c r="D26" s="8"/>
      <c r="E26" s="32">
        <f ca="1">SUMPRODUCT(INDEX(bcEff_Com,,1),INDEX(tlccEu_Com,,1))</f>
        <v>116.33202362897997</v>
      </c>
      <c r="F26" s="32">
        <f ca="1">SUMPRODUCT(INDEX(bcEff_Com,,2),INDEX(tlccEu_Com,,2))</f>
        <v>116.31115741427669</v>
      </c>
      <c r="G26" s="32">
        <f ca="1">SUMPRODUCT(INDEX(bcEff_Com,,3),INDEX(tlccEu_Com,,3))</f>
        <v>116.32657026318904</v>
      </c>
      <c r="H26" s="32">
        <f ca="1">SUMPRODUCT(INDEX(bcEff_Com,,4),INDEX(tlccEu_Com,,4))</f>
        <v>116.36186308073323</v>
      </c>
      <c r="I26" s="32">
        <f ca="1">SUMPRODUCT(INDEX(bcEff_Com,,5),INDEX(tlccEu_Com,,5))</f>
        <v>116.38476194589899</v>
      </c>
      <c r="J26" s="32">
        <f ca="1">SUMPRODUCT(INDEX(bcEff_Com,,6),INDEX(tlccEu_Com,,6))</f>
        <v>116.38350145445762</v>
      </c>
      <c r="K26" s="32">
        <f ca="1">SUMPRODUCT(INDEX(bcEff_Com,,7),INDEX(tlccEu_Com,,7))</f>
        <v>116.35167872696323</v>
      </c>
      <c r="L26" s="32">
        <f ca="1">SUMPRODUCT(INDEX(bcEff_Com,,8),INDEX(tlccEu_Com,,8))</f>
        <v>116.30172675592505</v>
      </c>
      <c r="M26" s="32">
        <f ca="1">SUMPRODUCT(INDEX(bcEff_Com,,9),INDEX(tlccEu_Com,,9))</f>
        <v>116.20509908049728</v>
      </c>
      <c r="N26" s="32">
        <f ca="1">SUMPRODUCT(INDEX(bcEff_Com,,10),INDEX(tlccEu_Com,,10))</f>
        <v>116.08765259769372</v>
      </c>
      <c r="O26" s="32">
        <f ca="1">SUMPRODUCT(INDEX(bcEff_Com,,11),INDEX(tlccEu_Com,,11))</f>
        <v>115.89933456819506</v>
      </c>
      <c r="P26" s="32">
        <f ca="1">SUMPRODUCT(INDEX(bcEff_Com,,12),INDEX(tlccEu_Com,,12))</f>
        <v>115.66049331735546</v>
      </c>
      <c r="Q26" s="32">
        <f ca="1">SUMPRODUCT(INDEX(bcEff_Com,,13),INDEX(tlccEu_Com,,13))</f>
        <v>115.45365410774014</v>
      </c>
      <c r="R26" s="32">
        <f ca="1">SUMPRODUCT(INDEX(bcEff_Com,,14),INDEX(tlccEu_Com,,14))</f>
        <v>115.24919501544792</v>
      </c>
      <c r="S26" s="32">
        <f ca="1">SUMPRODUCT(INDEX(bcEff_Com,,15),INDEX(tlccEu_Com,,15))</f>
        <v>115.06940327064611</v>
      </c>
      <c r="T26" s="32">
        <f ca="1">SUMPRODUCT(INDEX(bcEff_Com,,16),INDEX(tlccEu_Com,,16))</f>
        <v>114.92234218083334</v>
      </c>
      <c r="U26" s="32">
        <f ca="1">SUMPRODUCT(INDEX(bcEff_Com,,17),INDEX(tlccEu_Com,,17))</f>
        <v>114.74833112007005</v>
      </c>
      <c r="V26" s="32">
        <f ca="1">SUMPRODUCT(INDEX(bcEff_Com,,18),INDEX(tlccEu_Com,,18))</f>
        <v>114.56287711160327</v>
      </c>
      <c r="W26" s="32">
        <f ca="1">SUMPRODUCT(INDEX(bcEff_Com,,19),INDEX(tlccEu_Com,,19))</f>
        <v>114.40161135187176</v>
      </c>
      <c r="X26" s="32">
        <f ca="1">SUMPRODUCT(INDEX(bcEff_Com,,20),INDEX(tlccEu_Com,,20))</f>
        <v>114.23137264328713</v>
      </c>
      <c r="Y26" s="32">
        <f ca="1">SUMPRODUCT(INDEX(bcEff_Com,,21),INDEX(tlccEu_Com,,21))</f>
        <v>114.06207219128186</v>
      </c>
      <c r="Z26" s="32">
        <f ca="1">SUMPRODUCT(INDEX(bcEff_Com,,22),INDEX(tlccEu_Com,,22))</f>
        <v>113.95313494112439</v>
      </c>
      <c r="AA26" s="32">
        <f ca="1">SUMPRODUCT(INDEX(bcEff_Com,,23),INDEX(tlccEu_Com,,23))</f>
        <v>113.83601995474186</v>
      </c>
      <c r="AB26" s="32">
        <f ca="1">SUMPRODUCT(INDEX(bcEff_Com,,24),INDEX(tlccEu_Com,,24))</f>
        <v>113.72775545652995</v>
      </c>
      <c r="AC26" s="32">
        <f ca="1">SUMPRODUCT(INDEX(bcEff_Com,,25),INDEX(tlccEu_Com,,25))</f>
        <v>113.65279312506419</v>
      </c>
      <c r="AD26" s="32">
        <f ca="1">SUMPRODUCT(INDEX(bcEff_Com,,26),INDEX(tlccEu_Com,,26))</f>
        <v>113.56586589201889</v>
      </c>
      <c r="AE26" s="32">
        <f ca="1">SUMPRODUCT(INDEX(bcEff_Com,,27),INDEX(tlccEu_Com,,27))</f>
        <v>113.49787932883012</v>
      </c>
      <c r="AF26" s="32">
        <f ca="1">SUMPRODUCT(INDEX(bcEff_Com,,28),INDEX(tlccEu_Com,,28))</f>
        <v>113.49787932883012</v>
      </c>
      <c r="AG26" s="32">
        <f ca="1">SUMPRODUCT(INDEX(bcEff_Com,,29),INDEX(tlccEu_Com,,29))</f>
        <v>113.49787932883012</v>
      </c>
      <c r="AH26" s="32">
        <f ca="1">SUMPRODUCT(INDEX(bcEff_Com,,30),INDEX(tlccEu_Com,,30))</f>
        <v>113.49787932883012</v>
      </c>
      <c r="AI26" s="32">
        <f ca="1">SUMPRODUCT(INDEX(bcEff_Com,,31),INDEX(tlccEu_Com,,31))</f>
        <v>113.49787932883012</v>
      </c>
      <c r="AJ26" s="32">
        <f ca="1">SUMPRODUCT(INDEX(bcEff_Com,,32),INDEX(tlccEu_Com,,32))</f>
        <v>113.49787932883012</v>
      </c>
      <c r="AK26" s="32">
        <f ca="1">SUMPRODUCT(INDEX(bcEff_Com,,33),INDEX(tlccEu_Com,,33))</f>
        <v>113.49787932883012</v>
      </c>
      <c r="AL26" s="32">
        <f ca="1">SUMPRODUCT(INDEX(bcEff_Com,,34),INDEX(tlccEu_Com,,34))</f>
        <v>113.49787932883012</v>
      </c>
      <c r="AM26" s="32">
        <f ca="1">SUMPRODUCT(INDEX(bcEff_Com,,35),INDEX(tlccEu_Com,,35))</f>
        <v>113.49787932883012</v>
      </c>
      <c r="AN26" s="55">
        <f ca="1">SUMPRODUCT(INDEX(bcEff_Com,,36),INDEX(tlccEu_Com,,36))</f>
        <v>113.49787932883012</v>
      </c>
      <c r="AO26" s="8"/>
    </row>
    <row r="27" spans="2:41" x14ac:dyDescent="0.35">
      <c r="B27" s="8"/>
      <c r="C27" s="10" t="s">
        <v>78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18"/>
      <c r="AO27" s="8"/>
    </row>
    <row r="28" spans="2:41" x14ac:dyDescent="0.35">
      <c r="B28" s="8"/>
      <c r="C28" s="20" t="str">
        <f>INDEX(_fuel,1)</f>
        <v>Electricity</v>
      </c>
      <c r="D28" s="11" t="s">
        <v>80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1"/>
      <c r="AO28" s="8"/>
    </row>
    <row r="29" spans="2:41" x14ac:dyDescent="0.35">
      <c r="B29" s="8"/>
      <c r="C29" s="50" t="str">
        <f>INDEX(_Sector,2,1)</f>
        <v>Residential</v>
      </c>
      <c r="D29" s="8"/>
      <c r="E29" s="40">
        <f ca="1">SUMPRODUCT(INDEX(bcEff_Res,,1),INDEX(tlccFuElec_Res,,1))</f>
        <v>2.7659086291126549</v>
      </c>
      <c r="F29" s="40">
        <f ca="1">SUMPRODUCT(INDEX(bcEff_Res,,2),INDEX(tlccFuElec_Res,,2))</f>
        <v>2.7522387375189497</v>
      </c>
      <c r="G29" s="40">
        <f ca="1">SUMPRODUCT(INDEX(bcEff_Res,,3),INDEX(tlccFuElec_Res,,3))</f>
        <v>2.7423232776153421</v>
      </c>
      <c r="H29" s="40">
        <f ca="1">SUMPRODUCT(INDEX(bcEff_Res,,4),INDEX(tlccFuElec_Res,,4))</f>
        <v>2.7345680305453173</v>
      </c>
      <c r="I29" s="40">
        <f ca="1">SUMPRODUCT(INDEX(bcEff_Res,,5),INDEX(tlccFuElec_Res,,5))</f>
        <v>2.7291706759260861</v>
      </c>
      <c r="J29" s="40">
        <f ca="1">SUMPRODUCT(INDEX(bcEff_Res,,6),INDEX(tlccFuElec_Res,,6))</f>
        <v>2.7249136235644991</v>
      </c>
      <c r="K29" s="40">
        <f ca="1">SUMPRODUCT(INDEX(bcEff_Res,,7),INDEX(tlccFuElec_Res,,7))</f>
        <v>2.7212255158005174</v>
      </c>
      <c r="L29" s="40">
        <f ca="1">SUMPRODUCT(INDEX(bcEff_Res,,8),INDEX(tlccFuElec_Res,,8))</f>
        <v>2.7172465454330519</v>
      </c>
      <c r="M29" s="40">
        <f ca="1">SUMPRODUCT(INDEX(bcEff_Res,,9),INDEX(tlccFuElec_Res,,9))</f>
        <v>2.7134170643713729</v>
      </c>
      <c r="N29" s="40">
        <f ca="1">SUMPRODUCT(INDEX(bcEff_Res,,10),INDEX(tlccFuElec_Res,,10))</f>
        <v>2.7097898395427515</v>
      </c>
      <c r="O29" s="40">
        <f ca="1">SUMPRODUCT(INDEX(bcEff_Res,,11),INDEX(tlccFuElec_Res,,11))</f>
        <v>2.7060018701791031</v>
      </c>
      <c r="P29" s="40">
        <f ca="1">SUMPRODUCT(INDEX(bcEff_Res,,12),INDEX(tlccFuElec_Res,,12))</f>
        <v>2.702801036143307</v>
      </c>
      <c r="Q29" s="40">
        <f ca="1">SUMPRODUCT(INDEX(bcEff_Res,,13),INDEX(tlccFuElec_Res,,13))</f>
        <v>2.6995174171142802</v>
      </c>
      <c r="R29" s="40">
        <f ca="1">SUMPRODUCT(INDEX(bcEff_Res,,14),INDEX(tlccFuElec_Res,,14))</f>
        <v>2.6966553332582466</v>
      </c>
      <c r="S29" s="40">
        <f ca="1">SUMPRODUCT(INDEX(bcEff_Res,,15),INDEX(tlccFuElec_Res,,15))</f>
        <v>2.6942444160924883</v>
      </c>
      <c r="T29" s="40">
        <f ca="1">SUMPRODUCT(INDEX(bcEff_Res,,16),INDEX(tlccFuElec_Res,,16))</f>
        <v>2.6919997286499653</v>
      </c>
      <c r="U29" s="40">
        <f ca="1">SUMPRODUCT(INDEX(bcEff_Res,,17),INDEX(tlccFuElec_Res,,17))</f>
        <v>2.6896928339976403</v>
      </c>
      <c r="V29" s="40">
        <f ca="1">SUMPRODUCT(INDEX(bcEff_Res,,18),INDEX(tlccFuElec_Res,,18))</f>
        <v>2.6876267984629481</v>
      </c>
      <c r="W29" s="40">
        <f ca="1">SUMPRODUCT(INDEX(bcEff_Res,,19),INDEX(tlccFuElec_Res,,19))</f>
        <v>2.6859369014204244</v>
      </c>
      <c r="X29" s="40">
        <f ca="1">SUMPRODUCT(INDEX(bcEff_Res,,20),INDEX(tlccFuElec_Res,,20))</f>
        <v>2.6845079879864731</v>
      </c>
      <c r="Y29" s="40">
        <f ca="1">SUMPRODUCT(INDEX(bcEff_Res,,21),INDEX(tlccFuElec_Res,,21))</f>
        <v>2.6833585643981444</v>
      </c>
      <c r="Z29" s="40">
        <f ca="1">SUMPRODUCT(INDEX(bcEff_Res,,22),INDEX(tlccFuElec_Res,,22))</f>
        <v>2.6829129220729957</v>
      </c>
      <c r="AA29" s="40">
        <f ca="1">SUMPRODUCT(INDEX(bcEff_Res,,23),INDEX(tlccFuElec_Res,,23))</f>
        <v>2.6829009967071866</v>
      </c>
      <c r="AB29" s="40">
        <f ca="1">SUMPRODUCT(INDEX(bcEff_Res,,24),INDEX(tlccFuElec_Res,,24))</f>
        <v>2.6830236376266736</v>
      </c>
      <c r="AC29" s="40">
        <f ca="1">SUMPRODUCT(INDEX(bcEff_Res,,25),INDEX(tlccFuElec_Res,,25))</f>
        <v>2.6832862554969545</v>
      </c>
      <c r="AD29" s="40">
        <f ca="1">SUMPRODUCT(INDEX(bcEff_Res,,26),INDEX(tlccFuElec_Res,,26))</f>
        <v>2.6835066889008252</v>
      </c>
      <c r="AE29" s="40">
        <f ca="1">SUMPRODUCT(INDEX(bcEff_Res,,27),INDEX(tlccFuElec_Res,,27))</f>
        <v>2.6835587138032548</v>
      </c>
      <c r="AF29" s="40">
        <f ca="1">SUMPRODUCT(INDEX(bcEff_Res,,28),INDEX(tlccFuElec_Res,,28))</f>
        <v>2.6835587138032548</v>
      </c>
      <c r="AG29" s="40">
        <f ca="1">SUMPRODUCT(INDEX(bcEff_Res,,29),INDEX(tlccFuElec_Res,,29))</f>
        <v>2.6835587138032548</v>
      </c>
      <c r="AH29" s="40">
        <f ca="1">SUMPRODUCT(INDEX(bcEff_Res,,30),INDEX(tlccFuElec_Res,,30))</f>
        <v>2.6835587138032548</v>
      </c>
      <c r="AI29" s="40">
        <f ca="1">SUMPRODUCT(INDEX(bcEff_Res,,31),INDEX(tlccFuElec_Res,,31))</f>
        <v>2.6835587138032548</v>
      </c>
      <c r="AJ29" s="40">
        <f ca="1">SUMPRODUCT(INDEX(bcEff_Res,,32),INDEX(tlccFuElec_Res,,32))</f>
        <v>2.6835587138032548</v>
      </c>
      <c r="AK29" s="40">
        <f ca="1">SUMPRODUCT(INDEX(bcEff_Res,,33),INDEX(tlccFuElec_Res,,33))</f>
        <v>2.6835587138032548</v>
      </c>
      <c r="AL29" s="40">
        <f ca="1">SUMPRODUCT(INDEX(bcEff_Res,,34),INDEX(tlccFuElec_Res,,34))</f>
        <v>2.6835587138032548</v>
      </c>
      <c r="AM29" s="40">
        <f ca="1">SUMPRODUCT(INDEX(bcEff_Res,,35),INDEX(tlccFuElec_Res,,35))</f>
        <v>2.6835587138032548</v>
      </c>
      <c r="AN29" s="41">
        <f ca="1">SUMPRODUCT(INDEX(bcEff_Res,,36),INDEX(tlccFuElec_Res,,36))</f>
        <v>2.6835587138032548</v>
      </c>
      <c r="AO29" s="8"/>
    </row>
    <row r="30" spans="2:41" x14ac:dyDescent="0.35">
      <c r="B30" s="8"/>
      <c r="C30" s="50" t="str">
        <f>INDEX(_Sector,2,2)</f>
        <v>Commercial</v>
      </c>
      <c r="D30" s="8"/>
      <c r="E30" s="40">
        <f ca="1">SUMPRODUCT(INDEX(bcEff_Com,,1),INDEX(tlccFuElec_Com,,1))</f>
        <v>5.5958427830293802</v>
      </c>
      <c r="F30" s="40">
        <f ca="1">SUMPRODUCT(INDEX(bcEff_Com,,2),INDEX(tlccFuElec_Com,,2))</f>
        <v>5.5671209433708171</v>
      </c>
      <c r="G30" s="40">
        <f ca="1">SUMPRODUCT(INDEX(bcEff_Com,,3),INDEX(tlccFuElec_Com,,3))</f>
        <v>5.5465811476628604</v>
      </c>
      <c r="H30" s="40">
        <f ca="1">SUMPRODUCT(INDEX(bcEff_Com,,4),INDEX(tlccFuElec_Com,,4))</f>
        <v>5.5307912071402159</v>
      </c>
      <c r="I30" s="40">
        <f ca="1">SUMPRODUCT(INDEX(bcEff_Com,,5),INDEX(tlccFuElec_Com,,5))</f>
        <v>5.5202603048302743</v>
      </c>
      <c r="J30" s="40">
        <f ca="1">SUMPRODUCT(INDEX(bcEff_Com,,6),INDEX(tlccFuElec_Com,,6))</f>
        <v>5.5122523424110703</v>
      </c>
      <c r="K30" s="40">
        <f ca="1">SUMPRODUCT(INDEX(bcEff_Com,,7),INDEX(tlccFuElec_Com,,7))</f>
        <v>5.5054181673740494</v>
      </c>
      <c r="L30" s="40">
        <f ca="1">SUMPRODUCT(INDEX(bcEff_Com,,8),INDEX(tlccFuElec_Com,,8))</f>
        <v>5.4980995774115797</v>
      </c>
      <c r="M30" s="40">
        <f ca="1">SUMPRODUCT(INDEX(bcEff_Com,,9),INDEX(tlccFuElec_Com,,9))</f>
        <v>5.4911836308609328</v>
      </c>
      <c r="N30" s="40">
        <f ca="1">SUMPRODUCT(INDEX(bcEff_Com,,10),INDEX(tlccFuElec_Com,,10))</f>
        <v>5.4846653766752267</v>
      </c>
      <c r="O30" s="40">
        <f ca="1">SUMPRODUCT(INDEX(bcEff_Com,,11),INDEX(tlccFuElec_Com,,11))</f>
        <v>5.4779273737244161</v>
      </c>
      <c r="P30" s="40">
        <f ca="1">SUMPRODUCT(INDEX(bcEff_Com,,12),INDEX(tlccFuElec_Com,,12))</f>
        <v>5.4721471744521955</v>
      </c>
      <c r="Q30" s="40">
        <f ca="1">SUMPRODUCT(INDEX(bcEff_Com,,13),INDEX(tlccFuElec_Com,,13))</f>
        <v>5.466126525057855</v>
      </c>
      <c r="R30" s="40">
        <f ca="1">SUMPRODUCT(INDEX(bcEff_Com,,14),INDEX(tlccFuElec_Com,,14))</f>
        <v>5.4608770636418047</v>
      </c>
      <c r="S30" s="40">
        <f ca="1">SUMPRODUCT(INDEX(bcEff_Com,,15),INDEX(tlccFuElec_Com,,15))</f>
        <v>5.4565166222768644</v>
      </c>
      <c r="T30" s="40">
        <f ca="1">SUMPRODUCT(INDEX(bcEff_Com,,16),INDEX(tlccFuElec_Com,,16))</f>
        <v>5.4525202277140723</v>
      </c>
      <c r="U30" s="40">
        <f ca="1">SUMPRODUCT(INDEX(bcEff_Com,,17),INDEX(tlccFuElec_Com,,17))</f>
        <v>5.44840181979328</v>
      </c>
      <c r="V30" s="40">
        <f ca="1">SUMPRODUCT(INDEX(bcEff_Com,,18),INDEX(tlccFuElec_Com,,18))</f>
        <v>5.4446947987707812</v>
      </c>
      <c r="W30" s="40">
        <f ca="1">SUMPRODUCT(INDEX(bcEff_Com,,19),INDEX(tlccFuElec_Com,,19))</f>
        <v>5.4416993396624047</v>
      </c>
      <c r="X30" s="40">
        <f ca="1">SUMPRODUCT(INDEX(bcEff_Com,,20),INDEX(tlccFuElec_Com,,20))</f>
        <v>5.4391952357575821</v>
      </c>
      <c r="Y30" s="40">
        <f ca="1">SUMPRODUCT(INDEX(bcEff_Com,,21),INDEX(tlccFuElec_Com,,21))</f>
        <v>5.4371877086772757</v>
      </c>
      <c r="Z30" s="40">
        <f ca="1">SUMPRODUCT(INDEX(bcEff_Com,,22),INDEX(tlccFuElec_Com,,22))</f>
        <v>5.4365180690057624</v>
      </c>
      <c r="AA30" s="40">
        <f ca="1">SUMPRODUCT(INDEX(bcEff_Com,,23),INDEX(tlccFuElec_Com,,23))</f>
        <v>5.4366586292985808</v>
      </c>
      <c r="AB30" s="40">
        <f ca="1">SUMPRODUCT(INDEX(bcEff_Com,,24),INDEX(tlccFuElec_Com,,24))</f>
        <v>5.4370381925686058</v>
      </c>
      <c r="AC30" s="40">
        <f ca="1">SUMPRODUCT(INDEX(bcEff_Com,,25),INDEX(tlccFuElec_Com,,25))</f>
        <v>5.4376398235218772</v>
      </c>
      <c r="AD30" s="40">
        <f ca="1">SUMPRODUCT(INDEX(bcEff_Com,,26),INDEX(tlccFuElec_Com,,26))</f>
        <v>5.4381209804730259</v>
      </c>
      <c r="AE30" s="40">
        <f ca="1">SUMPRODUCT(INDEX(bcEff_Com,,27),INDEX(tlccFuElec_Com,,27))</f>
        <v>5.4382463190691457</v>
      </c>
      <c r="AF30" s="40">
        <f ca="1">SUMPRODUCT(INDEX(bcEff_Com,,28),INDEX(tlccFuElec_Com,,28))</f>
        <v>5.4382463190691457</v>
      </c>
      <c r="AG30" s="40">
        <f ca="1">SUMPRODUCT(INDEX(bcEff_Com,,29),INDEX(tlccFuElec_Com,,29))</f>
        <v>5.4382463190691457</v>
      </c>
      <c r="AH30" s="40">
        <f ca="1">SUMPRODUCT(INDEX(bcEff_Com,,30),INDEX(tlccFuElec_Com,,30))</f>
        <v>5.4382463190691457</v>
      </c>
      <c r="AI30" s="40">
        <f ca="1">SUMPRODUCT(INDEX(bcEff_Com,,31),INDEX(tlccFuElec_Com,,31))</f>
        <v>5.4382463190691457</v>
      </c>
      <c r="AJ30" s="40">
        <f ca="1">SUMPRODUCT(INDEX(bcEff_Com,,32),INDEX(tlccFuElec_Com,,32))</f>
        <v>5.4382463190691457</v>
      </c>
      <c r="AK30" s="40">
        <f ca="1">SUMPRODUCT(INDEX(bcEff_Com,,33),INDEX(tlccFuElec_Com,,33))</f>
        <v>5.4382463190691457</v>
      </c>
      <c r="AL30" s="40">
        <f ca="1">SUMPRODUCT(INDEX(bcEff_Com,,34),INDEX(tlccFuElec_Com,,34))</f>
        <v>5.4382463190691457</v>
      </c>
      <c r="AM30" s="40">
        <f ca="1">SUMPRODUCT(INDEX(bcEff_Com,,35),INDEX(tlccFuElec_Com,,35))</f>
        <v>5.4382463190691457</v>
      </c>
      <c r="AN30" s="41">
        <f ca="1">SUMPRODUCT(INDEX(bcEff_Com,,36),INDEX(tlccFuElec_Com,,36))</f>
        <v>5.4382463190691457</v>
      </c>
      <c r="AO30" s="8"/>
    </row>
    <row r="31" spans="2:41" x14ac:dyDescent="0.35">
      <c r="B31" s="8"/>
      <c r="C31" s="42" t="str">
        <f ca="1">"Stds Case (CSL " &amp; stdCSL1 &amp; ",CSL " &amp; stdCSL2 &amp; "): " &amp; INDEX(_doName,1,stdCSL1+1) &amp; "," &amp; INDEX(_doName,1,stdCSL2+1)</f>
        <v>Stds Case (CSL 1,CSL 2): Tier 1,Tier 2</v>
      </c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8"/>
      <c r="AO31" s="8"/>
    </row>
    <row r="32" spans="2:41" x14ac:dyDescent="0.35">
      <c r="B32" s="8"/>
      <c r="C32" s="10" t="s">
        <v>70</v>
      </c>
      <c r="D32" s="11" t="str">
        <f>_yearDol &amp; "$"</f>
        <v>2021$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55"/>
      <c r="AO32" s="8"/>
    </row>
    <row r="33" spans="2:41" x14ac:dyDescent="0.35">
      <c r="B33" s="8"/>
      <c r="C33" s="20" t="str">
        <f>INDEX(_Sector,2,1)</f>
        <v>Residential</v>
      </c>
      <c r="D33" s="8"/>
      <c r="E33" s="32">
        <f ca="1">SUMPRODUCT(INDEX(polEff_Res,,1),INDEX(tlccQu_Res,,1))</f>
        <v>70.058323835827608</v>
      </c>
      <c r="F33" s="32">
        <f ca="1">SUMPRODUCT(INDEX(polEff_Res,,2),INDEX(tlccQu_Res,,2))</f>
        <v>69.551427032250686</v>
      </c>
      <c r="G33" s="32">
        <f ca="1">SUMPRODUCT(INDEX(polEff_Res,,3),INDEX(tlccQu_Res,,3))</f>
        <v>70.453115851586645</v>
      </c>
      <c r="H33" s="32">
        <f ca="1">SUMPRODUCT(INDEX(polEff_Res,,4),INDEX(tlccQu_Res,,4))</f>
        <v>69.977445218676607</v>
      </c>
      <c r="I33" s="32">
        <f ca="1">SUMPRODUCT(INDEX(polEff_Res,,5),INDEX(tlccQu_Res,,5))</f>
        <v>69.51873924882797</v>
      </c>
      <c r="J33" s="32">
        <f ca="1">SUMPRODUCT(INDEX(polEff_Res,,6),INDEX(tlccQu_Res,,6))</f>
        <v>69.076232919135578</v>
      </c>
      <c r="K33" s="32">
        <f ca="1">SUMPRODUCT(INDEX(polEff_Res,,7),INDEX(tlccQu_Res,,7))</f>
        <v>68.647526825810729</v>
      </c>
      <c r="L33" s="32">
        <f ca="1">SUMPRODUCT(INDEX(polEff_Res,,8),INDEX(tlccQu_Res,,8))</f>
        <v>68.231676872549826</v>
      </c>
      <c r="M33" s="32">
        <f ca="1">SUMPRODUCT(INDEX(polEff_Res,,9),INDEX(tlccQu_Res,,9))</f>
        <v>67.827863035231502</v>
      </c>
      <c r="N33" s="32">
        <f ca="1">SUMPRODUCT(INDEX(polEff_Res,,10),INDEX(tlccQu_Res,,10))</f>
        <v>67.43528488925142</v>
      </c>
      <c r="O33" s="32">
        <f ca="1">SUMPRODUCT(INDEX(polEff_Res,,11),INDEX(tlccQu_Res,,11))</f>
        <v>67.05348499089655</v>
      </c>
      <c r="P33" s="32">
        <f ca="1">SUMPRODUCT(INDEX(polEff_Res,,12),INDEX(tlccQu_Res,,12))</f>
        <v>66.681304944029463</v>
      </c>
      <c r="Q33" s="32">
        <f ca="1">SUMPRODUCT(INDEX(polEff_Res,,13),INDEX(tlccQu_Res,,13))</f>
        <v>66.317972953204361</v>
      </c>
      <c r="R33" s="32">
        <f ca="1">SUMPRODUCT(INDEX(polEff_Res,,14),INDEX(tlccQu_Res,,14))</f>
        <v>65.96279067295329</v>
      </c>
      <c r="S33" s="32">
        <f ca="1">SUMPRODUCT(INDEX(polEff_Res,,15),INDEX(tlccQu_Res,,15))</f>
        <v>65.615121896784188</v>
      </c>
      <c r="T33" s="32">
        <f ca="1">SUMPRODUCT(INDEX(polEff_Res,,16),INDEX(tlccQu_Res,,16))</f>
        <v>65.274470091364961</v>
      </c>
      <c r="U33" s="32">
        <f ca="1">SUMPRODUCT(INDEX(polEff_Res,,17),INDEX(tlccQu_Res,,17))</f>
        <v>64.940375260659181</v>
      </c>
      <c r="V33" s="32">
        <f ca="1">SUMPRODUCT(INDEX(polEff_Res,,18),INDEX(tlccQu_Res,,18))</f>
        <v>64.612437614382145</v>
      </c>
      <c r="W33" s="32">
        <f ca="1">SUMPRODUCT(INDEX(polEff_Res,,19),INDEX(tlccQu_Res,,19))</f>
        <v>64.290300814639039</v>
      </c>
      <c r="X33" s="32">
        <f ca="1">SUMPRODUCT(INDEX(polEff_Res,,20),INDEX(tlccQu_Res,,20))</f>
        <v>63.973639225673736</v>
      </c>
      <c r="Y33" s="32">
        <f ca="1">SUMPRODUCT(INDEX(polEff_Res,,21),INDEX(tlccQu_Res,,21))</f>
        <v>63.662179431203782</v>
      </c>
      <c r="Z33" s="32">
        <f ca="1">SUMPRODUCT(INDEX(polEff_Res,,22),INDEX(tlccQu_Res,,22))</f>
        <v>63.355611162502896</v>
      </c>
      <c r="AA33" s="32">
        <f ca="1">SUMPRODUCT(INDEX(polEff_Res,,23),INDEX(tlccQu_Res,,23))</f>
        <v>63.053671548836661</v>
      </c>
      <c r="AB33" s="32">
        <f ca="1">SUMPRODUCT(INDEX(polEff_Res,,24),INDEX(tlccQu_Res,,24))</f>
        <v>62.756116937516595</v>
      </c>
      <c r="AC33" s="32">
        <f ca="1">SUMPRODUCT(INDEX(polEff_Res,,25),INDEX(tlccQu_Res,,25))</f>
        <v>62.462722684265302</v>
      </c>
      <c r="AD33" s="32">
        <f ca="1">SUMPRODUCT(INDEX(polEff_Res,,26),INDEX(tlccQu_Res,,26))</f>
        <v>62.173282396724929</v>
      </c>
      <c r="AE33" s="32">
        <f ca="1">SUMPRODUCT(INDEX(polEff_Res,,27),INDEX(tlccQu_Res,,27))</f>
        <v>61.887606509825808</v>
      </c>
      <c r="AF33" s="32">
        <f ca="1">SUMPRODUCT(INDEX(polEff_Res,,28),INDEX(tlccQu_Res,,28))</f>
        <v>61.605520512868374</v>
      </c>
      <c r="AG33" s="32">
        <f ca="1">SUMPRODUCT(INDEX(polEff_Res,,29),INDEX(tlccQu_Res,,29))</f>
        <v>61.326863116212117</v>
      </c>
      <c r="AH33" s="32">
        <f ca="1">SUMPRODUCT(INDEX(polEff_Res,,30),INDEX(tlccQu_Res,,30))</f>
        <v>61.051484588148334</v>
      </c>
      <c r="AI33" s="32">
        <f ca="1">SUMPRODUCT(INDEX(polEff_Res,,31),INDEX(tlccQu_Res,,31))</f>
        <v>60.779245413439796</v>
      </c>
      <c r="AJ33" s="32">
        <f ca="1">SUMPRODUCT(INDEX(polEff_Res,,32),INDEX(tlccQu_Res,,32))</f>
        <v>60.510015270616137</v>
      </c>
      <c r="AK33" s="32">
        <f ca="1">SUMPRODUCT(INDEX(polEff_Res,,33),INDEX(tlccQu_Res,,33))</f>
        <v>60.243672237905606</v>
      </c>
      <c r="AL33" s="32">
        <f ca="1">SUMPRODUCT(INDEX(polEff_Res,,34),INDEX(tlccQu_Res,,34))</f>
        <v>59.98010224525634</v>
      </c>
      <c r="AM33" s="32">
        <f ca="1">SUMPRODUCT(INDEX(polEff_Res,,35),INDEX(tlccQu_Res,,35))</f>
        <v>59.713909208444015</v>
      </c>
      <c r="AN33" s="55">
        <f ca="1">SUMPRODUCT(INDEX(polEff_Res,,36),INDEX(tlccQu_Res,,36))</f>
        <v>59.455589687808775</v>
      </c>
      <c r="AO33" s="8"/>
    </row>
    <row r="34" spans="2:41" x14ac:dyDescent="0.35">
      <c r="B34" s="8"/>
      <c r="C34" s="20" t="str">
        <f>INDEX(_Sector,2,2)</f>
        <v>Commercial</v>
      </c>
      <c r="D34" s="8"/>
      <c r="E34" s="32">
        <f ca="1">SUMPRODUCT(INDEX(polEff_Com,,1),INDEX(tlccQu_Com,,1))</f>
        <v>67.766545255512838</v>
      </c>
      <c r="F34" s="32">
        <f ca="1">SUMPRODUCT(INDEX(polEff_Com,,2),INDEX(tlccQu_Com,,2))</f>
        <v>67.27617832303369</v>
      </c>
      <c r="G34" s="32">
        <f ca="1">SUMPRODUCT(INDEX(polEff_Com,,3),INDEX(tlccQu_Com,,3))</f>
        <v>68.18205980820737</v>
      </c>
      <c r="H34" s="32">
        <f ca="1">SUMPRODUCT(INDEX(polEff_Com,,4),INDEX(tlccQu_Com,,4))</f>
        <v>67.72166851950243</v>
      </c>
      <c r="I34" s="32">
        <f ca="1">SUMPRODUCT(INDEX(polEff_Com,,5),INDEX(tlccQu_Com,,5))</f>
        <v>67.277695319381152</v>
      </c>
      <c r="J34" s="32">
        <f ca="1">SUMPRODUCT(INDEX(polEff_Com,,6),INDEX(tlccQu_Com,,6))</f>
        <v>66.849454925149118</v>
      </c>
      <c r="K34" s="32">
        <f ca="1">SUMPRODUCT(INDEX(polEff_Com,,7),INDEX(tlccQu_Com,,7))</f>
        <v>66.434569471361698</v>
      </c>
      <c r="L34" s="32">
        <f ca="1">SUMPRODUCT(INDEX(polEff_Com,,8),INDEX(tlccQu_Com,,8))</f>
        <v>66.032125330634074</v>
      </c>
      <c r="M34" s="32">
        <f ca="1">SUMPRODUCT(INDEX(polEff_Com,,9),INDEX(tlccQu_Com,,9))</f>
        <v>65.641328943134852</v>
      </c>
      <c r="N34" s="32">
        <f ca="1">SUMPRODUCT(INDEX(polEff_Com,,10),INDEX(tlccQu_Com,,10))</f>
        <v>65.261405716563161</v>
      </c>
      <c r="O34" s="32">
        <f ca="1">SUMPRODUCT(INDEX(polEff_Com,,11),INDEX(tlccQu_Com,,11))</f>
        <v>64.891930359465803</v>
      </c>
      <c r="P34" s="32">
        <f ca="1">SUMPRODUCT(INDEX(polEff_Com,,12),INDEX(tlccQu_Com,,12))</f>
        <v>64.531764300398336</v>
      </c>
      <c r="Q34" s="32">
        <f ca="1">SUMPRODUCT(INDEX(polEff_Com,,13),INDEX(tlccQu_Com,,13))</f>
        <v>64.180160660039945</v>
      </c>
      <c r="R34" s="32">
        <f ca="1">SUMPRODUCT(INDEX(polEff_Com,,14),INDEX(tlccQu_Com,,14))</f>
        <v>63.836443637842088</v>
      </c>
      <c r="S34" s="32">
        <f ca="1">SUMPRODUCT(INDEX(polEff_Com,,15),INDEX(tlccQu_Com,,15))</f>
        <v>63.499997566184554</v>
      </c>
      <c r="T34" s="32">
        <f ca="1">SUMPRODUCT(INDEX(polEff_Com,,16),INDEX(tlccQu_Com,,16))</f>
        <v>63.17034194144064</v>
      </c>
      <c r="U34" s="32">
        <f ca="1">SUMPRODUCT(INDEX(polEff_Com,,17),INDEX(tlccQu_Com,,17))</f>
        <v>62.847031617741543</v>
      </c>
      <c r="V34" s="32">
        <f ca="1">SUMPRODUCT(INDEX(polEff_Com,,18),INDEX(tlccQu_Com,,18))</f>
        <v>62.529679711316142</v>
      </c>
      <c r="W34" s="32">
        <f ca="1">SUMPRODUCT(INDEX(polEff_Com,,19),INDEX(tlccQu_Com,,19))</f>
        <v>62.217941387990585</v>
      </c>
      <c r="X34" s="32">
        <f ca="1">SUMPRODUCT(INDEX(polEff_Com,,20),INDEX(tlccQu_Com,,20))</f>
        <v>61.911501524563448</v>
      </c>
      <c r="Y34" s="32">
        <f ca="1">SUMPRODUCT(INDEX(polEff_Com,,21),INDEX(tlccQu_Com,,21))</f>
        <v>61.610096920304883</v>
      </c>
      <c r="Z34" s="32">
        <f ca="1">SUMPRODUCT(INDEX(polEff_Com,,22),INDEX(tlccQu_Com,,22))</f>
        <v>61.313425923154625</v>
      </c>
      <c r="AA34" s="32">
        <f ca="1">SUMPRODUCT(INDEX(polEff_Com,,23),INDEX(tlccQu_Com,,23))</f>
        <v>61.021234148925046</v>
      </c>
      <c r="AB34" s="32">
        <f ca="1">SUMPRODUCT(INDEX(polEff_Com,,24),INDEX(tlccQu_Com,,24))</f>
        <v>60.733285811036822</v>
      </c>
      <c r="AC34" s="32">
        <f ca="1">SUMPRODUCT(INDEX(polEff_Com,,25),INDEX(tlccQu_Com,,25))</f>
        <v>60.449363517652031</v>
      </c>
      <c r="AD34" s="32">
        <f ca="1">SUMPRODUCT(INDEX(polEff_Com,,26),INDEX(tlccQu_Com,,26))</f>
        <v>60.169267539605414</v>
      </c>
      <c r="AE34" s="32">
        <f ca="1">SUMPRODUCT(INDEX(polEff_Com,,27),INDEX(tlccQu_Com,,27))</f>
        <v>59.892814431765835</v>
      </c>
      <c r="AF34" s="32">
        <f ca="1">SUMPRODUCT(INDEX(polEff_Com,,28),INDEX(tlccQu_Com,,28))</f>
        <v>59.619835317355481</v>
      </c>
      <c r="AG34" s="32">
        <f ca="1">SUMPRODUCT(INDEX(polEff_Com,,29),INDEX(tlccQu_Com,,29))</f>
        <v>59.35017411382541</v>
      </c>
      <c r="AH34" s="32">
        <f ca="1">SUMPRODUCT(INDEX(polEff_Com,,30),INDEX(tlccQu_Com,,30))</f>
        <v>59.083685923421022</v>
      </c>
      <c r="AI34" s="32">
        <f ca="1">SUMPRODUCT(INDEX(polEff_Com,,31),INDEX(tlccQu_Com,,31))</f>
        <v>58.820235735029442</v>
      </c>
      <c r="AJ34" s="32">
        <f ca="1">SUMPRODUCT(INDEX(polEff_Com,,32),INDEX(tlccQu_Com,,32))</f>
        <v>58.559697434492122</v>
      </c>
      <c r="AK34" s="32">
        <f ca="1">SUMPRODUCT(INDEX(polEff_Com,,33),INDEX(tlccQu_Com,,33))</f>
        <v>58.301953036172328</v>
      </c>
      <c r="AL34" s="32">
        <f ca="1">SUMPRODUCT(INDEX(polEff_Com,,34),INDEX(tlccQu_Com,,34))</f>
        <v>58.046892152667418</v>
      </c>
      <c r="AM34" s="32">
        <f ca="1">SUMPRODUCT(INDEX(polEff_Com,,35),INDEX(tlccQu_Com,,35))</f>
        <v>57.78903080332595</v>
      </c>
      <c r="AN34" s="55">
        <f ca="1">SUMPRODUCT(INDEX(polEff_Com,,36),INDEX(tlccQu_Com,,36))</f>
        <v>57.539051799020314</v>
      </c>
      <c r="AO34" s="8"/>
    </row>
    <row r="35" spans="2:41" x14ac:dyDescent="0.35">
      <c r="B35" s="8"/>
      <c r="C35" s="10" t="str">
        <f>zEO&amp;" Costs"</f>
        <v>Operating Costs</v>
      </c>
      <c r="D35" s="11" t="str">
        <f>_yearDol &amp; "$"</f>
        <v>2021$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55"/>
      <c r="AO35" s="8"/>
    </row>
    <row r="36" spans="2:41" x14ac:dyDescent="0.35">
      <c r="B36" s="8"/>
      <c r="C36" s="20" t="str">
        <f>INDEX(_Sector,2,1)</f>
        <v>Residential</v>
      </c>
      <c r="D36" s="8"/>
      <c r="E36" s="32">
        <f ca="1">SUMPRODUCT(INDEX(polEff_Res,,1),INDEX(tlccEu_Res,,1))</f>
        <v>88.769134849019878</v>
      </c>
      <c r="F36" s="32">
        <f ca="1">SUMPRODUCT(INDEX(polEff_Res,,2),INDEX(tlccEu_Res,,2))</f>
        <v>88.825065205063524</v>
      </c>
      <c r="G36" s="32">
        <f ca="1">SUMPRODUCT(INDEX(polEff_Res,,3),INDEX(tlccEu_Res,,3))</f>
        <v>85.28513687876125</v>
      </c>
      <c r="H36" s="32">
        <f ca="1">SUMPRODUCT(INDEX(polEff_Res,,4),INDEX(tlccEu_Res,,4))</f>
        <v>85.380576689969985</v>
      </c>
      <c r="I36" s="32">
        <f ca="1">SUMPRODUCT(INDEX(polEff_Res,,5),INDEX(tlccEu_Res,,5))</f>
        <v>85.469596821868635</v>
      </c>
      <c r="J36" s="32">
        <f ca="1">SUMPRODUCT(INDEX(polEff_Res,,6),INDEX(tlccEu_Res,,6))</f>
        <v>85.549555902134472</v>
      </c>
      <c r="K36" s="32">
        <f ca="1">SUMPRODUCT(INDEX(polEff_Res,,7),INDEX(tlccEu_Res,,7))</f>
        <v>85.611007761967613</v>
      </c>
      <c r="L36" s="32">
        <f ca="1">SUMPRODUCT(INDEX(polEff_Res,,8),INDEX(tlccEu_Res,,8))</f>
        <v>85.659443273679344</v>
      </c>
      <c r="M36" s="32">
        <f ca="1">SUMPRODUCT(INDEX(polEff_Res,,9),INDEX(tlccEu_Res,,9))</f>
        <v>85.683159058086645</v>
      </c>
      <c r="N36" s="32">
        <f ca="1">SUMPRODUCT(INDEX(polEff_Res,,10),INDEX(tlccEu_Res,,10))</f>
        <v>85.685514408776243</v>
      </c>
      <c r="O36" s="32">
        <f ca="1">SUMPRODUCT(INDEX(polEff_Res,,11),INDEX(tlccEu_Res,,11))</f>
        <v>85.651199597717834</v>
      </c>
      <c r="P36" s="32">
        <f ca="1">SUMPRODUCT(INDEX(polEff_Res,,12),INDEX(tlccEu_Res,,12))</f>
        <v>85.584869329839023</v>
      </c>
      <c r="Q36" s="32">
        <f ca="1">SUMPRODUCT(INDEX(polEff_Res,,13),INDEX(tlccEu_Res,,13))</f>
        <v>85.532038780435641</v>
      </c>
      <c r="R36" s="32">
        <f ca="1">SUMPRODUCT(INDEX(polEff_Res,,14),INDEX(tlccEu_Res,,14))</f>
        <v>85.477176378274805</v>
      </c>
      <c r="S36" s="32">
        <f ca="1">SUMPRODUCT(INDEX(polEff_Res,,15),INDEX(tlccEu_Res,,15))</f>
        <v>85.435275341055998</v>
      </c>
      <c r="T36" s="32">
        <f ca="1">SUMPRODUCT(INDEX(polEff_Res,,16),INDEX(tlccEu_Res,,16))</f>
        <v>85.407470727350898</v>
      </c>
      <c r="U36" s="32">
        <f ca="1">SUMPRODUCT(INDEX(polEff_Res,,17),INDEX(tlccEu_Res,,17))</f>
        <v>85.368292077419994</v>
      </c>
      <c r="V36" s="32">
        <f ca="1">SUMPRODUCT(INDEX(polEff_Res,,18),INDEX(tlccEu_Res,,18))</f>
        <v>85.320118201357516</v>
      </c>
      <c r="W36" s="32">
        <f ca="1">SUMPRODUCT(INDEX(polEff_Res,,19),INDEX(tlccEu_Res,,19))</f>
        <v>85.277320222517332</v>
      </c>
      <c r="X36" s="32">
        <f ca="1">SUMPRODUCT(INDEX(polEff_Res,,20),INDEX(tlccEu_Res,,20))</f>
        <v>85.22474440440287</v>
      </c>
      <c r="Y36" s="32">
        <f ca="1">SUMPRODUCT(INDEX(polEff_Res,,21),INDEX(tlccEu_Res,,21))</f>
        <v>85.173908299330151</v>
      </c>
      <c r="Z36" s="32">
        <f ca="1">SUMPRODUCT(INDEX(polEff_Res,,22),INDEX(tlccEu_Res,,22))</f>
        <v>85.146228989708291</v>
      </c>
      <c r="AA36" s="32">
        <f ca="1">SUMPRODUCT(INDEX(polEff_Res,,23),INDEX(tlccEu_Res,,23))</f>
        <v>85.10991431570794</v>
      </c>
      <c r="AB36" s="32">
        <f ca="1">SUMPRODUCT(INDEX(polEff_Res,,24),INDEX(tlccEu_Res,,24))</f>
        <v>85.074678560758286</v>
      </c>
      <c r="AC36" s="32">
        <f ca="1">SUMPRODUCT(INDEX(polEff_Res,,25),INDEX(tlccEu_Res,,25))</f>
        <v>85.045873134891323</v>
      </c>
      <c r="AD36" s="32">
        <f ca="1">SUMPRODUCT(INDEX(polEff_Res,,26),INDEX(tlccEu_Res,,26))</f>
        <v>85.006699726523721</v>
      </c>
      <c r="AE36" s="32">
        <f ca="1">SUMPRODUCT(INDEX(polEff_Res,,27),INDEX(tlccEu_Res,,27))</f>
        <v>84.975092934207112</v>
      </c>
      <c r="AF36" s="32">
        <f ca="1">SUMPRODUCT(INDEX(polEff_Res,,28),INDEX(tlccEu_Res,,28))</f>
        <v>84.975022711982447</v>
      </c>
      <c r="AG36" s="32">
        <f ca="1">SUMPRODUCT(INDEX(polEff_Res,,29),INDEX(tlccEu_Res,,29))</f>
        <v>84.974952716890698</v>
      </c>
      <c r="AH36" s="32">
        <f ca="1">SUMPRODUCT(INDEX(polEff_Res,,30),INDEX(tlccEu_Res,,30))</f>
        <v>84.974882925530792</v>
      </c>
      <c r="AI36" s="32">
        <f ca="1">SUMPRODUCT(INDEX(polEff_Res,,31),INDEX(tlccEu_Res,,31))</f>
        <v>84.974813315959111</v>
      </c>
      <c r="AJ36" s="32">
        <f ca="1">SUMPRODUCT(INDEX(polEff_Res,,32),INDEX(tlccEu_Res,,32))</f>
        <v>84.974743867530975</v>
      </c>
      <c r="AK36" s="32">
        <f ca="1">SUMPRODUCT(INDEX(polEff_Res,,33),INDEX(tlccEu_Res,,33))</f>
        <v>84.974674560788941</v>
      </c>
      <c r="AL36" s="32">
        <f ca="1">SUMPRODUCT(INDEX(polEff_Res,,34),INDEX(tlccEu_Res,,34))</f>
        <v>84.97460537740497</v>
      </c>
      <c r="AM36" s="32">
        <f ca="1">SUMPRODUCT(INDEX(polEff_Res,,35),INDEX(tlccEu_Res,,35))</f>
        <v>84.94055786540585</v>
      </c>
      <c r="AN36" s="55">
        <f ca="1">SUMPRODUCT(INDEX(polEff_Res,,36),INDEX(tlccEu_Res,,36))</f>
        <v>84.94055786540585</v>
      </c>
      <c r="AO36" s="8"/>
    </row>
    <row r="37" spans="2:41" x14ac:dyDescent="0.35">
      <c r="B37" s="8"/>
      <c r="C37" s="20" t="str">
        <f>INDEX(_Sector,2,2)</f>
        <v>Commercial</v>
      </c>
      <c r="D37" s="8"/>
      <c r="E37" s="32">
        <f ca="1">SUMPRODUCT(INDEX(polEff_Com,,1),INDEX(tlccEu_Com,,1))</f>
        <v>110.48150593617223</v>
      </c>
      <c r="F37" s="32">
        <f ca="1">SUMPRODUCT(INDEX(polEff_Com,,2),INDEX(tlccEu_Com,,2))</f>
        <v>110.45549127032992</v>
      </c>
      <c r="G37" s="32">
        <f ca="1">SUMPRODUCT(INDEX(polEff_Com,,3),INDEX(tlccEu_Com,,3))</f>
        <v>105.01874915617704</v>
      </c>
      <c r="H37" s="32">
        <f ca="1">SUMPRODUCT(INDEX(polEff_Com,,4),INDEX(tlccEu_Com,,4))</f>
        <v>105.03954804231049</v>
      </c>
      <c r="I37" s="32">
        <f ca="1">SUMPRODUCT(INDEX(polEff_Com,,5),INDEX(tlccEu_Com,,5))</f>
        <v>105.04934209303619</v>
      </c>
      <c r="J37" s="32">
        <f ca="1">SUMPRODUCT(INDEX(polEff_Com,,6),INDEX(tlccEu_Com,,6))</f>
        <v>105.04535213897005</v>
      </c>
      <c r="K37" s="32">
        <f ca="1">SUMPRODUCT(INDEX(polEff_Com,,7),INDEX(tlccEu_Com,,7))</f>
        <v>105.01403731922399</v>
      </c>
      <c r="L37" s="32">
        <f ca="1">SUMPRODUCT(INDEX(polEff_Com,,8),INDEX(tlccEu_Com,,8))</f>
        <v>104.96651874679164</v>
      </c>
      <c r="M37" s="32">
        <f ca="1">SUMPRODUCT(INDEX(polEff_Com,,9),INDEX(tlccEu_Com,,9))</f>
        <v>104.87725594688531</v>
      </c>
      <c r="N37" s="32">
        <f ca="1">SUMPRODUCT(INDEX(polEff_Com,,10),INDEX(tlccEu_Com,,10))</f>
        <v>104.76937972930814</v>
      </c>
      <c r="O37" s="32">
        <f ca="1">SUMPRODUCT(INDEX(polEff_Com,,11),INDEX(tlccEu_Com,,11))</f>
        <v>104.60059514121581</v>
      </c>
      <c r="P37" s="32">
        <f ca="1">SUMPRODUCT(INDEX(polEff_Com,,12),INDEX(tlccEu_Com,,12))</f>
        <v>104.38661054572736</v>
      </c>
      <c r="Q37" s="32">
        <f ca="1">SUMPRODUCT(INDEX(polEff_Com,,13),INDEX(tlccEu_Com,,13))</f>
        <v>104.20125867101629</v>
      </c>
      <c r="R37" s="32">
        <f ca="1">SUMPRODUCT(INDEX(polEff_Com,,14),INDEX(tlccEu_Com,,14))</f>
        <v>104.01803755777308</v>
      </c>
      <c r="S37" s="32">
        <f ca="1">SUMPRODUCT(INDEX(polEff_Com,,15),INDEX(tlccEu_Com,,15))</f>
        <v>103.85688694466909</v>
      </c>
      <c r="T37" s="32">
        <f ca="1">SUMPRODUCT(INDEX(polEff_Com,,16),INDEX(tlccEu_Com,,16))</f>
        <v>103.72502091537476</v>
      </c>
      <c r="U37" s="32">
        <f ca="1">SUMPRODUCT(INDEX(polEff_Com,,17),INDEX(tlccEu_Com,,17))</f>
        <v>103.56904452720967</v>
      </c>
      <c r="V37" s="32">
        <f ca="1">SUMPRODUCT(INDEX(polEff_Com,,18),INDEX(tlccEu_Com,,18))</f>
        <v>103.40283141499775</v>
      </c>
      <c r="W37" s="32">
        <f ca="1">SUMPRODUCT(INDEX(polEff_Com,,19),INDEX(tlccEu_Com,,19))</f>
        <v>103.2582600564543</v>
      </c>
      <c r="X37" s="32">
        <f ca="1">SUMPRODUCT(INDEX(polEff_Com,,20),INDEX(tlccEu_Com,,20))</f>
        <v>103.10566172074829</v>
      </c>
      <c r="Y37" s="32">
        <f ca="1">SUMPRODUCT(INDEX(polEff_Com,,21),INDEX(tlccEu_Com,,21))</f>
        <v>102.9541086835961</v>
      </c>
      <c r="Z37" s="32">
        <f ca="1">SUMPRODUCT(INDEX(polEff_Com,,22),INDEX(tlccEu_Com,,22))</f>
        <v>102.85656203684782</v>
      </c>
      <c r="AA37" s="32">
        <f ca="1">SUMPRODUCT(INDEX(polEff_Com,,23),INDEX(tlccEu_Com,,23))</f>
        <v>102.75169926824722</v>
      </c>
      <c r="AB37" s="32">
        <f ca="1">SUMPRODUCT(INDEX(polEff_Com,,24),INDEX(tlccEu_Com,,24))</f>
        <v>102.6547552291605</v>
      </c>
      <c r="AC37" s="32">
        <f ca="1">SUMPRODUCT(INDEX(polEff_Com,,25),INDEX(tlccEu_Com,,25))</f>
        <v>102.58760646197562</v>
      </c>
      <c r="AD37" s="32">
        <f ca="1">SUMPRODUCT(INDEX(polEff_Com,,26),INDEX(tlccEu_Com,,26))</f>
        <v>102.50975315065313</v>
      </c>
      <c r="AE37" s="32">
        <f ca="1">SUMPRODUCT(INDEX(polEff_Com,,27),INDEX(tlccEu_Com,,27))</f>
        <v>102.44884604915229</v>
      </c>
      <c r="AF37" s="32">
        <f ca="1">SUMPRODUCT(INDEX(polEff_Com,,28),INDEX(tlccEu_Com,,28))</f>
        <v>102.44876587731898</v>
      </c>
      <c r="AG37" s="32">
        <f ca="1">SUMPRODUCT(INDEX(polEff_Com,,29),INDEX(tlccEu_Com,,29))</f>
        <v>102.44868596480431</v>
      </c>
      <c r="AH37" s="32">
        <f ca="1">SUMPRODUCT(INDEX(polEff_Com,,30),INDEX(tlccEu_Com,,30))</f>
        <v>102.44860628489162</v>
      </c>
      <c r="AI37" s="32">
        <f ca="1">SUMPRODUCT(INDEX(polEff_Com,,31),INDEX(tlccEu_Com,,31))</f>
        <v>102.44852681252803</v>
      </c>
      <c r="AJ37" s="32">
        <f ca="1">SUMPRODUCT(INDEX(polEff_Com,,32),INDEX(tlccEu_Com,,32))</f>
        <v>102.44844752414383</v>
      </c>
      <c r="AK37" s="32">
        <f ca="1">SUMPRODUCT(INDEX(polEff_Com,,33),INDEX(tlccEu_Com,,33))</f>
        <v>102.44836839752459</v>
      </c>
      <c r="AL37" s="32">
        <f ca="1">SUMPRODUCT(INDEX(polEff_Com,,34),INDEX(tlccEu_Com,,34))</f>
        <v>102.44828941174548</v>
      </c>
      <c r="AM37" s="32">
        <f ca="1">SUMPRODUCT(INDEX(polEff_Com,,35),INDEX(tlccEu_Com,,35))</f>
        <v>102.40839024494194</v>
      </c>
      <c r="AN37" s="55">
        <f ca="1">SUMPRODUCT(INDEX(polEff_Com,,36),INDEX(tlccEu_Com,,36))</f>
        <v>102.40839024494194</v>
      </c>
      <c r="AO37" s="8"/>
    </row>
    <row r="38" spans="2:41" x14ac:dyDescent="0.35">
      <c r="B38" s="8"/>
      <c r="C38" s="10" t="s">
        <v>78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18"/>
      <c r="AO38" s="8"/>
    </row>
    <row r="39" spans="2:41" x14ac:dyDescent="0.35">
      <c r="B39" s="8"/>
      <c r="C39" s="20" t="str">
        <f>INDEX(_fuel,1)</f>
        <v>Electricity</v>
      </c>
      <c r="D39" s="11" t="s">
        <v>80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1"/>
      <c r="AO39" s="8"/>
    </row>
    <row r="40" spans="2:41" x14ac:dyDescent="0.35">
      <c r="B40" s="8"/>
      <c r="C40" s="50" t="str">
        <f>INDEX(_Sector,2,1)</f>
        <v>Residential</v>
      </c>
      <c r="D40" s="8"/>
      <c r="E40" s="40">
        <f ca="1">SUMPRODUCT(INDEX(polEff_Res,,1),INDEX(tlccFuElec_Res,,1))</f>
        <v>2.6945007931988338</v>
      </c>
      <c r="F40" s="40">
        <f ca="1">SUMPRODUCT(INDEX(polEff_Res,,2),INDEX(tlccFuElec_Res,,2))</f>
        <v>2.6813487151537654</v>
      </c>
      <c r="G40" s="40">
        <f ca="1">SUMPRODUCT(INDEX(polEff_Res,,3),INDEX(tlccFuElec_Res,,3))</f>
        <v>2.5036866132034565</v>
      </c>
      <c r="H40" s="40">
        <f ca="1">SUMPRODUCT(INDEX(polEff_Res,,4),INDEX(tlccFuElec_Res,,4))</f>
        <v>2.4967601268368078</v>
      </c>
      <c r="I40" s="40">
        <f ca="1">SUMPRODUCT(INDEX(polEff_Res,,5),INDEX(tlccFuElec_Res,,5))</f>
        <v>2.4919846090316113</v>
      </c>
      <c r="J40" s="40">
        <f ca="1">SUMPRODUCT(INDEX(polEff_Res,,6),INDEX(tlccFuElec_Res,,6))</f>
        <v>2.4881383192690825</v>
      </c>
      <c r="K40" s="40">
        <f ca="1">SUMPRODUCT(INDEX(polEff_Res,,7),INDEX(tlccFuElec_Res,,7))</f>
        <v>2.4848111734835379</v>
      </c>
      <c r="L40" s="40">
        <f ca="1">SUMPRODUCT(INDEX(polEff_Res,,8),INDEX(tlccFuElec_Res,,8))</f>
        <v>2.481218084246148</v>
      </c>
      <c r="M40" s="40">
        <f ca="1">SUMPRODUCT(INDEX(polEff_Res,,9),INDEX(tlccFuElec_Res,,9))</f>
        <v>2.4777611547978875</v>
      </c>
      <c r="N40" s="40">
        <f ca="1">SUMPRODUCT(INDEX(polEff_Res,,10),INDEX(tlccFuElec_Res,,10))</f>
        <v>2.4744885843785642</v>
      </c>
      <c r="O40" s="40">
        <f ca="1">SUMPRODUCT(INDEX(polEff_Res,,11),INDEX(tlccFuElec_Res,,11))</f>
        <v>2.4710338360633539</v>
      </c>
      <c r="P40" s="40">
        <f ca="1">SUMPRODUCT(INDEX(polEff_Res,,12),INDEX(tlccFuElec_Res,,12))</f>
        <v>2.4681151969859836</v>
      </c>
      <c r="Q40" s="40">
        <f ca="1">SUMPRODUCT(INDEX(polEff_Res,,13),INDEX(tlccFuElec_Res,,13))</f>
        <v>2.4651209204520068</v>
      </c>
      <c r="R40" s="40">
        <f ca="1">SUMPRODUCT(INDEX(polEff_Res,,14),INDEX(tlccFuElec_Res,,14))</f>
        <v>2.4625115395057828</v>
      </c>
      <c r="S40" s="40">
        <f ca="1">SUMPRODUCT(INDEX(polEff_Res,,15),INDEX(tlccFuElec_Res,,15))</f>
        <v>2.4603141167816283</v>
      </c>
      <c r="T40" s="40">
        <f ca="1">SUMPRODUCT(INDEX(polEff_Res,,16),INDEX(tlccFuElec_Res,,16))</f>
        <v>2.4582684583456675</v>
      </c>
      <c r="U40" s="40">
        <f ca="1">SUMPRODUCT(INDEX(polEff_Res,,17),INDEX(tlccFuElec_Res,,17))</f>
        <v>2.4561659629450023</v>
      </c>
      <c r="V40" s="40">
        <f ca="1">SUMPRODUCT(INDEX(polEff_Res,,18),INDEX(tlccFuElec_Res,,18))</f>
        <v>2.4542833851698322</v>
      </c>
      <c r="W40" s="40">
        <f ca="1">SUMPRODUCT(INDEX(polEff_Res,,19),INDEX(tlccFuElec_Res,,19))</f>
        <v>2.4527442615983346</v>
      </c>
      <c r="X40" s="40">
        <f ca="1">SUMPRODUCT(INDEX(polEff_Res,,20),INDEX(tlccFuElec_Res,,20))</f>
        <v>2.4514434375534448</v>
      </c>
      <c r="Y40" s="40">
        <f ca="1">SUMPRODUCT(INDEX(polEff_Res,,21),INDEX(tlccFuElec_Res,,21))</f>
        <v>2.4503949787204768</v>
      </c>
      <c r="Z40" s="40">
        <f ca="1">SUMPRODUCT(INDEX(polEff_Res,,22),INDEX(tlccFuElec_Res,,22))</f>
        <v>2.4499891923354515</v>
      </c>
      <c r="AA40" s="40">
        <f ca="1">SUMPRODUCT(INDEX(polEff_Res,,23),INDEX(tlccFuElec_Res,,23))</f>
        <v>2.4499794618416386</v>
      </c>
      <c r="AB40" s="40">
        <f ca="1">SUMPRODUCT(INDEX(polEff_Res,,24),INDEX(tlccFuElec_Res,,24))</f>
        <v>2.4500926089768567</v>
      </c>
      <c r="AC40" s="40">
        <f ca="1">SUMPRODUCT(INDEX(polEff_Res,,25),INDEX(tlccFuElec_Res,,25))</f>
        <v>2.4503335754036804</v>
      </c>
      <c r="AD40" s="40">
        <f ca="1">SUMPRODUCT(INDEX(polEff_Res,,26),INDEX(tlccFuElec_Res,,26))</f>
        <v>2.4505360148793853</v>
      </c>
      <c r="AE40" s="40">
        <f ca="1">SUMPRODUCT(INDEX(polEff_Res,,27),INDEX(tlccFuElec_Res,,27))</f>
        <v>2.4505846619694327</v>
      </c>
      <c r="AF40" s="40">
        <f ca="1">SUMPRODUCT(INDEX(polEff_Res,,28),INDEX(tlccFuElec_Res,,28))</f>
        <v>2.450585796663094</v>
      </c>
      <c r="AG40" s="40">
        <f ca="1">SUMPRODUCT(INDEX(polEff_Res,,29),INDEX(tlccFuElec_Res,,29))</f>
        <v>2.4505869276866039</v>
      </c>
      <c r="AH40" s="40">
        <f ca="1">SUMPRODUCT(INDEX(polEff_Res,,30),INDEX(tlccFuElec_Res,,30))</f>
        <v>2.4505880554180881</v>
      </c>
      <c r="AI40" s="40">
        <f ca="1">SUMPRODUCT(INDEX(polEff_Res,,31),INDEX(tlccFuElec_Res,,31))</f>
        <v>2.4505891802121296</v>
      </c>
      <c r="AJ40" s="40">
        <f ca="1">SUMPRODUCT(INDEX(polEff_Res,,32),INDEX(tlccFuElec_Res,,32))</f>
        <v>2.450590302402313</v>
      </c>
      <c r="AK40" s="40">
        <f ca="1">SUMPRODUCT(INDEX(polEff_Res,,33),INDEX(tlccFuElec_Res,,33))</f>
        <v>2.4505914223030474</v>
      </c>
      <c r="AL40" s="40">
        <f ca="1">SUMPRODUCT(INDEX(polEff_Res,,34),INDEX(tlccFuElec_Res,,34))</f>
        <v>2.4505925402104851</v>
      </c>
      <c r="AM40" s="40">
        <f ca="1">SUMPRODUCT(INDEX(polEff_Res,,35),INDEX(tlccFuElec_Res,,35))</f>
        <v>2.4511427007365678</v>
      </c>
      <c r="AN40" s="41">
        <f ca="1">SUMPRODUCT(INDEX(polEff_Res,,36),INDEX(tlccFuElec_Res,,36))</f>
        <v>2.4511427007365678</v>
      </c>
      <c r="AO40" s="8"/>
    </row>
    <row r="41" spans="2:41" x14ac:dyDescent="0.35">
      <c r="B41" s="8"/>
      <c r="C41" s="58" t="str">
        <f>INDEX(_Sector,2,2)</f>
        <v>Commercial</v>
      </c>
      <c r="D41" s="56"/>
      <c r="E41" s="48">
        <f ca="1">SUMPRODUCT(INDEX(polEff_Com,,1),INDEX(tlccFuElec_Com,,1))</f>
        <v>5.426609221208424</v>
      </c>
      <c r="F41" s="48">
        <f ca="1">SUMPRODUCT(INDEX(polEff_Com,,2),INDEX(tlccFuElec_Com,,2))</f>
        <v>5.3991222786765691</v>
      </c>
      <c r="G41" s="48">
        <f ca="1">SUMPRODUCT(INDEX(polEff_Com,,3),INDEX(tlccFuElec_Com,,3))</f>
        <v>4.9613002532344517</v>
      </c>
      <c r="H41" s="48">
        <f ca="1">SUMPRODUCT(INDEX(polEff_Com,,4),INDEX(tlccFuElec_Com,,4))</f>
        <v>4.9474928156821214</v>
      </c>
      <c r="I41" s="48">
        <f ca="1">SUMPRODUCT(INDEX(polEff_Com,,5),INDEX(tlccFuElec_Com,,5))</f>
        <v>4.9383859659072771</v>
      </c>
      <c r="J41" s="48">
        <f ca="1">SUMPRODUCT(INDEX(polEff_Com,,6),INDEX(tlccFuElec_Com,,6))</f>
        <v>4.9313058997590957</v>
      </c>
      <c r="K41" s="48">
        <f ca="1">SUMPRODUCT(INDEX(polEff_Com,,7),INDEX(tlccFuElec_Com,,7))</f>
        <v>4.9252751947356641</v>
      </c>
      <c r="L41" s="48">
        <f ca="1">SUMPRODUCT(INDEX(polEff_Com,,8),INDEX(tlccFuElec_Com,,8))</f>
        <v>4.9188104304048084</v>
      </c>
      <c r="M41" s="48">
        <f ca="1">SUMPRODUCT(INDEX(polEff_Com,,9),INDEX(tlccFuElec_Com,,9))</f>
        <v>4.9127052106330895</v>
      </c>
      <c r="N41" s="48">
        <f ca="1">SUMPRODUCT(INDEX(polEff_Com,,10),INDEX(tlccFuElec_Com,,10))</f>
        <v>4.906955139138482</v>
      </c>
      <c r="O41" s="48">
        <f ca="1">SUMPRODUCT(INDEX(polEff_Com,,11),INDEX(tlccFuElec_Com,,11))</f>
        <v>4.9009356401414728</v>
      </c>
      <c r="P41" s="48">
        <f ca="1">SUMPRODUCT(INDEX(polEff_Com,,12),INDEX(tlccFuElec_Com,,12))</f>
        <v>4.8957729732260411</v>
      </c>
      <c r="Q41" s="48">
        <f ca="1">SUMPRODUCT(INDEX(polEff_Com,,13),INDEX(tlccFuElec_Com,,13))</f>
        <v>4.8903951024190704</v>
      </c>
      <c r="R41" s="48">
        <f ca="1">SUMPRODUCT(INDEX(polEff_Com,,14),INDEX(tlccFuElec_Com,,14))</f>
        <v>4.8857071175619531</v>
      </c>
      <c r="S41" s="48">
        <f ca="1">SUMPRODUCT(INDEX(polEff_Com,,15),INDEX(tlccFuElec_Com,,15))</f>
        <v>4.8818144476828333</v>
      </c>
      <c r="T41" s="48">
        <f ca="1">SUMPRODUCT(INDEX(polEff_Com,,16),INDEX(tlccFuElec_Com,,16))</f>
        <v>4.8782474180805622</v>
      </c>
      <c r="U41" s="48">
        <f ca="1">SUMPRODUCT(INDEX(polEff_Com,,17),INDEX(tlccFuElec_Com,,17))</f>
        <v>4.8745711653102957</v>
      </c>
      <c r="V41" s="48">
        <f ca="1">SUMPRODUCT(INDEX(polEff_Com,,18),INDEX(tlccFuElec_Com,,18))</f>
        <v>4.8712629140326786</v>
      </c>
      <c r="W41" s="48">
        <f ca="1">SUMPRODUCT(INDEX(polEff_Com,,19),INDEX(tlccFuElec_Com,,19))</f>
        <v>4.8685912294477234</v>
      </c>
      <c r="X41" s="48">
        <f ca="1">SUMPRODUCT(INDEX(polEff_Com,,20),INDEX(tlccFuElec_Com,,20))</f>
        <v>4.8663591013552692</v>
      </c>
      <c r="Y41" s="48">
        <f ca="1">SUMPRODUCT(INDEX(polEff_Com,,21),INDEX(tlccFuElec_Com,,21))</f>
        <v>4.8645653585239632</v>
      </c>
      <c r="Z41" s="48">
        <f ca="1">SUMPRODUCT(INDEX(polEff_Com,,22),INDEX(tlccFuElec_Com,,22))</f>
        <v>4.8639685864467168</v>
      </c>
      <c r="AA41" s="48">
        <f ca="1">SUMPRODUCT(INDEX(polEff_Com,,23),INDEX(tlccFuElec_Com,,23))</f>
        <v>4.8640966741310452</v>
      </c>
      <c r="AB41" s="48">
        <f ca="1">SUMPRODUCT(INDEX(polEff_Com,,24),INDEX(tlccFuElec_Com,,24))</f>
        <v>4.8644385822316387</v>
      </c>
      <c r="AC41" s="48">
        <f ca="1">SUMPRODUCT(INDEX(polEff_Com,,25),INDEX(tlccFuElec_Com,,25))</f>
        <v>4.8649791604055599</v>
      </c>
      <c r="AD41" s="48">
        <f ca="1">SUMPRODUCT(INDEX(polEff_Com,,26),INDEX(tlccFuElec_Com,,26))</f>
        <v>4.8654119426377722</v>
      </c>
      <c r="AE41" s="48">
        <f ca="1">SUMPRODUCT(INDEX(polEff_Com,,27),INDEX(tlccFuElec_Com,,27))</f>
        <v>4.8655263702746083</v>
      </c>
      <c r="AF41" s="48">
        <f ca="1">SUMPRODUCT(INDEX(polEff_Com,,28),INDEX(tlccFuElec_Com,,28))</f>
        <v>4.8655286510040687</v>
      </c>
      <c r="AG41" s="48">
        <f ca="1">SUMPRODUCT(INDEX(polEff_Com,,29),INDEX(tlccFuElec_Com,,29))</f>
        <v>4.8655309243564284</v>
      </c>
      <c r="AH41" s="48">
        <f ca="1">SUMPRODUCT(INDEX(polEff_Com,,30),INDEX(tlccFuElec_Com,,30))</f>
        <v>4.8655331910917248</v>
      </c>
      <c r="AI41" s="48">
        <f ca="1">SUMPRODUCT(INDEX(polEff_Com,,31),INDEX(tlccFuElec_Com,,31))</f>
        <v>4.8655354519226606</v>
      </c>
      <c r="AJ41" s="48">
        <f ca="1">SUMPRODUCT(INDEX(polEff_Com,,32),INDEX(tlccFuElec_Com,,32))</f>
        <v>4.8655377075197483</v>
      </c>
      <c r="AK41" s="48">
        <f ca="1">SUMPRODUCT(INDEX(polEff_Com,,33),INDEX(tlccFuElec_Com,,33))</f>
        <v>4.865539958514943</v>
      </c>
      <c r="AL41" s="48">
        <f ca="1">SUMPRODUCT(INDEX(polEff_Com,,34),INDEX(tlccFuElec_Com,,34))</f>
        <v>4.865542205503516</v>
      </c>
      <c r="AM41" s="48">
        <f ca="1">SUMPRODUCT(INDEX(polEff_Com,,35),INDEX(tlccFuElec_Com,,35))</f>
        <v>4.8666772575712738</v>
      </c>
      <c r="AN41" s="49">
        <f ca="1">SUMPRODUCT(INDEX(polEff_Com,,36),INDEX(tlccFuElec_Com,,36))</f>
        <v>4.8666772575712738</v>
      </c>
      <c r="AO41" s="8"/>
    </row>
    <row r="42" spans="2:4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</row>
    <row r="43" spans="2:41" x14ac:dyDescent="0.35">
      <c r="B43" s="8"/>
      <c r="C43" s="132" t="s">
        <v>13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4"/>
      <c r="AO43" s="8"/>
    </row>
    <row r="44" spans="2:41" x14ac:dyDescent="0.35">
      <c r="B44" s="8"/>
      <c r="C44" s="23" t="s">
        <v>98</v>
      </c>
      <c r="D44" s="24"/>
      <c r="E44" s="26">
        <f t="array" ref="E44:AN44">_yS</f>
        <v>2024</v>
      </c>
      <c r="F44" s="26">
        <v>2025</v>
      </c>
      <c r="G44" s="26">
        <v>2026</v>
      </c>
      <c r="H44" s="26">
        <v>2027</v>
      </c>
      <c r="I44" s="26">
        <v>2028</v>
      </c>
      <c r="J44" s="26">
        <v>2029</v>
      </c>
      <c r="K44" s="26">
        <v>2030</v>
      </c>
      <c r="L44" s="26">
        <v>2031</v>
      </c>
      <c r="M44" s="26">
        <v>2032</v>
      </c>
      <c r="N44" s="26">
        <v>2033</v>
      </c>
      <c r="O44" s="26">
        <v>2034</v>
      </c>
      <c r="P44" s="26">
        <v>2035</v>
      </c>
      <c r="Q44" s="26">
        <v>2036</v>
      </c>
      <c r="R44" s="26">
        <v>2037</v>
      </c>
      <c r="S44" s="26">
        <v>2038</v>
      </c>
      <c r="T44" s="26">
        <v>2039</v>
      </c>
      <c r="U44" s="26">
        <v>2040</v>
      </c>
      <c r="V44" s="26">
        <v>2041</v>
      </c>
      <c r="W44" s="26">
        <v>2042</v>
      </c>
      <c r="X44" s="26">
        <v>2043</v>
      </c>
      <c r="Y44" s="26">
        <v>2044</v>
      </c>
      <c r="Z44" s="26">
        <v>2045</v>
      </c>
      <c r="AA44" s="26">
        <v>2046</v>
      </c>
      <c r="AB44" s="26">
        <v>2047</v>
      </c>
      <c r="AC44" s="26">
        <v>2048</v>
      </c>
      <c r="AD44" s="26">
        <v>2049</v>
      </c>
      <c r="AE44" s="26">
        <v>2050</v>
      </c>
      <c r="AF44" s="26">
        <v>2051</v>
      </c>
      <c r="AG44" s="26">
        <v>2052</v>
      </c>
      <c r="AH44" s="26">
        <v>2053</v>
      </c>
      <c r="AI44" s="26">
        <v>2054</v>
      </c>
      <c r="AJ44" s="26">
        <v>2055</v>
      </c>
      <c r="AK44" s="26">
        <v>2056</v>
      </c>
      <c r="AL44" s="26">
        <v>2057</v>
      </c>
      <c r="AM44" s="26">
        <v>2058</v>
      </c>
      <c r="AN44" s="27">
        <v>2059</v>
      </c>
      <c r="AO44" s="8"/>
    </row>
    <row r="45" spans="2:41" x14ac:dyDescent="0.35">
      <c r="B45" s="8"/>
      <c r="C45" s="19" t="str">
        <f>"EL 0: " &amp; INDEX(_doName,1,1)</f>
        <v>EL 0: Baseline</v>
      </c>
      <c r="D45" s="11" t="s">
        <v>63</v>
      </c>
      <c r="E45" s="43">
        <f t="array" aca="1" ref="E45:AN49" ca="1">IF(_yS&lt;yearC,bcEff_Res,IF(_yS&lt;year2nd,MMULT(mRoll1_Res,refEff_Res),MMULT(mRoll2_Res,refEff_Res)))</f>
        <v>0</v>
      </c>
      <c r="F45" s="43">
        <f ca="1"/>
        <v>0</v>
      </c>
      <c r="G45" s="43">
        <f ca="1"/>
        <v>0</v>
      </c>
      <c r="H45" s="43">
        <f ca="1"/>
        <v>0</v>
      </c>
      <c r="I45" s="43">
        <f ca="1"/>
        <v>0</v>
      </c>
      <c r="J45" s="43">
        <f ca="1"/>
        <v>0</v>
      </c>
      <c r="K45" s="43">
        <f ca="1"/>
        <v>0</v>
      </c>
      <c r="L45" s="43">
        <f ca="1"/>
        <v>0</v>
      </c>
      <c r="M45" s="43">
        <f ca="1"/>
        <v>0</v>
      </c>
      <c r="N45" s="43">
        <f ca="1"/>
        <v>0</v>
      </c>
      <c r="O45" s="43">
        <f ca="1"/>
        <v>0</v>
      </c>
      <c r="P45" s="43">
        <f ca="1"/>
        <v>0</v>
      </c>
      <c r="Q45" s="43">
        <f ca="1"/>
        <v>0</v>
      </c>
      <c r="R45" s="43">
        <f ca="1"/>
        <v>0</v>
      </c>
      <c r="S45" s="43">
        <f ca="1"/>
        <v>0</v>
      </c>
      <c r="T45" s="43">
        <f ca="1"/>
        <v>0</v>
      </c>
      <c r="U45" s="43">
        <f ca="1"/>
        <v>0</v>
      </c>
      <c r="V45" s="43">
        <f ca="1"/>
        <v>0</v>
      </c>
      <c r="W45" s="43">
        <f ca="1"/>
        <v>0</v>
      </c>
      <c r="X45" s="43">
        <f ca="1"/>
        <v>0</v>
      </c>
      <c r="Y45" s="43">
        <f ca="1"/>
        <v>0</v>
      </c>
      <c r="Z45" s="43">
        <f ca="1"/>
        <v>0</v>
      </c>
      <c r="AA45" s="43">
        <f ca="1"/>
        <v>0</v>
      </c>
      <c r="AB45" s="43">
        <f ca="1"/>
        <v>0</v>
      </c>
      <c r="AC45" s="43">
        <f ca="1"/>
        <v>0</v>
      </c>
      <c r="AD45" s="43">
        <f ca="1"/>
        <v>0</v>
      </c>
      <c r="AE45" s="43">
        <f ca="1"/>
        <v>0</v>
      </c>
      <c r="AF45" s="43">
        <f ca="1"/>
        <v>0</v>
      </c>
      <c r="AG45" s="43">
        <f ca="1"/>
        <v>0</v>
      </c>
      <c r="AH45" s="43">
        <f ca="1"/>
        <v>0</v>
      </c>
      <c r="AI45" s="43">
        <f ca="1"/>
        <v>0</v>
      </c>
      <c r="AJ45" s="43">
        <f ca="1"/>
        <v>0</v>
      </c>
      <c r="AK45" s="43">
        <f ca="1"/>
        <v>0</v>
      </c>
      <c r="AL45" s="43">
        <f ca="1"/>
        <v>0</v>
      </c>
      <c r="AM45" s="43">
        <f ca="1"/>
        <v>0</v>
      </c>
      <c r="AN45" s="44">
        <f ca="1"/>
        <v>0</v>
      </c>
      <c r="AO45" s="8"/>
    </row>
    <row r="46" spans="2:41" x14ac:dyDescent="0.35">
      <c r="B46" s="8"/>
      <c r="C46" s="19" t="str">
        <f>"EL 1: " &amp; INDEX(_doName,1,2)</f>
        <v>EL 1: Tier 1</v>
      </c>
      <c r="D46" s="11" t="s">
        <v>63</v>
      </c>
      <c r="E46" s="43">
        <f ca="1"/>
        <v>0.70024676109753092</v>
      </c>
      <c r="F46" s="43">
        <f ca="1"/>
        <v>0.70047669363390441</v>
      </c>
      <c r="G46" s="43">
        <f ca="1"/>
        <v>0</v>
      </c>
      <c r="H46" s="43">
        <f ca="1"/>
        <v>0</v>
      </c>
      <c r="I46" s="43">
        <f ca="1"/>
        <v>0</v>
      </c>
      <c r="J46" s="43">
        <f ca="1"/>
        <v>0</v>
      </c>
      <c r="K46" s="43">
        <f ca="1"/>
        <v>0</v>
      </c>
      <c r="L46" s="43">
        <f ca="1"/>
        <v>0</v>
      </c>
      <c r="M46" s="43">
        <f ca="1"/>
        <v>0</v>
      </c>
      <c r="N46" s="43">
        <f ca="1"/>
        <v>0</v>
      </c>
      <c r="O46" s="43">
        <f ca="1"/>
        <v>0</v>
      </c>
      <c r="P46" s="43">
        <f ca="1"/>
        <v>0</v>
      </c>
      <c r="Q46" s="43">
        <f ca="1"/>
        <v>0</v>
      </c>
      <c r="R46" s="43">
        <f ca="1"/>
        <v>0</v>
      </c>
      <c r="S46" s="43">
        <f ca="1"/>
        <v>0</v>
      </c>
      <c r="T46" s="43">
        <f ca="1"/>
        <v>0</v>
      </c>
      <c r="U46" s="43">
        <f ca="1"/>
        <v>0</v>
      </c>
      <c r="V46" s="43">
        <f ca="1"/>
        <v>0</v>
      </c>
      <c r="W46" s="43">
        <f ca="1"/>
        <v>0</v>
      </c>
      <c r="X46" s="43">
        <f ca="1"/>
        <v>0</v>
      </c>
      <c r="Y46" s="43">
        <f ca="1"/>
        <v>0</v>
      </c>
      <c r="Z46" s="43">
        <f ca="1"/>
        <v>0</v>
      </c>
      <c r="AA46" s="43">
        <f ca="1"/>
        <v>0</v>
      </c>
      <c r="AB46" s="43">
        <f ca="1"/>
        <v>0</v>
      </c>
      <c r="AC46" s="43">
        <f ca="1"/>
        <v>0</v>
      </c>
      <c r="AD46" s="43">
        <f ca="1"/>
        <v>0</v>
      </c>
      <c r="AE46" s="43">
        <f ca="1"/>
        <v>0</v>
      </c>
      <c r="AF46" s="43">
        <f ca="1"/>
        <v>0</v>
      </c>
      <c r="AG46" s="43">
        <f ca="1"/>
        <v>0</v>
      </c>
      <c r="AH46" s="43">
        <f ca="1"/>
        <v>0</v>
      </c>
      <c r="AI46" s="43">
        <f ca="1"/>
        <v>0</v>
      </c>
      <c r="AJ46" s="43">
        <f ca="1"/>
        <v>0</v>
      </c>
      <c r="AK46" s="43">
        <f ca="1"/>
        <v>0</v>
      </c>
      <c r="AL46" s="43">
        <f ca="1"/>
        <v>0</v>
      </c>
      <c r="AM46" s="43">
        <f ca="1"/>
        <v>0</v>
      </c>
      <c r="AN46" s="44">
        <f ca="1"/>
        <v>0</v>
      </c>
      <c r="AO46" s="8"/>
    </row>
    <row r="47" spans="2:41" x14ac:dyDescent="0.35">
      <c r="B47" s="8"/>
      <c r="C47" s="19" t="str">
        <f>"EL 2: " &amp; INDEX(_doName,1,3)</f>
        <v>EL 2: Tier 2</v>
      </c>
      <c r="D47" s="11" t="s">
        <v>63</v>
      </c>
      <c r="E47" s="43">
        <f ca="1"/>
        <v>0.19150901374324414</v>
      </c>
      <c r="F47" s="43">
        <f ca="1"/>
        <v>0.19136211240056114</v>
      </c>
      <c r="G47" s="43">
        <f ca="1"/>
        <v>0.89125768328145705</v>
      </c>
      <c r="H47" s="43">
        <f ca="1"/>
        <v>0.89137481290091614</v>
      </c>
      <c r="I47" s="43">
        <f ca="1"/>
        <v>0.8914910786436</v>
      </c>
      <c r="J47" s="43">
        <f ca="1"/>
        <v>0.89152223429643651</v>
      </c>
      <c r="K47" s="43">
        <f ca="1"/>
        <v>0.89155320294790852</v>
      </c>
      <c r="L47" s="43">
        <f ca="1"/>
        <v>0.89158399061669169</v>
      </c>
      <c r="M47" s="43">
        <f ca="1"/>
        <v>0.89161460271669035</v>
      </c>
      <c r="N47" s="43">
        <f ca="1"/>
        <v>0.8916450443922741</v>
      </c>
      <c r="O47" s="43">
        <f ca="1"/>
        <v>0.89164834957260752</v>
      </c>
      <c r="P47" s="43">
        <f ca="1"/>
        <v>0.89165162953303756</v>
      </c>
      <c r="Q47" s="43">
        <f ca="1"/>
        <v>0.89165488596789144</v>
      </c>
      <c r="R47" s="43">
        <f ca="1"/>
        <v>0.89165812042547943</v>
      </c>
      <c r="S47" s="43">
        <f ca="1"/>
        <v>0.8916613343312525</v>
      </c>
      <c r="T47" s="43">
        <f ca="1"/>
        <v>0.89166452875929436</v>
      </c>
      <c r="U47" s="43">
        <f ca="1"/>
        <v>0.89166770471532097</v>
      </c>
      <c r="V47" s="43">
        <f ca="1"/>
        <v>0.89167086306423382</v>
      </c>
      <c r="W47" s="43">
        <f ca="1"/>
        <v>0.89167400457295409</v>
      </c>
      <c r="X47" s="43">
        <f ca="1"/>
        <v>0.89167712994336434</v>
      </c>
      <c r="Y47" s="43">
        <f ca="1"/>
        <v>0.89167804026403763</v>
      </c>
      <c r="Z47" s="43">
        <f ca="1"/>
        <v>0.89167894492319111</v>
      </c>
      <c r="AA47" s="43">
        <f ca="1"/>
        <v>0.89167984441807391</v>
      </c>
      <c r="AB47" s="43">
        <f ca="1"/>
        <v>0.89168073921458935</v>
      </c>
      <c r="AC47" s="43">
        <f ca="1"/>
        <v>0.89168162974529608</v>
      </c>
      <c r="AD47" s="43">
        <f ca="1"/>
        <v>0.89168251640914264</v>
      </c>
      <c r="AE47" s="43">
        <f ca="1"/>
        <v>0.89168339957341425</v>
      </c>
      <c r="AF47" s="43">
        <f ca="1"/>
        <v>0.8916842795770179</v>
      </c>
      <c r="AG47" s="43">
        <f ca="1"/>
        <v>0.89168515673426119</v>
      </c>
      <c r="AH47" s="43">
        <f ca="1"/>
        <v>0.89168603133839808</v>
      </c>
      <c r="AI47" s="43">
        <f ca="1"/>
        <v>0.89168690366442105</v>
      </c>
      <c r="AJ47" s="43">
        <f ca="1"/>
        <v>0.89168777397104149</v>
      </c>
      <c r="AK47" s="43">
        <f ca="1"/>
        <v>0.89168864250209501</v>
      </c>
      <c r="AL47" s="43">
        <f ca="1"/>
        <v>0.89168950948726233</v>
      </c>
      <c r="AM47" s="43">
        <f ca="1"/>
        <v>0.89211618257261405</v>
      </c>
      <c r="AN47" s="44">
        <f ca="1"/>
        <v>0.89211618257261405</v>
      </c>
      <c r="AO47" s="8"/>
    </row>
    <row r="48" spans="2:41" x14ac:dyDescent="0.35">
      <c r="B48" s="8"/>
      <c r="C48" s="19" t="str">
        <f>"EL 3: " &amp; INDEX(_doName,1,4)</f>
        <v>EL 3: EL 3</v>
      </c>
      <c r="D48" s="11" t="s">
        <v>63</v>
      </c>
      <c r="E48" s="43">
        <f ca="1"/>
        <v>7.4938309725617283E-2</v>
      </c>
      <c r="F48" s="43">
        <f ca="1"/>
        <v>7.4880826591523925E-2</v>
      </c>
      <c r="G48" s="43">
        <f ca="1"/>
        <v>7.528314234360664E-2</v>
      </c>
      <c r="H48" s="43">
        <f ca="1"/>
        <v>7.5202052607058104E-2</v>
      </c>
      <c r="I48" s="43">
        <f ca="1"/>
        <v>7.5121560939046136E-2</v>
      </c>
      <c r="J48" s="43">
        <f ca="1"/>
        <v>7.5099991640928579E-2</v>
      </c>
      <c r="K48" s="43">
        <f ca="1"/>
        <v>7.50785518052942E-2</v>
      </c>
      <c r="L48" s="43">
        <f ca="1"/>
        <v>7.5057237265367296E-2</v>
      </c>
      <c r="M48" s="43">
        <f ca="1"/>
        <v>7.5036044273060543E-2</v>
      </c>
      <c r="N48" s="43">
        <f ca="1"/>
        <v>7.5014969266887166E-2</v>
      </c>
      <c r="O48" s="43">
        <f ca="1"/>
        <v>7.501268106511795E-2</v>
      </c>
      <c r="P48" s="43">
        <f ca="1"/>
        <v>7.5010410323281707E-2</v>
      </c>
      <c r="Q48" s="43">
        <f ca="1"/>
        <v>7.5008155868382914E-2</v>
      </c>
      <c r="R48" s="43">
        <f ca="1"/>
        <v>7.5005916628514219E-2</v>
      </c>
      <c r="S48" s="43">
        <f ca="1"/>
        <v>7.5003691616825033E-2</v>
      </c>
      <c r="T48" s="43">
        <f ca="1"/>
        <v>7.5001480089719227E-2</v>
      </c>
      <c r="U48" s="43">
        <f ca="1"/>
        <v>7.4999281350931535E-2</v>
      </c>
      <c r="V48" s="43">
        <f ca="1"/>
        <v>7.4997094801684261E-2</v>
      </c>
      <c r="W48" s="43">
        <f ca="1"/>
        <v>7.4994919911031799E-2</v>
      </c>
      <c r="X48" s="43">
        <f ca="1"/>
        <v>7.4992756193055538E-2</v>
      </c>
      <c r="Y48" s="43">
        <f ca="1"/>
        <v>7.4992125971050858E-2</v>
      </c>
      <c r="Z48" s="43">
        <f ca="1"/>
        <v>7.4991499668559877E-2</v>
      </c>
      <c r="AA48" s="43">
        <f ca="1"/>
        <v>7.4990876941333398E-2</v>
      </c>
      <c r="AB48" s="43">
        <f ca="1"/>
        <v>7.4990257466822807E-2</v>
      </c>
      <c r="AC48" s="43">
        <f ca="1"/>
        <v>7.4989640945564304E-2</v>
      </c>
      <c r="AD48" s="43">
        <f ca="1"/>
        <v>7.4989027101362793E-2</v>
      </c>
      <c r="AE48" s="43">
        <f ca="1"/>
        <v>7.4988415679943979E-2</v>
      </c>
      <c r="AF48" s="43">
        <f ca="1"/>
        <v>7.4987806446679878E-2</v>
      </c>
      <c r="AG48" s="43">
        <f ca="1"/>
        <v>7.4987199183973008E-2</v>
      </c>
      <c r="AH48" s="43">
        <f ca="1"/>
        <v>7.4986593688801242E-2</v>
      </c>
      <c r="AI48" s="43">
        <f ca="1"/>
        <v>7.4985989770785438E-2</v>
      </c>
      <c r="AJ48" s="43">
        <f ca="1"/>
        <v>7.4985387250817437E-2</v>
      </c>
      <c r="AK48" s="43">
        <f ca="1"/>
        <v>7.4984785960088202E-2</v>
      </c>
      <c r="AL48" s="43">
        <f ca="1"/>
        <v>7.4984185739587664E-2</v>
      </c>
      <c r="AM48" s="43">
        <f ca="1"/>
        <v>7.4688796680497924E-2</v>
      </c>
      <c r="AN48" s="44">
        <f ca="1"/>
        <v>7.4688796680497924E-2</v>
      </c>
      <c r="AO48" s="8"/>
    </row>
    <row r="49" spans="2:41" x14ac:dyDescent="0.35">
      <c r="B49" s="8"/>
      <c r="C49" s="35" t="str">
        <f>"EL 4: " &amp; INDEX(_doName,1,5)</f>
        <v>EL 4: EL 4</v>
      </c>
      <c r="D49" s="15" t="s">
        <v>63</v>
      </c>
      <c r="E49" s="45">
        <f ca="1"/>
        <v>3.3305915433607676E-2</v>
      </c>
      <c r="F49" s="45">
        <f ca="1"/>
        <v>3.3280367374010633E-2</v>
      </c>
      <c r="G49" s="45">
        <f ca="1"/>
        <v>3.3459174374936285E-2</v>
      </c>
      <c r="H49" s="45">
        <f ca="1"/>
        <v>3.342313449202583E-2</v>
      </c>
      <c r="I49" s="45">
        <f ca="1"/>
        <v>3.3387360417353844E-2</v>
      </c>
      <c r="J49" s="45">
        <f ca="1"/>
        <v>3.3377774062634924E-2</v>
      </c>
      <c r="K49" s="45">
        <f ca="1"/>
        <v>3.3368245246797427E-2</v>
      </c>
      <c r="L49" s="45">
        <f ca="1"/>
        <v>3.335877211794102E-2</v>
      </c>
      <c r="M49" s="45">
        <f ca="1"/>
        <v>3.3349353010249133E-2</v>
      </c>
      <c r="N49" s="45">
        <f ca="1"/>
        <v>3.3339986340838741E-2</v>
      </c>
      <c r="O49" s="45">
        <f ca="1"/>
        <v>3.3338969362274644E-2</v>
      </c>
      <c r="P49" s="45">
        <f ca="1"/>
        <v>3.3337960143680762E-2</v>
      </c>
      <c r="Q49" s="45">
        <f ca="1"/>
        <v>3.3336958163725741E-2</v>
      </c>
      <c r="R49" s="45">
        <f ca="1"/>
        <v>3.3335962946006319E-2</v>
      </c>
      <c r="S49" s="45">
        <f ca="1"/>
        <v>3.3334974051922241E-2</v>
      </c>
      <c r="T49" s="45">
        <f ca="1"/>
        <v>3.3333991150986328E-2</v>
      </c>
      <c r="U49" s="45">
        <f ca="1"/>
        <v>3.3333013933747352E-2</v>
      </c>
      <c r="V49" s="45">
        <f ca="1"/>
        <v>3.3332042134081898E-2</v>
      </c>
      <c r="W49" s="45">
        <f ca="1"/>
        <v>3.3331075516014136E-2</v>
      </c>
      <c r="X49" s="45">
        <f ca="1"/>
        <v>3.3330113863580237E-2</v>
      </c>
      <c r="Y49" s="45">
        <f ca="1"/>
        <v>3.3329833764911491E-2</v>
      </c>
      <c r="Z49" s="45">
        <f ca="1"/>
        <v>3.3329555408248841E-2</v>
      </c>
      <c r="AA49" s="45">
        <f ca="1"/>
        <v>3.3329278640592624E-2</v>
      </c>
      <c r="AB49" s="45">
        <f ca="1"/>
        <v>3.3329003318587923E-2</v>
      </c>
      <c r="AC49" s="45">
        <f ca="1"/>
        <v>3.3328729309139694E-2</v>
      </c>
      <c r="AD49" s="45">
        <f ca="1"/>
        <v>3.3328456489494569E-2</v>
      </c>
      <c r="AE49" s="45">
        <f ca="1"/>
        <v>3.3328184746641766E-2</v>
      </c>
      <c r="AF49" s="45">
        <f ca="1"/>
        <v>3.3327913976302172E-2</v>
      </c>
      <c r="AG49" s="45">
        <f ca="1"/>
        <v>3.3327644081765778E-2</v>
      </c>
      <c r="AH49" s="45">
        <f ca="1"/>
        <v>3.3327374972800548E-2</v>
      </c>
      <c r="AI49" s="45">
        <f ca="1"/>
        <v>3.3327106564793534E-2</v>
      </c>
      <c r="AJ49" s="45">
        <f ca="1"/>
        <v>3.3326838778141084E-2</v>
      </c>
      <c r="AK49" s="45">
        <f ca="1"/>
        <v>3.3326571537816978E-2</v>
      </c>
      <c r="AL49" s="45">
        <f ca="1"/>
        <v>3.3326304773150073E-2</v>
      </c>
      <c r="AM49" s="45">
        <f ca="1"/>
        <v>3.3195020746887967E-2</v>
      </c>
      <c r="AN49" s="46">
        <f ca="1"/>
        <v>3.3195020746887967E-2</v>
      </c>
      <c r="AO49" s="8"/>
    </row>
    <row r="50" spans="2:41" hidden="1" x14ac:dyDescent="0.35">
      <c r="B50" s="8"/>
      <c r="C50" s="23" t="s">
        <v>97</v>
      </c>
      <c r="D50" s="24"/>
      <c r="E50" s="26">
        <f t="array" ref="E50:AN50">_yS</f>
        <v>2024</v>
      </c>
      <c r="F50" s="26">
        <v>2025</v>
      </c>
      <c r="G50" s="26">
        <v>2026</v>
      </c>
      <c r="H50" s="26">
        <v>2027</v>
      </c>
      <c r="I50" s="26">
        <v>2028</v>
      </c>
      <c r="J50" s="26">
        <v>2029</v>
      </c>
      <c r="K50" s="26">
        <v>2030</v>
      </c>
      <c r="L50" s="26">
        <v>2031</v>
      </c>
      <c r="M50" s="26">
        <v>2032</v>
      </c>
      <c r="N50" s="26">
        <v>2033</v>
      </c>
      <c r="O50" s="26">
        <v>2034</v>
      </c>
      <c r="P50" s="26">
        <v>2035</v>
      </c>
      <c r="Q50" s="26">
        <v>2036</v>
      </c>
      <c r="R50" s="26">
        <v>2037</v>
      </c>
      <c r="S50" s="26">
        <v>2038</v>
      </c>
      <c r="T50" s="26">
        <v>2039</v>
      </c>
      <c r="U50" s="26">
        <v>2040</v>
      </c>
      <c r="V50" s="26">
        <v>2041</v>
      </c>
      <c r="W50" s="26">
        <v>2042</v>
      </c>
      <c r="X50" s="26">
        <v>2043</v>
      </c>
      <c r="Y50" s="26">
        <v>2044</v>
      </c>
      <c r="Z50" s="26">
        <v>2045</v>
      </c>
      <c r="AA50" s="26">
        <v>2046</v>
      </c>
      <c r="AB50" s="26">
        <v>2047</v>
      </c>
      <c r="AC50" s="26">
        <v>2048</v>
      </c>
      <c r="AD50" s="26">
        <v>2049</v>
      </c>
      <c r="AE50" s="26">
        <v>2050</v>
      </c>
      <c r="AF50" s="26">
        <v>2051</v>
      </c>
      <c r="AG50" s="26">
        <v>2052</v>
      </c>
      <c r="AH50" s="26">
        <v>2053</v>
      </c>
      <c r="AI50" s="26">
        <v>2054</v>
      </c>
      <c r="AJ50" s="26">
        <v>2055</v>
      </c>
      <c r="AK50" s="26">
        <v>2056</v>
      </c>
      <c r="AL50" s="26">
        <v>2057</v>
      </c>
      <c r="AM50" s="26">
        <v>2058</v>
      </c>
      <c r="AN50" s="27">
        <v>2059</v>
      </c>
      <c r="AO50" s="8"/>
    </row>
    <row r="51" spans="2:41" hidden="1" x14ac:dyDescent="0.35">
      <c r="B51" s="8"/>
      <c r="C51" s="19" t="str">
        <f>"EL 0: " &amp; INDEX(_doName,1,1)</f>
        <v>EL 0: Baseline</v>
      </c>
      <c r="D51" s="11" t="s">
        <v>63</v>
      </c>
      <c r="E51" s="43">
        <f t="array" ref="E51:AN55" ca="1">IF(_yS&lt;yearC,'CADR 10-99'!bcEff_Res,IF(OR(bElast,bRepair),IF(tShpsmlStd_Res&gt;0,elShpStd_Res/tShpsmlStd_Res,'CADR 10-99'!bcEff_Res),'CADR 10-99'!bcEff_Res))</f>
        <v>0.2780942829765537</v>
      </c>
      <c r="F51" s="43">
        <f ca="1"/>
        <v>0.2786480371683196</v>
      </c>
      <c r="G51" s="43">
        <f ca="1"/>
        <v>0.27826732587527192</v>
      </c>
      <c r="H51" s="43">
        <f ca="1"/>
        <v>0.27857545275374668</v>
      </c>
      <c r="I51" s="43">
        <f ca="1"/>
        <v>0.27888008638744355</v>
      </c>
      <c r="J51" s="43">
        <f ca="1"/>
        <v>0.2789636572637213</v>
      </c>
      <c r="K51" s="43">
        <f ca="1"/>
        <v>0.27904639743041759</v>
      </c>
      <c r="L51" s="43">
        <f ca="1"/>
        <v>0.27912833453929065</v>
      </c>
      <c r="M51" s="43">
        <f ca="1"/>
        <v>0.27920949344803164</v>
      </c>
      <c r="N51" s="43">
        <f ca="1"/>
        <v>0.27928989777046037</v>
      </c>
      <c r="O51" s="43">
        <f ca="1"/>
        <v>0.27930053973871372</v>
      </c>
      <c r="P51" s="43">
        <f ca="1"/>
        <v>0.27931106493676122</v>
      </c>
      <c r="Q51" s="43">
        <f ca="1"/>
        <v>0.27932148121959866</v>
      </c>
      <c r="R51" s="43">
        <f ca="1"/>
        <v>0.27933179576450129</v>
      </c>
      <c r="S51" s="43">
        <f ca="1"/>
        <v>0.27934201517840718</v>
      </c>
      <c r="T51" s="43">
        <f ca="1"/>
        <v>0.27935214444194506</v>
      </c>
      <c r="U51" s="43">
        <f ca="1"/>
        <v>0.27936218821813497</v>
      </c>
      <c r="V51" s="43">
        <f ca="1"/>
        <v>0.27937215051770747</v>
      </c>
      <c r="W51" s="43">
        <f ca="1"/>
        <v>0.27938203489733127</v>
      </c>
      <c r="X51" s="43">
        <f ca="1"/>
        <v>0.27939184461202354</v>
      </c>
      <c r="Y51" s="43">
        <f ca="1"/>
        <v>0.27939605105359133</v>
      </c>
      <c r="Z51" s="43">
        <f ca="1"/>
        <v>0.27940023099420858</v>
      </c>
      <c r="AA51" s="43">
        <f ca="1"/>
        <v>0.27940438673740359</v>
      </c>
      <c r="AB51" s="43">
        <f ca="1"/>
        <v>0.27940852044112946</v>
      </c>
      <c r="AC51" s="43">
        <f ca="1"/>
        <v>0.27941263410859746</v>
      </c>
      <c r="AD51" s="43">
        <f ca="1"/>
        <v>0.27941672958711838</v>
      </c>
      <c r="AE51" s="43">
        <f ca="1"/>
        <v>0.27942080857716384</v>
      </c>
      <c r="AF51" s="43">
        <f ca="1"/>
        <v>0.27942487264760135</v>
      </c>
      <c r="AG51" s="43">
        <f ca="1"/>
        <v>0.27942892325319846</v>
      </c>
      <c r="AH51" s="43">
        <f ca="1"/>
        <v>0.27943296175104548</v>
      </c>
      <c r="AI51" s="43">
        <f ca="1"/>
        <v>0.2794369894134841</v>
      </c>
      <c r="AJ51" s="43">
        <f ca="1"/>
        <v>0.279441007437292</v>
      </c>
      <c r="AK51" s="43">
        <f ca="1"/>
        <v>0.27944501695019486</v>
      </c>
      <c r="AL51" s="43">
        <f ca="1"/>
        <v>0.27944901901422903</v>
      </c>
      <c r="AM51" s="43">
        <f ca="1"/>
        <v>0.28049792531120338</v>
      </c>
      <c r="AN51" s="44">
        <f ca="1"/>
        <v>0.28049792531120338</v>
      </c>
      <c r="AO51" s="8"/>
    </row>
    <row r="52" spans="2:41" hidden="1" x14ac:dyDescent="0.35">
      <c r="B52" s="8"/>
      <c r="C52" s="19" t="str">
        <f>"EL 1: " &amp; INDEX(_doName,1,2)</f>
        <v>EL 1: Tier 1</v>
      </c>
      <c r="D52" s="11" t="s">
        <v>63</v>
      </c>
      <c r="E52" s="43">
        <f ca="1"/>
        <v>0.42215247812097728</v>
      </c>
      <c r="F52" s="43">
        <f ca="1"/>
        <v>0.42182865646558476</v>
      </c>
      <c r="G52" s="43">
        <f ca="1"/>
        <v>0.42060010475030152</v>
      </c>
      <c r="H52" s="43">
        <f ca="1"/>
        <v>0.42061633681802091</v>
      </c>
      <c r="I52" s="43">
        <f ca="1"/>
        <v>0.42063366985637191</v>
      </c>
      <c r="J52" s="43">
        <f ca="1"/>
        <v>0.4206363761725645</v>
      </c>
      <c r="K52" s="43">
        <f ca="1"/>
        <v>0.42063939534840566</v>
      </c>
      <c r="L52" s="43">
        <f ca="1"/>
        <v>0.42064271639924017</v>
      </c>
      <c r="M52" s="43">
        <f ca="1"/>
        <v>0.42064632945972619</v>
      </c>
      <c r="N52" s="43">
        <f ca="1"/>
        <v>0.42065022516199102</v>
      </c>
      <c r="O52" s="43">
        <f ca="1"/>
        <v>0.42064873600081465</v>
      </c>
      <c r="P52" s="43">
        <f ca="1"/>
        <v>0.4206472937701119</v>
      </c>
      <c r="Q52" s="43">
        <f ca="1"/>
        <v>0.42064589530686974</v>
      </c>
      <c r="R52" s="43">
        <f ca="1"/>
        <v>0.42064453772144184</v>
      </c>
      <c r="S52" s="43">
        <f ca="1"/>
        <v>0.42064321835429258</v>
      </c>
      <c r="T52" s="43">
        <f ca="1"/>
        <v>0.42064193519917803</v>
      </c>
      <c r="U52" s="43">
        <f ca="1"/>
        <v>0.42064068637813878</v>
      </c>
      <c r="V52" s="43">
        <f ca="1"/>
        <v>0.42063947027555548</v>
      </c>
      <c r="W52" s="43">
        <f ca="1"/>
        <v>0.42063828545854154</v>
      </c>
      <c r="X52" s="43">
        <f ca="1"/>
        <v>0.42063713061575442</v>
      </c>
      <c r="Y52" s="43">
        <f ca="1"/>
        <v>0.42063544506220518</v>
      </c>
      <c r="Z52" s="43">
        <f ca="1"/>
        <v>0.42063377033155175</v>
      </c>
      <c r="AA52" s="43">
        <f ca="1"/>
        <v>0.42063210549726276</v>
      </c>
      <c r="AB52" s="43">
        <f ca="1"/>
        <v>0.42063044969157926</v>
      </c>
      <c r="AC52" s="43">
        <f ca="1"/>
        <v>0.42062880210914538</v>
      </c>
      <c r="AD52" s="43">
        <f ca="1"/>
        <v>0.4206271620074305</v>
      </c>
      <c r="AE52" s="43">
        <f ca="1"/>
        <v>0.42062552870306025</v>
      </c>
      <c r="AF52" s="43">
        <f ca="1"/>
        <v>0.42062390156567908</v>
      </c>
      <c r="AG52" s="43">
        <f ca="1"/>
        <v>0.42062228001090951</v>
      </c>
      <c r="AH52" s="43">
        <f ca="1"/>
        <v>0.42062066349374949</v>
      </c>
      <c r="AI52" s="43">
        <f ca="1"/>
        <v>0.42061905150337414</v>
      </c>
      <c r="AJ52" s="43">
        <f ca="1"/>
        <v>0.4206174435594382</v>
      </c>
      <c r="AK52" s="43">
        <f ca="1"/>
        <v>0.42061583920945256</v>
      </c>
      <c r="AL52" s="43">
        <f ca="1"/>
        <v>0.42061423802742037</v>
      </c>
      <c r="AM52" s="43">
        <f ca="1"/>
        <v>0.42074688796680493</v>
      </c>
      <c r="AN52" s="44">
        <f ca="1"/>
        <v>0.42074688796680493</v>
      </c>
      <c r="AO52" s="8"/>
    </row>
    <row r="53" spans="2:41" hidden="1" x14ac:dyDescent="0.35">
      <c r="B53" s="8"/>
      <c r="C53" s="19" t="str">
        <f>"EL 2: " &amp; INDEX(_doName,1,3)</f>
        <v>EL 2: Tier 2</v>
      </c>
      <c r="D53" s="11" t="s">
        <v>63</v>
      </c>
      <c r="E53" s="43">
        <f ca="1"/>
        <v>0.19150901374324414</v>
      </c>
      <c r="F53" s="43">
        <f ca="1"/>
        <v>0.19136211240056114</v>
      </c>
      <c r="G53" s="43">
        <f ca="1"/>
        <v>0.19239025265588364</v>
      </c>
      <c r="H53" s="43">
        <f ca="1"/>
        <v>0.19218302332914849</v>
      </c>
      <c r="I53" s="43">
        <f ca="1"/>
        <v>0.19197732239978457</v>
      </c>
      <c r="J53" s="43">
        <f ca="1"/>
        <v>0.1919222008601508</v>
      </c>
      <c r="K53" s="43">
        <f ca="1"/>
        <v>0.19186741016908521</v>
      </c>
      <c r="L53" s="43">
        <f ca="1"/>
        <v>0.19181293967816085</v>
      </c>
      <c r="M53" s="43">
        <f ca="1"/>
        <v>0.19175877980893249</v>
      </c>
      <c r="N53" s="43">
        <f ca="1"/>
        <v>0.19170492145982276</v>
      </c>
      <c r="O53" s="43">
        <f ca="1"/>
        <v>0.19169907383307919</v>
      </c>
      <c r="P53" s="43">
        <f ca="1"/>
        <v>0.19169327082616436</v>
      </c>
      <c r="Q53" s="43">
        <f ca="1"/>
        <v>0.19168750944142299</v>
      </c>
      <c r="R53" s="43">
        <f ca="1"/>
        <v>0.19168178693953633</v>
      </c>
      <c r="S53" s="43">
        <f ca="1"/>
        <v>0.19167610079855285</v>
      </c>
      <c r="T53" s="43">
        <f ca="1"/>
        <v>0.19167044911817135</v>
      </c>
      <c r="U53" s="43">
        <f ca="1"/>
        <v>0.19166483011904728</v>
      </c>
      <c r="V53" s="43">
        <f ca="1"/>
        <v>0.19165924227097089</v>
      </c>
      <c r="W53" s="43">
        <f ca="1"/>
        <v>0.19165368421708123</v>
      </c>
      <c r="X53" s="43">
        <f ca="1"/>
        <v>0.19164815471558636</v>
      </c>
      <c r="Y53" s="43">
        <f ca="1"/>
        <v>0.19164654414824109</v>
      </c>
      <c r="Z53" s="43">
        <f ca="1"/>
        <v>0.19164494359743081</v>
      </c>
      <c r="AA53" s="43">
        <f ca="1"/>
        <v>0.19164335218340756</v>
      </c>
      <c r="AB53" s="43">
        <f ca="1"/>
        <v>0.19164176908188055</v>
      </c>
      <c r="AC53" s="43">
        <f ca="1"/>
        <v>0.19164019352755321</v>
      </c>
      <c r="AD53" s="43">
        <f ca="1"/>
        <v>0.19163862481459379</v>
      </c>
      <c r="AE53" s="43">
        <f ca="1"/>
        <v>0.19163706229319014</v>
      </c>
      <c r="AF53" s="43">
        <f ca="1"/>
        <v>0.19163550536373747</v>
      </c>
      <c r="AG53" s="43">
        <f ca="1"/>
        <v>0.19163395347015325</v>
      </c>
      <c r="AH53" s="43">
        <f ca="1"/>
        <v>0.19163240609360316</v>
      </c>
      <c r="AI53" s="43">
        <f ca="1"/>
        <v>0.1916308627475628</v>
      </c>
      <c r="AJ53" s="43">
        <f ca="1"/>
        <v>0.19162932297431121</v>
      </c>
      <c r="AK53" s="43">
        <f ca="1"/>
        <v>0.19162778634244759</v>
      </c>
      <c r="AL53" s="43">
        <f ca="1"/>
        <v>0.1916262524456129</v>
      </c>
      <c r="AM53" s="43">
        <f ca="1"/>
        <v>0.1908713692946058</v>
      </c>
      <c r="AN53" s="44">
        <f ca="1"/>
        <v>0.1908713692946058</v>
      </c>
      <c r="AO53" s="8"/>
    </row>
    <row r="54" spans="2:41" hidden="1" x14ac:dyDescent="0.35">
      <c r="B54" s="8"/>
      <c r="C54" s="19" t="str">
        <f>"EL 3: " &amp; INDEX(_doName,1,4)</f>
        <v>EL 3: EL 3</v>
      </c>
      <c r="D54" s="11" t="s">
        <v>63</v>
      </c>
      <c r="E54" s="43">
        <f ca="1"/>
        <v>7.4938309725617283E-2</v>
      </c>
      <c r="F54" s="43">
        <f ca="1"/>
        <v>7.4880826591523925E-2</v>
      </c>
      <c r="G54" s="43">
        <f ca="1"/>
        <v>7.528314234360664E-2</v>
      </c>
      <c r="H54" s="43">
        <f ca="1"/>
        <v>7.5202052607058104E-2</v>
      </c>
      <c r="I54" s="43">
        <f ca="1"/>
        <v>7.5121560939046136E-2</v>
      </c>
      <c r="J54" s="43">
        <f ca="1"/>
        <v>7.5099991640928579E-2</v>
      </c>
      <c r="K54" s="43">
        <f ca="1"/>
        <v>7.50785518052942E-2</v>
      </c>
      <c r="L54" s="43">
        <f ca="1"/>
        <v>7.5057237265367296E-2</v>
      </c>
      <c r="M54" s="43">
        <f ca="1"/>
        <v>7.5036044273060543E-2</v>
      </c>
      <c r="N54" s="43">
        <f ca="1"/>
        <v>7.5014969266887166E-2</v>
      </c>
      <c r="O54" s="43">
        <f ca="1"/>
        <v>7.501268106511795E-2</v>
      </c>
      <c r="P54" s="43">
        <f ca="1"/>
        <v>7.5010410323281707E-2</v>
      </c>
      <c r="Q54" s="43">
        <f ca="1"/>
        <v>7.5008155868382914E-2</v>
      </c>
      <c r="R54" s="43">
        <f ca="1"/>
        <v>7.5005916628514219E-2</v>
      </c>
      <c r="S54" s="43">
        <f ca="1"/>
        <v>7.5003691616825033E-2</v>
      </c>
      <c r="T54" s="43">
        <f ca="1"/>
        <v>7.5001480089719227E-2</v>
      </c>
      <c r="U54" s="43">
        <f ca="1"/>
        <v>7.4999281350931535E-2</v>
      </c>
      <c r="V54" s="43">
        <f ca="1"/>
        <v>7.4997094801684261E-2</v>
      </c>
      <c r="W54" s="43">
        <f ca="1"/>
        <v>7.4994919911031799E-2</v>
      </c>
      <c r="X54" s="43">
        <f ca="1"/>
        <v>7.4992756193055538E-2</v>
      </c>
      <c r="Y54" s="43">
        <f ca="1"/>
        <v>7.4992125971050858E-2</v>
      </c>
      <c r="Z54" s="43">
        <f ca="1"/>
        <v>7.4991499668559877E-2</v>
      </c>
      <c r="AA54" s="43">
        <f ca="1"/>
        <v>7.4990876941333398E-2</v>
      </c>
      <c r="AB54" s="43">
        <f ca="1"/>
        <v>7.4990257466822807E-2</v>
      </c>
      <c r="AC54" s="43">
        <f ca="1"/>
        <v>7.4989640945564304E-2</v>
      </c>
      <c r="AD54" s="43">
        <f ca="1"/>
        <v>7.4989027101362793E-2</v>
      </c>
      <c r="AE54" s="43">
        <f ca="1"/>
        <v>7.4988415679943979E-2</v>
      </c>
      <c r="AF54" s="43">
        <f ca="1"/>
        <v>7.4987806446679878E-2</v>
      </c>
      <c r="AG54" s="43">
        <f ca="1"/>
        <v>7.4987199183973008E-2</v>
      </c>
      <c r="AH54" s="43">
        <f ca="1"/>
        <v>7.4986593688801242E-2</v>
      </c>
      <c r="AI54" s="43">
        <f ca="1"/>
        <v>7.4985989770785438E-2</v>
      </c>
      <c r="AJ54" s="43">
        <f ca="1"/>
        <v>7.4985387250817437E-2</v>
      </c>
      <c r="AK54" s="43">
        <f ca="1"/>
        <v>7.4984785960088202E-2</v>
      </c>
      <c r="AL54" s="43">
        <f ca="1"/>
        <v>7.4984185739587664E-2</v>
      </c>
      <c r="AM54" s="43">
        <f ca="1"/>
        <v>7.4688796680497924E-2</v>
      </c>
      <c r="AN54" s="44">
        <f ca="1"/>
        <v>7.4688796680497924E-2</v>
      </c>
      <c r="AO54" s="8"/>
    </row>
    <row r="55" spans="2:41" hidden="1" x14ac:dyDescent="0.35">
      <c r="B55" s="8"/>
      <c r="C55" s="35" t="str">
        <f>"EL 4: " &amp; INDEX(_doName,1,5)</f>
        <v>EL 4: EL 4</v>
      </c>
      <c r="D55" s="15" t="s">
        <v>63</v>
      </c>
      <c r="E55" s="45">
        <f ca="1"/>
        <v>3.3305915433607676E-2</v>
      </c>
      <c r="F55" s="45">
        <f ca="1"/>
        <v>3.3280367374010633E-2</v>
      </c>
      <c r="G55" s="45">
        <f ca="1"/>
        <v>3.3459174374936285E-2</v>
      </c>
      <c r="H55" s="45">
        <f ca="1"/>
        <v>3.342313449202583E-2</v>
      </c>
      <c r="I55" s="45">
        <f ca="1"/>
        <v>3.3387360417353844E-2</v>
      </c>
      <c r="J55" s="45">
        <f ca="1"/>
        <v>3.3377774062634924E-2</v>
      </c>
      <c r="K55" s="45">
        <f ca="1"/>
        <v>3.3368245246797427E-2</v>
      </c>
      <c r="L55" s="45">
        <f ca="1"/>
        <v>3.335877211794102E-2</v>
      </c>
      <c r="M55" s="45">
        <f ca="1"/>
        <v>3.3349353010249133E-2</v>
      </c>
      <c r="N55" s="45">
        <f ca="1"/>
        <v>3.3339986340838741E-2</v>
      </c>
      <c r="O55" s="45">
        <f ca="1"/>
        <v>3.3338969362274644E-2</v>
      </c>
      <c r="P55" s="45">
        <f ca="1"/>
        <v>3.3337960143680762E-2</v>
      </c>
      <c r="Q55" s="45">
        <f ca="1"/>
        <v>3.3336958163725741E-2</v>
      </c>
      <c r="R55" s="45">
        <f ca="1"/>
        <v>3.3335962946006319E-2</v>
      </c>
      <c r="S55" s="45">
        <f ca="1"/>
        <v>3.3334974051922241E-2</v>
      </c>
      <c r="T55" s="45">
        <f ca="1"/>
        <v>3.3333991150986328E-2</v>
      </c>
      <c r="U55" s="45">
        <f ca="1"/>
        <v>3.3333013933747352E-2</v>
      </c>
      <c r="V55" s="45">
        <f ca="1"/>
        <v>3.3332042134081898E-2</v>
      </c>
      <c r="W55" s="45">
        <f ca="1"/>
        <v>3.3331075516014136E-2</v>
      </c>
      <c r="X55" s="45">
        <f ca="1"/>
        <v>3.3330113863580237E-2</v>
      </c>
      <c r="Y55" s="45">
        <f ca="1"/>
        <v>3.3329833764911491E-2</v>
      </c>
      <c r="Z55" s="45">
        <f ca="1"/>
        <v>3.3329555408248841E-2</v>
      </c>
      <c r="AA55" s="45">
        <f ca="1"/>
        <v>3.3329278640592624E-2</v>
      </c>
      <c r="AB55" s="45">
        <f ca="1"/>
        <v>3.3329003318587923E-2</v>
      </c>
      <c r="AC55" s="45">
        <f ca="1"/>
        <v>3.3328729309139694E-2</v>
      </c>
      <c r="AD55" s="45">
        <f ca="1"/>
        <v>3.3328456489494569E-2</v>
      </c>
      <c r="AE55" s="45">
        <f ca="1"/>
        <v>3.3328184746641766E-2</v>
      </c>
      <c r="AF55" s="45">
        <f ca="1"/>
        <v>3.3327913976302172E-2</v>
      </c>
      <c r="AG55" s="45">
        <f ca="1"/>
        <v>3.3327644081765778E-2</v>
      </c>
      <c r="AH55" s="45">
        <f ca="1"/>
        <v>3.3327374972800548E-2</v>
      </c>
      <c r="AI55" s="45">
        <f ca="1"/>
        <v>3.3327106564793534E-2</v>
      </c>
      <c r="AJ55" s="45">
        <f ca="1"/>
        <v>3.3326838778141084E-2</v>
      </c>
      <c r="AK55" s="45">
        <f ca="1"/>
        <v>3.3326571537816978E-2</v>
      </c>
      <c r="AL55" s="45">
        <f ca="1"/>
        <v>3.3326304773150073E-2</v>
      </c>
      <c r="AM55" s="45">
        <f ca="1"/>
        <v>3.3195020746887967E-2</v>
      </c>
      <c r="AN55" s="46">
        <f ca="1"/>
        <v>3.3195020746887967E-2</v>
      </c>
      <c r="AO55" s="8"/>
    </row>
    <row r="56" spans="2:41" x14ac:dyDescent="0.35">
      <c r="B56" s="8"/>
      <c r="C56" s="23" t="s">
        <v>96</v>
      </c>
      <c r="D56" s="24"/>
      <c r="E56" s="26">
        <f t="array" ref="E56:AN56">_yS</f>
        <v>2024</v>
      </c>
      <c r="F56" s="26">
        <v>2025</v>
      </c>
      <c r="G56" s="26">
        <v>2026</v>
      </c>
      <c r="H56" s="26">
        <v>2027</v>
      </c>
      <c r="I56" s="26">
        <v>2028</v>
      </c>
      <c r="J56" s="26">
        <v>2029</v>
      </c>
      <c r="K56" s="26">
        <v>2030</v>
      </c>
      <c r="L56" s="26">
        <v>2031</v>
      </c>
      <c r="M56" s="26">
        <v>2032</v>
      </c>
      <c r="N56" s="26">
        <v>2033</v>
      </c>
      <c r="O56" s="26">
        <v>2034</v>
      </c>
      <c r="P56" s="26">
        <v>2035</v>
      </c>
      <c r="Q56" s="26">
        <v>2036</v>
      </c>
      <c r="R56" s="26">
        <v>2037</v>
      </c>
      <c r="S56" s="26">
        <v>2038</v>
      </c>
      <c r="T56" s="26">
        <v>2039</v>
      </c>
      <c r="U56" s="26">
        <v>2040</v>
      </c>
      <c r="V56" s="26">
        <v>2041</v>
      </c>
      <c r="W56" s="26">
        <v>2042</v>
      </c>
      <c r="X56" s="26">
        <v>2043</v>
      </c>
      <c r="Y56" s="26">
        <v>2044</v>
      </c>
      <c r="Z56" s="26">
        <v>2045</v>
      </c>
      <c r="AA56" s="26">
        <v>2046</v>
      </c>
      <c r="AB56" s="26">
        <v>2047</v>
      </c>
      <c r="AC56" s="26">
        <v>2048</v>
      </c>
      <c r="AD56" s="26">
        <v>2049</v>
      </c>
      <c r="AE56" s="26">
        <v>2050</v>
      </c>
      <c r="AF56" s="26">
        <v>2051</v>
      </c>
      <c r="AG56" s="26">
        <v>2052</v>
      </c>
      <c r="AH56" s="26">
        <v>2053</v>
      </c>
      <c r="AI56" s="26">
        <v>2054</v>
      </c>
      <c r="AJ56" s="26">
        <v>2055</v>
      </c>
      <c r="AK56" s="26">
        <v>2056</v>
      </c>
      <c r="AL56" s="26">
        <v>2057</v>
      </c>
      <c r="AM56" s="26">
        <v>2058</v>
      </c>
      <c r="AN56" s="27">
        <v>2059</v>
      </c>
      <c r="AO56" s="8"/>
    </row>
    <row r="57" spans="2:41" x14ac:dyDescent="0.35">
      <c r="B57" s="8"/>
      <c r="C57" s="19" t="str">
        <f>"EL 0: " &amp; INDEX(_doName,1,1)</f>
        <v>EL 0: Baseline</v>
      </c>
      <c r="D57" s="11" t="s">
        <v>63</v>
      </c>
      <c r="E57" s="43">
        <f t="array" ref="E57:E61">TRANSPOSE(bcsml_Res)</f>
        <v>0.28049792531120338</v>
      </c>
      <c r="F57" s="43">
        <f t="array" ref="F57:F61" ca="1">eff0BC_Res+IF(_el=0,0,pullBC_Res)-pushBC_Res</f>
        <v>0.28049792531120338</v>
      </c>
      <c r="G57" s="43">
        <f t="array" ref="G57:G61" ca="1">eff0BC_Res+IF(_el=0,0,pullBC_Res)-pushBC_Res</f>
        <v>0.28049792531120338</v>
      </c>
      <c r="H57" s="43">
        <f t="array" ref="H57:H61" ca="1">eff0BC_Res+IF(_el=0,0,pullBC_Res)-pushBC_Res</f>
        <v>0.28049792531120338</v>
      </c>
      <c r="I57" s="43">
        <f t="array" ref="I57:I61" ca="1">eff0BC_Res+IF(_el=0,0,pullBC_Res)-pushBC_Res</f>
        <v>0.28049792531120338</v>
      </c>
      <c r="J57" s="43">
        <f t="array" ref="J57:J61" ca="1">eff0BC_Res+IF(_el=0,0,pullBC_Res)-pushBC_Res</f>
        <v>0.28049792531120338</v>
      </c>
      <c r="K57" s="43">
        <f t="array" ref="K57:K61" ca="1">eff0BC_Res+IF(_el=0,0,pullBC_Res)-pushBC_Res</f>
        <v>0.28049792531120338</v>
      </c>
      <c r="L57" s="43">
        <f t="array" ref="L57:L61" ca="1">eff0BC_Res+IF(_el=0,0,pullBC_Res)-pushBC_Res</f>
        <v>0.28049792531120338</v>
      </c>
      <c r="M57" s="43">
        <f t="array" ref="M57:M61" ca="1">eff0BC_Res+IF(_el=0,0,pullBC_Res)-pushBC_Res</f>
        <v>0.28049792531120338</v>
      </c>
      <c r="N57" s="43">
        <f t="array" ref="N57:N61" ca="1">eff0BC_Res+IF(_el=0,0,pullBC_Res)-pushBC_Res</f>
        <v>0.28049792531120338</v>
      </c>
      <c r="O57" s="43">
        <f t="array" ref="O57:O61" ca="1">eff0BC_Res+IF(_el=0,0,pullBC_Res)-pushBC_Res</f>
        <v>0.28049792531120338</v>
      </c>
      <c r="P57" s="43">
        <f t="array" ref="P57:P61" ca="1">eff0BC_Res+IF(_el=0,0,pullBC_Res)-pushBC_Res</f>
        <v>0.28049792531120338</v>
      </c>
      <c r="Q57" s="43">
        <f t="array" ref="Q57:Q61" ca="1">eff0BC_Res+IF(_el=0,0,pullBC_Res)-pushBC_Res</f>
        <v>0.28049792531120338</v>
      </c>
      <c r="R57" s="43">
        <f t="array" ref="R57:R61" ca="1">eff0BC_Res+IF(_el=0,0,pullBC_Res)-pushBC_Res</f>
        <v>0.28049792531120338</v>
      </c>
      <c r="S57" s="43">
        <f t="array" ref="S57:S61" ca="1">eff0BC_Res+IF(_el=0,0,pullBC_Res)-pushBC_Res</f>
        <v>0.28049792531120338</v>
      </c>
      <c r="T57" s="43">
        <f t="array" ref="T57:T61" ca="1">eff0BC_Res+IF(_el=0,0,pullBC_Res)-pushBC_Res</f>
        <v>0.28049792531120338</v>
      </c>
      <c r="U57" s="43">
        <f t="array" ref="U57:U61" ca="1">eff0BC_Res+IF(_el=0,0,pullBC_Res)-pushBC_Res</f>
        <v>0.28049792531120338</v>
      </c>
      <c r="V57" s="43">
        <f t="array" ref="V57:V61" ca="1">eff0BC_Res+IF(_el=0,0,pullBC_Res)-pushBC_Res</f>
        <v>0.28049792531120338</v>
      </c>
      <c r="W57" s="43">
        <f t="array" ref="W57:W61" ca="1">eff0BC_Res+IF(_el=0,0,pullBC_Res)-pushBC_Res</f>
        <v>0.28049792531120338</v>
      </c>
      <c r="X57" s="43">
        <f t="array" ref="X57:X61" ca="1">eff0BC_Res+IF(_el=0,0,pullBC_Res)-pushBC_Res</f>
        <v>0.28049792531120338</v>
      </c>
      <c r="Y57" s="43">
        <f t="array" ref="Y57:Y61" ca="1">eff0BC_Res+IF(_el=0,0,pullBC_Res)-pushBC_Res</f>
        <v>0.28049792531120338</v>
      </c>
      <c r="Z57" s="43">
        <f t="array" ref="Z57:Z61" ca="1">eff0BC_Res+IF(_el=0,0,pullBC_Res)-pushBC_Res</f>
        <v>0.28049792531120338</v>
      </c>
      <c r="AA57" s="43">
        <f t="array" ref="AA57:AA61" ca="1">eff0BC_Res+IF(_el=0,0,pullBC_Res)-pushBC_Res</f>
        <v>0.28049792531120338</v>
      </c>
      <c r="AB57" s="43">
        <f t="array" ref="AB57:AB61" ca="1">eff0BC_Res+IF(_el=0,0,pullBC_Res)-pushBC_Res</f>
        <v>0.28049792531120338</v>
      </c>
      <c r="AC57" s="43">
        <f t="array" ref="AC57:AC61" ca="1">eff0BC_Res+IF(_el=0,0,pullBC_Res)-pushBC_Res</f>
        <v>0.28049792531120338</v>
      </c>
      <c r="AD57" s="43">
        <f t="array" ref="AD57:AD61" ca="1">eff0BC_Res+IF(_el=0,0,pullBC_Res)-pushBC_Res</f>
        <v>0.28049792531120338</v>
      </c>
      <c r="AE57" s="43">
        <f t="array" ref="AE57:AE61" ca="1">eff0BC_Res+IF(_el=0,0,pullBC_Res)-pushBC_Res</f>
        <v>0.28049792531120338</v>
      </c>
      <c r="AF57" s="43">
        <f t="array" ref="AF57:AF61" ca="1">eff0BC_Res+IF(_el=0,0,pullBC_Res)-pushBC_Res</f>
        <v>0.28049792531120338</v>
      </c>
      <c r="AG57" s="43">
        <f t="array" ref="AG57:AG61" ca="1">eff0BC_Res+IF(_el=0,0,pullBC_Res)-pushBC_Res</f>
        <v>0.28049792531120338</v>
      </c>
      <c r="AH57" s="43">
        <f t="array" ref="AH57:AH61" ca="1">eff0BC_Res+IF(_el=0,0,pullBC_Res)-pushBC_Res</f>
        <v>0.28049792531120338</v>
      </c>
      <c r="AI57" s="43">
        <f t="array" ref="AI57:AI61" ca="1">eff0BC_Res+IF(_el=0,0,pullBC_Res)-pushBC_Res</f>
        <v>0.28049792531120338</v>
      </c>
      <c r="AJ57" s="43">
        <f t="array" ref="AJ57:AJ61" ca="1">eff0BC_Res+IF(_el=0,0,pullBC_Res)-pushBC_Res</f>
        <v>0.28049792531120338</v>
      </c>
      <c r="AK57" s="43">
        <f t="array" ref="AK57:AK61" ca="1">eff0BC_Res+IF(_el=0,0,pullBC_Res)-pushBC_Res</f>
        <v>0.28049792531120338</v>
      </c>
      <c r="AL57" s="43">
        <f t="array" ref="AL57:AL61" ca="1">eff0BC_Res+IF(_el=0,0,pullBC_Res)-pushBC_Res</f>
        <v>0.28049792531120338</v>
      </c>
      <c r="AM57" s="43">
        <f t="array" ref="AM57:AM61" ca="1">eff0BC_Res+IF(_el=0,0,pullBC_Res)-pushBC_Res</f>
        <v>0.28049792531120338</v>
      </c>
      <c r="AN57" s="44">
        <f t="array" ref="AN57:AN61" ca="1">eff0BC_Res+IF(_el=0,0,pullBC_Res)-pushBC_Res</f>
        <v>0.28049792531120338</v>
      </c>
      <c r="AO57" s="8"/>
    </row>
    <row r="58" spans="2:41" x14ac:dyDescent="0.35">
      <c r="B58" s="8"/>
      <c r="C58" s="19" t="str">
        <f>"EL 1: " &amp; INDEX(_doName,1,2)</f>
        <v>EL 1: Tier 1</v>
      </c>
      <c r="D58" s="11" t="s">
        <v>63</v>
      </c>
      <c r="E58" s="43">
        <v>0.42074688796680493</v>
      </c>
      <c r="F58" s="43">
        <f ca="1"/>
        <v>0.42074688796680493</v>
      </c>
      <c r="G58" s="43">
        <f ca="1"/>
        <v>0.42074688796680493</v>
      </c>
      <c r="H58" s="43">
        <f ca="1"/>
        <v>0.42074688796680493</v>
      </c>
      <c r="I58" s="43">
        <f ca="1"/>
        <v>0.42074688796680493</v>
      </c>
      <c r="J58" s="43">
        <f ca="1"/>
        <v>0.42074688796680493</v>
      </c>
      <c r="K58" s="43">
        <f ca="1"/>
        <v>0.42074688796680493</v>
      </c>
      <c r="L58" s="43">
        <f ca="1"/>
        <v>0.42074688796680493</v>
      </c>
      <c r="M58" s="43">
        <f ca="1"/>
        <v>0.42074688796680493</v>
      </c>
      <c r="N58" s="43">
        <f ca="1"/>
        <v>0.42074688796680493</v>
      </c>
      <c r="O58" s="43">
        <f ca="1"/>
        <v>0.42074688796680493</v>
      </c>
      <c r="P58" s="43">
        <f ca="1"/>
        <v>0.42074688796680493</v>
      </c>
      <c r="Q58" s="43">
        <f ca="1"/>
        <v>0.42074688796680493</v>
      </c>
      <c r="R58" s="43">
        <f ca="1"/>
        <v>0.42074688796680493</v>
      </c>
      <c r="S58" s="43">
        <f ca="1"/>
        <v>0.42074688796680493</v>
      </c>
      <c r="T58" s="43">
        <f ca="1"/>
        <v>0.42074688796680493</v>
      </c>
      <c r="U58" s="43">
        <f ca="1"/>
        <v>0.42074688796680493</v>
      </c>
      <c r="V58" s="43">
        <f ca="1"/>
        <v>0.42074688796680493</v>
      </c>
      <c r="W58" s="43">
        <f ca="1"/>
        <v>0.42074688796680493</v>
      </c>
      <c r="X58" s="43">
        <f ca="1"/>
        <v>0.42074688796680493</v>
      </c>
      <c r="Y58" s="43">
        <f ca="1"/>
        <v>0.42074688796680493</v>
      </c>
      <c r="Z58" s="43">
        <f ca="1"/>
        <v>0.42074688796680493</v>
      </c>
      <c r="AA58" s="43">
        <f ca="1"/>
        <v>0.42074688796680493</v>
      </c>
      <c r="AB58" s="43">
        <f ca="1"/>
        <v>0.42074688796680493</v>
      </c>
      <c r="AC58" s="43">
        <f ca="1"/>
        <v>0.42074688796680493</v>
      </c>
      <c r="AD58" s="43">
        <f ca="1"/>
        <v>0.42074688796680493</v>
      </c>
      <c r="AE58" s="43">
        <f ca="1"/>
        <v>0.42074688796680493</v>
      </c>
      <c r="AF58" s="43">
        <f ca="1"/>
        <v>0.42074688796680493</v>
      </c>
      <c r="AG58" s="43">
        <f ca="1"/>
        <v>0.42074688796680493</v>
      </c>
      <c r="AH58" s="43">
        <f ca="1"/>
        <v>0.42074688796680493</v>
      </c>
      <c r="AI58" s="43">
        <f ca="1"/>
        <v>0.42074688796680493</v>
      </c>
      <c r="AJ58" s="43">
        <f ca="1"/>
        <v>0.42074688796680493</v>
      </c>
      <c r="AK58" s="43">
        <f ca="1"/>
        <v>0.42074688796680493</v>
      </c>
      <c r="AL58" s="43">
        <f ca="1"/>
        <v>0.42074688796680493</v>
      </c>
      <c r="AM58" s="43">
        <f ca="1"/>
        <v>0.42074688796680493</v>
      </c>
      <c r="AN58" s="44">
        <f ca="1"/>
        <v>0.42074688796680493</v>
      </c>
      <c r="AO58" s="8"/>
    </row>
    <row r="59" spans="2:41" x14ac:dyDescent="0.35">
      <c r="B59" s="8"/>
      <c r="C59" s="19" t="str">
        <f>"EL 2: " &amp; INDEX(_doName,1,3)</f>
        <v>EL 2: Tier 2</v>
      </c>
      <c r="D59" s="11" t="s">
        <v>63</v>
      </c>
      <c r="E59" s="43">
        <v>0.1908713692946058</v>
      </c>
      <c r="F59" s="43">
        <f ca="1"/>
        <v>0.1908713692946058</v>
      </c>
      <c r="G59" s="43">
        <f ca="1"/>
        <v>0.1908713692946058</v>
      </c>
      <c r="H59" s="43">
        <f ca="1"/>
        <v>0.1908713692946058</v>
      </c>
      <c r="I59" s="43">
        <f ca="1"/>
        <v>0.1908713692946058</v>
      </c>
      <c r="J59" s="43">
        <f ca="1"/>
        <v>0.1908713692946058</v>
      </c>
      <c r="K59" s="43">
        <f ca="1"/>
        <v>0.1908713692946058</v>
      </c>
      <c r="L59" s="43">
        <f ca="1"/>
        <v>0.1908713692946058</v>
      </c>
      <c r="M59" s="43">
        <f ca="1"/>
        <v>0.1908713692946058</v>
      </c>
      <c r="N59" s="43">
        <f ca="1"/>
        <v>0.1908713692946058</v>
      </c>
      <c r="O59" s="43">
        <f ca="1"/>
        <v>0.1908713692946058</v>
      </c>
      <c r="P59" s="43">
        <f ca="1"/>
        <v>0.1908713692946058</v>
      </c>
      <c r="Q59" s="43">
        <f ca="1"/>
        <v>0.1908713692946058</v>
      </c>
      <c r="R59" s="43">
        <f ca="1"/>
        <v>0.1908713692946058</v>
      </c>
      <c r="S59" s="43">
        <f ca="1"/>
        <v>0.1908713692946058</v>
      </c>
      <c r="T59" s="43">
        <f ca="1"/>
        <v>0.1908713692946058</v>
      </c>
      <c r="U59" s="43">
        <f ca="1"/>
        <v>0.1908713692946058</v>
      </c>
      <c r="V59" s="43">
        <f ca="1"/>
        <v>0.1908713692946058</v>
      </c>
      <c r="W59" s="43">
        <f ca="1"/>
        <v>0.1908713692946058</v>
      </c>
      <c r="X59" s="43">
        <f ca="1"/>
        <v>0.1908713692946058</v>
      </c>
      <c r="Y59" s="43">
        <f ca="1"/>
        <v>0.1908713692946058</v>
      </c>
      <c r="Z59" s="43">
        <f ca="1"/>
        <v>0.1908713692946058</v>
      </c>
      <c r="AA59" s="43">
        <f ca="1"/>
        <v>0.1908713692946058</v>
      </c>
      <c r="AB59" s="43">
        <f ca="1"/>
        <v>0.1908713692946058</v>
      </c>
      <c r="AC59" s="43">
        <f ca="1"/>
        <v>0.1908713692946058</v>
      </c>
      <c r="AD59" s="43">
        <f ca="1"/>
        <v>0.1908713692946058</v>
      </c>
      <c r="AE59" s="43">
        <f ca="1"/>
        <v>0.1908713692946058</v>
      </c>
      <c r="AF59" s="43">
        <f ca="1"/>
        <v>0.1908713692946058</v>
      </c>
      <c r="AG59" s="43">
        <f ca="1"/>
        <v>0.1908713692946058</v>
      </c>
      <c r="AH59" s="43">
        <f ca="1"/>
        <v>0.1908713692946058</v>
      </c>
      <c r="AI59" s="43">
        <f ca="1"/>
        <v>0.1908713692946058</v>
      </c>
      <c r="AJ59" s="43">
        <f ca="1"/>
        <v>0.1908713692946058</v>
      </c>
      <c r="AK59" s="43">
        <f ca="1"/>
        <v>0.1908713692946058</v>
      </c>
      <c r="AL59" s="43">
        <f ca="1"/>
        <v>0.1908713692946058</v>
      </c>
      <c r="AM59" s="43">
        <f ca="1"/>
        <v>0.1908713692946058</v>
      </c>
      <c r="AN59" s="44">
        <f ca="1"/>
        <v>0.1908713692946058</v>
      </c>
      <c r="AO59" s="8"/>
    </row>
    <row r="60" spans="2:41" x14ac:dyDescent="0.35">
      <c r="B60" s="8"/>
      <c r="C60" s="19" t="str">
        <f>"EL 3: " &amp; INDEX(_doName,1,4)</f>
        <v>EL 3: EL 3</v>
      </c>
      <c r="D60" s="11" t="s">
        <v>63</v>
      </c>
      <c r="E60" s="43">
        <v>7.4688796680497924E-2</v>
      </c>
      <c r="F60" s="43">
        <f ca="1"/>
        <v>7.4688796680497924E-2</v>
      </c>
      <c r="G60" s="43">
        <f ca="1"/>
        <v>7.4688796680497924E-2</v>
      </c>
      <c r="H60" s="43">
        <f ca="1"/>
        <v>7.4688796680497924E-2</v>
      </c>
      <c r="I60" s="43">
        <f ca="1"/>
        <v>7.4688796680497924E-2</v>
      </c>
      <c r="J60" s="43">
        <f ca="1"/>
        <v>7.4688796680497924E-2</v>
      </c>
      <c r="K60" s="43">
        <f ca="1"/>
        <v>7.4688796680497924E-2</v>
      </c>
      <c r="L60" s="43">
        <f ca="1"/>
        <v>7.4688796680497924E-2</v>
      </c>
      <c r="M60" s="43">
        <f ca="1"/>
        <v>7.4688796680497924E-2</v>
      </c>
      <c r="N60" s="43">
        <f ca="1"/>
        <v>7.4688796680497924E-2</v>
      </c>
      <c r="O60" s="43">
        <f ca="1"/>
        <v>7.4688796680497924E-2</v>
      </c>
      <c r="P60" s="43">
        <f ca="1"/>
        <v>7.4688796680497924E-2</v>
      </c>
      <c r="Q60" s="43">
        <f ca="1"/>
        <v>7.4688796680497924E-2</v>
      </c>
      <c r="R60" s="43">
        <f ca="1"/>
        <v>7.4688796680497924E-2</v>
      </c>
      <c r="S60" s="43">
        <f ca="1"/>
        <v>7.4688796680497924E-2</v>
      </c>
      <c r="T60" s="43">
        <f ca="1"/>
        <v>7.4688796680497924E-2</v>
      </c>
      <c r="U60" s="43">
        <f ca="1"/>
        <v>7.4688796680497924E-2</v>
      </c>
      <c r="V60" s="43">
        <f ca="1"/>
        <v>7.4688796680497924E-2</v>
      </c>
      <c r="W60" s="43">
        <f ca="1"/>
        <v>7.4688796680497924E-2</v>
      </c>
      <c r="X60" s="43">
        <f ca="1"/>
        <v>7.4688796680497924E-2</v>
      </c>
      <c r="Y60" s="43">
        <f ca="1"/>
        <v>7.4688796680497924E-2</v>
      </c>
      <c r="Z60" s="43">
        <f ca="1"/>
        <v>7.4688796680497924E-2</v>
      </c>
      <c r="AA60" s="43">
        <f ca="1"/>
        <v>7.4688796680497924E-2</v>
      </c>
      <c r="AB60" s="43">
        <f ca="1"/>
        <v>7.4688796680497924E-2</v>
      </c>
      <c r="AC60" s="43">
        <f ca="1"/>
        <v>7.4688796680497924E-2</v>
      </c>
      <c r="AD60" s="43">
        <f ca="1"/>
        <v>7.4688796680497924E-2</v>
      </c>
      <c r="AE60" s="43">
        <f ca="1"/>
        <v>7.4688796680497924E-2</v>
      </c>
      <c r="AF60" s="43">
        <f ca="1"/>
        <v>7.4688796680497924E-2</v>
      </c>
      <c r="AG60" s="43">
        <f ca="1"/>
        <v>7.4688796680497924E-2</v>
      </c>
      <c r="AH60" s="43">
        <f ca="1"/>
        <v>7.4688796680497924E-2</v>
      </c>
      <c r="AI60" s="43">
        <f ca="1"/>
        <v>7.4688796680497924E-2</v>
      </c>
      <c r="AJ60" s="43">
        <f ca="1"/>
        <v>7.4688796680497924E-2</v>
      </c>
      <c r="AK60" s="43">
        <f ca="1"/>
        <v>7.4688796680497924E-2</v>
      </c>
      <c r="AL60" s="43">
        <f ca="1"/>
        <v>7.4688796680497924E-2</v>
      </c>
      <c r="AM60" s="43">
        <f ca="1"/>
        <v>7.4688796680497924E-2</v>
      </c>
      <c r="AN60" s="44">
        <f ca="1"/>
        <v>7.4688796680497924E-2</v>
      </c>
      <c r="AO60" s="8"/>
    </row>
    <row r="61" spans="2:41" x14ac:dyDescent="0.35">
      <c r="B61" s="8"/>
      <c r="C61" s="35" t="str">
        <f>"EL 4: " &amp; INDEX(_doName,1,5)</f>
        <v>EL 4: EL 4</v>
      </c>
      <c r="D61" s="15" t="s">
        <v>63</v>
      </c>
      <c r="E61" s="45">
        <v>3.3195020746887967E-2</v>
      </c>
      <c r="F61" s="45">
        <f ca="1"/>
        <v>3.3195020746887967E-2</v>
      </c>
      <c r="G61" s="45">
        <f ca="1"/>
        <v>3.3195020746887967E-2</v>
      </c>
      <c r="H61" s="45">
        <f ca="1"/>
        <v>3.3195020746887967E-2</v>
      </c>
      <c r="I61" s="45">
        <f ca="1"/>
        <v>3.3195020746887967E-2</v>
      </c>
      <c r="J61" s="45">
        <f ca="1"/>
        <v>3.3195020746887967E-2</v>
      </c>
      <c r="K61" s="45">
        <f ca="1"/>
        <v>3.3195020746887967E-2</v>
      </c>
      <c r="L61" s="45">
        <f ca="1"/>
        <v>3.3195020746887967E-2</v>
      </c>
      <c r="M61" s="45">
        <f ca="1"/>
        <v>3.3195020746887967E-2</v>
      </c>
      <c r="N61" s="45">
        <f ca="1"/>
        <v>3.3195020746887967E-2</v>
      </c>
      <c r="O61" s="45">
        <f ca="1"/>
        <v>3.3195020746887967E-2</v>
      </c>
      <c r="P61" s="45">
        <f ca="1"/>
        <v>3.3195020746887967E-2</v>
      </c>
      <c r="Q61" s="45">
        <f ca="1"/>
        <v>3.3195020746887967E-2</v>
      </c>
      <c r="R61" s="45">
        <f ca="1"/>
        <v>3.3195020746887967E-2</v>
      </c>
      <c r="S61" s="45">
        <f ca="1"/>
        <v>3.3195020746887967E-2</v>
      </c>
      <c r="T61" s="45">
        <f ca="1"/>
        <v>3.3195020746887967E-2</v>
      </c>
      <c r="U61" s="45">
        <f ca="1"/>
        <v>3.3195020746887967E-2</v>
      </c>
      <c r="V61" s="45">
        <f ca="1"/>
        <v>3.3195020746887967E-2</v>
      </c>
      <c r="W61" s="45">
        <f ca="1"/>
        <v>3.3195020746887967E-2</v>
      </c>
      <c r="X61" s="45">
        <f ca="1"/>
        <v>3.3195020746887967E-2</v>
      </c>
      <c r="Y61" s="45">
        <f ca="1"/>
        <v>3.3195020746887967E-2</v>
      </c>
      <c r="Z61" s="45">
        <f ca="1"/>
        <v>3.3195020746887967E-2</v>
      </c>
      <c r="AA61" s="45">
        <f ca="1"/>
        <v>3.3195020746887967E-2</v>
      </c>
      <c r="AB61" s="45">
        <f ca="1"/>
        <v>3.3195020746887967E-2</v>
      </c>
      <c r="AC61" s="45">
        <f ca="1"/>
        <v>3.3195020746887967E-2</v>
      </c>
      <c r="AD61" s="45">
        <f ca="1"/>
        <v>3.3195020746887967E-2</v>
      </c>
      <c r="AE61" s="45">
        <f ca="1"/>
        <v>3.3195020746887967E-2</v>
      </c>
      <c r="AF61" s="45">
        <f ca="1"/>
        <v>3.3195020746887967E-2</v>
      </c>
      <c r="AG61" s="45">
        <f ca="1"/>
        <v>3.3195020746887967E-2</v>
      </c>
      <c r="AH61" s="45">
        <f ca="1"/>
        <v>3.3195020746887967E-2</v>
      </c>
      <c r="AI61" s="45">
        <f ca="1"/>
        <v>3.3195020746887967E-2</v>
      </c>
      <c r="AJ61" s="45">
        <f ca="1"/>
        <v>3.3195020746887967E-2</v>
      </c>
      <c r="AK61" s="45">
        <f ca="1"/>
        <v>3.3195020746887967E-2</v>
      </c>
      <c r="AL61" s="45">
        <f ca="1"/>
        <v>3.3195020746887967E-2</v>
      </c>
      <c r="AM61" s="45">
        <f ca="1"/>
        <v>3.3195020746887967E-2</v>
      </c>
      <c r="AN61" s="46">
        <f ca="1"/>
        <v>3.3195020746887967E-2</v>
      </c>
      <c r="AO61" s="8"/>
    </row>
    <row r="62" spans="2:41" x14ac:dyDescent="0.35">
      <c r="B62" s="8"/>
      <c r="C62" s="23" t="s">
        <v>92</v>
      </c>
      <c r="D62" s="24"/>
      <c r="E62" s="26">
        <f t="array" ref="E62:AN62">_yS</f>
        <v>2024</v>
      </c>
      <c r="F62" s="26">
        <v>2025</v>
      </c>
      <c r="G62" s="26">
        <v>2026</v>
      </c>
      <c r="H62" s="26">
        <v>2027</v>
      </c>
      <c r="I62" s="26">
        <v>2028</v>
      </c>
      <c r="J62" s="26">
        <v>2029</v>
      </c>
      <c r="K62" s="26">
        <v>2030</v>
      </c>
      <c r="L62" s="26">
        <v>2031</v>
      </c>
      <c r="M62" s="26">
        <v>2032</v>
      </c>
      <c r="N62" s="26">
        <v>2033</v>
      </c>
      <c r="O62" s="26">
        <v>2034</v>
      </c>
      <c r="P62" s="26">
        <v>2035</v>
      </c>
      <c r="Q62" s="26">
        <v>2036</v>
      </c>
      <c r="R62" s="26">
        <v>2037</v>
      </c>
      <c r="S62" s="26">
        <v>2038</v>
      </c>
      <c r="T62" s="26">
        <v>2039</v>
      </c>
      <c r="U62" s="26">
        <v>2040</v>
      </c>
      <c r="V62" s="26">
        <v>2041</v>
      </c>
      <c r="W62" s="26">
        <v>2042</v>
      </c>
      <c r="X62" s="26">
        <v>2043</v>
      </c>
      <c r="Y62" s="26">
        <v>2044</v>
      </c>
      <c r="Z62" s="26">
        <v>2045</v>
      </c>
      <c r="AA62" s="26">
        <v>2046</v>
      </c>
      <c r="AB62" s="26">
        <v>2047</v>
      </c>
      <c r="AC62" s="26">
        <v>2048</v>
      </c>
      <c r="AD62" s="26">
        <v>2049</v>
      </c>
      <c r="AE62" s="26">
        <v>2050</v>
      </c>
      <c r="AF62" s="26">
        <v>2051</v>
      </c>
      <c r="AG62" s="26">
        <v>2052</v>
      </c>
      <c r="AH62" s="26">
        <v>2053</v>
      </c>
      <c r="AI62" s="26">
        <v>2054</v>
      </c>
      <c r="AJ62" s="26">
        <v>2055</v>
      </c>
      <c r="AK62" s="26">
        <v>2056</v>
      </c>
      <c r="AL62" s="26">
        <v>2057</v>
      </c>
      <c r="AM62" s="26">
        <v>2058</v>
      </c>
      <c r="AN62" s="27">
        <v>2059</v>
      </c>
      <c r="AO62" s="8"/>
    </row>
    <row r="63" spans="2:41" x14ac:dyDescent="0.35">
      <c r="B63" s="8"/>
      <c r="C63" s="19" t="s">
        <v>65</v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18"/>
      <c r="AO63" s="8"/>
    </row>
    <row r="64" spans="2:41" x14ac:dyDescent="0.35">
      <c r="B64" s="8"/>
      <c r="C64" s="10" t="s">
        <v>93</v>
      </c>
      <c r="D64" s="11" t="str">
        <f>CHOOSE(MATCH(LEFT(effTrend,1),{"L","G"},0),"CADR/watt","%")</f>
        <v>CADR/watt</v>
      </c>
      <c r="E64" s="8">
        <v>0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18"/>
      <c r="AO64" s="8"/>
    </row>
    <row r="65" spans="2:41" x14ac:dyDescent="0.35">
      <c r="B65" s="8"/>
      <c r="C65" s="10" t="s">
        <v>94</v>
      </c>
      <c r="D65" s="11" t="s">
        <v>74</v>
      </c>
      <c r="E65" s="33">
        <f>SUMPRODUCT(doEff,INDEX(bcEff_Res,,1))</f>
        <v>1.9319253112033197</v>
      </c>
      <c r="F65" s="33">
        <f>MIN(maxEff,(1+effTrendG*trendGrowthBC_Res)*E$65+effTrendL*trendGrowthBC_Res)</f>
        <v>1.9319253112033197</v>
      </c>
      <c r="G65" s="33">
        <f>MIN(maxEff,(1+effTrendG*trendGrowthBC_Res)*F$65+effTrendL*trendGrowthBC_Res)</f>
        <v>1.9319253112033197</v>
      </c>
      <c r="H65" s="33">
        <f>MIN(maxEff,(1+effTrendG*trendGrowthBC_Res)*G$65+effTrendL*trendGrowthBC_Res)</f>
        <v>1.9319253112033197</v>
      </c>
      <c r="I65" s="33">
        <f>MIN(maxEff,(1+effTrendG*trendGrowthBC_Res)*H$65+effTrendL*trendGrowthBC_Res)</f>
        <v>1.9319253112033197</v>
      </c>
      <c r="J65" s="33">
        <f>MIN(maxEff,(1+effTrendG*trendGrowthBC_Res)*I$65+effTrendL*trendGrowthBC_Res)</f>
        <v>1.9319253112033197</v>
      </c>
      <c r="K65" s="33">
        <f>MIN(maxEff,(1+effTrendG*trendGrowthBC_Res)*J$65+effTrendL*trendGrowthBC_Res)</f>
        <v>1.9319253112033197</v>
      </c>
      <c r="L65" s="33">
        <f>MIN(maxEff,(1+effTrendG*trendGrowthBC_Res)*K$65+effTrendL*trendGrowthBC_Res)</f>
        <v>1.9319253112033197</v>
      </c>
      <c r="M65" s="33">
        <f>MIN(maxEff,(1+effTrendG*trendGrowthBC_Res)*L$65+effTrendL*trendGrowthBC_Res)</f>
        <v>1.9319253112033197</v>
      </c>
      <c r="N65" s="33">
        <f>MIN(maxEff,(1+effTrendG*trendGrowthBC_Res)*M$65+effTrendL*trendGrowthBC_Res)</f>
        <v>1.9319253112033197</v>
      </c>
      <c r="O65" s="33">
        <f>MIN(maxEff,(1+effTrendG*trendGrowthBC_Res)*N$65+effTrendL*trendGrowthBC_Res)</f>
        <v>1.9319253112033197</v>
      </c>
      <c r="P65" s="33">
        <f>MIN(maxEff,(1+effTrendG*trendGrowthBC_Res)*O$65+effTrendL*trendGrowthBC_Res)</f>
        <v>1.9319253112033197</v>
      </c>
      <c r="Q65" s="33">
        <f>MIN(maxEff,(1+effTrendG*trendGrowthBC_Res)*P$65+effTrendL*trendGrowthBC_Res)</f>
        <v>1.9319253112033197</v>
      </c>
      <c r="R65" s="33">
        <f>MIN(maxEff,(1+effTrendG*trendGrowthBC_Res)*Q$65+effTrendL*trendGrowthBC_Res)</f>
        <v>1.9319253112033197</v>
      </c>
      <c r="S65" s="33">
        <f>MIN(maxEff,(1+effTrendG*trendGrowthBC_Res)*R$65+effTrendL*trendGrowthBC_Res)</f>
        <v>1.9319253112033197</v>
      </c>
      <c r="T65" s="33">
        <f>MIN(maxEff,(1+effTrendG*trendGrowthBC_Res)*S$65+effTrendL*trendGrowthBC_Res)</f>
        <v>1.9319253112033197</v>
      </c>
      <c r="U65" s="33">
        <f>MIN(maxEff,(1+effTrendG*trendGrowthBC_Res)*T$65+effTrendL*trendGrowthBC_Res)</f>
        <v>1.9319253112033197</v>
      </c>
      <c r="V65" s="33">
        <f>MIN(maxEff,(1+effTrendG*trendGrowthBC_Res)*U$65+effTrendL*trendGrowthBC_Res)</f>
        <v>1.9319253112033197</v>
      </c>
      <c r="W65" s="33">
        <f>MIN(maxEff,(1+effTrendG*trendGrowthBC_Res)*V$65+effTrendL*trendGrowthBC_Res)</f>
        <v>1.9319253112033197</v>
      </c>
      <c r="X65" s="33">
        <f>MIN(maxEff,(1+effTrendG*trendGrowthBC_Res)*W$65+effTrendL*trendGrowthBC_Res)</f>
        <v>1.9319253112033197</v>
      </c>
      <c r="Y65" s="33">
        <f>MIN(maxEff,(1+effTrendG*trendGrowthBC_Res)*X$65+effTrendL*trendGrowthBC_Res)</f>
        <v>1.9319253112033197</v>
      </c>
      <c r="Z65" s="33">
        <f>MIN(maxEff,(1+effTrendG*trendGrowthBC_Res)*Y$65+effTrendL*trendGrowthBC_Res)</f>
        <v>1.9319253112033197</v>
      </c>
      <c r="AA65" s="33">
        <f>MIN(maxEff,(1+effTrendG*trendGrowthBC_Res)*Z$65+effTrendL*trendGrowthBC_Res)</f>
        <v>1.9319253112033197</v>
      </c>
      <c r="AB65" s="33">
        <f>MIN(maxEff,(1+effTrendG*trendGrowthBC_Res)*AA$65+effTrendL*trendGrowthBC_Res)</f>
        <v>1.9319253112033197</v>
      </c>
      <c r="AC65" s="33">
        <f>MIN(maxEff,(1+effTrendG*trendGrowthBC_Res)*AB$65+effTrendL*trendGrowthBC_Res)</f>
        <v>1.9319253112033197</v>
      </c>
      <c r="AD65" s="33">
        <f>MIN(maxEff,(1+effTrendG*trendGrowthBC_Res)*AC$65+effTrendL*trendGrowthBC_Res)</f>
        <v>1.9319253112033197</v>
      </c>
      <c r="AE65" s="33">
        <f>MIN(maxEff,(1+effTrendG*trendGrowthBC_Res)*AD$65+effTrendL*trendGrowthBC_Res)</f>
        <v>1.9319253112033197</v>
      </c>
      <c r="AF65" s="33">
        <f>MIN(maxEff,(1+effTrendG*trendGrowthBC_Res)*AE$65+effTrendL*trendGrowthBC_Res)</f>
        <v>1.9319253112033197</v>
      </c>
      <c r="AG65" s="33">
        <f>MIN(maxEff,(1+effTrendG*trendGrowthBC_Res)*AF$65+effTrendL*trendGrowthBC_Res)</f>
        <v>1.9319253112033197</v>
      </c>
      <c r="AH65" s="33">
        <f>MIN(maxEff,(1+effTrendG*trendGrowthBC_Res)*AG$65+effTrendL*trendGrowthBC_Res)</f>
        <v>1.9319253112033197</v>
      </c>
      <c r="AI65" s="33">
        <f>MIN(maxEff,(1+effTrendG*trendGrowthBC_Res)*AH$65+effTrendL*trendGrowthBC_Res)</f>
        <v>1.9319253112033197</v>
      </c>
      <c r="AJ65" s="33">
        <f>MIN(maxEff,(1+effTrendG*trendGrowthBC_Res)*AI$65+effTrendL*trendGrowthBC_Res)</f>
        <v>1.9319253112033197</v>
      </c>
      <c r="AK65" s="33">
        <f>MIN(maxEff,(1+effTrendG*trendGrowthBC_Res)*AJ$65+effTrendL*trendGrowthBC_Res)</f>
        <v>1.9319253112033197</v>
      </c>
      <c r="AL65" s="33">
        <f>MIN(maxEff,(1+effTrendG*trendGrowthBC_Res)*AK$65+effTrendL*trendGrowthBC_Res)</f>
        <v>1.9319253112033197</v>
      </c>
      <c r="AM65" s="33">
        <f>MIN(maxEff,(1+effTrendG*trendGrowthBC_Res)*AL$65+effTrendL*trendGrowthBC_Res)</f>
        <v>1.9319253112033197</v>
      </c>
      <c r="AN65" s="34">
        <f>MIN(maxEff,(1+effTrendG*trendGrowthBC_Res)*AM$65+effTrendL*trendGrowthBC_Res)</f>
        <v>1.9319253112033197</v>
      </c>
      <c r="AO65" s="8"/>
    </row>
    <row r="66" spans="2:41" x14ac:dyDescent="0.35">
      <c r="B66" s="8"/>
      <c r="C66" s="19" t="s">
        <v>95</v>
      </c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18"/>
      <c r="AO66" s="8"/>
    </row>
    <row r="67" spans="2:41" x14ac:dyDescent="0.35">
      <c r="B67" s="8"/>
      <c r="C67" s="14" t="s">
        <v>94</v>
      </c>
      <c r="D67" s="15" t="s">
        <v>74</v>
      </c>
      <c r="E67" s="21">
        <f ca="1">IF(E$62&lt;yearC,E$65,IF(E$62=yearC,SUMPRODUCT(doEff,INDEX(polEff_Res,,1)),MIN(maxEff,MAX(0,E$65))))</f>
        <v>1.9777631093463706</v>
      </c>
      <c r="F67" s="21">
        <f ca="1">IF(F$62&lt;yearC,F$65,IF(F$62=yearC,SUMPRODUCT(doEff,INDEX(polEff_Res,,2)),MIN(maxEff,MAX(INDEX(trendEffPol_Res,1),F$65))))</f>
        <v>1.9777631093463706</v>
      </c>
      <c r="G67" s="21">
        <f ca="1">IF(G$62&lt;yearC,G$65,IF(G$62=yearC,SUMPRODUCT(doEff,INDEX(polEff_Res,,3)),MIN(maxEff,MAX(INDEX(trendEffPol_Res,2),G$65))))</f>
        <v>1.9777631093463706</v>
      </c>
      <c r="H67" s="21">
        <f ca="1">IF(H$62&lt;yearC,H$65,IF(H$62=yearC,SUMPRODUCT(doEff,INDEX(polEff_Res,,4)),MIN(maxEff,MAX(INDEX(trendEffPol_Res,3),H$65))))</f>
        <v>1.9777631093463706</v>
      </c>
      <c r="I67" s="21">
        <f ca="1">IF(I$62&lt;yearC,I$65,IF(I$62=yearC,SUMPRODUCT(doEff,INDEX(polEff_Res,,5)),MIN(maxEff,MAX(INDEX(trendEffPol_Res,4),I$65))))</f>
        <v>1.9777631093463706</v>
      </c>
      <c r="J67" s="21">
        <f ca="1">IF(J$62&lt;yearC,J$65,IF(J$62=yearC,SUMPRODUCT(doEff,INDEX(polEff_Res,,6)),MIN(maxEff,MAX(INDEX(trendEffPol_Res,5),J$65))))</f>
        <v>1.9777631093463706</v>
      </c>
      <c r="K67" s="21">
        <f ca="1">IF(K$62&lt;yearC,K$65,IF(K$62=yearC,SUMPRODUCT(doEff,INDEX(polEff_Res,,7)),MIN(maxEff,MAX(INDEX(trendEffPol_Res,6),K$65))))</f>
        <v>1.9777631093463706</v>
      </c>
      <c r="L67" s="21">
        <f ca="1">MIN(maxEff,MAX(INDEX(trendEffPol_Res,7),L$65))</f>
        <v>1.9777631093463706</v>
      </c>
      <c r="M67" s="21">
        <f ca="1">MIN(maxEff,MAX(INDEX(trendEffPol_Res,7),M$65))</f>
        <v>1.9777631093463706</v>
      </c>
      <c r="N67" s="21">
        <f ca="1">MIN(maxEff,MAX(INDEX(trendEffPol_Res,7),N$65))</f>
        <v>1.9777631093463706</v>
      </c>
      <c r="O67" s="21">
        <f ca="1">MIN(maxEff,MAX(INDEX(trendEffPol_Res,7),O$65))</f>
        <v>1.9777631093463706</v>
      </c>
      <c r="P67" s="21">
        <f ca="1">MIN(maxEff,MAX(INDEX(trendEffPol_Res,7),P$65))</f>
        <v>1.9777631093463706</v>
      </c>
      <c r="Q67" s="21">
        <f ca="1">MIN(maxEff,MAX(INDEX(trendEffPol_Res,7),Q$65))</f>
        <v>1.9777631093463706</v>
      </c>
      <c r="R67" s="21">
        <f ca="1">MIN(maxEff,MAX(INDEX(trendEffPol_Res,7),R$65))</f>
        <v>1.9777631093463706</v>
      </c>
      <c r="S67" s="21">
        <f ca="1">MIN(maxEff,MAX(INDEX(trendEffPol_Res,7),S$65))</f>
        <v>1.9777631093463706</v>
      </c>
      <c r="T67" s="21">
        <f ca="1">MIN(maxEff,MAX(INDEX(trendEffPol_Res,7),T$65))</f>
        <v>1.9777631093463706</v>
      </c>
      <c r="U67" s="21">
        <f ca="1">MIN(maxEff,MAX(INDEX(trendEffPol_Res,7),U$65))</f>
        <v>1.9777631093463706</v>
      </c>
      <c r="V67" s="21">
        <f ca="1">MIN(maxEff,MAX(INDEX(trendEffPol_Res,7),V$65))</f>
        <v>1.9777631093463706</v>
      </c>
      <c r="W67" s="21">
        <f ca="1">MIN(maxEff,MAX(INDEX(trendEffPol_Res,7),W$65))</f>
        <v>1.9777631093463706</v>
      </c>
      <c r="X67" s="21">
        <f ca="1">MIN(maxEff,MAX(INDEX(trendEffPol_Res,7),X$65))</f>
        <v>1.9777631093463706</v>
      </c>
      <c r="Y67" s="21">
        <f ca="1">MIN(maxEff,MAX(INDEX(trendEffPol_Res,7),Y$65))</f>
        <v>1.9777631093463706</v>
      </c>
      <c r="Z67" s="21">
        <f ca="1">MIN(maxEff,MAX(INDEX(trendEffPol_Res,7),Z$65))</f>
        <v>1.9777631093463706</v>
      </c>
      <c r="AA67" s="21">
        <f ca="1">MIN(maxEff,MAX(INDEX(trendEffPol_Res,7),AA$65))</f>
        <v>1.9777631093463706</v>
      </c>
      <c r="AB67" s="21">
        <f ca="1">MIN(maxEff,MAX(INDEX(trendEffPol_Res,7),AB$65))</f>
        <v>1.9777631093463706</v>
      </c>
      <c r="AC67" s="21">
        <f ca="1">MIN(maxEff,MAX(INDEX(trendEffPol_Res,7),AC$65))</f>
        <v>1.9777631093463706</v>
      </c>
      <c r="AD67" s="21">
        <f ca="1">MIN(maxEff,MAX(INDEX(trendEffPol_Res,7),AD$65))</f>
        <v>1.9777631093463706</v>
      </c>
      <c r="AE67" s="21">
        <f ca="1">MIN(maxEff,MAX(INDEX(trendEffPol_Res,7),AE$65))</f>
        <v>1.9777631093463706</v>
      </c>
      <c r="AF67" s="21">
        <f ca="1">MIN(maxEff,MAX(INDEX(trendEffPol_Res,7),AF$65))</f>
        <v>1.9777631093463706</v>
      </c>
      <c r="AG67" s="21">
        <f ca="1">MIN(maxEff,MAX(INDEX(trendEffPol_Res,7),AG$65))</f>
        <v>1.9777631093463706</v>
      </c>
      <c r="AH67" s="21">
        <f ca="1">MIN(maxEff,MAX(INDEX(trendEffPol_Res,7),AH$65))</f>
        <v>1.9777631093463706</v>
      </c>
      <c r="AI67" s="21">
        <f ca="1">MIN(maxEff,MAX(INDEX(trendEffPol_Res,7),AI$65))</f>
        <v>1.9777631093463706</v>
      </c>
      <c r="AJ67" s="21">
        <f ca="1">MIN(maxEff,MAX(INDEX(trendEffPol_Res,7),AJ$65))</f>
        <v>1.9777631093463706</v>
      </c>
      <c r="AK67" s="21">
        <f ca="1">MIN(maxEff,MAX(INDEX(trendEffPol_Res,7),AK$65))</f>
        <v>1.9777631093463706</v>
      </c>
      <c r="AL67" s="21">
        <f ca="1">MIN(maxEff,MAX(INDEX(trendEffPol_Res,7),AL$65))</f>
        <v>1.9777631093463706</v>
      </c>
      <c r="AM67" s="21">
        <f ca="1">MIN(maxEff,MAX(INDEX(trendEffPol_Res,7),AM$65))</f>
        <v>1.9777631093463706</v>
      </c>
      <c r="AN67" s="22">
        <f ca="1">MIN(maxEff,MAX(INDEX(trendEffPol_Res,7),AN$65))</f>
        <v>1.9777631093463706</v>
      </c>
      <c r="AO67" s="8"/>
    </row>
    <row r="68" spans="2:4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</row>
    <row r="69" spans="2:41" hidden="1" x14ac:dyDescent="0.35">
      <c r="B69" s="8"/>
      <c r="C69" s="23" t="s">
        <v>102</v>
      </c>
      <c r="D69" s="24"/>
      <c r="E69" s="26">
        <f t="array" ref="E69:AN69">_yS</f>
        <v>2024</v>
      </c>
      <c r="F69" s="26">
        <v>2025</v>
      </c>
      <c r="G69" s="26">
        <v>2026</v>
      </c>
      <c r="H69" s="26">
        <v>2027</v>
      </c>
      <c r="I69" s="26">
        <v>2028</v>
      </c>
      <c r="J69" s="26">
        <v>2029</v>
      </c>
      <c r="K69" s="26">
        <v>2030</v>
      </c>
      <c r="L69" s="26">
        <v>2031</v>
      </c>
      <c r="M69" s="26">
        <v>2032</v>
      </c>
      <c r="N69" s="26">
        <v>2033</v>
      </c>
      <c r="O69" s="26">
        <v>2034</v>
      </c>
      <c r="P69" s="26">
        <v>2035</v>
      </c>
      <c r="Q69" s="26">
        <v>2036</v>
      </c>
      <c r="R69" s="26">
        <v>2037</v>
      </c>
      <c r="S69" s="26">
        <v>2038</v>
      </c>
      <c r="T69" s="26">
        <v>2039</v>
      </c>
      <c r="U69" s="26">
        <v>2040</v>
      </c>
      <c r="V69" s="26">
        <v>2041</v>
      </c>
      <c r="W69" s="26">
        <v>2042</v>
      </c>
      <c r="X69" s="26">
        <v>2043</v>
      </c>
      <c r="Y69" s="26">
        <v>2044</v>
      </c>
      <c r="Z69" s="26">
        <v>2045</v>
      </c>
      <c r="AA69" s="26">
        <v>2046</v>
      </c>
      <c r="AB69" s="26">
        <v>2047</v>
      </c>
      <c r="AC69" s="26">
        <v>2048</v>
      </c>
      <c r="AD69" s="26">
        <v>2049</v>
      </c>
      <c r="AE69" s="26">
        <v>2050</v>
      </c>
      <c r="AF69" s="26">
        <v>2051</v>
      </c>
      <c r="AG69" s="26">
        <v>2052</v>
      </c>
      <c r="AH69" s="26">
        <v>2053</v>
      </c>
      <c r="AI69" s="26">
        <v>2054</v>
      </c>
      <c r="AJ69" s="26">
        <v>2055</v>
      </c>
      <c r="AK69" s="26">
        <v>2056</v>
      </c>
      <c r="AL69" s="26">
        <v>2057</v>
      </c>
      <c r="AM69" s="26">
        <v>2058</v>
      </c>
      <c r="AN69" s="27">
        <v>2059</v>
      </c>
      <c r="AO69" s="8"/>
    </row>
    <row r="70" spans="2:41" hidden="1" x14ac:dyDescent="0.35">
      <c r="B70" s="8"/>
      <c r="C70" s="19" t="s">
        <v>89</v>
      </c>
      <c r="D70" s="11"/>
      <c r="E70" s="43">
        <f>0</f>
        <v>0</v>
      </c>
      <c r="F70" s="43">
        <f t="array" ref="F70:AN70">$E$70</f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0</v>
      </c>
      <c r="AA70" s="43">
        <v>0</v>
      </c>
      <c r="AB70" s="43">
        <v>0</v>
      </c>
      <c r="AC70" s="43">
        <v>0</v>
      </c>
      <c r="AD70" s="43">
        <v>0</v>
      </c>
      <c r="AE70" s="43">
        <v>0</v>
      </c>
      <c r="AF70" s="43">
        <v>0</v>
      </c>
      <c r="AG70" s="43">
        <v>0</v>
      </c>
      <c r="AH70" s="43">
        <v>0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4">
        <v>0</v>
      </c>
      <c r="AO70" s="8"/>
    </row>
    <row r="71" spans="2:41" hidden="1" x14ac:dyDescent="0.35">
      <c r="B71" s="8"/>
      <c r="C71" s="19" t="str">
        <f>"EL 0: " &amp; INDEX(_doName,1,1)</f>
        <v>EL 0: Baseline</v>
      </c>
      <c r="D71" s="11"/>
      <c r="E71" s="43"/>
      <c r="F71" s="43">
        <f ca="1">(INDEX(teffSumPol_Res,1,2)&lt;INDEX(effGoalPol_Res,2)) * MIN(INDEX(polEff_Res,1,1),(INDEX(effGoalPol_Res,2)-INDEX(teffSumPol_Res,1,2))/(INDEX(doEff,2)-INDEX(doEff,1)))</f>
        <v>0</v>
      </c>
      <c r="G71" s="43">
        <f ca="1">(INDEX(teffSumPol_Res,1,3)&lt;INDEX(effGoalPol_Res,3)) * MIN(INDEX(polEff_Res,1,2),(INDEX(effGoalPol_Res,3)-INDEX(teffSumPol_Res,1,3))/(INDEX(doEff,2)-INDEX(doEff,1)))</f>
        <v>0</v>
      </c>
      <c r="H71" s="43">
        <f ca="1">(INDEX(teffSumPol_Res,1,4)&lt;INDEX(effGoalPol_Res,4)) * MIN(INDEX(polEff_Res,1,3),(INDEX(effGoalPol_Res,4)-INDEX(teffSumPol_Res,1,4))/(INDEX(doEff,2)-INDEX(doEff,1)))</f>
        <v>0</v>
      </c>
      <c r="I71" s="43">
        <f ca="1">(INDEX(teffSumPol_Res,1,5)&lt;INDEX(effGoalPol_Res,5)) * MIN(INDEX(polEff_Res,1,4),(INDEX(effGoalPol_Res,5)-INDEX(teffSumPol_Res,1,5))/(INDEX(doEff,2)-INDEX(doEff,1)))</f>
        <v>0</v>
      </c>
      <c r="J71" s="43">
        <f ca="1">(INDEX(teffSumPol_Res,1,6)&lt;INDEX(effGoalPol_Res,6)) * MIN(INDEX(polEff_Res,1,5),(INDEX(effGoalPol_Res,6)-INDEX(teffSumPol_Res,1,6))/(INDEX(doEff,2)-INDEX(doEff,1)))</f>
        <v>0</v>
      </c>
      <c r="K71" s="43">
        <f ca="1">(INDEX(teffSumPol_Res,1,7)&lt;INDEX(effGoalPol_Res,7)) * MIN(INDEX(polEff_Res,1,6),(INDEX(effGoalPol_Res,7)-INDEX(teffSumPol_Res,1,7))/(INDEX(doEff,2)-INDEX(doEff,1)))</f>
        <v>0</v>
      </c>
      <c r="L71" s="43">
        <f ca="1">(INDEX(teffSumPol_Res,1,8)&lt;INDEX(effGoalPol_Res,8)) * MIN(INDEX(polEff_Res,1,7),(INDEX(effGoalPol_Res,8)-INDEX(teffSumPol_Res,1,8))/(INDEX(doEff,2)-INDEX(doEff,1)))</f>
        <v>0</v>
      </c>
      <c r="M71" s="43">
        <f ca="1">(INDEX(teffSumPol_Res,1,9)&lt;INDEX(effGoalPol_Res,9)) * MIN(INDEX(polEff_Res,1,8),(INDEX(effGoalPol_Res,9)-INDEX(teffSumPol_Res,1,9))/(INDEX(doEff,2)-INDEX(doEff,1)))</f>
        <v>0</v>
      </c>
      <c r="N71" s="43">
        <f ca="1">(INDEX(teffSumPol_Res,1,10)&lt;INDEX(effGoalPol_Res,10)) * MIN(INDEX(polEff_Res,1,9),(INDEX(effGoalPol_Res,10)-INDEX(teffSumPol_Res,1,10))/(INDEX(doEff,2)-INDEX(doEff,1)))</f>
        <v>0</v>
      </c>
      <c r="O71" s="43">
        <f ca="1">(INDEX(teffSumPol_Res,1,11)&lt;INDEX(effGoalPol_Res,11)) * MIN(INDEX(polEff_Res,1,10),(INDEX(effGoalPol_Res,11)-INDEX(teffSumPol_Res,1,11))/(INDEX(doEff,2)-INDEX(doEff,1)))</f>
        <v>0</v>
      </c>
      <c r="P71" s="43">
        <f ca="1">(INDEX(teffSumPol_Res,1,12)&lt;INDEX(effGoalPol_Res,12)) * MIN(INDEX(polEff_Res,1,11),(INDEX(effGoalPol_Res,12)-INDEX(teffSumPol_Res,1,12))/(INDEX(doEff,2)-INDEX(doEff,1)))</f>
        <v>0</v>
      </c>
      <c r="Q71" s="43">
        <f ca="1">(INDEX(teffSumPol_Res,1,13)&lt;INDEX(effGoalPol_Res,13)) * MIN(INDEX(polEff_Res,1,12),(INDEX(effGoalPol_Res,13)-INDEX(teffSumPol_Res,1,13))/(INDEX(doEff,2)-INDEX(doEff,1)))</f>
        <v>0</v>
      </c>
      <c r="R71" s="43">
        <f ca="1">(INDEX(teffSumPol_Res,1,14)&lt;INDEX(effGoalPol_Res,14)) * MIN(INDEX(polEff_Res,1,13),(INDEX(effGoalPol_Res,14)-INDEX(teffSumPol_Res,1,14))/(INDEX(doEff,2)-INDEX(doEff,1)))</f>
        <v>0</v>
      </c>
      <c r="S71" s="43">
        <f ca="1">(INDEX(teffSumPol_Res,1,15)&lt;INDEX(effGoalPol_Res,15)) * MIN(INDEX(polEff_Res,1,14),(INDEX(effGoalPol_Res,15)-INDEX(teffSumPol_Res,1,15))/(INDEX(doEff,2)-INDEX(doEff,1)))</f>
        <v>0</v>
      </c>
      <c r="T71" s="43">
        <f ca="1">(INDEX(teffSumPol_Res,1,16)&lt;INDEX(effGoalPol_Res,16)) * MIN(INDEX(polEff_Res,1,15),(INDEX(effGoalPol_Res,16)-INDEX(teffSumPol_Res,1,16))/(INDEX(doEff,2)-INDEX(doEff,1)))</f>
        <v>0</v>
      </c>
      <c r="U71" s="43">
        <f ca="1">(INDEX(teffSumPol_Res,1,17)&lt;INDEX(effGoalPol_Res,17)) * MIN(INDEX(polEff_Res,1,16),(INDEX(effGoalPol_Res,17)-INDEX(teffSumPol_Res,1,17))/(INDEX(doEff,2)-INDEX(doEff,1)))</f>
        <v>0</v>
      </c>
      <c r="V71" s="43">
        <f ca="1">(INDEX(teffSumPol_Res,1,18)&lt;INDEX(effGoalPol_Res,18)) * MIN(INDEX(polEff_Res,1,17),(INDEX(effGoalPol_Res,18)-INDEX(teffSumPol_Res,1,18))/(INDEX(doEff,2)-INDEX(doEff,1)))</f>
        <v>0</v>
      </c>
      <c r="W71" s="43">
        <f ca="1">(INDEX(teffSumPol_Res,1,19)&lt;INDEX(effGoalPol_Res,19)) * MIN(INDEX(polEff_Res,1,18),(INDEX(effGoalPol_Res,19)-INDEX(teffSumPol_Res,1,19))/(INDEX(doEff,2)-INDEX(doEff,1)))</f>
        <v>0</v>
      </c>
      <c r="X71" s="43">
        <f ca="1">(INDEX(teffSumPol_Res,1,20)&lt;INDEX(effGoalPol_Res,20)) * MIN(INDEX(polEff_Res,1,19),(INDEX(effGoalPol_Res,20)-INDEX(teffSumPol_Res,1,20))/(INDEX(doEff,2)-INDEX(doEff,1)))</f>
        <v>0</v>
      </c>
      <c r="Y71" s="43">
        <f ca="1">(INDEX(teffSumPol_Res,1,21)&lt;INDEX(effGoalPol_Res,21)) * MIN(INDEX(polEff_Res,1,20),(INDEX(effGoalPol_Res,21)-INDEX(teffSumPol_Res,1,21))/(INDEX(doEff,2)-INDEX(doEff,1)))</f>
        <v>0</v>
      </c>
      <c r="Z71" s="43">
        <f ca="1">(INDEX(teffSumPol_Res,1,22)&lt;INDEX(effGoalPol_Res,22)) * MIN(INDEX(polEff_Res,1,21),(INDEX(effGoalPol_Res,22)-INDEX(teffSumPol_Res,1,22))/(INDEX(doEff,2)-INDEX(doEff,1)))</f>
        <v>0</v>
      </c>
      <c r="AA71" s="43">
        <f ca="1">(INDEX(teffSumPol_Res,1,23)&lt;INDEX(effGoalPol_Res,23)) * MIN(INDEX(polEff_Res,1,22),(INDEX(effGoalPol_Res,23)-INDEX(teffSumPol_Res,1,23))/(INDEX(doEff,2)-INDEX(doEff,1)))</f>
        <v>0</v>
      </c>
      <c r="AB71" s="43">
        <f ca="1">(INDEX(teffSumPol_Res,1,24)&lt;INDEX(effGoalPol_Res,24)) * MIN(INDEX(polEff_Res,1,23),(INDEX(effGoalPol_Res,24)-INDEX(teffSumPol_Res,1,24))/(INDEX(doEff,2)-INDEX(doEff,1)))</f>
        <v>0</v>
      </c>
      <c r="AC71" s="43">
        <f ca="1">(INDEX(teffSumPol_Res,1,25)&lt;INDEX(effGoalPol_Res,25)) * MIN(INDEX(polEff_Res,1,24),(INDEX(effGoalPol_Res,25)-INDEX(teffSumPol_Res,1,25))/(INDEX(doEff,2)-INDEX(doEff,1)))</f>
        <v>0</v>
      </c>
      <c r="AD71" s="43">
        <f ca="1">(INDEX(teffSumPol_Res,1,26)&lt;INDEX(effGoalPol_Res,26)) * MIN(INDEX(polEff_Res,1,25),(INDEX(effGoalPol_Res,26)-INDEX(teffSumPol_Res,1,26))/(INDEX(doEff,2)-INDEX(doEff,1)))</f>
        <v>0</v>
      </c>
      <c r="AE71" s="43">
        <f ca="1">(INDEX(teffSumPol_Res,1,27)&lt;INDEX(effGoalPol_Res,27)) * MIN(INDEX(polEff_Res,1,26),(INDEX(effGoalPol_Res,27)-INDEX(teffSumPol_Res,1,27))/(INDEX(doEff,2)-INDEX(doEff,1)))</f>
        <v>0</v>
      </c>
      <c r="AF71" s="43">
        <f ca="1">(INDEX(teffSumPol_Res,1,28)&lt;INDEX(effGoalPol_Res,28)) * MIN(INDEX(polEff_Res,1,27),(INDEX(effGoalPol_Res,28)-INDEX(teffSumPol_Res,1,28))/(INDEX(doEff,2)-INDEX(doEff,1)))</f>
        <v>0</v>
      </c>
      <c r="AG71" s="43">
        <f ca="1">(INDEX(teffSumPol_Res,1,29)&lt;INDEX(effGoalPol_Res,29)) * MIN(INDEX(polEff_Res,1,28),(INDEX(effGoalPol_Res,29)-INDEX(teffSumPol_Res,1,29))/(INDEX(doEff,2)-INDEX(doEff,1)))</f>
        <v>0</v>
      </c>
      <c r="AH71" s="43">
        <f ca="1">(INDEX(teffSumPol_Res,1,30)&lt;INDEX(effGoalPol_Res,30)) * MIN(INDEX(polEff_Res,1,29),(INDEX(effGoalPol_Res,30)-INDEX(teffSumPol_Res,1,30))/(INDEX(doEff,2)-INDEX(doEff,1)))</f>
        <v>0</v>
      </c>
      <c r="AI71" s="43">
        <f ca="1">(INDEX(teffSumPol_Res,1,31)&lt;INDEX(effGoalPol_Res,31)) * MIN(INDEX(polEff_Res,1,30),(INDEX(effGoalPol_Res,31)-INDEX(teffSumPol_Res,1,31))/(INDEX(doEff,2)-INDEX(doEff,1)))</f>
        <v>0</v>
      </c>
      <c r="AJ71" s="43">
        <f ca="1">(INDEX(teffSumPol_Res,1,32)&lt;INDEX(effGoalPol_Res,32)) * MIN(INDEX(polEff_Res,1,31),(INDEX(effGoalPol_Res,32)-INDEX(teffSumPol_Res,1,32))/(INDEX(doEff,2)-INDEX(doEff,1)))</f>
        <v>0</v>
      </c>
      <c r="AK71" s="43">
        <f ca="1">(INDEX(teffSumPol_Res,1,33)&lt;INDEX(effGoalPol_Res,33)) * MIN(INDEX(polEff_Res,1,32),(INDEX(effGoalPol_Res,33)-INDEX(teffSumPol_Res,1,33))/(INDEX(doEff,2)-INDEX(doEff,1)))</f>
        <v>0</v>
      </c>
      <c r="AL71" s="43">
        <f ca="1">(INDEX(teffSumPol_Res,1,34)&lt;INDEX(effGoalPol_Res,34)) * MIN(INDEX(polEff_Res,1,33),(INDEX(effGoalPol_Res,34)-INDEX(teffSumPol_Res,1,34))/(INDEX(doEff,2)-INDEX(doEff,1)))</f>
        <v>0</v>
      </c>
      <c r="AM71" s="43">
        <f ca="1">(INDEX(teffSumPol_Res,1,35)&lt;INDEX(effGoalPol_Res,35)) * MIN(INDEX(polEff_Res,1,34),(INDEX(effGoalPol_Res,35)-INDEX(teffSumPol_Res,1,35))/(INDEX(doEff,2)-INDEX(doEff,1)))</f>
        <v>0</v>
      </c>
      <c r="AN71" s="44">
        <f ca="1">(INDEX(teffSumPol_Res,1,36)&lt;INDEX(effGoalPol_Res,36)) * MIN(INDEX(polEff_Res,1,35),(INDEX(effGoalPol_Res,36)-INDEX(teffSumPol_Res,1,36))/(INDEX(doEff,2)-INDEX(doEff,1)))</f>
        <v>0</v>
      </c>
      <c r="AO71" s="8"/>
    </row>
    <row r="72" spans="2:41" hidden="1" x14ac:dyDescent="0.35">
      <c r="B72" s="8"/>
      <c r="C72" s="19" t="str">
        <f>"EL 1: " &amp; INDEX(_doName,1,2)</f>
        <v>EL 1: Tier 1</v>
      </c>
      <c r="D72" s="11"/>
      <c r="E72" s="43"/>
      <c r="F72" s="43">
        <f ca="1">(INDEX(teffSumPol_Res,2,2)&lt;INDEX(effGoalPol_Res,2)) * MIN(INDEX(polEff_Res,2,1)+INDEX(pushPol_Res,1),(INDEX(effGoalPol_Res,2)-INDEX(teffSumPol_Res,2,2))/(INDEX(doEff,3)-INDEX(doEff,2)))</f>
        <v>0</v>
      </c>
      <c r="G72" s="43">
        <f ca="1">(INDEX(teffSumPol_Res,2,3)&lt;INDEX(effGoalPol_Res,3)) * MIN(INDEX(polEff_Res,2,2)+INDEX(pushPol_Res,1),(INDEX(effGoalPol_Res,3)-INDEX(teffSumPol_Res,2,3))/(INDEX(doEff,3)-INDEX(doEff,2)))</f>
        <v>1.1036761745941706E-3</v>
      </c>
      <c r="H72" s="43">
        <f ca="1">(INDEX(teffSumPol_Res,2,4)&lt;INDEX(effGoalPol_Res,4)) * MIN(INDEX(polEff_Res,2,3)+INDEX(pushPol_Res,1),(INDEX(effGoalPol_Res,4)-INDEX(teffSumPol_Res,2,4))/(INDEX(doEff,3)-INDEX(doEff,2)))</f>
        <v>0</v>
      </c>
      <c r="I72" s="43">
        <f ca="1">(INDEX(teffSumPol_Res,2,5)&lt;INDEX(effGoalPol_Res,5)) * MIN(INDEX(polEff_Res,2,4)+INDEX(pushPol_Res,1),(INDEX(effGoalPol_Res,5)-INDEX(teffSumPol_Res,2,5))/(INDEX(doEff,3)-INDEX(doEff,2)))</f>
        <v>0</v>
      </c>
      <c r="J72" s="43">
        <f ca="1">(INDEX(teffSumPol_Res,2,6)&lt;INDEX(effGoalPol_Res,6)) * MIN(INDEX(polEff_Res,2,5)+INDEX(pushPol_Res,1),(INDEX(effGoalPol_Res,6)-INDEX(teffSumPol_Res,2,6))/(INDEX(doEff,3)-INDEX(doEff,2)))</f>
        <v>0</v>
      </c>
      <c r="K72" s="43">
        <f ca="1">(INDEX(teffSumPol_Res,2,7)&lt;INDEX(effGoalPol_Res,7)) * MIN(INDEX(polEff_Res,2,6)+INDEX(pushPol_Res,1),(INDEX(effGoalPol_Res,7)-INDEX(teffSumPol_Res,2,7))/(INDEX(doEff,3)-INDEX(doEff,2)))</f>
        <v>0</v>
      </c>
      <c r="L72" s="43">
        <f ca="1">(INDEX(teffSumPol_Res,2,8)&lt;INDEX(effGoalPol_Res,8)) * MIN(INDEX(polEff_Res,2,7)+INDEX(pushPol_Res,1),(INDEX(effGoalPol_Res,8)-INDEX(teffSumPol_Res,2,8))/(INDEX(doEff,3)-INDEX(doEff,2)))</f>
        <v>0</v>
      </c>
      <c r="M72" s="43">
        <f ca="1">(INDEX(teffSumPol_Res,2,9)&lt;INDEX(effGoalPol_Res,9)) * MIN(INDEX(polEff_Res,2,8)+INDEX(pushPol_Res,1),(INDEX(effGoalPol_Res,9)-INDEX(teffSumPol_Res,2,9))/(INDEX(doEff,3)-INDEX(doEff,2)))</f>
        <v>0</v>
      </c>
      <c r="N72" s="43">
        <f ca="1">(INDEX(teffSumPol_Res,2,10)&lt;INDEX(effGoalPol_Res,10)) * MIN(INDEX(polEff_Res,2,9)+INDEX(pushPol_Res,1),(INDEX(effGoalPol_Res,10)-INDEX(teffSumPol_Res,2,10))/(INDEX(doEff,3)-INDEX(doEff,2)))</f>
        <v>0</v>
      </c>
      <c r="O72" s="43">
        <f ca="1">(INDEX(teffSumPol_Res,2,11)&lt;INDEX(effGoalPol_Res,11)) * MIN(INDEX(polEff_Res,2,10)+INDEX(pushPol_Res,1),(INDEX(effGoalPol_Res,11)-INDEX(teffSumPol_Res,2,11))/(INDEX(doEff,3)-INDEX(doEff,2)))</f>
        <v>0</v>
      </c>
      <c r="P72" s="43">
        <f ca="1">(INDEX(teffSumPol_Res,2,12)&lt;INDEX(effGoalPol_Res,12)) * MIN(INDEX(polEff_Res,2,11)+INDEX(pushPol_Res,1),(INDEX(effGoalPol_Res,12)-INDEX(teffSumPol_Res,2,12))/(INDEX(doEff,3)-INDEX(doEff,2)))</f>
        <v>0</v>
      </c>
      <c r="Q72" s="43">
        <f ca="1">(INDEX(teffSumPol_Res,2,13)&lt;INDEX(effGoalPol_Res,13)) * MIN(INDEX(polEff_Res,2,12)+INDEX(pushPol_Res,1),(INDEX(effGoalPol_Res,13)-INDEX(teffSumPol_Res,2,13))/(INDEX(doEff,3)-INDEX(doEff,2)))</f>
        <v>0</v>
      </c>
      <c r="R72" s="43">
        <f ca="1">(INDEX(teffSumPol_Res,2,14)&lt;INDEX(effGoalPol_Res,14)) * MIN(INDEX(polEff_Res,2,13)+INDEX(pushPol_Res,1),(INDEX(effGoalPol_Res,14)-INDEX(teffSumPol_Res,2,14))/(INDEX(doEff,3)-INDEX(doEff,2)))</f>
        <v>0</v>
      </c>
      <c r="S72" s="43">
        <f ca="1">(INDEX(teffSumPol_Res,2,15)&lt;INDEX(effGoalPol_Res,15)) * MIN(INDEX(polEff_Res,2,14)+INDEX(pushPol_Res,1),(INDEX(effGoalPol_Res,15)-INDEX(teffSumPol_Res,2,15))/(INDEX(doEff,3)-INDEX(doEff,2)))</f>
        <v>0</v>
      </c>
      <c r="T72" s="43">
        <f ca="1">(INDEX(teffSumPol_Res,2,16)&lt;INDEX(effGoalPol_Res,16)) * MIN(INDEX(polEff_Res,2,15)+INDEX(pushPol_Res,1),(INDEX(effGoalPol_Res,16)-INDEX(teffSumPol_Res,2,16))/(INDEX(doEff,3)-INDEX(doEff,2)))</f>
        <v>0</v>
      </c>
      <c r="U72" s="43">
        <f ca="1">(INDEX(teffSumPol_Res,2,17)&lt;INDEX(effGoalPol_Res,17)) * MIN(INDEX(polEff_Res,2,16)+INDEX(pushPol_Res,1),(INDEX(effGoalPol_Res,17)-INDEX(teffSumPol_Res,2,17))/(INDEX(doEff,3)-INDEX(doEff,2)))</f>
        <v>0</v>
      </c>
      <c r="V72" s="43">
        <f ca="1">(INDEX(teffSumPol_Res,2,18)&lt;INDEX(effGoalPol_Res,18)) * MIN(INDEX(polEff_Res,2,17)+INDEX(pushPol_Res,1),(INDEX(effGoalPol_Res,18)-INDEX(teffSumPol_Res,2,18))/(INDEX(doEff,3)-INDEX(doEff,2)))</f>
        <v>0</v>
      </c>
      <c r="W72" s="43">
        <f ca="1">(INDEX(teffSumPol_Res,2,19)&lt;INDEX(effGoalPol_Res,19)) * MIN(INDEX(polEff_Res,2,18)+INDEX(pushPol_Res,1),(INDEX(effGoalPol_Res,19)-INDEX(teffSumPol_Res,2,19))/(INDEX(doEff,3)-INDEX(doEff,2)))</f>
        <v>0</v>
      </c>
      <c r="X72" s="43">
        <f ca="1">(INDEX(teffSumPol_Res,2,20)&lt;INDEX(effGoalPol_Res,20)) * MIN(INDEX(polEff_Res,2,19)+INDEX(pushPol_Res,1),(INDEX(effGoalPol_Res,20)-INDEX(teffSumPol_Res,2,20))/(INDEX(doEff,3)-INDEX(doEff,2)))</f>
        <v>0</v>
      </c>
      <c r="Y72" s="43">
        <f ca="1">(INDEX(teffSumPol_Res,2,21)&lt;INDEX(effGoalPol_Res,21)) * MIN(INDEX(polEff_Res,2,20)+INDEX(pushPol_Res,1),(INDEX(effGoalPol_Res,21)-INDEX(teffSumPol_Res,2,21))/(INDEX(doEff,3)-INDEX(doEff,2)))</f>
        <v>0</v>
      </c>
      <c r="Z72" s="43">
        <f ca="1">(INDEX(teffSumPol_Res,2,22)&lt;INDEX(effGoalPol_Res,22)) * MIN(INDEX(polEff_Res,2,21)+INDEX(pushPol_Res,1),(INDEX(effGoalPol_Res,22)-INDEX(teffSumPol_Res,2,22))/(INDEX(doEff,3)-INDEX(doEff,2)))</f>
        <v>0</v>
      </c>
      <c r="AA72" s="43">
        <f ca="1">(INDEX(teffSumPol_Res,2,23)&lt;INDEX(effGoalPol_Res,23)) * MIN(INDEX(polEff_Res,2,22)+INDEX(pushPol_Res,1),(INDEX(effGoalPol_Res,23)-INDEX(teffSumPol_Res,2,23))/(INDEX(doEff,3)-INDEX(doEff,2)))</f>
        <v>0</v>
      </c>
      <c r="AB72" s="43">
        <f ca="1">(INDEX(teffSumPol_Res,2,24)&lt;INDEX(effGoalPol_Res,24)) * MIN(INDEX(polEff_Res,2,23)+INDEX(pushPol_Res,1),(INDEX(effGoalPol_Res,24)-INDEX(teffSumPol_Res,2,24))/(INDEX(doEff,3)-INDEX(doEff,2)))</f>
        <v>0</v>
      </c>
      <c r="AC72" s="43">
        <f ca="1">(INDEX(teffSumPol_Res,2,25)&lt;INDEX(effGoalPol_Res,25)) * MIN(INDEX(polEff_Res,2,24)+INDEX(pushPol_Res,1),(INDEX(effGoalPol_Res,25)-INDEX(teffSumPol_Res,2,25))/(INDEX(doEff,3)-INDEX(doEff,2)))</f>
        <v>0</v>
      </c>
      <c r="AD72" s="43">
        <f ca="1">(INDEX(teffSumPol_Res,2,26)&lt;INDEX(effGoalPol_Res,26)) * MIN(INDEX(polEff_Res,2,25)+INDEX(pushPol_Res,1),(INDEX(effGoalPol_Res,26)-INDEX(teffSumPol_Res,2,26))/(INDEX(doEff,3)-INDEX(doEff,2)))</f>
        <v>0</v>
      </c>
      <c r="AE72" s="43">
        <f ca="1">(INDEX(teffSumPol_Res,2,27)&lt;INDEX(effGoalPol_Res,27)) * MIN(INDEX(polEff_Res,2,26)+INDEX(pushPol_Res,1),(INDEX(effGoalPol_Res,27)-INDEX(teffSumPol_Res,2,27))/(INDEX(doEff,3)-INDEX(doEff,2)))</f>
        <v>0</v>
      </c>
      <c r="AF72" s="43">
        <f ca="1">(INDEX(teffSumPol_Res,2,28)&lt;INDEX(effGoalPol_Res,28)) * MIN(INDEX(polEff_Res,2,27)+INDEX(pushPol_Res,1),(INDEX(effGoalPol_Res,28)-INDEX(teffSumPol_Res,2,28))/(INDEX(doEff,3)-INDEX(doEff,2)))</f>
        <v>0</v>
      </c>
      <c r="AG72" s="43">
        <f ca="1">(INDEX(teffSumPol_Res,2,29)&lt;INDEX(effGoalPol_Res,29)) * MIN(INDEX(polEff_Res,2,28)+INDEX(pushPol_Res,1),(INDEX(effGoalPol_Res,29)-INDEX(teffSumPol_Res,2,29))/(INDEX(doEff,3)-INDEX(doEff,2)))</f>
        <v>0</v>
      </c>
      <c r="AH72" s="43">
        <f ca="1">(INDEX(teffSumPol_Res,2,30)&lt;INDEX(effGoalPol_Res,30)) * MIN(INDEX(polEff_Res,2,29)+INDEX(pushPol_Res,1),(INDEX(effGoalPol_Res,30)-INDEX(teffSumPol_Res,2,30))/(INDEX(doEff,3)-INDEX(doEff,2)))</f>
        <v>0</v>
      </c>
      <c r="AI72" s="43">
        <f ca="1">(INDEX(teffSumPol_Res,2,31)&lt;INDEX(effGoalPol_Res,31)) * MIN(INDEX(polEff_Res,2,30)+INDEX(pushPol_Res,1),(INDEX(effGoalPol_Res,31)-INDEX(teffSumPol_Res,2,31))/(INDEX(doEff,3)-INDEX(doEff,2)))</f>
        <v>0</v>
      </c>
      <c r="AJ72" s="43">
        <f ca="1">(INDEX(teffSumPol_Res,2,32)&lt;INDEX(effGoalPol_Res,32)) * MIN(INDEX(polEff_Res,2,31)+INDEX(pushPol_Res,1),(INDEX(effGoalPol_Res,32)-INDEX(teffSumPol_Res,2,32))/(INDEX(doEff,3)-INDEX(doEff,2)))</f>
        <v>0</v>
      </c>
      <c r="AK72" s="43">
        <f ca="1">(INDEX(teffSumPol_Res,2,33)&lt;INDEX(effGoalPol_Res,33)) * MIN(INDEX(polEff_Res,2,32)+INDEX(pushPol_Res,1),(INDEX(effGoalPol_Res,33)-INDEX(teffSumPol_Res,2,33))/(INDEX(doEff,3)-INDEX(doEff,2)))</f>
        <v>0</v>
      </c>
      <c r="AL72" s="43">
        <f ca="1">(INDEX(teffSumPol_Res,2,34)&lt;INDEX(effGoalPol_Res,34)) * MIN(INDEX(polEff_Res,2,33)+INDEX(pushPol_Res,1),(INDEX(effGoalPol_Res,34)-INDEX(teffSumPol_Res,2,34))/(INDEX(doEff,3)-INDEX(doEff,2)))</f>
        <v>0</v>
      </c>
      <c r="AM72" s="43">
        <f ca="1">(INDEX(teffSumPol_Res,2,35)&lt;INDEX(effGoalPol_Res,35)) * MIN(INDEX(polEff_Res,2,34)+INDEX(pushPol_Res,1),(INDEX(effGoalPol_Res,35)-INDEX(teffSumPol_Res,2,35))/(INDEX(doEff,3)-INDEX(doEff,2)))</f>
        <v>0</v>
      </c>
      <c r="AN72" s="44">
        <f ca="1">(INDEX(teffSumPol_Res,2,36)&lt;INDEX(effGoalPol_Res,36)) * MIN(INDEX(polEff_Res,2,35)+INDEX(pushPol_Res,1),(INDEX(effGoalPol_Res,36)-INDEX(teffSumPol_Res,2,36))/(INDEX(doEff,3)-INDEX(doEff,2)))</f>
        <v>0</v>
      </c>
      <c r="AO72" s="8"/>
    </row>
    <row r="73" spans="2:41" hidden="1" x14ac:dyDescent="0.35">
      <c r="B73" s="8"/>
      <c r="C73" s="19" t="str">
        <f>"EL 2: " &amp; INDEX(_doName,1,3)</f>
        <v>EL 2: Tier 2</v>
      </c>
      <c r="D73" s="11"/>
      <c r="E73" s="43"/>
      <c r="F73" s="43">
        <f ca="1">(INDEX(teffSumPol_Res,3,2)&lt;INDEX(effGoalPol_Res,2)) * MIN(INDEX(polEff_Res,3,1)+INDEX(pushPol_Res,2),(INDEX(effGoalPol_Res,2)-INDEX(teffSumPol_Res,3,2))/(INDEX(doEff,4)-INDEX(doEff,3)))</f>
        <v>0</v>
      </c>
      <c r="G73" s="43">
        <f ca="1">(INDEX(teffSumPol_Res,3,3)&lt;INDEX(effGoalPol_Res,3)) * MIN(INDEX(polEff_Res,3,2)+INDEX(pushPol_Res,2),(INDEX(effGoalPol_Res,3)-INDEX(teffSumPol_Res,3,3))/(INDEX(doEff,4)-INDEX(doEff,3)))</f>
        <v>0.19246578857515531</v>
      </c>
      <c r="H73" s="43">
        <f ca="1">(INDEX(teffSumPol_Res,3,4)&lt;INDEX(effGoalPol_Res,4)) * MIN(INDEX(polEff_Res,3,3)+INDEX(pushPol_Res,2),(INDEX(effGoalPol_Res,4)-INDEX(teffSumPol_Res,3,4))/(INDEX(doEff,4)-INDEX(doEff,3)))</f>
        <v>0</v>
      </c>
      <c r="I73" s="43">
        <f ca="1">(INDEX(teffSumPol_Res,3,5)&lt;INDEX(effGoalPol_Res,5)) * MIN(INDEX(polEff_Res,3,4)+INDEX(pushPol_Res,2),(INDEX(effGoalPol_Res,5)-INDEX(teffSumPol_Res,3,5))/(INDEX(doEff,4)-INDEX(doEff,3)))</f>
        <v>0</v>
      </c>
      <c r="J73" s="43">
        <f ca="1">(INDEX(teffSumPol_Res,3,6)&lt;INDEX(effGoalPol_Res,6)) * MIN(INDEX(polEff_Res,3,5)+INDEX(pushPol_Res,2),(INDEX(effGoalPol_Res,6)-INDEX(teffSumPol_Res,3,6))/(INDEX(doEff,4)-INDEX(doEff,3)))</f>
        <v>0</v>
      </c>
      <c r="K73" s="43">
        <f ca="1">(INDEX(teffSumPol_Res,3,7)&lt;INDEX(effGoalPol_Res,7)) * MIN(INDEX(polEff_Res,3,6)+INDEX(pushPol_Res,2),(INDEX(effGoalPol_Res,7)-INDEX(teffSumPol_Res,3,7))/(INDEX(doEff,4)-INDEX(doEff,3)))</f>
        <v>0</v>
      </c>
      <c r="L73" s="43">
        <f ca="1">(INDEX(teffSumPol_Res,3,8)&lt;INDEX(effGoalPol_Res,8)) * MIN(INDEX(polEff_Res,3,7)+INDEX(pushPol_Res,2),(INDEX(effGoalPol_Res,8)-INDEX(teffSumPol_Res,3,8))/(INDEX(doEff,4)-INDEX(doEff,3)))</f>
        <v>0</v>
      </c>
      <c r="M73" s="43">
        <f ca="1">(INDEX(teffSumPol_Res,3,9)&lt;INDEX(effGoalPol_Res,9)) * MIN(INDEX(polEff_Res,3,8)+INDEX(pushPol_Res,2),(INDEX(effGoalPol_Res,9)-INDEX(teffSumPol_Res,3,9))/(INDEX(doEff,4)-INDEX(doEff,3)))</f>
        <v>0</v>
      </c>
      <c r="N73" s="43">
        <f ca="1">(INDEX(teffSumPol_Res,3,10)&lt;INDEX(effGoalPol_Res,10)) * MIN(INDEX(polEff_Res,3,9)+INDEX(pushPol_Res,2),(INDEX(effGoalPol_Res,10)-INDEX(teffSumPol_Res,3,10))/(INDEX(doEff,4)-INDEX(doEff,3)))</f>
        <v>0</v>
      </c>
      <c r="O73" s="43">
        <f ca="1">(INDEX(teffSumPol_Res,3,11)&lt;INDEX(effGoalPol_Res,11)) * MIN(INDEX(polEff_Res,3,10)+INDEX(pushPol_Res,2),(INDEX(effGoalPol_Res,11)-INDEX(teffSumPol_Res,3,11))/(INDEX(doEff,4)-INDEX(doEff,3)))</f>
        <v>0</v>
      </c>
      <c r="P73" s="43">
        <f ca="1">(INDEX(teffSumPol_Res,3,12)&lt;INDEX(effGoalPol_Res,12)) * MIN(INDEX(polEff_Res,3,11)+INDEX(pushPol_Res,2),(INDEX(effGoalPol_Res,12)-INDEX(teffSumPol_Res,3,12))/(INDEX(doEff,4)-INDEX(doEff,3)))</f>
        <v>0</v>
      </c>
      <c r="Q73" s="43">
        <f ca="1">(INDEX(teffSumPol_Res,3,13)&lt;INDEX(effGoalPol_Res,13)) * MIN(INDEX(polEff_Res,3,12)+INDEX(pushPol_Res,2),(INDEX(effGoalPol_Res,13)-INDEX(teffSumPol_Res,3,13))/(INDEX(doEff,4)-INDEX(doEff,3)))</f>
        <v>0</v>
      </c>
      <c r="R73" s="43">
        <f ca="1">(INDEX(teffSumPol_Res,3,14)&lt;INDEX(effGoalPol_Res,14)) * MIN(INDEX(polEff_Res,3,13)+INDEX(pushPol_Res,2),(INDEX(effGoalPol_Res,14)-INDEX(teffSumPol_Res,3,14))/(INDEX(doEff,4)-INDEX(doEff,3)))</f>
        <v>0</v>
      </c>
      <c r="S73" s="43">
        <f ca="1">(INDEX(teffSumPol_Res,3,15)&lt;INDEX(effGoalPol_Res,15)) * MIN(INDEX(polEff_Res,3,14)+INDEX(pushPol_Res,2),(INDEX(effGoalPol_Res,15)-INDEX(teffSumPol_Res,3,15))/(INDEX(doEff,4)-INDEX(doEff,3)))</f>
        <v>0</v>
      </c>
      <c r="T73" s="43">
        <f ca="1">(INDEX(teffSumPol_Res,3,16)&lt;INDEX(effGoalPol_Res,16)) * MIN(INDEX(polEff_Res,3,15)+INDEX(pushPol_Res,2),(INDEX(effGoalPol_Res,16)-INDEX(teffSumPol_Res,3,16))/(INDEX(doEff,4)-INDEX(doEff,3)))</f>
        <v>0</v>
      </c>
      <c r="U73" s="43">
        <f ca="1">(INDEX(teffSumPol_Res,3,17)&lt;INDEX(effGoalPol_Res,17)) * MIN(INDEX(polEff_Res,3,16)+INDEX(pushPol_Res,2),(INDEX(effGoalPol_Res,17)-INDEX(teffSumPol_Res,3,17))/(INDEX(doEff,4)-INDEX(doEff,3)))</f>
        <v>0</v>
      </c>
      <c r="V73" s="43">
        <f ca="1">(INDEX(teffSumPol_Res,3,18)&lt;INDEX(effGoalPol_Res,18)) * MIN(INDEX(polEff_Res,3,17)+INDEX(pushPol_Res,2),(INDEX(effGoalPol_Res,18)-INDEX(teffSumPol_Res,3,18))/(INDEX(doEff,4)-INDEX(doEff,3)))</f>
        <v>0</v>
      </c>
      <c r="W73" s="43">
        <f ca="1">(INDEX(teffSumPol_Res,3,19)&lt;INDEX(effGoalPol_Res,19)) * MIN(INDEX(polEff_Res,3,18)+INDEX(pushPol_Res,2),(INDEX(effGoalPol_Res,19)-INDEX(teffSumPol_Res,3,19))/(INDEX(doEff,4)-INDEX(doEff,3)))</f>
        <v>0</v>
      </c>
      <c r="X73" s="43">
        <f ca="1">(INDEX(teffSumPol_Res,3,20)&lt;INDEX(effGoalPol_Res,20)) * MIN(INDEX(polEff_Res,3,19)+INDEX(pushPol_Res,2),(INDEX(effGoalPol_Res,20)-INDEX(teffSumPol_Res,3,20))/(INDEX(doEff,4)-INDEX(doEff,3)))</f>
        <v>0</v>
      </c>
      <c r="Y73" s="43">
        <f ca="1">(INDEX(teffSumPol_Res,3,21)&lt;INDEX(effGoalPol_Res,21)) * MIN(INDEX(polEff_Res,3,20)+INDEX(pushPol_Res,2),(INDEX(effGoalPol_Res,21)-INDEX(teffSumPol_Res,3,21))/(INDEX(doEff,4)-INDEX(doEff,3)))</f>
        <v>0</v>
      </c>
      <c r="Z73" s="43">
        <f ca="1">(INDEX(teffSumPol_Res,3,22)&lt;INDEX(effGoalPol_Res,22)) * MIN(INDEX(polEff_Res,3,21)+INDEX(pushPol_Res,2),(INDEX(effGoalPol_Res,22)-INDEX(teffSumPol_Res,3,22))/(INDEX(doEff,4)-INDEX(doEff,3)))</f>
        <v>0</v>
      </c>
      <c r="AA73" s="43">
        <f ca="1">(INDEX(teffSumPol_Res,3,23)&lt;INDEX(effGoalPol_Res,23)) * MIN(INDEX(polEff_Res,3,22)+INDEX(pushPol_Res,2),(INDEX(effGoalPol_Res,23)-INDEX(teffSumPol_Res,3,23))/(INDEX(doEff,4)-INDEX(doEff,3)))</f>
        <v>0</v>
      </c>
      <c r="AB73" s="43">
        <f ca="1">(INDEX(teffSumPol_Res,3,24)&lt;INDEX(effGoalPol_Res,24)) * MIN(INDEX(polEff_Res,3,23)+INDEX(pushPol_Res,2),(INDEX(effGoalPol_Res,24)-INDEX(teffSumPol_Res,3,24))/(INDEX(doEff,4)-INDEX(doEff,3)))</f>
        <v>0</v>
      </c>
      <c r="AC73" s="43">
        <f ca="1">(INDEX(teffSumPol_Res,3,25)&lt;INDEX(effGoalPol_Res,25)) * MIN(INDEX(polEff_Res,3,24)+INDEX(pushPol_Res,2),(INDEX(effGoalPol_Res,25)-INDEX(teffSumPol_Res,3,25))/(INDEX(doEff,4)-INDEX(doEff,3)))</f>
        <v>0</v>
      </c>
      <c r="AD73" s="43">
        <f ca="1">(INDEX(teffSumPol_Res,3,26)&lt;INDEX(effGoalPol_Res,26)) * MIN(INDEX(polEff_Res,3,25)+INDEX(pushPol_Res,2),(INDEX(effGoalPol_Res,26)-INDEX(teffSumPol_Res,3,26))/(INDEX(doEff,4)-INDEX(doEff,3)))</f>
        <v>0</v>
      </c>
      <c r="AE73" s="43">
        <f ca="1">(INDEX(teffSumPol_Res,3,27)&lt;INDEX(effGoalPol_Res,27)) * MIN(INDEX(polEff_Res,3,26)+INDEX(pushPol_Res,2),(INDEX(effGoalPol_Res,27)-INDEX(teffSumPol_Res,3,27))/(INDEX(doEff,4)-INDEX(doEff,3)))</f>
        <v>0</v>
      </c>
      <c r="AF73" s="43">
        <f ca="1">(INDEX(teffSumPol_Res,3,28)&lt;INDEX(effGoalPol_Res,28)) * MIN(INDEX(polEff_Res,3,27)+INDEX(pushPol_Res,2),(INDEX(effGoalPol_Res,28)-INDEX(teffSumPol_Res,3,28))/(INDEX(doEff,4)-INDEX(doEff,3)))</f>
        <v>0</v>
      </c>
      <c r="AG73" s="43">
        <f ca="1">(INDEX(teffSumPol_Res,3,29)&lt;INDEX(effGoalPol_Res,29)) * MIN(INDEX(polEff_Res,3,28)+INDEX(pushPol_Res,2),(INDEX(effGoalPol_Res,29)-INDEX(teffSumPol_Res,3,29))/(INDEX(doEff,4)-INDEX(doEff,3)))</f>
        <v>0</v>
      </c>
      <c r="AH73" s="43">
        <f ca="1">(INDEX(teffSumPol_Res,3,30)&lt;INDEX(effGoalPol_Res,30)) * MIN(INDEX(polEff_Res,3,29)+INDEX(pushPol_Res,2),(INDEX(effGoalPol_Res,30)-INDEX(teffSumPol_Res,3,30))/(INDEX(doEff,4)-INDEX(doEff,3)))</f>
        <v>0</v>
      </c>
      <c r="AI73" s="43">
        <f ca="1">(INDEX(teffSumPol_Res,3,31)&lt;INDEX(effGoalPol_Res,31)) * MIN(INDEX(polEff_Res,3,30)+INDEX(pushPol_Res,2),(INDEX(effGoalPol_Res,31)-INDEX(teffSumPol_Res,3,31))/(INDEX(doEff,4)-INDEX(doEff,3)))</f>
        <v>0</v>
      </c>
      <c r="AJ73" s="43">
        <f ca="1">(INDEX(teffSumPol_Res,3,32)&lt;INDEX(effGoalPol_Res,32)) * MIN(INDEX(polEff_Res,3,31)+INDEX(pushPol_Res,2),(INDEX(effGoalPol_Res,32)-INDEX(teffSumPol_Res,3,32))/(INDEX(doEff,4)-INDEX(doEff,3)))</f>
        <v>0</v>
      </c>
      <c r="AK73" s="43">
        <f ca="1">(INDEX(teffSumPol_Res,3,33)&lt;INDEX(effGoalPol_Res,33)) * MIN(INDEX(polEff_Res,3,32)+INDEX(pushPol_Res,2),(INDEX(effGoalPol_Res,33)-INDEX(teffSumPol_Res,3,33))/(INDEX(doEff,4)-INDEX(doEff,3)))</f>
        <v>0</v>
      </c>
      <c r="AL73" s="43">
        <f ca="1">(INDEX(teffSumPol_Res,3,34)&lt;INDEX(effGoalPol_Res,34)) * MIN(INDEX(polEff_Res,3,33)+INDEX(pushPol_Res,2),(INDEX(effGoalPol_Res,34)-INDEX(teffSumPol_Res,3,34))/(INDEX(doEff,4)-INDEX(doEff,3)))</f>
        <v>0</v>
      </c>
      <c r="AM73" s="43">
        <f ca="1">(INDEX(teffSumPol_Res,3,35)&lt;INDEX(effGoalPol_Res,35)) * MIN(INDEX(polEff_Res,3,34)+INDEX(pushPol_Res,2),(INDEX(effGoalPol_Res,35)-INDEX(teffSumPol_Res,3,35))/(INDEX(doEff,4)-INDEX(doEff,3)))</f>
        <v>0</v>
      </c>
      <c r="AN73" s="44">
        <f ca="1">(INDEX(teffSumPol_Res,3,36)&lt;INDEX(effGoalPol_Res,36)) * MIN(INDEX(polEff_Res,3,35)+INDEX(pushPol_Res,2),(INDEX(effGoalPol_Res,36)-INDEX(teffSumPol_Res,3,36))/(INDEX(doEff,4)-INDEX(doEff,3)))</f>
        <v>0</v>
      </c>
      <c r="AO73" s="8"/>
    </row>
    <row r="74" spans="2:41" hidden="1" x14ac:dyDescent="0.35">
      <c r="B74" s="8"/>
      <c r="C74" s="19" t="str">
        <f>"EL 3: " &amp; INDEX(_doName,1,4)</f>
        <v>EL 3: EL 3</v>
      </c>
      <c r="D74" s="11"/>
      <c r="E74" s="43"/>
      <c r="F74" s="43">
        <f ca="1">(INDEX(teffSumPol_Res,4,2)&lt;INDEX(effGoalPol_Res,2)) * MIN(INDEX(polEff_Res,4,1)+INDEX(pushPol_Res,3),(INDEX(effGoalPol_Res,2)-INDEX(teffSumPol_Res,4,2))/(INDEX(doEff,5)-INDEX(doEff,4)))</f>
        <v>0</v>
      </c>
      <c r="G74" s="43">
        <f ca="1">(INDEX(teffSumPol_Res,4,3)&lt;INDEX(effGoalPol_Res,3)) * MIN(INDEX(polEff_Res,4,2)+INDEX(pushPol_Res,3),(INDEX(effGoalPol_Res,3)-INDEX(teffSumPol_Res,4,3))/(INDEX(doEff,5)-INDEX(doEff,4)))</f>
        <v>0</v>
      </c>
      <c r="H74" s="43">
        <f ca="1">(INDEX(teffSumPol_Res,4,4)&lt;INDEX(effGoalPol_Res,4)) * MIN(INDEX(polEff_Res,4,3)+INDEX(pushPol_Res,3),(INDEX(effGoalPol_Res,4)-INDEX(teffSumPol_Res,4,4))/(INDEX(doEff,5)-INDEX(doEff,4)))</f>
        <v>0</v>
      </c>
      <c r="I74" s="43">
        <f ca="1">(INDEX(teffSumPol_Res,4,5)&lt;INDEX(effGoalPol_Res,5)) * MIN(INDEX(polEff_Res,4,4)+INDEX(pushPol_Res,3),(INDEX(effGoalPol_Res,5)-INDEX(teffSumPol_Res,4,5))/(INDEX(doEff,5)-INDEX(doEff,4)))</f>
        <v>0</v>
      </c>
      <c r="J74" s="43">
        <f ca="1">(INDEX(teffSumPol_Res,4,6)&lt;INDEX(effGoalPol_Res,6)) * MIN(INDEX(polEff_Res,4,5)+INDEX(pushPol_Res,3),(INDEX(effGoalPol_Res,6)-INDEX(teffSumPol_Res,4,6))/(INDEX(doEff,5)-INDEX(doEff,4)))</f>
        <v>0</v>
      </c>
      <c r="K74" s="43">
        <f ca="1">(INDEX(teffSumPol_Res,4,7)&lt;INDEX(effGoalPol_Res,7)) * MIN(INDEX(polEff_Res,4,6)+INDEX(pushPol_Res,3),(INDEX(effGoalPol_Res,7)-INDEX(teffSumPol_Res,4,7))/(INDEX(doEff,5)-INDEX(doEff,4)))</f>
        <v>0</v>
      </c>
      <c r="L74" s="43">
        <f ca="1">(INDEX(teffSumPol_Res,4,8)&lt;INDEX(effGoalPol_Res,8)) * MIN(INDEX(polEff_Res,4,7)+INDEX(pushPol_Res,3),(INDEX(effGoalPol_Res,8)-INDEX(teffSumPol_Res,4,8))/(INDEX(doEff,5)-INDEX(doEff,4)))</f>
        <v>0</v>
      </c>
      <c r="M74" s="43">
        <f ca="1">(INDEX(teffSumPol_Res,4,9)&lt;INDEX(effGoalPol_Res,9)) * MIN(INDEX(polEff_Res,4,8)+INDEX(pushPol_Res,3),(INDEX(effGoalPol_Res,9)-INDEX(teffSumPol_Res,4,9))/(INDEX(doEff,5)-INDEX(doEff,4)))</f>
        <v>0</v>
      </c>
      <c r="N74" s="43">
        <f ca="1">(INDEX(teffSumPol_Res,4,10)&lt;INDEX(effGoalPol_Res,10)) * MIN(INDEX(polEff_Res,4,9)+INDEX(pushPol_Res,3),(INDEX(effGoalPol_Res,10)-INDEX(teffSumPol_Res,4,10))/(INDEX(doEff,5)-INDEX(doEff,4)))</f>
        <v>0</v>
      </c>
      <c r="O74" s="43">
        <f ca="1">(INDEX(teffSumPol_Res,4,11)&lt;INDEX(effGoalPol_Res,11)) * MIN(INDEX(polEff_Res,4,10)+INDEX(pushPol_Res,3),(INDEX(effGoalPol_Res,11)-INDEX(teffSumPol_Res,4,11))/(INDEX(doEff,5)-INDEX(doEff,4)))</f>
        <v>0</v>
      </c>
      <c r="P74" s="43">
        <f ca="1">(INDEX(teffSumPol_Res,4,12)&lt;INDEX(effGoalPol_Res,12)) * MIN(INDEX(polEff_Res,4,11)+INDEX(pushPol_Res,3),(INDEX(effGoalPol_Res,12)-INDEX(teffSumPol_Res,4,12))/(INDEX(doEff,5)-INDEX(doEff,4)))</f>
        <v>0</v>
      </c>
      <c r="Q74" s="43">
        <f ca="1">(INDEX(teffSumPol_Res,4,13)&lt;INDEX(effGoalPol_Res,13)) * MIN(INDEX(polEff_Res,4,12)+INDEX(pushPol_Res,3),(INDEX(effGoalPol_Res,13)-INDEX(teffSumPol_Res,4,13))/(INDEX(doEff,5)-INDEX(doEff,4)))</f>
        <v>0</v>
      </c>
      <c r="R74" s="43">
        <f ca="1">(INDEX(teffSumPol_Res,4,14)&lt;INDEX(effGoalPol_Res,14)) * MIN(INDEX(polEff_Res,4,13)+INDEX(pushPol_Res,3),(INDEX(effGoalPol_Res,14)-INDEX(teffSumPol_Res,4,14))/(INDEX(doEff,5)-INDEX(doEff,4)))</f>
        <v>0</v>
      </c>
      <c r="S74" s="43">
        <f ca="1">(INDEX(teffSumPol_Res,4,15)&lt;INDEX(effGoalPol_Res,15)) * MIN(INDEX(polEff_Res,4,14)+INDEX(pushPol_Res,3),(INDEX(effGoalPol_Res,15)-INDEX(teffSumPol_Res,4,15))/(INDEX(doEff,5)-INDEX(doEff,4)))</f>
        <v>0</v>
      </c>
      <c r="T74" s="43">
        <f ca="1">(INDEX(teffSumPol_Res,4,16)&lt;INDEX(effGoalPol_Res,16)) * MIN(INDEX(polEff_Res,4,15)+INDEX(pushPol_Res,3),(INDEX(effGoalPol_Res,16)-INDEX(teffSumPol_Res,4,16))/(INDEX(doEff,5)-INDEX(doEff,4)))</f>
        <v>0</v>
      </c>
      <c r="U74" s="43">
        <f ca="1">(INDEX(teffSumPol_Res,4,17)&lt;INDEX(effGoalPol_Res,17)) * MIN(INDEX(polEff_Res,4,16)+INDEX(pushPol_Res,3),(INDEX(effGoalPol_Res,17)-INDEX(teffSumPol_Res,4,17))/(INDEX(doEff,5)-INDEX(doEff,4)))</f>
        <v>0</v>
      </c>
      <c r="V74" s="43">
        <f ca="1">(INDEX(teffSumPol_Res,4,18)&lt;INDEX(effGoalPol_Res,18)) * MIN(INDEX(polEff_Res,4,17)+INDEX(pushPol_Res,3),(INDEX(effGoalPol_Res,18)-INDEX(teffSumPol_Res,4,18))/(INDEX(doEff,5)-INDEX(doEff,4)))</f>
        <v>0</v>
      </c>
      <c r="W74" s="43">
        <f ca="1">(INDEX(teffSumPol_Res,4,19)&lt;INDEX(effGoalPol_Res,19)) * MIN(INDEX(polEff_Res,4,18)+INDEX(pushPol_Res,3),(INDEX(effGoalPol_Res,19)-INDEX(teffSumPol_Res,4,19))/(INDEX(doEff,5)-INDEX(doEff,4)))</f>
        <v>0</v>
      </c>
      <c r="X74" s="43">
        <f ca="1">(INDEX(teffSumPol_Res,4,20)&lt;INDEX(effGoalPol_Res,20)) * MIN(INDEX(polEff_Res,4,19)+INDEX(pushPol_Res,3),(INDEX(effGoalPol_Res,20)-INDEX(teffSumPol_Res,4,20))/(INDEX(doEff,5)-INDEX(doEff,4)))</f>
        <v>0</v>
      </c>
      <c r="Y74" s="43">
        <f ca="1">(INDEX(teffSumPol_Res,4,21)&lt;INDEX(effGoalPol_Res,21)) * MIN(INDEX(polEff_Res,4,20)+INDEX(pushPol_Res,3),(INDEX(effGoalPol_Res,21)-INDEX(teffSumPol_Res,4,21))/(INDEX(doEff,5)-INDEX(doEff,4)))</f>
        <v>0</v>
      </c>
      <c r="Z74" s="43">
        <f ca="1">(INDEX(teffSumPol_Res,4,22)&lt;INDEX(effGoalPol_Res,22)) * MIN(INDEX(polEff_Res,4,21)+INDEX(pushPol_Res,3),(INDEX(effGoalPol_Res,22)-INDEX(teffSumPol_Res,4,22))/(INDEX(doEff,5)-INDEX(doEff,4)))</f>
        <v>0</v>
      </c>
      <c r="AA74" s="43">
        <f ca="1">(INDEX(teffSumPol_Res,4,23)&lt;INDEX(effGoalPol_Res,23)) * MIN(INDEX(polEff_Res,4,22)+INDEX(pushPol_Res,3),(INDEX(effGoalPol_Res,23)-INDEX(teffSumPol_Res,4,23))/(INDEX(doEff,5)-INDEX(doEff,4)))</f>
        <v>0</v>
      </c>
      <c r="AB74" s="43">
        <f ca="1">(INDEX(teffSumPol_Res,4,24)&lt;INDEX(effGoalPol_Res,24)) * MIN(INDEX(polEff_Res,4,23)+INDEX(pushPol_Res,3),(INDEX(effGoalPol_Res,24)-INDEX(teffSumPol_Res,4,24))/(INDEX(doEff,5)-INDEX(doEff,4)))</f>
        <v>0</v>
      </c>
      <c r="AC74" s="43">
        <f ca="1">(INDEX(teffSumPol_Res,4,25)&lt;INDEX(effGoalPol_Res,25)) * MIN(INDEX(polEff_Res,4,24)+INDEX(pushPol_Res,3),(INDEX(effGoalPol_Res,25)-INDEX(teffSumPol_Res,4,25))/(INDEX(doEff,5)-INDEX(doEff,4)))</f>
        <v>0</v>
      </c>
      <c r="AD74" s="43">
        <f ca="1">(INDEX(teffSumPol_Res,4,26)&lt;INDEX(effGoalPol_Res,26)) * MIN(INDEX(polEff_Res,4,25)+INDEX(pushPol_Res,3),(INDEX(effGoalPol_Res,26)-INDEX(teffSumPol_Res,4,26))/(INDEX(doEff,5)-INDEX(doEff,4)))</f>
        <v>0</v>
      </c>
      <c r="AE74" s="43">
        <f ca="1">(INDEX(teffSumPol_Res,4,27)&lt;INDEX(effGoalPol_Res,27)) * MIN(INDEX(polEff_Res,4,26)+INDEX(pushPol_Res,3),(INDEX(effGoalPol_Res,27)-INDEX(teffSumPol_Res,4,27))/(INDEX(doEff,5)-INDEX(doEff,4)))</f>
        <v>0</v>
      </c>
      <c r="AF74" s="43">
        <f ca="1">(INDEX(teffSumPol_Res,4,28)&lt;INDEX(effGoalPol_Res,28)) * MIN(INDEX(polEff_Res,4,27)+INDEX(pushPol_Res,3),(INDEX(effGoalPol_Res,28)-INDEX(teffSumPol_Res,4,28))/(INDEX(doEff,5)-INDEX(doEff,4)))</f>
        <v>0</v>
      </c>
      <c r="AG74" s="43">
        <f ca="1">(INDEX(teffSumPol_Res,4,29)&lt;INDEX(effGoalPol_Res,29)) * MIN(INDEX(polEff_Res,4,28)+INDEX(pushPol_Res,3),(INDEX(effGoalPol_Res,29)-INDEX(teffSumPol_Res,4,29))/(INDEX(doEff,5)-INDEX(doEff,4)))</f>
        <v>0</v>
      </c>
      <c r="AH74" s="43">
        <f ca="1">(INDEX(teffSumPol_Res,4,30)&lt;INDEX(effGoalPol_Res,30)) * MIN(INDEX(polEff_Res,4,29)+INDEX(pushPol_Res,3),(INDEX(effGoalPol_Res,30)-INDEX(teffSumPol_Res,4,30))/(INDEX(doEff,5)-INDEX(doEff,4)))</f>
        <v>0</v>
      </c>
      <c r="AI74" s="43">
        <f ca="1">(INDEX(teffSumPol_Res,4,31)&lt;INDEX(effGoalPol_Res,31)) * MIN(INDEX(polEff_Res,4,30)+INDEX(pushPol_Res,3),(INDEX(effGoalPol_Res,31)-INDEX(teffSumPol_Res,4,31))/(INDEX(doEff,5)-INDEX(doEff,4)))</f>
        <v>0</v>
      </c>
      <c r="AJ74" s="43">
        <f ca="1">(INDEX(teffSumPol_Res,4,32)&lt;INDEX(effGoalPol_Res,32)) * MIN(INDEX(polEff_Res,4,31)+INDEX(pushPol_Res,3),(INDEX(effGoalPol_Res,32)-INDEX(teffSumPol_Res,4,32))/(INDEX(doEff,5)-INDEX(doEff,4)))</f>
        <v>0</v>
      </c>
      <c r="AK74" s="43">
        <f ca="1">(INDEX(teffSumPol_Res,4,33)&lt;INDEX(effGoalPol_Res,33)) * MIN(INDEX(polEff_Res,4,32)+INDEX(pushPol_Res,3),(INDEX(effGoalPol_Res,33)-INDEX(teffSumPol_Res,4,33))/(INDEX(doEff,5)-INDEX(doEff,4)))</f>
        <v>0</v>
      </c>
      <c r="AL74" s="43">
        <f ca="1">(INDEX(teffSumPol_Res,4,34)&lt;INDEX(effGoalPol_Res,34)) * MIN(INDEX(polEff_Res,4,33)+INDEX(pushPol_Res,3),(INDEX(effGoalPol_Res,34)-INDEX(teffSumPol_Res,4,34))/(INDEX(doEff,5)-INDEX(doEff,4)))</f>
        <v>0</v>
      </c>
      <c r="AM74" s="43">
        <f ca="1">(INDEX(teffSumPol_Res,4,35)&lt;INDEX(effGoalPol_Res,35)) * MIN(INDEX(polEff_Res,4,34)+INDEX(pushPol_Res,3),(INDEX(effGoalPol_Res,35)-INDEX(teffSumPol_Res,4,35))/(INDEX(doEff,5)-INDEX(doEff,4)))</f>
        <v>0</v>
      </c>
      <c r="AN74" s="44">
        <f ca="1">(INDEX(teffSumPol_Res,4,36)&lt;INDEX(effGoalPol_Res,36)) * MIN(INDEX(polEff_Res,4,35)+INDEX(pushPol_Res,3),(INDEX(effGoalPol_Res,36)-INDEX(teffSumPol_Res,4,36))/(INDEX(doEff,5)-INDEX(doEff,4)))</f>
        <v>0</v>
      </c>
      <c r="AO74" s="8"/>
    </row>
    <row r="75" spans="2:41" hidden="1" x14ac:dyDescent="0.35">
      <c r="B75" s="8"/>
      <c r="C75" s="35" t="str">
        <f>"EL 4: " &amp; INDEX(_doName,1,5)</f>
        <v>EL 4: EL 4</v>
      </c>
      <c r="D75" s="15"/>
      <c r="E75" s="45"/>
      <c r="F75" s="45">
        <f>0</f>
        <v>0</v>
      </c>
      <c r="G75" s="45">
        <f>0</f>
        <v>0</v>
      </c>
      <c r="H75" s="45">
        <f>0</f>
        <v>0</v>
      </c>
      <c r="I75" s="45">
        <f>0</f>
        <v>0</v>
      </c>
      <c r="J75" s="45">
        <f>0</f>
        <v>0</v>
      </c>
      <c r="K75" s="45">
        <f>0</f>
        <v>0</v>
      </c>
      <c r="L75" s="45">
        <f>0</f>
        <v>0</v>
      </c>
      <c r="M75" s="45">
        <f>0</f>
        <v>0</v>
      </c>
      <c r="N75" s="45">
        <f>0</f>
        <v>0</v>
      </c>
      <c r="O75" s="45">
        <f>0</f>
        <v>0</v>
      </c>
      <c r="P75" s="45">
        <f>0</f>
        <v>0</v>
      </c>
      <c r="Q75" s="45">
        <f>0</f>
        <v>0</v>
      </c>
      <c r="R75" s="45">
        <f>0</f>
        <v>0</v>
      </c>
      <c r="S75" s="45">
        <f>0</f>
        <v>0</v>
      </c>
      <c r="T75" s="45">
        <f>0</f>
        <v>0</v>
      </c>
      <c r="U75" s="45">
        <f>0</f>
        <v>0</v>
      </c>
      <c r="V75" s="45">
        <f>0</f>
        <v>0</v>
      </c>
      <c r="W75" s="45">
        <f>0</f>
        <v>0</v>
      </c>
      <c r="X75" s="45">
        <f>0</f>
        <v>0</v>
      </c>
      <c r="Y75" s="45">
        <f>0</f>
        <v>0</v>
      </c>
      <c r="Z75" s="45">
        <f>0</f>
        <v>0</v>
      </c>
      <c r="AA75" s="45">
        <f>0</f>
        <v>0</v>
      </c>
      <c r="AB75" s="45">
        <f>0</f>
        <v>0</v>
      </c>
      <c r="AC75" s="45">
        <f>0</f>
        <v>0</v>
      </c>
      <c r="AD75" s="45">
        <f>0</f>
        <v>0</v>
      </c>
      <c r="AE75" s="45">
        <f>0</f>
        <v>0</v>
      </c>
      <c r="AF75" s="45">
        <f>0</f>
        <v>0</v>
      </c>
      <c r="AG75" s="45">
        <f>0</f>
        <v>0</v>
      </c>
      <c r="AH75" s="45">
        <f>0</f>
        <v>0</v>
      </c>
      <c r="AI75" s="45">
        <f>0</f>
        <v>0</v>
      </c>
      <c r="AJ75" s="45">
        <f>0</f>
        <v>0</v>
      </c>
      <c r="AK75" s="45">
        <f>0</f>
        <v>0</v>
      </c>
      <c r="AL75" s="45">
        <f>0</f>
        <v>0</v>
      </c>
      <c r="AM75" s="45">
        <f>0</f>
        <v>0</v>
      </c>
      <c r="AN75" s="46">
        <f>0</f>
        <v>0</v>
      </c>
      <c r="AO75" s="8"/>
    </row>
    <row r="76" spans="2:41" hidden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</row>
    <row r="77" spans="2:41" hidden="1" x14ac:dyDescent="0.35">
      <c r="B77" s="8"/>
      <c r="C77" s="23" t="s">
        <v>101</v>
      </c>
      <c r="D77" s="24"/>
      <c r="E77" s="26">
        <f t="array" ref="E77:AN77">_yS</f>
        <v>2024</v>
      </c>
      <c r="F77" s="26">
        <v>2025</v>
      </c>
      <c r="G77" s="26">
        <v>2026</v>
      </c>
      <c r="H77" s="26">
        <v>2027</v>
      </c>
      <c r="I77" s="26">
        <v>2028</v>
      </c>
      <c r="J77" s="26">
        <v>2029</v>
      </c>
      <c r="K77" s="26">
        <v>2030</v>
      </c>
      <c r="L77" s="26">
        <v>2031</v>
      </c>
      <c r="M77" s="26">
        <v>2032</v>
      </c>
      <c r="N77" s="26">
        <v>2033</v>
      </c>
      <c r="O77" s="26">
        <v>2034</v>
      </c>
      <c r="P77" s="26">
        <v>2035</v>
      </c>
      <c r="Q77" s="26">
        <v>2036</v>
      </c>
      <c r="R77" s="26">
        <v>2037</v>
      </c>
      <c r="S77" s="26">
        <v>2038</v>
      </c>
      <c r="T77" s="26">
        <v>2039</v>
      </c>
      <c r="U77" s="26">
        <v>2040</v>
      </c>
      <c r="V77" s="26">
        <v>2041</v>
      </c>
      <c r="W77" s="26">
        <v>2042</v>
      </c>
      <c r="X77" s="26">
        <v>2043</v>
      </c>
      <c r="Y77" s="26">
        <v>2044</v>
      </c>
      <c r="Z77" s="26">
        <v>2045</v>
      </c>
      <c r="AA77" s="26">
        <v>2046</v>
      </c>
      <c r="AB77" s="26">
        <v>2047</v>
      </c>
      <c r="AC77" s="26">
        <v>2048</v>
      </c>
      <c r="AD77" s="26">
        <v>2049</v>
      </c>
      <c r="AE77" s="26">
        <v>2050</v>
      </c>
      <c r="AF77" s="26">
        <v>2051</v>
      </c>
      <c r="AG77" s="26">
        <v>2052</v>
      </c>
      <c r="AH77" s="26">
        <v>2053</v>
      </c>
      <c r="AI77" s="26">
        <v>2054</v>
      </c>
      <c r="AJ77" s="26">
        <v>2055</v>
      </c>
      <c r="AK77" s="26">
        <v>2056</v>
      </c>
      <c r="AL77" s="26">
        <v>2057</v>
      </c>
      <c r="AM77" s="26">
        <v>2058</v>
      </c>
      <c r="AN77" s="27">
        <v>2059</v>
      </c>
      <c r="AO77" s="8"/>
    </row>
    <row r="78" spans="2:41" hidden="1" x14ac:dyDescent="0.35">
      <c r="B78" s="8"/>
      <c r="C78" s="19" t="str">
        <f>"EL 0: " &amp; INDEX(_doName,1,1)</f>
        <v>EL 0: Baseline</v>
      </c>
      <c r="D78" s="11"/>
      <c r="E78" s="33"/>
      <c r="F78" s="33">
        <f ca="1">0 + INDEX(doEff,1)*(INDEX(eff0Pol_Res,1)+0) + SUMPRODUCT(doEff,INDEX(polEff_Res,,1),N(_el&gt;0))</f>
        <v>1.9777631093463706</v>
      </c>
      <c r="G78" s="33">
        <f ca="1">0 + INDEX(doEff,1)*(INDEX(eff0Pol_Res,1)+0) + SUMPRODUCT(doEff,INDEX(polEff_Res,,2),N(_el&gt;0))</f>
        <v>1.9775423741114517</v>
      </c>
      <c r="H78" s="33">
        <f ca="1">0 + INDEX(doEff,1)*(INDEX(eff0Pol_Res,1)+0) + SUMPRODUCT(doEff,INDEX(polEff_Res,,3),N(_el&gt;0))</f>
        <v>2.1188607527245642</v>
      </c>
      <c r="I78" s="33">
        <f ca="1">0 + INDEX(doEff,1)*(INDEX(eff0Pol_Res,1)+0) + SUMPRODUCT(doEff,INDEX(polEff_Res,,4),N(_el&gt;0))</f>
        <v>2.1186142399254568</v>
      </c>
      <c r="J78" s="33">
        <f ca="1">0 + INDEX(doEff,1)*(INDEX(eff0Pol_Res,1)+0) + SUMPRODUCT(doEff,INDEX(polEff_Res,,5),N(_el&gt;0))</f>
        <v>2.1183695452547</v>
      </c>
      <c r="K78" s="33">
        <f ca="1">0 + INDEX(doEff,1)*(INDEX(eff0Pol_Res,1)+0) + SUMPRODUCT(doEff,INDEX(polEff_Res,,6),N(_el&gt;0))</f>
        <v>2.1183039745884229</v>
      </c>
      <c r="L78" s="33">
        <f ca="1">0 + INDEX(doEff,1)*(INDEX(eff0Pol_Res,1)+0) + SUMPRODUCT(doEff,INDEX(polEff_Res,,7),N(_el&gt;0))</f>
        <v>2.1182387974880945</v>
      </c>
      <c r="M78" s="33">
        <f ca="1">0 + INDEX(doEff,1)*(INDEX(eff0Pol_Res,1)+0) + SUMPRODUCT(doEff,INDEX(polEff_Res,,8),N(_el&gt;0))</f>
        <v>2.1181740012867163</v>
      </c>
      <c r="N78" s="33">
        <f ca="1">0 + INDEX(doEff,1)*(INDEX(eff0Pol_Res,1)+0) + SUMPRODUCT(doEff,INDEX(polEff_Res,,9),N(_el&gt;0))</f>
        <v>2.118109574590104</v>
      </c>
      <c r="O78" s="33">
        <f ca="1">0 + INDEX(doEff,1)*(INDEX(eff0Pol_Res,1)+0) + SUMPRODUCT(doEff,INDEX(polEff_Res,,10),N(_el&gt;0))</f>
        <v>2.1180455065713368</v>
      </c>
      <c r="P78" s="33">
        <f ca="1">0 + INDEX(doEff,1)*(INDEX(eff0Pol_Res,1)+0) + SUMPRODUCT(doEff,INDEX(polEff_Res,,11),N(_el&gt;0))</f>
        <v>2.1180385504379586</v>
      </c>
      <c r="Q78" s="33">
        <f ca="1">0 + INDEX(doEff,1)*(INDEX(eff0Pol_Res,1)+0) + SUMPRODUCT(doEff,INDEX(polEff_Res,,12),N(_el&gt;0))</f>
        <v>2.1180316473827761</v>
      </c>
      <c r="R78" s="33">
        <f ca="1">0 + INDEX(doEff,1)*(INDEX(eff0Pol_Res,1)+0) + SUMPRODUCT(doEff,INDEX(polEff_Res,,13),N(_el&gt;0))</f>
        <v>2.1180247938398842</v>
      </c>
      <c r="S78" s="33">
        <f ca="1">0 + INDEX(doEff,1)*(INDEX(eff0Pol_Res,1)+0) + SUMPRODUCT(doEff,INDEX(polEff_Res,,14),N(_el&gt;0))</f>
        <v>2.118017986550683</v>
      </c>
      <c r="T78" s="33">
        <f ca="1">0 + INDEX(doEff,1)*(INDEX(eff0Pol_Res,1)+0) + SUMPRODUCT(doEff,INDEX(polEff_Res,,15),N(_el&gt;0))</f>
        <v>2.1180112225151477</v>
      </c>
      <c r="U78" s="33">
        <f ca="1">0 + INDEX(doEff,1)*(INDEX(eff0Pol_Res,1)+0) + SUMPRODUCT(doEff,INDEX(polEff_Res,,16),N(_el&gt;0))</f>
        <v>2.1180044994727463</v>
      </c>
      <c r="V78" s="33">
        <f ca="1">0 + INDEX(doEff,1)*(INDEX(eff0Pol_Res,1)+0) + SUMPRODUCT(doEff,INDEX(polEff_Res,,17),N(_el&gt;0))</f>
        <v>2.1179978153068313</v>
      </c>
      <c r="W78" s="33">
        <f ca="1">0 + INDEX(doEff,1)*(INDEX(eff0Pol_Res,1)+0) + SUMPRODUCT(doEff,INDEX(polEff_Res,,18),N(_el&gt;0))</f>
        <v>2.1179911681971202</v>
      </c>
      <c r="X78" s="33">
        <f ca="1">0 + INDEX(doEff,1)*(INDEX(eff0Pol_Res,1)+0) + SUMPRODUCT(doEff,INDEX(polEff_Res,,19),N(_el&gt;0))</f>
        <v>2.1179845565295365</v>
      </c>
      <c r="Y78" s="33">
        <f ca="1">0 + INDEX(doEff,1)*(INDEX(eff0Pol_Res,1)+0) + SUMPRODUCT(doEff,INDEX(polEff_Res,,20),N(_el&gt;0))</f>
        <v>2.1179779788268891</v>
      </c>
      <c r="Z78" s="33">
        <f ca="1">0 + INDEX(doEff,1)*(INDEX(eff0Pol_Res,1)+0) + SUMPRODUCT(doEff,INDEX(polEff_Res,,21),N(_el&gt;0))</f>
        <v>2.1179760629519944</v>
      </c>
      <c r="AA78" s="33">
        <f ca="1">0 + INDEX(doEff,1)*(INDEX(eff0Pol_Res,1)+0) + SUMPRODUCT(doEff,INDEX(polEff_Res,,22),N(_el&gt;0))</f>
        <v>2.1179741589924217</v>
      </c>
      <c r="AB78" s="33">
        <f ca="1">0 + INDEX(doEff,1)*(INDEX(eff0Pol_Res,1)+0) + SUMPRODUCT(doEff,INDEX(polEff_Res,,23),N(_el&gt;0))</f>
        <v>2.1179722659016531</v>
      </c>
      <c r="AC78" s="33">
        <f ca="1">0 + INDEX(doEff,1)*(INDEX(eff0Pol_Res,1)+0) + SUMPRODUCT(doEff,INDEX(polEff_Res,,24),N(_el&gt;0))</f>
        <v>2.1179703826991414</v>
      </c>
      <c r="AD78" s="33">
        <f ca="1">0 + INDEX(doEff,1)*(INDEX(eff0Pol_Res,1)+0) + SUMPRODUCT(doEff,INDEX(polEff_Res,,25),N(_el&gt;0))</f>
        <v>2.1179685084745157</v>
      </c>
      <c r="AE78" s="33">
        <f ca="1">0 + INDEX(doEff,1)*(INDEX(eff0Pol_Res,1)+0) + SUMPRODUCT(doEff,INDEX(polEff_Res,,26),N(_el&gt;0))</f>
        <v>2.1179666423881427</v>
      </c>
      <c r="AF78" s="33">
        <f ca="1">0 + INDEX(doEff,1)*(INDEX(eff0Pol_Res,1)+0) + SUMPRODUCT(doEff,INDEX(polEff_Res,,27),N(_el&gt;0))</f>
        <v>2.1179647836670297</v>
      </c>
      <c r="AG78" s="33">
        <f ca="1">0 + INDEX(doEff,1)*(INDEX(eff0Pol_Res,1)+0) + SUMPRODUCT(doEff,INDEX(polEff_Res,,28),N(_el&gt;0))</f>
        <v>2.1179629315979067</v>
      </c>
      <c r="AH78" s="33">
        <f ca="1">0 + INDEX(doEff,1)*(INDEX(eff0Pol_Res,1)+0) + SUMPRODUCT(doEff,INDEX(polEff_Res,,29),N(_el&gt;0))</f>
        <v>2.1179610855192776</v>
      </c>
      <c r="AI78" s="33">
        <f ca="1">0 + INDEX(doEff,1)*(INDEX(eff0Pol_Res,1)+0) + SUMPRODUCT(doEff,INDEX(polEff_Res,,30),N(_el&gt;0))</f>
        <v>2.1179592448139557</v>
      </c>
      <c r="AJ78" s="33">
        <f ca="1">0 + INDEX(doEff,1)*(INDEX(eff0Pol_Res,1)+0) + SUMPRODUCT(doEff,INDEX(polEff_Res,,31),N(_el&gt;0))</f>
        <v>2.1179574089031878</v>
      </c>
      <c r="AK78" s="33">
        <f ca="1">0 + INDEX(doEff,1)*(INDEX(eff0Pol_Res,1)+0) + SUMPRODUCT(doEff,INDEX(polEff_Res,,32),N(_el&gt;0))</f>
        <v>2.1179555772424852</v>
      </c>
      <c r="AL78" s="33">
        <f ca="1">0 + INDEX(doEff,1)*(INDEX(eff0Pol_Res,1)+0) + SUMPRODUCT(doEff,INDEX(polEff_Res,,33),N(_el&gt;0))</f>
        <v>2.1179537493186684</v>
      </c>
      <c r="AM78" s="33">
        <f ca="1">0 + INDEX(doEff,1)*(INDEX(eff0Pol_Res,1)+0) + SUMPRODUCT(doEff,INDEX(polEff_Res,,34),N(_el&gt;0))</f>
        <v>2.1179519246483469</v>
      </c>
      <c r="AN78" s="34">
        <f ca="1">0 + INDEX(doEff,1)*(INDEX(eff0Pol_Res,1)+0) + SUMPRODUCT(doEff,INDEX(polEff_Res,,35),N(_el&gt;0))</f>
        <v>2.1170539419087135</v>
      </c>
      <c r="AO78" s="8"/>
    </row>
    <row r="79" spans="2:41" hidden="1" x14ac:dyDescent="0.35">
      <c r="B79" s="8"/>
      <c r="C79" s="19" t="str">
        <f>"EL 1: " &amp; INDEX(_doName,1,2)</f>
        <v>EL 1: Tier 1</v>
      </c>
      <c r="D79" s="11"/>
      <c r="E79" s="33"/>
      <c r="F79" s="33">
        <f ca="1">SUMPRODUCT(OFFSET(doEff,0,0,1,1),OFFSET(INDEX(polEff_Res,1,2),0,0,1,1)) + INDEX(doEff,2)*(INDEX(eff0Pol_Res,2)+INDEX(pushPol_Res,1)) + SUMPRODUCT(doEff,INDEX(polEff_Res,,1),N(_el&gt;1))</f>
        <v>1.9777631093463701</v>
      </c>
      <c r="G79" s="33">
        <f ca="1">SUMPRODUCT(OFFSET(doEff,0,0,1,1),OFFSET(INDEX(polEff_Res,1,3),0,0,1,1)) + INDEX(doEff,2)*(INDEX(eff0Pol_Res,2)+INDEX(pushPol_Res,1)) + SUMPRODUCT(doEff,INDEX(polEff_Res,,2),N(_el&gt;1))</f>
        <v>1.9775423741114517</v>
      </c>
      <c r="H79" s="33">
        <f ca="1">SUMPRODUCT(OFFSET(doEff,0,0,1,1),OFFSET(INDEX(polEff_Res,1,4),0,0,1,1)) + INDEX(doEff,2)*(INDEX(eff0Pol_Res,2)+INDEX(pushPol_Res,1)) + SUMPRODUCT(doEff,INDEX(polEff_Res,,3),N(_el&gt;1))</f>
        <v>2.1188607527245642</v>
      </c>
      <c r="I79" s="33">
        <f ca="1">SUMPRODUCT(OFFSET(doEff,0,0,1,1),OFFSET(INDEX(polEff_Res,1,5),0,0,1,1)) + INDEX(doEff,2)*(INDEX(eff0Pol_Res,2)+INDEX(pushPol_Res,1)) + SUMPRODUCT(doEff,INDEX(polEff_Res,,4),N(_el&gt;1))</f>
        <v>2.1186142399254568</v>
      </c>
      <c r="J79" s="33">
        <f ca="1">SUMPRODUCT(OFFSET(doEff,0,0,1,1),OFFSET(INDEX(polEff_Res,1,6),0,0,1,1)) + INDEX(doEff,2)*(INDEX(eff0Pol_Res,2)+INDEX(pushPol_Res,1)) + SUMPRODUCT(doEff,INDEX(polEff_Res,,5),N(_el&gt;1))</f>
        <v>2.1183695452547</v>
      </c>
      <c r="K79" s="33">
        <f ca="1">SUMPRODUCT(OFFSET(doEff,0,0,1,1),OFFSET(INDEX(polEff_Res,1,7),0,0,1,1)) + INDEX(doEff,2)*(INDEX(eff0Pol_Res,2)+INDEX(pushPol_Res,1)) + SUMPRODUCT(doEff,INDEX(polEff_Res,,6),N(_el&gt;1))</f>
        <v>2.1183039745884229</v>
      </c>
      <c r="L79" s="33">
        <f ca="1">SUMPRODUCT(OFFSET(doEff,0,0,1,1),OFFSET(INDEX(polEff_Res,1,8),0,0,1,1)) + INDEX(doEff,2)*(INDEX(eff0Pol_Res,2)+INDEX(pushPol_Res,1)) + SUMPRODUCT(doEff,INDEX(polEff_Res,,7),N(_el&gt;1))</f>
        <v>2.1182387974880945</v>
      </c>
      <c r="M79" s="33">
        <f ca="1">SUMPRODUCT(OFFSET(doEff,0,0,1,1),OFFSET(INDEX(polEff_Res,1,9),0,0,1,1)) + INDEX(doEff,2)*(INDEX(eff0Pol_Res,2)+INDEX(pushPol_Res,1)) + SUMPRODUCT(doEff,INDEX(polEff_Res,,8),N(_el&gt;1))</f>
        <v>2.1181740012867163</v>
      </c>
      <c r="N79" s="33">
        <f ca="1">SUMPRODUCT(OFFSET(doEff,0,0,1,1),OFFSET(INDEX(polEff_Res,1,10),0,0,1,1)) + INDEX(doEff,2)*(INDEX(eff0Pol_Res,2)+INDEX(pushPol_Res,1)) + SUMPRODUCT(doEff,INDEX(polEff_Res,,9),N(_el&gt;1))</f>
        <v>2.118109574590104</v>
      </c>
      <c r="O79" s="33">
        <f ca="1">SUMPRODUCT(OFFSET(doEff,0,0,1,1),OFFSET(INDEX(polEff_Res,1,11),0,0,1,1)) + INDEX(doEff,2)*(INDEX(eff0Pol_Res,2)+INDEX(pushPol_Res,1)) + SUMPRODUCT(doEff,INDEX(polEff_Res,,10),N(_el&gt;1))</f>
        <v>2.1180455065713368</v>
      </c>
      <c r="P79" s="33">
        <f ca="1">SUMPRODUCT(OFFSET(doEff,0,0,1,1),OFFSET(INDEX(polEff_Res,1,12),0,0,1,1)) + INDEX(doEff,2)*(INDEX(eff0Pol_Res,2)+INDEX(pushPol_Res,1)) + SUMPRODUCT(doEff,INDEX(polEff_Res,,11),N(_el&gt;1))</f>
        <v>2.1180385504379586</v>
      </c>
      <c r="Q79" s="33">
        <f ca="1">SUMPRODUCT(OFFSET(doEff,0,0,1,1),OFFSET(INDEX(polEff_Res,1,13),0,0,1,1)) + INDEX(doEff,2)*(INDEX(eff0Pol_Res,2)+INDEX(pushPol_Res,1)) + SUMPRODUCT(doEff,INDEX(polEff_Res,,12),N(_el&gt;1))</f>
        <v>2.1180316473827761</v>
      </c>
      <c r="R79" s="33">
        <f ca="1">SUMPRODUCT(OFFSET(doEff,0,0,1,1),OFFSET(INDEX(polEff_Res,1,14),0,0,1,1)) + INDEX(doEff,2)*(INDEX(eff0Pol_Res,2)+INDEX(pushPol_Res,1)) + SUMPRODUCT(doEff,INDEX(polEff_Res,,13),N(_el&gt;1))</f>
        <v>2.1180247938398842</v>
      </c>
      <c r="S79" s="33">
        <f ca="1">SUMPRODUCT(OFFSET(doEff,0,0,1,1),OFFSET(INDEX(polEff_Res,1,15),0,0,1,1)) + INDEX(doEff,2)*(INDEX(eff0Pol_Res,2)+INDEX(pushPol_Res,1)) + SUMPRODUCT(doEff,INDEX(polEff_Res,,14),N(_el&gt;1))</f>
        <v>2.118017986550683</v>
      </c>
      <c r="T79" s="33">
        <f ca="1">SUMPRODUCT(OFFSET(doEff,0,0,1,1),OFFSET(INDEX(polEff_Res,1,16),0,0,1,1)) + INDEX(doEff,2)*(INDEX(eff0Pol_Res,2)+INDEX(pushPol_Res,1)) + SUMPRODUCT(doEff,INDEX(polEff_Res,,15),N(_el&gt;1))</f>
        <v>2.1180112225151477</v>
      </c>
      <c r="U79" s="33">
        <f ca="1">SUMPRODUCT(OFFSET(doEff,0,0,1,1),OFFSET(INDEX(polEff_Res,1,17),0,0,1,1)) + INDEX(doEff,2)*(INDEX(eff0Pol_Res,2)+INDEX(pushPol_Res,1)) + SUMPRODUCT(doEff,INDEX(polEff_Res,,16),N(_el&gt;1))</f>
        <v>2.1180044994727463</v>
      </c>
      <c r="V79" s="33">
        <f ca="1">SUMPRODUCT(OFFSET(doEff,0,0,1,1),OFFSET(INDEX(polEff_Res,1,18),0,0,1,1)) + INDEX(doEff,2)*(INDEX(eff0Pol_Res,2)+INDEX(pushPol_Res,1)) + SUMPRODUCT(doEff,INDEX(polEff_Res,,17),N(_el&gt;1))</f>
        <v>2.1179978153068313</v>
      </c>
      <c r="W79" s="33">
        <f ca="1">SUMPRODUCT(OFFSET(doEff,0,0,1,1),OFFSET(INDEX(polEff_Res,1,19),0,0,1,1)) + INDEX(doEff,2)*(INDEX(eff0Pol_Res,2)+INDEX(pushPol_Res,1)) + SUMPRODUCT(doEff,INDEX(polEff_Res,,18),N(_el&gt;1))</f>
        <v>2.1179911681971202</v>
      </c>
      <c r="X79" s="33">
        <f ca="1">SUMPRODUCT(OFFSET(doEff,0,0,1,1),OFFSET(INDEX(polEff_Res,1,20),0,0,1,1)) + INDEX(doEff,2)*(INDEX(eff0Pol_Res,2)+INDEX(pushPol_Res,1)) + SUMPRODUCT(doEff,INDEX(polEff_Res,,19),N(_el&gt;1))</f>
        <v>2.1179845565295365</v>
      </c>
      <c r="Y79" s="33">
        <f ca="1">SUMPRODUCT(OFFSET(doEff,0,0,1,1),OFFSET(INDEX(polEff_Res,1,21),0,0,1,1)) + INDEX(doEff,2)*(INDEX(eff0Pol_Res,2)+INDEX(pushPol_Res,1)) + SUMPRODUCT(doEff,INDEX(polEff_Res,,20),N(_el&gt;1))</f>
        <v>2.1179779788268891</v>
      </c>
      <c r="Z79" s="33">
        <f ca="1">SUMPRODUCT(OFFSET(doEff,0,0,1,1),OFFSET(INDEX(polEff_Res,1,22),0,0,1,1)) + INDEX(doEff,2)*(INDEX(eff0Pol_Res,2)+INDEX(pushPol_Res,1)) + SUMPRODUCT(doEff,INDEX(polEff_Res,,21),N(_el&gt;1))</f>
        <v>2.1179760629519944</v>
      </c>
      <c r="AA79" s="33">
        <f ca="1">SUMPRODUCT(OFFSET(doEff,0,0,1,1),OFFSET(INDEX(polEff_Res,1,23),0,0,1,1)) + INDEX(doEff,2)*(INDEX(eff0Pol_Res,2)+INDEX(pushPol_Res,1)) + SUMPRODUCT(doEff,INDEX(polEff_Res,,22),N(_el&gt;1))</f>
        <v>2.1179741589924217</v>
      </c>
      <c r="AB79" s="33">
        <f ca="1">SUMPRODUCT(OFFSET(doEff,0,0,1,1),OFFSET(INDEX(polEff_Res,1,24),0,0,1,1)) + INDEX(doEff,2)*(INDEX(eff0Pol_Res,2)+INDEX(pushPol_Res,1)) + SUMPRODUCT(doEff,INDEX(polEff_Res,,23),N(_el&gt;1))</f>
        <v>2.1179722659016531</v>
      </c>
      <c r="AC79" s="33">
        <f ca="1">SUMPRODUCT(OFFSET(doEff,0,0,1,1),OFFSET(INDEX(polEff_Res,1,25),0,0,1,1)) + INDEX(doEff,2)*(INDEX(eff0Pol_Res,2)+INDEX(pushPol_Res,1)) + SUMPRODUCT(doEff,INDEX(polEff_Res,,24),N(_el&gt;1))</f>
        <v>2.1179703826991414</v>
      </c>
      <c r="AD79" s="33">
        <f ca="1">SUMPRODUCT(OFFSET(doEff,0,0,1,1),OFFSET(INDEX(polEff_Res,1,26),0,0,1,1)) + INDEX(doEff,2)*(INDEX(eff0Pol_Res,2)+INDEX(pushPol_Res,1)) + SUMPRODUCT(doEff,INDEX(polEff_Res,,25),N(_el&gt;1))</f>
        <v>2.1179685084745157</v>
      </c>
      <c r="AE79" s="33">
        <f ca="1">SUMPRODUCT(OFFSET(doEff,0,0,1,1),OFFSET(INDEX(polEff_Res,1,27),0,0,1,1)) + INDEX(doEff,2)*(INDEX(eff0Pol_Res,2)+INDEX(pushPol_Res,1)) + SUMPRODUCT(doEff,INDEX(polEff_Res,,26),N(_el&gt;1))</f>
        <v>2.1179666423881427</v>
      </c>
      <c r="AF79" s="33">
        <f ca="1">SUMPRODUCT(OFFSET(doEff,0,0,1,1),OFFSET(INDEX(polEff_Res,1,28),0,0,1,1)) + INDEX(doEff,2)*(INDEX(eff0Pol_Res,2)+INDEX(pushPol_Res,1)) + SUMPRODUCT(doEff,INDEX(polEff_Res,,27),N(_el&gt;1))</f>
        <v>2.1179647836670297</v>
      </c>
      <c r="AG79" s="33">
        <f ca="1">SUMPRODUCT(OFFSET(doEff,0,0,1,1),OFFSET(INDEX(polEff_Res,1,29),0,0,1,1)) + INDEX(doEff,2)*(INDEX(eff0Pol_Res,2)+INDEX(pushPol_Res,1)) + SUMPRODUCT(doEff,INDEX(polEff_Res,,28),N(_el&gt;1))</f>
        <v>2.1179629315979067</v>
      </c>
      <c r="AH79" s="33">
        <f ca="1">SUMPRODUCT(OFFSET(doEff,0,0,1,1),OFFSET(INDEX(polEff_Res,1,30),0,0,1,1)) + INDEX(doEff,2)*(INDEX(eff0Pol_Res,2)+INDEX(pushPol_Res,1)) + SUMPRODUCT(doEff,INDEX(polEff_Res,,29),N(_el&gt;1))</f>
        <v>2.1179610855192776</v>
      </c>
      <c r="AI79" s="33">
        <f ca="1">SUMPRODUCT(OFFSET(doEff,0,0,1,1),OFFSET(INDEX(polEff_Res,1,31),0,0,1,1)) + INDEX(doEff,2)*(INDEX(eff0Pol_Res,2)+INDEX(pushPol_Res,1)) + SUMPRODUCT(doEff,INDEX(polEff_Res,,30),N(_el&gt;1))</f>
        <v>2.1179592448139557</v>
      </c>
      <c r="AJ79" s="33">
        <f ca="1">SUMPRODUCT(OFFSET(doEff,0,0,1,1),OFFSET(INDEX(polEff_Res,1,32),0,0,1,1)) + INDEX(doEff,2)*(INDEX(eff0Pol_Res,2)+INDEX(pushPol_Res,1)) + SUMPRODUCT(doEff,INDEX(polEff_Res,,31),N(_el&gt;1))</f>
        <v>2.1179574089031878</v>
      </c>
      <c r="AK79" s="33">
        <f ca="1">SUMPRODUCT(OFFSET(doEff,0,0,1,1),OFFSET(INDEX(polEff_Res,1,33),0,0,1,1)) + INDEX(doEff,2)*(INDEX(eff0Pol_Res,2)+INDEX(pushPol_Res,1)) + SUMPRODUCT(doEff,INDEX(polEff_Res,,32),N(_el&gt;1))</f>
        <v>2.1179555772424852</v>
      </c>
      <c r="AL79" s="33">
        <f ca="1">SUMPRODUCT(OFFSET(doEff,0,0,1,1),OFFSET(INDEX(polEff_Res,1,34),0,0,1,1)) + INDEX(doEff,2)*(INDEX(eff0Pol_Res,2)+INDEX(pushPol_Res,1)) + SUMPRODUCT(doEff,INDEX(polEff_Res,,33),N(_el&gt;1))</f>
        <v>2.1179537493186684</v>
      </c>
      <c r="AM79" s="33">
        <f ca="1">SUMPRODUCT(OFFSET(doEff,0,0,1,1),OFFSET(INDEX(polEff_Res,1,35),0,0,1,1)) + INDEX(doEff,2)*(INDEX(eff0Pol_Res,2)+INDEX(pushPol_Res,1)) + SUMPRODUCT(doEff,INDEX(polEff_Res,,34),N(_el&gt;1))</f>
        <v>2.1179519246483469</v>
      </c>
      <c r="AN79" s="34">
        <f ca="1">SUMPRODUCT(OFFSET(doEff,0,0,1,1),OFFSET(INDEX(polEff_Res,1,36),0,0,1,1)) + INDEX(doEff,2)*(INDEX(eff0Pol_Res,2)+INDEX(pushPol_Res,1)) + SUMPRODUCT(doEff,INDEX(polEff_Res,,35),N(_el&gt;1))</f>
        <v>2.1170539419087135</v>
      </c>
      <c r="AO79" s="8"/>
    </row>
    <row r="80" spans="2:41" hidden="1" x14ac:dyDescent="0.35">
      <c r="B80" s="8"/>
      <c r="C80" s="19" t="str">
        <f>"EL 2: " &amp; INDEX(_doName,1,3)</f>
        <v>EL 2: Tier 2</v>
      </c>
      <c r="D80" s="11"/>
      <c r="E80" s="33"/>
      <c r="F80" s="33">
        <f ca="1">SUMPRODUCT(OFFSET(doEff,0,0,2,1),OFFSET(INDEX(polEff_Res,1,2),0,0,2,1)) + INDEX(doEff,3)*(INDEX(eff0Pol_Res,3)+INDEX(pushPol_Res,2)) + SUMPRODUCT(doEff,INDEX(polEff_Res,,1),N(_el&gt;2))</f>
        <v>1.9781516953328415</v>
      </c>
      <c r="G80" s="33">
        <f ca="1">SUMPRODUCT(OFFSET(doEff,0,0,2,1),OFFSET(INDEX(polEff_Res,1,3),0,0,2,1)) + INDEX(doEff,3)*(INDEX(eff0Pol_Res,3)+INDEX(pushPol_Res,2)) + SUMPRODUCT(doEff,INDEX(polEff_Res,,2),N(_el&gt;2))</f>
        <v>0.79582270984013659</v>
      </c>
      <c r="H80" s="33">
        <f ca="1">SUMPRODUCT(OFFSET(doEff,0,0,2,1),OFFSET(INDEX(polEff_Res,1,4),0,0,2,1)) + INDEX(doEff,3)*(INDEX(eff0Pol_Res,3)+INDEX(pushPol_Res,2)) + SUMPRODUCT(doEff,INDEX(polEff_Res,,3),N(_el&gt;2))</f>
        <v>2.1188607527245642</v>
      </c>
      <c r="I80" s="33">
        <f ca="1">SUMPRODUCT(OFFSET(doEff,0,0,2,1),OFFSET(INDEX(polEff_Res,1,5),0,0,2,1)) + INDEX(doEff,3)*(INDEX(eff0Pol_Res,3)+INDEX(pushPol_Res,2)) + SUMPRODUCT(doEff,INDEX(polEff_Res,,4),N(_el&gt;2))</f>
        <v>2.1186142399254564</v>
      </c>
      <c r="J80" s="33">
        <f ca="1">SUMPRODUCT(OFFSET(doEff,0,0,2,1),OFFSET(INDEX(polEff_Res,1,6),0,0,2,1)) + INDEX(doEff,3)*(INDEX(eff0Pol_Res,3)+INDEX(pushPol_Res,2)) + SUMPRODUCT(doEff,INDEX(polEff_Res,,5),N(_el&gt;2))</f>
        <v>2.1183695452547</v>
      </c>
      <c r="K80" s="33">
        <f ca="1">SUMPRODUCT(OFFSET(doEff,0,0,2,1),OFFSET(INDEX(polEff_Res,1,7),0,0,2,1)) + INDEX(doEff,3)*(INDEX(eff0Pol_Res,3)+INDEX(pushPol_Res,2)) + SUMPRODUCT(doEff,INDEX(polEff_Res,,6),N(_el&gt;2))</f>
        <v>2.1183039745884229</v>
      </c>
      <c r="L80" s="33">
        <f ca="1">SUMPRODUCT(OFFSET(doEff,0,0,2,1),OFFSET(INDEX(polEff_Res,1,8),0,0,2,1)) + INDEX(doEff,3)*(INDEX(eff0Pol_Res,3)+INDEX(pushPol_Res,2)) + SUMPRODUCT(doEff,INDEX(polEff_Res,,7),N(_el&gt;2))</f>
        <v>2.118238797488095</v>
      </c>
      <c r="M80" s="33">
        <f ca="1">SUMPRODUCT(OFFSET(doEff,0,0,2,1),OFFSET(INDEX(polEff_Res,1,9),0,0,2,1)) + INDEX(doEff,3)*(INDEX(eff0Pol_Res,3)+INDEX(pushPol_Res,2)) + SUMPRODUCT(doEff,INDEX(polEff_Res,,8),N(_el&gt;2))</f>
        <v>2.1181740012867163</v>
      </c>
      <c r="N80" s="33">
        <f ca="1">SUMPRODUCT(OFFSET(doEff,0,0,2,1),OFFSET(INDEX(polEff_Res,1,10),0,0,2,1)) + INDEX(doEff,3)*(INDEX(eff0Pol_Res,3)+INDEX(pushPol_Res,2)) + SUMPRODUCT(doEff,INDEX(polEff_Res,,9),N(_el&gt;2))</f>
        <v>2.118109574590104</v>
      </c>
      <c r="O80" s="33">
        <f ca="1">SUMPRODUCT(OFFSET(doEff,0,0,2,1),OFFSET(INDEX(polEff_Res,1,11),0,0,2,1)) + INDEX(doEff,3)*(INDEX(eff0Pol_Res,3)+INDEX(pushPol_Res,2)) + SUMPRODUCT(doEff,INDEX(polEff_Res,,10),N(_el&gt;2))</f>
        <v>2.1180455065713368</v>
      </c>
      <c r="P80" s="33">
        <f ca="1">SUMPRODUCT(OFFSET(doEff,0,0,2,1),OFFSET(INDEX(polEff_Res,1,12),0,0,2,1)) + INDEX(doEff,3)*(INDEX(eff0Pol_Res,3)+INDEX(pushPol_Res,2)) + SUMPRODUCT(doEff,INDEX(polEff_Res,,11),N(_el&gt;2))</f>
        <v>2.1180385504379586</v>
      </c>
      <c r="Q80" s="33">
        <f ca="1">SUMPRODUCT(OFFSET(doEff,0,0,2,1),OFFSET(INDEX(polEff_Res,1,13),0,0,2,1)) + INDEX(doEff,3)*(INDEX(eff0Pol_Res,3)+INDEX(pushPol_Res,2)) + SUMPRODUCT(doEff,INDEX(polEff_Res,,12),N(_el&gt;2))</f>
        <v>2.1180316473827761</v>
      </c>
      <c r="R80" s="33">
        <f ca="1">SUMPRODUCT(OFFSET(doEff,0,0,2,1),OFFSET(INDEX(polEff_Res,1,14),0,0,2,1)) + INDEX(doEff,3)*(INDEX(eff0Pol_Res,3)+INDEX(pushPol_Res,2)) + SUMPRODUCT(doEff,INDEX(polEff_Res,,13),N(_el&gt;2))</f>
        <v>2.1180247938398842</v>
      </c>
      <c r="S80" s="33">
        <f ca="1">SUMPRODUCT(OFFSET(doEff,0,0,2,1),OFFSET(INDEX(polEff_Res,1,15),0,0,2,1)) + INDEX(doEff,3)*(INDEX(eff0Pol_Res,3)+INDEX(pushPol_Res,2)) + SUMPRODUCT(doEff,INDEX(polEff_Res,,14),N(_el&gt;2))</f>
        <v>2.118017986550683</v>
      </c>
      <c r="T80" s="33">
        <f ca="1">SUMPRODUCT(OFFSET(doEff,0,0,2,1),OFFSET(INDEX(polEff_Res,1,16),0,0,2,1)) + INDEX(doEff,3)*(INDEX(eff0Pol_Res,3)+INDEX(pushPol_Res,2)) + SUMPRODUCT(doEff,INDEX(polEff_Res,,15),N(_el&gt;2))</f>
        <v>2.1180112225151477</v>
      </c>
      <c r="U80" s="33">
        <f ca="1">SUMPRODUCT(OFFSET(doEff,0,0,2,1),OFFSET(INDEX(polEff_Res,1,17),0,0,2,1)) + INDEX(doEff,3)*(INDEX(eff0Pol_Res,3)+INDEX(pushPol_Res,2)) + SUMPRODUCT(doEff,INDEX(polEff_Res,,16),N(_el&gt;2))</f>
        <v>2.1180044994727463</v>
      </c>
      <c r="V80" s="33">
        <f ca="1">SUMPRODUCT(OFFSET(doEff,0,0,2,1),OFFSET(INDEX(polEff_Res,1,18),0,0,2,1)) + INDEX(doEff,3)*(INDEX(eff0Pol_Res,3)+INDEX(pushPol_Res,2)) + SUMPRODUCT(doEff,INDEX(polEff_Res,,17),N(_el&gt;2))</f>
        <v>2.1179978153068317</v>
      </c>
      <c r="W80" s="33">
        <f ca="1">SUMPRODUCT(OFFSET(doEff,0,0,2,1),OFFSET(INDEX(polEff_Res,1,19),0,0,2,1)) + INDEX(doEff,3)*(INDEX(eff0Pol_Res,3)+INDEX(pushPol_Res,2)) + SUMPRODUCT(doEff,INDEX(polEff_Res,,18),N(_el&gt;2))</f>
        <v>2.1179911681971202</v>
      </c>
      <c r="X80" s="33">
        <f ca="1">SUMPRODUCT(OFFSET(doEff,0,0,2,1),OFFSET(INDEX(polEff_Res,1,20),0,0,2,1)) + INDEX(doEff,3)*(INDEX(eff0Pol_Res,3)+INDEX(pushPol_Res,2)) + SUMPRODUCT(doEff,INDEX(polEff_Res,,19),N(_el&gt;2))</f>
        <v>2.1179845565295365</v>
      </c>
      <c r="Y80" s="33">
        <f ca="1">SUMPRODUCT(OFFSET(doEff,0,0,2,1),OFFSET(INDEX(polEff_Res,1,21),0,0,2,1)) + INDEX(doEff,3)*(INDEX(eff0Pol_Res,3)+INDEX(pushPol_Res,2)) + SUMPRODUCT(doEff,INDEX(polEff_Res,,20),N(_el&gt;2))</f>
        <v>2.1179779788268887</v>
      </c>
      <c r="Z80" s="33">
        <f ca="1">SUMPRODUCT(OFFSET(doEff,0,0,2,1),OFFSET(INDEX(polEff_Res,1,22),0,0,2,1)) + INDEX(doEff,3)*(INDEX(eff0Pol_Res,3)+INDEX(pushPol_Res,2)) + SUMPRODUCT(doEff,INDEX(polEff_Res,,21),N(_el&gt;2))</f>
        <v>2.1179760629519944</v>
      </c>
      <c r="AA80" s="33">
        <f ca="1">SUMPRODUCT(OFFSET(doEff,0,0,2,1),OFFSET(INDEX(polEff_Res,1,23),0,0,2,1)) + INDEX(doEff,3)*(INDEX(eff0Pol_Res,3)+INDEX(pushPol_Res,2)) + SUMPRODUCT(doEff,INDEX(polEff_Res,,22),N(_el&gt;2))</f>
        <v>2.1179741589924217</v>
      </c>
      <c r="AB80" s="33">
        <f ca="1">SUMPRODUCT(OFFSET(doEff,0,0,2,1),OFFSET(INDEX(polEff_Res,1,24),0,0,2,1)) + INDEX(doEff,3)*(INDEX(eff0Pol_Res,3)+INDEX(pushPol_Res,2)) + SUMPRODUCT(doEff,INDEX(polEff_Res,,23),N(_el&gt;2))</f>
        <v>2.1179722659016531</v>
      </c>
      <c r="AC80" s="33">
        <f ca="1">SUMPRODUCT(OFFSET(doEff,0,0,2,1),OFFSET(INDEX(polEff_Res,1,25),0,0,2,1)) + INDEX(doEff,3)*(INDEX(eff0Pol_Res,3)+INDEX(pushPol_Res,2)) + SUMPRODUCT(doEff,INDEX(polEff_Res,,24),N(_el&gt;2))</f>
        <v>2.1179703826991414</v>
      </c>
      <c r="AD80" s="33">
        <f ca="1">SUMPRODUCT(OFFSET(doEff,0,0,2,1),OFFSET(INDEX(polEff_Res,1,26),0,0,2,1)) + INDEX(doEff,3)*(INDEX(eff0Pol_Res,3)+INDEX(pushPol_Res,2)) + SUMPRODUCT(doEff,INDEX(polEff_Res,,25),N(_el&gt;2))</f>
        <v>2.1179685084745157</v>
      </c>
      <c r="AE80" s="33">
        <f ca="1">SUMPRODUCT(OFFSET(doEff,0,0,2,1),OFFSET(INDEX(polEff_Res,1,27),0,0,2,1)) + INDEX(doEff,3)*(INDEX(eff0Pol_Res,3)+INDEX(pushPol_Res,2)) + SUMPRODUCT(doEff,INDEX(polEff_Res,,26),N(_el&gt;2))</f>
        <v>2.1179666423881427</v>
      </c>
      <c r="AF80" s="33">
        <f ca="1">SUMPRODUCT(OFFSET(doEff,0,0,2,1),OFFSET(INDEX(polEff_Res,1,28),0,0,2,1)) + INDEX(doEff,3)*(INDEX(eff0Pol_Res,3)+INDEX(pushPol_Res,2)) + SUMPRODUCT(doEff,INDEX(polEff_Res,,27),N(_el&gt;2))</f>
        <v>2.1179647836670297</v>
      </c>
      <c r="AG80" s="33">
        <f ca="1">SUMPRODUCT(OFFSET(doEff,0,0,2,1),OFFSET(INDEX(polEff_Res,1,29),0,0,2,1)) + INDEX(doEff,3)*(INDEX(eff0Pol_Res,3)+INDEX(pushPol_Res,2)) + SUMPRODUCT(doEff,INDEX(polEff_Res,,28),N(_el&gt;2))</f>
        <v>2.1179629315979067</v>
      </c>
      <c r="AH80" s="33">
        <f ca="1">SUMPRODUCT(OFFSET(doEff,0,0,2,1),OFFSET(INDEX(polEff_Res,1,30),0,0,2,1)) + INDEX(doEff,3)*(INDEX(eff0Pol_Res,3)+INDEX(pushPol_Res,2)) + SUMPRODUCT(doEff,INDEX(polEff_Res,,29),N(_el&gt;2))</f>
        <v>2.1179610855192776</v>
      </c>
      <c r="AI80" s="33">
        <f ca="1">SUMPRODUCT(OFFSET(doEff,0,0,2,1),OFFSET(INDEX(polEff_Res,1,31),0,0,2,1)) + INDEX(doEff,3)*(INDEX(eff0Pol_Res,3)+INDEX(pushPol_Res,2)) + SUMPRODUCT(doEff,INDEX(polEff_Res,,30),N(_el&gt;2))</f>
        <v>2.1179592448139553</v>
      </c>
      <c r="AJ80" s="33">
        <f ca="1">SUMPRODUCT(OFFSET(doEff,0,0,2,1),OFFSET(INDEX(polEff_Res,1,32),0,0,2,1)) + INDEX(doEff,3)*(INDEX(eff0Pol_Res,3)+INDEX(pushPol_Res,2)) + SUMPRODUCT(doEff,INDEX(polEff_Res,,31),N(_el&gt;2))</f>
        <v>2.1179574089031874</v>
      </c>
      <c r="AK80" s="33">
        <f ca="1">SUMPRODUCT(OFFSET(doEff,0,0,2,1),OFFSET(INDEX(polEff_Res,1,33),0,0,2,1)) + INDEX(doEff,3)*(INDEX(eff0Pol_Res,3)+INDEX(pushPol_Res,2)) + SUMPRODUCT(doEff,INDEX(polEff_Res,,32),N(_el&gt;2))</f>
        <v>2.1179555772424852</v>
      </c>
      <c r="AL80" s="33">
        <f ca="1">SUMPRODUCT(OFFSET(doEff,0,0,2,1),OFFSET(INDEX(polEff_Res,1,34),0,0,2,1)) + INDEX(doEff,3)*(INDEX(eff0Pol_Res,3)+INDEX(pushPol_Res,2)) + SUMPRODUCT(doEff,INDEX(polEff_Res,,33),N(_el&gt;2))</f>
        <v>2.1179537493186684</v>
      </c>
      <c r="AM80" s="33">
        <f ca="1">SUMPRODUCT(OFFSET(doEff,0,0,2,1),OFFSET(INDEX(polEff_Res,1,35),0,0,2,1)) + INDEX(doEff,3)*(INDEX(eff0Pol_Res,3)+INDEX(pushPol_Res,2)) + SUMPRODUCT(doEff,INDEX(polEff_Res,,34),N(_el&gt;2))</f>
        <v>2.1179519246483465</v>
      </c>
      <c r="AN80" s="34">
        <f ca="1">SUMPRODUCT(OFFSET(doEff,0,0,2,1),OFFSET(INDEX(polEff_Res,1,36),0,0,2,1)) + INDEX(doEff,3)*(INDEX(eff0Pol_Res,3)+INDEX(pushPol_Res,2)) + SUMPRODUCT(doEff,INDEX(polEff_Res,,35),N(_el&gt;2))</f>
        <v>2.1170539419087135</v>
      </c>
      <c r="AO80" s="8"/>
    </row>
    <row r="81" spans="2:41" hidden="1" x14ac:dyDescent="0.35">
      <c r="B81" s="8"/>
      <c r="C81" s="19" t="str">
        <f>"EL 3: " &amp; INDEX(_doName,1,4)</f>
        <v>EL 3: EL 3</v>
      </c>
      <c r="D81" s="11"/>
      <c r="E81" s="33"/>
      <c r="F81" s="33">
        <f ca="1">SUMPRODUCT(OFFSET(doEff,0,0,3,1),OFFSET(INDEX(polEff_Res,1,2),0,0,3,1)) + INDEX(doEff,4)*(INDEX(eff0Pol_Res,4)+INDEX(pushPol_Res,3)) + SUMPRODUCT(doEff,INDEX(polEff_Res,,1),N(_el&gt;3))</f>
        <v>1.9778740517951707</v>
      </c>
      <c r="G81" s="33">
        <f ca="1">SUMPRODUCT(OFFSET(doEff,0,0,3,1),OFFSET(INDEX(polEff_Res,1,3),0,0,3,1)) + INDEX(doEff,4)*(INDEX(eff0Pol_Res,4)+INDEX(pushPol_Res,3)) + SUMPRODUCT(doEff,INDEX(polEff_Res,,2),N(_el&gt;3))</f>
        <v>2.7651490983333202</v>
      </c>
      <c r="H81" s="33">
        <f ca="1">SUMPRODUCT(OFFSET(doEff,0,0,3,1),OFFSET(INDEX(polEff_Res,1,4),0,0,3,1)) + INDEX(doEff,4)*(INDEX(eff0Pol_Res,4)+INDEX(pushPol_Res,3)) + SUMPRODUCT(doEff,INDEX(polEff_Res,,3),N(_el&gt;3))</f>
        <v>2.1190821277053415</v>
      </c>
      <c r="I81" s="33">
        <f ca="1">SUMPRODUCT(OFFSET(doEff,0,0,3,1),OFFSET(INDEX(polEff_Res,1,5),0,0,3,1)) + INDEX(doEff,4)*(INDEX(eff0Pol_Res,4)+INDEX(pushPol_Res,3)) + SUMPRODUCT(doEff,INDEX(polEff_Res,,4),N(_el&gt;3))</f>
        <v>2.1188339821791291</v>
      </c>
      <c r="J81" s="33">
        <f ca="1">SUMPRODUCT(OFFSET(doEff,0,0,3,1),OFFSET(INDEX(polEff_Res,1,6),0,0,3,1)) + INDEX(doEff,4)*(INDEX(eff0Pol_Res,4)+INDEX(pushPol_Res,3)) + SUMPRODUCT(doEff,INDEX(polEff_Res,,5),N(_el&gt;3))</f>
        <v>2.1184284294385614</v>
      </c>
      <c r="K81" s="33">
        <f ca="1">SUMPRODUCT(OFFSET(doEff,0,0,3,1),OFFSET(INDEX(polEff_Res,1,7),0,0,3,1)) + INDEX(doEff,4)*(INDEX(eff0Pol_Res,4)+INDEX(pushPol_Res,3)) + SUMPRODUCT(doEff,INDEX(polEff_Res,,6),N(_el&gt;3))</f>
        <v>2.118362505339705</v>
      </c>
      <c r="L81" s="33">
        <f ca="1">SUMPRODUCT(OFFSET(doEff,0,0,3,1),OFFSET(INDEX(polEff_Res,1,8),0,0,3,1)) + INDEX(doEff,4)*(INDEX(eff0Pol_Res,4)+INDEX(pushPol_Res,3)) + SUMPRODUCT(doEff,INDEX(polEff_Res,,7),N(_el&gt;3))</f>
        <v>2.1182969861820946</v>
      </c>
      <c r="M81" s="33">
        <f ca="1">SUMPRODUCT(OFFSET(doEff,0,0,3,1),OFFSET(INDEX(polEff_Res,1,9),0,0,3,1)) + INDEX(doEff,4)*(INDEX(eff0Pol_Res,4)+INDEX(pushPol_Res,3)) + SUMPRODUCT(doEff,INDEX(polEff_Res,,8),N(_el&gt;3))</f>
        <v>2.1182318581557142</v>
      </c>
      <c r="N81" s="33">
        <f ca="1">SUMPRODUCT(OFFSET(doEff,0,0,3,1),OFFSET(INDEX(polEff_Res,1,10),0,0,3,1)) + INDEX(doEff,4)*(INDEX(eff0Pol_Res,4)+INDEX(pushPol_Res,3)) + SUMPRODUCT(doEff,INDEX(polEff_Res,,9),N(_el&gt;3))</f>
        <v>2.1181671093569574</v>
      </c>
      <c r="O81" s="33">
        <f ca="1">SUMPRODUCT(OFFSET(doEff,0,0,3,1),OFFSET(INDEX(polEff_Res,1,11),0,0,3,1)) + INDEX(doEff,4)*(INDEX(eff0Pol_Res,4)+INDEX(pushPol_Res,3)) + SUMPRODUCT(doEff,INDEX(polEff_Res,,10),N(_el&gt;3))</f>
        <v>2.1180517533621672</v>
      </c>
      <c r="P81" s="33">
        <f ca="1">SUMPRODUCT(OFFSET(doEff,0,0,3,1),OFFSET(INDEX(polEff_Res,1,12),0,0,3,1)) + INDEX(doEff,4)*(INDEX(eff0Pol_Res,4)+INDEX(pushPol_Res,3)) + SUMPRODUCT(doEff,INDEX(polEff_Res,,11),N(_el&gt;3))</f>
        <v>2.1180447495631713</v>
      </c>
      <c r="Q81" s="33">
        <f ca="1">SUMPRODUCT(OFFSET(doEff,0,0,3,1),OFFSET(INDEX(polEff_Res,1,13),0,0,3,1)) + INDEX(doEff,4)*(INDEX(eff0Pol_Res,4)+INDEX(pushPol_Res,3)) + SUMPRODUCT(doEff,INDEX(polEff_Res,,12),N(_el&gt;3))</f>
        <v>2.11803780204465</v>
      </c>
      <c r="R81" s="33">
        <f ca="1">SUMPRODUCT(OFFSET(doEff,0,0,3,1),OFFSET(INDEX(polEff_Res,1,14),0,0,3,1)) + INDEX(doEff,4)*(INDEX(eff0Pol_Res,4)+INDEX(pushPol_Res,3)) + SUMPRODUCT(doEff,INDEX(polEff_Res,,13),N(_el&gt;3))</f>
        <v>2.1180309069647252</v>
      </c>
      <c r="S81" s="33">
        <f ca="1">SUMPRODUCT(OFFSET(doEff,0,0,3,1),OFFSET(INDEX(polEff_Res,1,15),0,0,3,1)) + INDEX(doEff,4)*(INDEX(eff0Pol_Res,4)+INDEX(pushPol_Res,3)) + SUMPRODUCT(doEff,INDEX(polEff_Res,,14),N(_el&gt;3))</f>
        <v>2.1180240608325942</v>
      </c>
      <c r="T81" s="33">
        <f ca="1">SUMPRODUCT(OFFSET(doEff,0,0,3,1),OFFSET(INDEX(polEff_Res,1,16),0,0,3,1)) + INDEX(doEff,4)*(INDEX(eff0Pol_Res,4)+INDEX(pushPol_Res,3)) + SUMPRODUCT(doEff,INDEX(polEff_Res,,15),N(_el&gt;3))</f>
        <v>2.1180172599841467</v>
      </c>
      <c r="U81" s="33">
        <f ca="1">SUMPRODUCT(OFFSET(doEff,0,0,3,1),OFFSET(INDEX(polEff_Res,1,17),0,0,3,1)) + INDEX(doEff,4)*(INDEX(eff0Pol_Res,4)+INDEX(pushPol_Res,3)) + SUMPRODUCT(doEff,INDEX(polEff_Res,,16),N(_el&gt;3))</f>
        <v>2.1180105020296365</v>
      </c>
      <c r="V81" s="33">
        <f ca="1">SUMPRODUCT(OFFSET(doEff,0,0,3,1),OFFSET(INDEX(polEff_Res,1,18),0,0,3,1)) + INDEX(doEff,4)*(INDEX(eff0Pol_Res,4)+INDEX(pushPol_Res,3)) + SUMPRODUCT(doEff,INDEX(polEff_Res,,17),N(_el&gt;3))</f>
        <v>2.1180037845862767</v>
      </c>
      <c r="W81" s="33">
        <f ca="1">SUMPRODUCT(OFFSET(doEff,0,0,3,1),OFFSET(INDEX(polEff_Res,1,19),0,0,3,1)) + INDEX(doEff,4)*(INDEX(eff0Pol_Res,4)+INDEX(pushPol_Res,3)) + SUMPRODUCT(doEff,INDEX(polEff_Res,,18),N(_el&gt;3))</f>
        <v>2.1179971056486013</v>
      </c>
      <c r="X81" s="33">
        <f ca="1">SUMPRODUCT(OFFSET(doEff,0,0,3,1),OFFSET(INDEX(polEff_Res,1,20),0,0,3,1)) + INDEX(doEff,4)*(INDEX(eff0Pol_Res,4)+INDEX(pushPol_Res,3)) + SUMPRODUCT(doEff,INDEX(polEff_Res,,19),N(_el&gt;3))</f>
        <v>2.1179904634796118</v>
      </c>
      <c r="Y81" s="33">
        <f ca="1">SUMPRODUCT(OFFSET(doEff,0,0,3,1),OFFSET(INDEX(polEff_Res,1,21),0,0,3,1)) + INDEX(doEff,4)*(INDEX(eff0Pol_Res,4)+INDEX(pushPol_Res,3)) + SUMPRODUCT(doEff,INDEX(polEff_Res,,20),N(_el&gt;3))</f>
        <v>2.1179796993329614</v>
      </c>
      <c r="Z81" s="33">
        <f ca="1">SUMPRODUCT(OFFSET(doEff,0,0,3,1),OFFSET(INDEX(polEff_Res,1,22),0,0,3,1)) + INDEX(doEff,4)*(INDEX(eff0Pol_Res,4)+INDEX(pushPol_Res,3)) + SUMPRODUCT(doEff,INDEX(polEff_Res,,21),N(_el&gt;3))</f>
        <v>2.1179777727577949</v>
      </c>
      <c r="AA81" s="33">
        <f ca="1">SUMPRODUCT(OFFSET(doEff,0,0,3,1),OFFSET(INDEX(polEff_Res,1,23),0,0,3,1)) + INDEX(doEff,4)*(INDEX(eff0Pol_Res,4)+INDEX(pushPol_Res,3)) + SUMPRODUCT(doEff,INDEX(polEff_Res,,22),N(_el&gt;3))</f>
        <v>2.1179758590377502</v>
      </c>
      <c r="AB81" s="33">
        <f ca="1">SUMPRODUCT(OFFSET(doEff,0,0,3,1),OFFSET(INDEX(polEff_Res,1,24),0,0,3,1)) + INDEX(doEff,4)*(INDEX(eff0Pol_Res,4)+INDEX(pushPol_Res,3)) + SUMPRODUCT(doEff,INDEX(polEff_Res,,23),N(_el&gt;3))</f>
        <v>2.1179739570670675</v>
      </c>
      <c r="AC81" s="33">
        <f ca="1">SUMPRODUCT(OFFSET(doEff,0,0,3,1),OFFSET(INDEX(polEff_Res,1,25),0,0,3,1)) + INDEX(doEff,4)*(INDEX(eff0Pol_Res,4)+INDEX(pushPol_Res,3)) + SUMPRODUCT(doEff,INDEX(polEff_Res,,24),N(_el&gt;3))</f>
        <v>2.117972065802177</v>
      </c>
      <c r="AD81" s="33">
        <f ca="1">SUMPRODUCT(OFFSET(doEff,0,0,3,1),OFFSET(INDEX(polEff_Res,1,26),0,0,3,1)) + INDEX(doEff,4)*(INDEX(eff0Pol_Res,4)+INDEX(pushPol_Res,3)) + SUMPRODUCT(doEff,INDEX(polEff_Res,,25),N(_el&gt;3))</f>
        <v>2.1179701842691854</v>
      </c>
      <c r="AE81" s="33">
        <f ca="1">SUMPRODUCT(OFFSET(doEff,0,0,3,1),OFFSET(INDEX(polEff_Res,1,27),0,0,3,1)) + INDEX(doEff,4)*(INDEX(eff0Pol_Res,4)+INDEX(pushPol_Res,3)) + SUMPRODUCT(doEff,INDEX(polEff_Res,,26),N(_el&gt;3))</f>
        <v>2.1179683115686161</v>
      </c>
      <c r="AF81" s="33">
        <f ca="1">SUMPRODUCT(OFFSET(doEff,0,0,3,1),OFFSET(INDEX(polEff_Res,1,28),0,0,3,1)) + INDEX(doEff,4)*(INDEX(eff0Pol_Res,4)+INDEX(pushPol_Res,3)) + SUMPRODUCT(doEff,INDEX(polEff_Res,,27),N(_el&gt;3))</f>
        <v>2.1179664468738402</v>
      </c>
      <c r="AG81" s="33">
        <f ca="1">SUMPRODUCT(OFFSET(doEff,0,0,3,1),OFFSET(INDEX(polEff_Res,1,29),0,0,3,1)) + INDEX(doEff,4)*(INDEX(eff0Pol_Res,4)+INDEX(pushPol_Res,3)) + SUMPRODUCT(doEff,INDEX(polEff_Res,,28),N(_el&gt;3))</f>
        <v>2.1179645894250965</v>
      </c>
      <c r="AH81" s="33">
        <f ca="1">SUMPRODUCT(OFFSET(doEff,0,0,3,1),OFFSET(INDEX(polEff_Res,1,30),0,0,3,1)) + INDEX(doEff,4)*(INDEX(eff0Pol_Res,4)+INDEX(pushPol_Res,3)) + SUMPRODUCT(doEff,INDEX(polEff_Res,,29),N(_el&gt;3))</f>
        <v>2.1179627385210966</v>
      </c>
      <c r="AI81" s="33">
        <f ca="1">SUMPRODUCT(OFFSET(doEff,0,0,3,1),OFFSET(INDEX(polEff_Res,1,31),0,0,3,1)) + INDEX(doEff,4)*(INDEX(eff0Pol_Res,4)+INDEX(pushPol_Res,3)) + SUMPRODUCT(doEff,INDEX(polEff_Res,,30),N(_el&gt;3))</f>
        <v>2.1179608935101388</v>
      </c>
      <c r="AJ81" s="33">
        <f ca="1">SUMPRODUCT(OFFSET(doEff,0,0,3,1),OFFSET(INDEX(polEff_Res,1,32),0,0,3,1)) + INDEX(doEff,4)*(INDEX(eff0Pol_Res,4)+INDEX(pushPol_Res,3)) + SUMPRODUCT(doEff,INDEX(polEff_Res,,31),N(_el&gt;3))</f>
        <v>2.1179590537827004</v>
      </c>
      <c r="AK81" s="33">
        <f ca="1">SUMPRODUCT(OFFSET(doEff,0,0,3,1),OFFSET(INDEX(polEff_Res,1,33),0,0,3,1)) + INDEX(doEff,4)*(INDEX(eff0Pol_Res,4)+INDEX(pushPol_Res,3)) + SUMPRODUCT(doEff,INDEX(polEff_Res,,32),N(_el&gt;3))</f>
        <v>2.1179572187661759</v>
      </c>
      <c r="AL81" s="33">
        <f ca="1">SUMPRODUCT(OFFSET(doEff,0,0,3,1),OFFSET(INDEX(polEff_Res,1,34),0,0,3,1)) + INDEX(doEff,4)*(INDEX(eff0Pol_Res,4)+INDEX(pushPol_Res,3)) + SUMPRODUCT(doEff,INDEX(polEff_Res,,33),N(_el&gt;3))</f>
        <v>2.117955387920635</v>
      </c>
      <c r="AM81" s="33">
        <f ca="1">SUMPRODUCT(OFFSET(doEff,0,0,3,1),OFFSET(INDEX(polEff_Res,1,35),0,0,3,1)) + INDEX(doEff,4)*(INDEX(eff0Pol_Res,4)+INDEX(pushPol_Res,3)) + SUMPRODUCT(doEff,INDEX(polEff_Res,,34),N(_el&gt;3))</f>
        <v>2.1187583367796616</v>
      </c>
      <c r="AN81" s="34">
        <f ca="1">SUMPRODUCT(OFFSET(doEff,0,0,3,1),OFFSET(INDEX(polEff_Res,1,36),0,0,3,1)) + INDEX(doEff,4)*(INDEX(eff0Pol_Res,4)+INDEX(pushPol_Res,3)) + SUMPRODUCT(doEff,INDEX(polEff_Res,,35),N(_el&gt;3))</f>
        <v>2.1170539419087135</v>
      </c>
      <c r="AO81" s="8"/>
    </row>
    <row r="82" spans="2:41" hidden="1" x14ac:dyDescent="0.35">
      <c r="B82" s="8"/>
      <c r="C82" s="35" t="str">
        <f>"EL 4: " &amp; INDEX(_doName,1,5)</f>
        <v>EL 4: EL 4</v>
      </c>
      <c r="D82" s="15"/>
      <c r="E82" s="21"/>
      <c r="F82" s="21">
        <f ca="1">SUMPRODUCT(OFFSET(doEff,0,0,4,1),OFFSET(INDEX(polEff_Res,1,2),0,0,4,1)) + INDEX(doEff,5)*(INDEX(eff0Pol_Res,5)+INDEX(pushPol_Res,4)) + 0</f>
        <v>1.977680333633276</v>
      </c>
      <c r="G82" s="21">
        <f ca="1">SUMPRODUCT(OFFSET(doEff,0,0,4,1),OFFSET(INDEX(polEff_Res,1,3),0,0,4,1)) + INDEX(doEff,5)*(INDEX(eff0Pol_Res,5)+INDEX(pushPol_Res,4)) + 0</f>
        <v>2.1178951949195657</v>
      </c>
      <c r="H82" s="21">
        <f ca="1">SUMPRODUCT(OFFSET(doEff,0,0,4,1),OFFSET(INDEX(polEff_Res,1,4),0,0,4,1)) + INDEX(doEff,5)*(INDEX(eff0Pol_Res,5)+INDEX(pushPol_Res,4)) + 0</f>
        <v>2.1188088552931732</v>
      </c>
      <c r="I82" s="21">
        <f ca="1">SUMPRODUCT(OFFSET(doEff,0,0,4,1),OFFSET(INDEX(polEff_Res,1,5),0,0,4,1)) + INDEX(doEff,5)*(INDEX(eff0Pol_Res,5)+INDEX(pushPol_Res,4)) + 0</f>
        <v>2.1185627252579287</v>
      </c>
      <c r="J82" s="21">
        <f ca="1">SUMPRODUCT(OFFSET(doEff,0,0,4,1),OFFSET(INDEX(polEff_Res,1,6),0,0,4,1)) + INDEX(doEff,5)*(INDEX(eff0Pol_Res,5)+INDEX(pushPol_Res,4)) + 0</f>
        <v>2.1183557409039051</v>
      </c>
      <c r="K82" s="21">
        <f ca="1">SUMPRODUCT(OFFSET(doEff,0,0,4,1),OFFSET(INDEX(polEff_Res,1,7),0,0,4,1)) + INDEX(doEff,5)*(INDEX(eff0Pol_Res,5)+INDEX(pushPol_Res,4)) + 0</f>
        <v>2.1182902530936172</v>
      </c>
      <c r="L82" s="21">
        <f ca="1">SUMPRODUCT(OFFSET(doEff,0,0,4,1),OFFSET(INDEX(polEff_Res,1,8),0,0,4,1)) + INDEX(doEff,5)*(INDEX(eff0Pol_Res,5)+INDEX(pushPol_Res,4)) + 0</f>
        <v>2.1182251561825409</v>
      </c>
      <c r="M82" s="21">
        <f ca="1">SUMPRODUCT(OFFSET(doEff,0,0,4,1),OFFSET(INDEX(polEff_Res,1,9),0,0,4,1)) + INDEX(doEff,5)*(INDEX(eff0Pol_Res,5)+INDEX(pushPol_Res,4)) + 0</f>
        <v>2.1181604377716403</v>
      </c>
      <c r="N82" s="21">
        <f ca="1">SUMPRODUCT(OFFSET(doEff,0,0,4,1),OFFSET(INDEX(polEff_Res,1,10),0,0,4,1)) + INDEX(doEff,5)*(INDEX(eff0Pol_Res,5)+INDEX(pushPol_Res,4)) + 0</f>
        <v>2.1180960865861529</v>
      </c>
      <c r="O82" s="21">
        <f ca="1">SUMPRODUCT(OFFSET(doEff,0,0,4,1),OFFSET(INDEX(polEff_Res,1,11),0,0,4,1)) + INDEX(doEff,5)*(INDEX(eff0Pol_Res,5)+INDEX(pushPol_Res,4)) + 0</f>
        <v>2.1180440421222047</v>
      </c>
      <c r="P82" s="21">
        <f ca="1">SUMPRODUCT(OFFSET(doEff,0,0,4,1),OFFSET(INDEX(polEff_Res,1,12),0,0,4,1)) + INDEX(doEff,5)*(INDEX(eff0Pol_Res,5)+INDEX(pushPol_Res,4)) + 0</f>
        <v>2.1180370971631834</v>
      </c>
      <c r="Q82" s="21">
        <f ca="1">SUMPRODUCT(OFFSET(doEff,0,0,4,1),OFFSET(INDEX(polEff_Res,1,13),0,0,4,1)) + INDEX(doEff,5)*(INDEX(eff0Pol_Res,5)+INDEX(pushPol_Res,4)) + 0</f>
        <v>2.118030204531641</v>
      </c>
      <c r="R82" s="21">
        <f ca="1">SUMPRODUCT(OFFSET(doEff,0,0,4,1),OFFSET(INDEX(polEff_Res,1,14),0,0,4,1)) + INDEX(doEff,5)*(INDEX(eff0Pol_Res,5)+INDEX(pushPol_Res,4)) + 0</f>
        <v>2.1180233607263679</v>
      </c>
      <c r="S82" s="21">
        <f ca="1">SUMPRODUCT(OFFSET(doEff,0,0,4,1),OFFSET(INDEX(polEff_Res,1,15),0,0,4,1)) + INDEX(doEff,5)*(INDEX(eff0Pol_Res,5)+INDEX(pushPol_Res,4)) + 0</f>
        <v>2.1180165625432017</v>
      </c>
      <c r="T82" s="21">
        <f ca="1">SUMPRODUCT(OFFSET(doEff,0,0,4,1),OFFSET(INDEX(polEff_Res,1,16),0,0,4,1)) + INDEX(doEff,5)*(INDEX(eff0Pol_Res,5)+INDEX(pushPol_Res,4)) + 0</f>
        <v>2.1180098071378</v>
      </c>
      <c r="U82" s="21">
        <f ca="1">SUMPRODUCT(OFFSET(doEff,0,0,4,1),OFFSET(INDEX(polEff_Res,1,17),0,0,4,1)) + INDEX(doEff,5)*(INDEX(eff0Pol_Res,5)+INDEX(pushPol_Res,4)) + 0</f>
        <v>2.1180030922799218</v>
      </c>
      <c r="V82" s="21">
        <f ca="1">SUMPRODUCT(OFFSET(doEff,0,0,4,1),OFFSET(INDEX(polEff_Res,1,18),0,0,4,1)) + INDEX(doEff,5)*(INDEX(eff0Pol_Res,5)+INDEX(pushPol_Res,4)) + 0</f>
        <v>2.1179964159153135</v>
      </c>
      <c r="W82" s="21">
        <f ca="1">SUMPRODUCT(OFFSET(doEff,0,0,4,1),OFFSET(INDEX(polEff_Res,1,19),0,0,4,1)) + INDEX(doEff,5)*(INDEX(eff0Pol_Res,5)+INDEX(pushPol_Res,4)) + 0</f>
        <v>2.1179897762671027</v>
      </c>
      <c r="X82" s="21">
        <f ca="1">SUMPRODUCT(OFFSET(doEff,0,0,4,1),OFFSET(INDEX(polEff_Res,1,20),0,0,4,1)) + INDEX(doEff,5)*(INDEX(eff0Pol_Res,5)+INDEX(pushPol_Res,4)) + 0</f>
        <v>2.1179831717500321</v>
      </c>
      <c r="Y82" s="21">
        <f ca="1">SUMPRODUCT(OFFSET(doEff,0,0,4,1),OFFSET(INDEX(polEff_Res,1,21),0,0,4,1)) + INDEX(doEff,5)*(INDEX(eff0Pol_Res,5)+INDEX(pushPol_Res,4)) + 0</f>
        <v>2.1179775754848058</v>
      </c>
      <c r="Z82" s="21">
        <f ca="1">SUMPRODUCT(OFFSET(doEff,0,0,4,1),OFFSET(INDEX(polEff_Res,1,22),0,0,4,1)) + INDEX(doEff,5)*(INDEX(eff0Pol_Res,5)+INDEX(pushPol_Res,4)) + 0</f>
        <v>2.1179756621184</v>
      </c>
      <c r="AA82" s="21">
        <f ca="1">SUMPRODUCT(OFFSET(doEff,0,0,4,1),OFFSET(INDEX(polEff_Res,1,23),0,0,4,1)) + INDEX(doEff,5)*(INDEX(eff0Pol_Res,5)+INDEX(pushPol_Res,4)) + 0</f>
        <v>2.1179737604469966</v>
      </c>
      <c r="AB82" s="21">
        <f ca="1">SUMPRODUCT(OFFSET(doEff,0,0,4,1),OFFSET(INDEX(polEff_Res,1,24),0,0,4,1)) + INDEX(doEff,5)*(INDEX(eff0Pol_Res,5)+INDEX(pushPol_Res,4)) + 0</f>
        <v>2.1179718694379668</v>
      </c>
      <c r="AC82" s="21">
        <f ca="1">SUMPRODUCT(OFFSET(doEff,0,0,4,1),OFFSET(INDEX(polEff_Res,1,25),0,0,4,1)) + INDEX(doEff,5)*(INDEX(eff0Pol_Res,5)+INDEX(pushPol_Res,4)) + 0</f>
        <v>2.1179699881255361</v>
      </c>
      <c r="AD82" s="21">
        <f ca="1">SUMPRODUCT(OFFSET(doEff,0,0,4,1),OFFSET(INDEX(polEff_Res,1,26),0,0,4,1)) + INDEX(doEff,5)*(INDEX(eff0Pol_Res,5)+INDEX(pushPol_Res,4)) + 0</f>
        <v>2.1179681156142265</v>
      </c>
      <c r="AE82" s="21">
        <f ca="1">SUMPRODUCT(OFFSET(doEff,0,0,4,1),OFFSET(INDEX(polEff_Res,1,27),0,0,4,1)) + INDEX(doEff,5)*(INDEX(eff0Pol_Res,5)+INDEX(pushPol_Res,4)) + 0</f>
        <v>2.1179662510784345</v>
      </c>
      <c r="AF82" s="21">
        <f ca="1">SUMPRODUCT(OFFSET(doEff,0,0,4,1),OFFSET(INDEX(polEff_Res,1,28),0,0,4,1)) + INDEX(doEff,5)*(INDEX(eff0Pol_Res,5)+INDEX(pushPol_Res,4)) + 0</f>
        <v>2.1179643937577408</v>
      </c>
      <c r="AG82" s="21">
        <f ca="1">SUMPRODUCT(OFFSET(doEff,0,0,4,1),OFFSET(INDEX(polEff_Res,1,29),0,0,4,1)) + INDEX(doEff,5)*(INDEX(eff0Pol_Res,5)+INDEX(pushPol_Res,4)) + 0</f>
        <v>2.1179625429497744</v>
      </c>
      <c r="AH82" s="21">
        <f ca="1">SUMPRODUCT(OFFSET(doEff,0,0,4,1),OFFSET(INDEX(polEff_Res,1,30),0,0,4,1)) + INDEX(doEff,5)*(INDEX(eff0Pol_Res,5)+INDEX(pushPol_Res,4)) + 0</f>
        <v>2.117960698002368</v>
      </c>
      <c r="AI82" s="21">
        <f ca="1">SUMPRODUCT(OFFSET(doEff,0,0,4,1),OFFSET(INDEX(polEff_Res,1,31),0,0,4,1)) + INDEX(doEff,5)*(INDEX(eff0Pol_Res,5)+INDEX(pushPol_Res,4)) + 0</f>
        <v>2.1179588583064257</v>
      </c>
      <c r="AJ82" s="21">
        <f ca="1">SUMPRODUCT(OFFSET(doEff,0,0,4,1),OFFSET(INDEX(polEff_Res,1,32),0,0,4,1)) + INDEX(doEff,5)*(INDEX(eff0Pol_Res,5)+INDEX(pushPol_Res,4)) + 0</f>
        <v>2.1179570232904084</v>
      </c>
      <c r="AK82" s="21">
        <f ca="1">SUMPRODUCT(OFFSET(doEff,0,0,4,1),OFFSET(INDEX(polEff_Res,1,33),0,0,4,1)) + INDEX(doEff,5)*(INDEX(eff0Pol_Res,5)+INDEX(pushPol_Res,4)) + 0</f>
        <v>2.1179551924164186</v>
      </c>
      <c r="AL82" s="21">
        <f ca="1">SUMPRODUCT(OFFSET(doEff,0,0,4,1),OFFSET(INDEX(polEff_Res,1,34),0,0,4,1)) + INDEX(doEff,5)*(INDEX(eff0Pol_Res,5)+INDEX(pushPol_Res,4)) + 0</f>
        <v>2.1179533651775482</v>
      </c>
      <c r="AM82" s="21">
        <f ca="1">SUMPRODUCT(OFFSET(doEff,0,0,4,1),OFFSET(INDEX(polEff_Res,1,35),0,0,4,1)) + INDEX(doEff,5)*(INDEX(eff0Pol_Res,5)+INDEX(pushPol_Res,4)) + 0</f>
        <v>2.1177628756505289</v>
      </c>
      <c r="AN82" s="22">
        <f ca="1">SUMPRODUCT(OFFSET(doEff,0,0,4,1),OFFSET(INDEX(polEff_Res,1,36),0,0,4,1)) + INDEX(doEff,5)*(INDEX(eff0Pol_Res,5)+INDEX(pushPol_Res,4)) + 0</f>
        <v>2.1170539419087135</v>
      </c>
      <c r="AO82" s="8"/>
    </row>
    <row r="83" spans="2:41" hidden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</row>
    <row r="84" spans="2:41" hidden="1" x14ac:dyDescent="0.35">
      <c r="B84" s="8"/>
      <c r="C84" s="23" t="s">
        <v>100</v>
      </c>
      <c r="D84" s="24"/>
      <c r="E84" s="26">
        <f t="array" ref="E84:AN84">_yS</f>
        <v>2024</v>
      </c>
      <c r="F84" s="26">
        <v>2025</v>
      </c>
      <c r="G84" s="26">
        <v>2026</v>
      </c>
      <c r="H84" s="26">
        <v>2027</v>
      </c>
      <c r="I84" s="26">
        <v>2028</v>
      </c>
      <c r="J84" s="26">
        <v>2029</v>
      </c>
      <c r="K84" s="26">
        <v>2030</v>
      </c>
      <c r="L84" s="26">
        <v>2031</v>
      </c>
      <c r="M84" s="26">
        <v>2032</v>
      </c>
      <c r="N84" s="26">
        <v>2033</v>
      </c>
      <c r="O84" s="26">
        <v>2034</v>
      </c>
      <c r="P84" s="26">
        <v>2035</v>
      </c>
      <c r="Q84" s="26">
        <v>2036</v>
      </c>
      <c r="R84" s="26">
        <v>2037</v>
      </c>
      <c r="S84" s="26">
        <v>2038</v>
      </c>
      <c r="T84" s="26">
        <v>2039</v>
      </c>
      <c r="U84" s="26">
        <v>2040</v>
      </c>
      <c r="V84" s="26">
        <v>2041</v>
      </c>
      <c r="W84" s="26">
        <v>2042</v>
      </c>
      <c r="X84" s="26">
        <v>2043</v>
      </c>
      <c r="Y84" s="26">
        <v>2044</v>
      </c>
      <c r="Z84" s="26">
        <v>2045</v>
      </c>
      <c r="AA84" s="26">
        <v>2046</v>
      </c>
      <c r="AB84" s="26">
        <v>2047</v>
      </c>
      <c r="AC84" s="26">
        <v>2048</v>
      </c>
      <c r="AD84" s="26">
        <v>2049</v>
      </c>
      <c r="AE84" s="26">
        <v>2050</v>
      </c>
      <c r="AF84" s="26">
        <v>2051</v>
      </c>
      <c r="AG84" s="26">
        <v>2052</v>
      </c>
      <c r="AH84" s="26">
        <v>2053</v>
      </c>
      <c r="AI84" s="26">
        <v>2054</v>
      </c>
      <c r="AJ84" s="26">
        <v>2055</v>
      </c>
      <c r="AK84" s="26">
        <v>2056</v>
      </c>
      <c r="AL84" s="26">
        <v>2057</v>
      </c>
      <c r="AM84" s="26">
        <v>2058</v>
      </c>
      <c r="AN84" s="27">
        <v>2059</v>
      </c>
      <c r="AO84" s="8"/>
    </row>
    <row r="85" spans="2:41" hidden="1" x14ac:dyDescent="0.35">
      <c r="B85" s="8"/>
      <c r="C85" s="19" t="s">
        <v>89</v>
      </c>
      <c r="D85" s="11"/>
      <c r="E85" s="43">
        <f>0</f>
        <v>0</v>
      </c>
      <c r="F85" s="43">
        <f t="array" ref="F85:AN85">$E$85</f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0</v>
      </c>
      <c r="AA85" s="43">
        <v>0</v>
      </c>
      <c r="AB85" s="43">
        <v>0</v>
      </c>
      <c r="AC85" s="43">
        <v>0</v>
      </c>
      <c r="AD85" s="43">
        <v>0</v>
      </c>
      <c r="AE85" s="43">
        <v>0</v>
      </c>
      <c r="AF85" s="43">
        <v>0</v>
      </c>
      <c r="AG85" s="43">
        <v>0</v>
      </c>
      <c r="AH85" s="43">
        <v>0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4">
        <v>0</v>
      </c>
      <c r="AO85" s="8"/>
    </row>
    <row r="86" spans="2:41" hidden="1" x14ac:dyDescent="0.35">
      <c r="B86" s="8"/>
      <c r="C86" s="19" t="str">
        <f>"EL 0: " &amp; INDEX(_doName,1,1)</f>
        <v>EL 0: Baseline</v>
      </c>
      <c r="D86" s="11"/>
      <c r="E86" s="43"/>
      <c r="F86" s="43">
        <f>(INDEX(teffSumBC_Res,1,2)&lt;INDEX(effGoalBC_Res,2)) * MIN(INDEX(bcEff_Res,1,1),(INDEX(effGoalBC_Res,2)-INDEX(teffSumBC_Res,1,2))/(INDEX(doEff,2)-INDEX(doEff,1)))</f>
        <v>0</v>
      </c>
      <c r="G86" s="43">
        <f ca="1">(INDEX(teffSumBC_Res,1,3)&lt;INDEX(effGoalBC_Res,3)) * MIN(INDEX(bcEff_Res,1,2),(INDEX(effGoalBC_Res,3)-INDEX(teffSumBC_Res,1,3))/(INDEX(doEff,2)-INDEX(doEff,1)))</f>
        <v>0</v>
      </c>
      <c r="H86" s="43">
        <f ca="1">(INDEX(teffSumBC_Res,1,4)&lt;INDEX(effGoalBC_Res,4)) * MIN(INDEX(bcEff_Res,1,3),(INDEX(effGoalBC_Res,4)-INDEX(teffSumBC_Res,1,4))/(INDEX(doEff,2)-INDEX(doEff,1)))</f>
        <v>0</v>
      </c>
      <c r="I86" s="43">
        <f ca="1">(INDEX(teffSumBC_Res,1,5)&lt;INDEX(effGoalBC_Res,5)) * MIN(INDEX(bcEff_Res,1,4),(INDEX(effGoalBC_Res,5)-INDEX(teffSumBC_Res,1,5))/(INDEX(doEff,2)-INDEX(doEff,1)))</f>
        <v>0</v>
      </c>
      <c r="J86" s="43">
        <f ca="1">(INDEX(teffSumBC_Res,1,6)&lt;INDEX(effGoalBC_Res,6)) * MIN(INDEX(bcEff_Res,1,5),(INDEX(effGoalBC_Res,6)-INDEX(teffSumBC_Res,1,6))/(INDEX(doEff,2)-INDEX(doEff,1)))</f>
        <v>0</v>
      </c>
      <c r="K86" s="43">
        <f ca="1">(INDEX(teffSumBC_Res,1,7)&lt;INDEX(effGoalBC_Res,7)) * MIN(INDEX(bcEff_Res,1,6),(INDEX(effGoalBC_Res,7)-INDEX(teffSumBC_Res,1,7))/(INDEX(doEff,2)-INDEX(doEff,1)))</f>
        <v>0</v>
      </c>
      <c r="L86" s="43">
        <f ca="1">(INDEX(teffSumBC_Res,1,8)&lt;INDEX(effGoalBC_Res,8)) * MIN(INDEX(bcEff_Res,1,7),(INDEX(effGoalBC_Res,8)-INDEX(teffSumBC_Res,1,8))/(INDEX(doEff,2)-INDEX(doEff,1)))</f>
        <v>0</v>
      </c>
      <c r="M86" s="43">
        <f ca="1">(INDEX(teffSumBC_Res,1,9)&lt;INDEX(effGoalBC_Res,9)) * MIN(INDEX(bcEff_Res,1,8),(INDEX(effGoalBC_Res,9)-INDEX(teffSumBC_Res,1,9))/(INDEX(doEff,2)-INDEX(doEff,1)))</f>
        <v>0</v>
      </c>
      <c r="N86" s="43">
        <f ca="1">(INDEX(teffSumBC_Res,1,10)&lt;INDEX(effGoalBC_Res,10)) * MIN(INDEX(bcEff_Res,1,9),(INDEX(effGoalBC_Res,10)-INDEX(teffSumBC_Res,1,10))/(INDEX(doEff,2)-INDEX(doEff,1)))</f>
        <v>0</v>
      </c>
      <c r="O86" s="43">
        <f ca="1">(INDEX(teffSumBC_Res,1,11)&lt;INDEX(effGoalBC_Res,11)) * MIN(INDEX(bcEff_Res,1,10),(INDEX(effGoalBC_Res,11)-INDEX(teffSumBC_Res,1,11))/(INDEX(doEff,2)-INDEX(doEff,1)))</f>
        <v>0</v>
      </c>
      <c r="P86" s="43">
        <f ca="1">(INDEX(teffSumBC_Res,1,12)&lt;INDEX(effGoalBC_Res,12)) * MIN(INDEX(bcEff_Res,1,11),(INDEX(effGoalBC_Res,12)-INDEX(teffSumBC_Res,1,12))/(INDEX(doEff,2)-INDEX(doEff,1)))</f>
        <v>0</v>
      </c>
      <c r="Q86" s="43">
        <f ca="1">(INDEX(teffSumBC_Res,1,13)&lt;INDEX(effGoalBC_Res,13)) * MIN(INDEX(bcEff_Res,1,12),(INDEX(effGoalBC_Res,13)-INDEX(teffSumBC_Res,1,13))/(INDEX(doEff,2)-INDEX(doEff,1)))</f>
        <v>0</v>
      </c>
      <c r="R86" s="43">
        <f ca="1">(INDEX(teffSumBC_Res,1,14)&lt;INDEX(effGoalBC_Res,14)) * MIN(INDEX(bcEff_Res,1,13),(INDEX(effGoalBC_Res,14)-INDEX(teffSumBC_Res,1,14))/(INDEX(doEff,2)-INDEX(doEff,1)))</f>
        <v>0</v>
      </c>
      <c r="S86" s="43">
        <f ca="1">(INDEX(teffSumBC_Res,1,15)&lt;INDEX(effGoalBC_Res,15)) * MIN(INDEX(bcEff_Res,1,14),(INDEX(effGoalBC_Res,15)-INDEX(teffSumBC_Res,1,15))/(INDEX(doEff,2)-INDEX(doEff,1)))</f>
        <v>0</v>
      </c>
      <c r="T86" s="43">
        <f ca="1">(INDEX(teffSumBC_Res,1,16)&lt;INDEX(effGoalBC_Res,16)) * MIN(INDEX(bcEff_Res,1,15),(INDEX(effGoalBC_Res,16)-INDEX(teffSumBC_Res,1,16))/(INDEX(doEff,2)-INDEX(doEff,1)))</f>
        <v>0</v>
      </c>
      <c r="U86" s="43">
        <f ca="1">(INDEX(teffSumBC_Res,1,17)&lt;INDEX(effGoalBC_Res,17)) * MIN(INDEX(bcEff_Res,1,16),(INDEX(effGoalBC_Res,17)-INDEX(teffSumBC_Res,1,17))/(INDEX(doEff,2)-INDEX(doEff,1)))</f>
        <v>0</v>
      </c>
      <c r="V86" s="43">
        <f ca="1">(INDEX(teffSumBC_Res,1,18)&lt;INDEX(effGoalBC_Res,18)) * MIN(INDEX(bcEff_Res,1,17),(INDEX(effGoalBC_Res,18)-INDEX(teffSumBC_Res,1,18))/(INDEX(doEff,2)-INDEX(doEff,1)))</f>
        <v>0</v>
      </c>
      <c r="W86" s="43">
        <f ca="1">(INDEX(teffSumBC_Res,1,19)&lt;INDEX(effGoalBC_Res,19)) * MIN(INDEX(bcEff_Res,1,18),(INDEX(effGoalBC_Res,19)-INDEX(teffSumBC_Res,1,19))/(INDEX(doEff,2)-INDEX(doEff,1)))</f>
        <v>0</v>
      </c>
      <c r="X86" s="43">
        <f ca="1">(INDEX(teffSumBC_Res,1,20)&lt;INDEX(effGoalBC_Res,20)) * MIN(INDEX(bcEff_Res,1,19),(INDEX(effGoalBC_Res,20)-INDEX(teffSumBC_Res,1,20))/(INDEX(doEff,2)-INDEX(doEff,1)))</f>
        <v>0</v>
      </c>
      <c r="Y86" s="43">
        <f ca="1">(INDEX(teffSumBC_Res,1,21)&lt;INDEX(effGoalBC_Res,21)) * MIN(INDEX(bcEff_Res,1,20),(INDEX(effGoalBC_Res,21)-INDEX(teffSumBC_Res,1,21))/(INDEX(doEff,2)-INDEX(doEff,1)))</f>
        <v>0</v>
      </c>
      <c r="Z86" s="43">
        <f ca="1">(INDEX(teffSumBC_Res,1,22)&lt;INDEX(effGoalBC_Res,22)) * MIN(INDEX(bcEff_Res,1,21),(INDEX(effGoalBC_Res,22)-INDEX(teffSumBC_Res,1,22))/(INDEX(doEff,2)-INDEX(doEff,1)))</f>
        <v>0</v>
      </c>
      <c r="AA86" s="43">
        <f ca="1">(INDEX(teffSumBC_Res,1,23)&lt;INDEX(effGoalBC_Res,23)) * MIN(INDEX(bcEff_Res,1,22),(INDEX(effGoalBC_Res,23)-INDEX(teffSumBC_Res,1,23))/(INDEX(doEff,2)-INDEX(doEff,1)))</f>
        <v>0</v>
      </c>
      <c r="AB86" s="43">
        <f ca="1">(INDEX(teffSumBC_Res,1,24)&lt;INDEX(effGoalBC_Res,24)) * MIN(INDEX(bcEff_Res,1,23),(INDEX(effGoalBC_Res,24)-INDEX(teffSumBC_Res,1,24))/(INDEX(doEff,2)-INDEX(doEff,1)))</f>
        <v>0</v>
      </c>
      <c r="AC86" s="43">
        <f ca="1">(INDEX(teffSumBC_Res,1,25)&lt;INDEX(effGoalBC_Res,25)) * MIN(INDEX(bcEff_Res,1,24),(INDEX(effGoalBC_Res,25)-INDEX(teffSumBC_Res,1,25))/(INDEX(doEff,2)-INDEX(doEff,1)))</f>
        <v>0</v>
      </c>
      <c r="AD86" s="43">
        <f ca="1">(INDEX(teffSumBC_Res,1,26)&lt;INDEX(effGoalBC_Res,26)) * MIN(INDEX(bcEff_Res,1,25),(INDEX(effGoalBC_Res,26)-INDEX(teffSumBC_Res,1,26))/(INDEX(doEff,2)-INDEX(doEff,1)))</f>
        <v>0</v>
      </c>
      <c r="AE86" s="43">
        <f ca="1">(INDEX(teffSumBC_Res,1,27)&lt;INDEX(effGoalBC_Res,27)) * MIN(INDEX(bcEff_Res,1,26),(INDEX(effGoalBC_Res,27)-INDEX(teffSumBC_Res,1,27))/(INDEX(doEff,2)-INDEX(doEff,1)))</f>
        <v>0</v>
      </c>
      <c r="AF86" s="43">
        <f ca="1">(INDEX(teffSumBC_Res,1,28)&lt;INDEX(effGoalBC_Res,28)) * MIN(INDEX(bcEff_Res,1,27),(INDEX(effGoalBC_Res,28)-INDEX(teffSumBC_Res,1,28))/(INDEX(doEff,2)-INDEX(doEff,1)))</f>
        <v>0</v>
      </c>
      <c r="AG86" s="43">
        <f ca="1">(INDEX(teffSumBC_Res,1,29)&lt;INDEX(effGoalBC_Res,29)) * MIN(INDEX(bcEff_Res,1,28),(INDEX(effGoalBC_Res,29)-INDEX(teffSumBC_Res,1,29))/(INDEX(doEff,2)-INDEX(doEff,1)))</f>
        <v>0</v>
      </c>
      <c r="AH86" s="43">
        <f ca="1">(INDEX(teffSumBC_Res,1,30)&lt;INDEX(effGoalBC_Res,30)) * MIN(INDEX(bcEff_Res,1,29),(INDEX(effGoalBC_Res,30)-INDEX(teffSumBC_Res,1,30))/(INDEX(doEff,2)-INDEX(doEff,1)))</f>
        <v>0</v>
      </c>
      <c r="AI86" s="43">
        <f ca="1">(INDEX(teffSumBC_Res,1,31)&lt;INDEX(effGoalBC_Res,31)) * MIN(INDEX(bcEff_Res,1,30),(INDEX(effGoalBC_Res,31)-INDEX(teffSumBC_Res,1,31))/(INDEX(doEff,2)-INDEX(doEff,1)))</f>
        <v>0</v>
      </c>
      <c r="AJ86" s="43">
        <f ca="1">(INDEX(teffSumBC_Res,1,32)&lt;INDEX(effGoalBC_Res,32)) * MIN(INDEX(bcEff_Res,1,31),(INDEX(effGoalBC_Res,32)-INDEX(teffSumBC_Res,1,32))/(INDEX(doEff,2)-INDEX(doEff,1)))</f>
        <v>0</v>
      </c>
      <c r="AK86" s="43">
        <f ca="1">(INDEX(teffSumBC_Res,1,33)&lt;INDEX(effGoalBC_Res,33)) * MIN(INDEX(bcEff_Res,1,32),(INDEX(effGoalBC_Res,33)-INDEX(teffSumBC_Res,1,33))/(INDEX(doEff,2)-INDEX(doEff,1)))</f>
        <v>0</v>
      </c>
      <c r="AL86" s="43">
        <f ca="1">(INDEX(teffSumBC_Res,1,34)&lt;INDEX(effGoalBC_Res,34)) * MIN(INDEX(bcEff_Res,1,33),(INDEX(effGoalBC_Res,34)-INDEX(teffSumBC_Res,1,34))/(INDEX(doEff,2)-INDEX(doEff,1)))</f>
        <v>0</v>
      </c>
      <c r="AM86" s="43">
        <f ca="1">(INDEX(teffSumBC_Res,1,35)&lt;INDEX(effGoalBC_Res,35)) * MIN(INDEX(bcEff_Res,1,34),(INDEX(effGoalBC_Res,35)-INDEX(teffSumBC_Res,1,35))/(INDEX(doEff,2)-INDEX(doEff,1)))</f>
        <v>0</v>
      </c>
      <c r="AN86" s="44">
        <f ca="1">(INDEX(teffSumBC_Res,1,36)&lt;INDEX(effGoalBC_Res,36)) * MIN(INDEX(bcEff_Res,1,35),(INDEX(effGoalBC_Res,36)-INDEX(teffSumBC_Res,1,36))/(INDEX(doEff,2)-INDEX(doEff,1)))</f>
        <v>0</v>
      </c>
      <c r="AO86" s="8"/>
    </row>
    <row r="87" spans="2:41" hidden="1" x14ac:dyDescent="0.35">
      <c r="B87" s="8"/>
      <c r="C87" s="19" t="str">
        <f>"EL 1: " &amp; INDEX(_doName,1,2)</f>
        <v>EL 1: Tier 1</v>
      </c>
      <c r="D87" s="11"/>
      <c r="E87" s="43"/>
      <c r="F87" s="43">
        <f ca="1">(INDEX(teffSumBC_Res,2,2)&lt;INDEX(effGoalBC_Res,2)) * MIN(INDEX(bcEff_Res,2,1)+INDEX(pushBC_Res,1),(INDEX(effGoalBC_Res,2)-INDEX(teffSumBC_Res,2,2))/(INDEX(doEff,3)-INDEX(doEff,2)))</f>
        <v>0</v>
      </c>
      <c r="G87" s="43">
        <f ca="1">(INDEX(teffSumBC_Res,2,3)&lt;INDEX(effGoalBC_Res,3)) * MIN(INDEX(bcEff_Res,2,2)+INDEX(pushBC_Res,1),(INDEX(effGoalBC_Res,3)-INDEX(teffSumBC_Res,2,3))/(INDEX(doEff,3)-INDEX(doEff,2)))</f>
        <v>0</v>
      </c>
      <c r="H87" s="43">
        <f ca="1">(INDEX(teffSumBC_Res,2,4)&lt;INDEX(effGoalBC_Res,4)) * MIN(INDEX(bcEff_Res,2,3)+INDEX(pushBC_Res,1),(INDEX(effGoalBC_Res,4)-INDEX(teffSumBC_Res,2,4))/(INDEX(doEff,3)-INDEX(doEff,2)))</f>
        <v>0</v>
      </c>
      <c r="I87" s="43">
        <f ca="1">(INDEX(teffSumBC_Res,2,5)&lt;INDEX(effGoalBC_Res,5)) * MIN(INDEX(bcEff_Res,2,4)+INDEX(pushBC_Res,1),(INDEX(effGoalBC_Res,5)-INDEX(teffSumBC_Res,2,5))/(INDEX(doEff,3)-INDEX(doEff,2)))</f>
        <v>0</v>
      </c>
      <c r="J87" s="43">
        <f ca="1">(INDEX(teffSumBC_Res,2,6)&lt;INDEX(effGoalBC_Res,6)) * MIN(INDEX(bcEff_Res,2,5)+INDEX(pushBC_Res,1),(INDEX(effGoalBC_Res,6)-INDEX(teffSumBC_Res,2,6))/(INDEX(doEff,3)-INDEX(doEff,2)))</f>
        <v>0</v>
      </c>
      <c r="K87" s="43">
        <f ca="1">(INDEX(teffSumBC_Res,2,7)&lt;INDEX(effGoalBC_Res,7)) * MIN(INDEX(bcEff_Res,2,6)+INDEX(pushBC_Res,1),(INDEX(effGoalBC_Res,7)-INDEX(teffSumBC_Res,2,7))/(INDEX(doEff,3)-INDEX(doEff,2)))</f>
        <v>0</v>
      </c>
      <c r="L87" s="43">
        <f ca="1">(INDEX(teffSumBC_Res,2,8)&lt;INDEX(effGoalBC_Res,8)) * MIN(INDEX(bcEff_Res,2,7)+INDEX(pushBC_Res,1),(INDEX(effGoalBC_Res,8)-INDEX(teffSumBC_Res,2,8))/(INDEX(doEff,3)-INDEX(doEff,2)))</f>
        <v>0</v>
      </c>
      <c r="M87" s="43">
        <f ca="1">(INDEX(teffSumBC_Res,2,9)&lt;INDEX(effGoalBC_Res,9)) * MIN(INDEX(bcEff_Res,2,8)+INDEX(pushBC_Res,1),(INDEX(effGoalBC_Res,9)-INDEX(teffSumBC_Res,2,9))/(INDEX(doEff,3)-INDEX(doEff,2)))</f>
        <v>0</v>
      </c>
      <c r="N87" s="43">
        <f ca="1">(INDEX(teffSumBC_Res,2,10)&lt;INDEX(effGoalBC_Res,10)) * MIN(INDEX(bcEff_Res,2,9)+INDEX(pushBC_Res,1),(INDEX(effGoalBC_Res,10)-INDEX(teffSumBC_Res,2,10))/(INDEX(doEff,3)-INDEX(doEff,2)))</f>
        <v>0</v>
      </c>
      <c r="O87" s="43">
        <f ca="1">(INDEX(teffSumBC_Res,2,11)&lt;INDEX(effGoalBC_Res,11)) * MIN(INDEX(bcEff_Res,2,10)+INDEX(pushBC_Res,1),(INDEX(effGoalBC_Res,11)-INDEX(teffSumBC_Res,2,11))/(INDEX(doEff,3)-INDEX(doEff,2)))</f>
        <v>0</v>
      </c>
      <c r="P87" s="43">
        <f ca="1">(INDEX(teffSumBC_Res,2,12)&lt;INDEX(effGoalBC_Res,12)) * MIN(INDEX(bcEff_Res,2,11)+INDEX(pushBC_Res,1),(INDEX(effGoalBC_Res,12)-INDEX(teffSumBC_Res,2,12))/(INDEX(doEff,3)-INDEX(doEff,2)))</f>
        <v>0</v>
      </c>
      <c r="Q87" s="43">
        <f ca="1">(INDEX(teffSumBC_Res,2,13)&lt;INDEX(effGoalBC_Res,13)) * MIN(INDEX(bcEff_Res,2,12)+INDEX(pushBC_Res,1),(INDEX(effGoalBC_Res,13)-INDEX(teffSumBC_Res,2,13))/(INDEX(doEff,3)-INDEX(doEff,2)))</f>
        <v>0</v>
      </c>
      <c r="R87" s="43">
        <f ca="1">(INDEX(teffSumBC_Res,2,14)&lt;INDEX(effGoalBC_Res,14)) * MIN(INDEX(bcEff_Res,2,13)+INDEX(pushBC_Res,1),(INDEX(effGoalBC_Res,14)-INDEX(teffSumBC_Res,2,14))/(INDEX(doEff,3)-INDEX(doEff,2)))</f>
        <v>0</v>
      </c>
      <c r="S87" s="43">
        <f ca="1">(INDEX(teffSumBC_Res,2,15)&lt;INDEX(effGoalBC_Res,15)) * MIN(INDEX(bcEff_Res,2,14)+INDEX(pushBC_Res,1),(INDEX(effGoalBC_Res,15)-INDEX(teffSumBC_Res,2,15))/(INDEX(doEff,3)-INDEX(doEff,2)))</f>
        <v>0</v>
      </c>
      <c r="T87" s="43">
        <f ca="1">(INDEX(teffSumBC_Res,2,16)&lt;INDEX(effGoalBC_Res,16)) * MIN(INDEX(bcEff_Res,2,15)+INDEX(pushBC_Res,1),(INDEX(effGoalBC_Res,16)-INDEX(teffSumBC_Res,2,16))/(INDEX(doEff,3)-INDEX(doEff,2)))</f>
        <v>0</v>
      </c>
      <c r="U87" s="43">
        <f ca="1">(INDEX(teffSumBC_Res,2,17)&lt;INDEX(effGoalBC_Res,17)) * MIN(INDEX(bcEff_Res,2,16)+INDEX(pushBC_Res,1),(INDEX(effGoalBC_Res,17)-INDEX(teffSumBC_Res,2,17))/(INDEX(doEff,3)-INDEX(doEff,2)))</f>
        <v>0</v>
      </c>
      <c r="V87" s="43">
        <f ca="1">(INDEX(teffSumBC_Res,2,18)&lt;INDEX(effGoalBC_Res,18)) * MIN(INDEX(bcEff_Res,2,17)+INDEX(pushBC_Res,1),(INDEX(effGoalBC_Res,18)-INDEX(teffSumBC_Res,2,18))/(INDEX(doEff,3)-INDEX(doEff,2)))</f>
        <v>0</v>
      </c>
      <c r="W87" s="43">
        <f ca="1">(INDEX(teffSumBC_Res,2,19)&lt;INDEX(effGoalBC_Res,19)) * MIN(INDEX(bcEff_Res,2,18)+INDEX(pushBC_Res,1),(INDEX(effGoalBC_Res,19)-INDEX(teffSumBC_Res,2,19))/(INDEX(doEff,3)-INDEX(doEff,2)))</f>
        <v>0</v>
      </c>
      <c r="X87" s="43">
        <f ca="1">(INDEX(teffSumBC_Res,2,20)&lt;INDEX(effGoalBC_Res,20)) * MIN(INDEX(bcEff_Res,2,19)+INDEX(pushBC_Res,1),(INDEX(effGoalBC_Res,20)-INDEX(teffSumBC_Res,2,20))/(INDEX(doEff,3)-INDEX(doEff,2)))</f>
        <v>0</v>
      </c>
      <c r="Y87" s="43">
        <f ca="1">(INDEX(teffSumBC_Res,2,21)&lt;INDEX(effGoalBC_Res,21)) * MIN(INDEX(bcEff_Res,2,20)+INDEX(pushBC_Res,1),(INDEX(effGoalBC_Res,21)-INDEX(teffSumBC_Res,2,21))/(INDEX(doEff,3)-INDEX(doEff,2)))</f>
        <v>0</v>
      </c>
      <c r="Z87" s="43">
        <f ca="1">(INDEX(teffSumBC_Res,2,22)&lt;INDEX(effGoalBC_Res,22)) * MIN(INDEX(bcEff_Res,2,21)+INDEX(pushBC_Res,1),(INDEX(effGoalBC_Res,22)-INDEX(teffSumBC_Res,2,22))/(INDEX(doEff,3)-INDEX(doEff,2)))</f>
        <v>0</v>
      </c>
      <c r="AA87" s="43">
        <f ca="1">(INDEX(teffSumBC_Res,2,23)&lt;INDEX(effGoalBC_Res,23)) * MIN(INDEX(bcEff_Res,2,22)+INDEX(pushBC_Res,1),(INDEX(effGoalBC_Res,23)-INDEX(teffSumBC_Res,2,23))/(INDEX(doEff,3)-INDEX(doEff,2)))</f>
        <v>0</v>
      </c>
      <c r="AB87" s="43">
        <f ca="1">(INDEX(teffSumBC_Res,2,24)&lt;INDEX(effGoalBC_Res,24)) * MIN(INDEX(bcEff_Res,2,23)+INDEX(pushBC_Res,1),(INDEX(effGoalBC_Res,24)-INDEX(teffSumBC_Res,2,24))/(INDEX(doEff,3)-INDEX(doEff,2)))</f>
        <v>0</v>
      </c>
      <c r="AC87" s="43">
        <f ca="1">(INDEX(teffSumBC_Res,2,25)&lt;INDEX(effGoalBC_Res,25)) * MIN(INDEX(bcEff_Res,2,24)+INDEX(pushBC_Res,1),(INDEX(effGoalBC_Res,25)-INDEX(teffSumBC_Res,2,25))/(INDEX(doEff,3)-INDEX(doEff,2)))</f>
        <v>0</v>
      </c>
      <c r="AD87" s="43">
        <f ca="1">(INDEX(teffSumBC_Res,2,26)&lt;INDEX(effGoalBC_Res,26)) * MIN(INDEX(bcEff_Res,2,25)+INDEX(pushBC_Res,1),(INDEX(effGoalBC_Res,26)-INDEX(teffSumBC_Res,2,26))/(INDEX(doEff,3)-INDEX(doEff,2)))</f>
        <v>0</v>
      </c>
      <c r="AE87" s="43">
        <f ca="1">(INDEX(teffSumBC_Res,2,27)&lt;INDEX(effGoalBC_Res,27)) * MIN(INDEX(bcEff_Res,2,26)+INDEX(pushBC_Res,1),(INDEX(effGoalBC_Res,27)-INDEX(teffSumBC_Res,2,27))/(INDEX(doEff,3)-INDEX(doEff,2)))</f>
        <v>0</v>
      </c>
      <c r="AF87" s="43">
        <f ca="1">(INDEX(teffSumBC_Res,2,28)&lt;INDEX(effGoalBC_Res,28)) * MIN(INDEX(bcEff_Res,2,27)+INDEX(pushBC_Res,1),(INDEX(effGoalBC_Res,28)-INDEX(teffSumBC_Res,2,28))/(INDEX(doEff,3)-INDEX(doEff,2)))</f>
        <v>0</v>
      </c>
      <c r="AG87" s="43">
        <f ca="1">(INDEX(teffSumBC_Res,2,29)&lt;INDEX(effGoalBC_Res,29)) * MIN(INDEX(bcEff_Res,2,28)+INDEX(pushBC_Res,1),(INDEX(effGoalBC_Res,29)-INDEX(teffSumBC_Res,2,29))/(INDEX(doEff,3)-INDEX(doEff,2)))</f>
        <v>0</v>
      </c>
      <c r="AH87" s="43">
        <f ca="1">(INDEX(teffSumBC_Res,2,30)&lt;INDEX(effGoalBC_Res,30)) * MIN(INDEX(bcEff_Res,2,29)+INDEX(pushBC_Res,1),(INDEX(effGoalBC_Res,30)-INDEX(teffSumBC_Res,2,30))/(INDEX(doEff,3)-INDEX(doEff,2)))</f>
        <v>0</v>
      </c>
      <c r="AI87" s="43">
        <f ca="1">(INDEX(teffSumBC_Res,2,31)&lt;INDEX(effGoalBC_Res,31)) * MIN(INDEX(bcEff_Res,2,30)+INDEX(pushBC_Res,1),(INDEX(effGoalBC_Res,31)-INDEX(teffSumBC_Res,2,31))/(INDEX(doEff,3)-INDEX(doEff,2)))</f>
        <v>0</v>
      </c>
      <c r="AJ87" s="43">
        <f ca="1">(INDEX(teffSumBC_Res,2,32)&lt;INDEX(effGoalBC_Res,32)) * MIN(INDEX(bcEff_Res,2,31)+INDEX(pushBC_Res,1),(INDEX(effGoalBC_Res,32)-INDEX(teffSumBC_Res,2,32))/(INDEX(doEff,3)-INDEX(doEff,2)))</f>
        <v>0</v>
      </c>
      <c r="AK87" s="43">
        <f ca="1">(INDEX(teffSumBC_Res,2,33)&lt;INDEX(effGoalBC_Res,33)) * MIN(INDEX(bcEff_Res,2,32)+INDEX(pushBC_Res,1),(INDEX(effGoalBC_Res,33)-INDEX(teffSumBC_Res,2,33))/(INDEX(doEff,3)-INDEX(doEff,2)))</f>
        <v>0</v>
      </c>
      <c r="AL87" s="43">
        <f ca="1">(INDEX(teffSumBC_Res,2,34)&lt;INDEX(effGoalBC_Res,34)) * MIN(INDEX(bcEff_Res,2,33)+INDEX(pushBC_Res,1),(INDEX(effGoalBC_Res,34)-INDEX(teffSumBC_Res,2,34))/(INDEX(doEff,3)-INDEX(doEff,2)))</f>
        <v>0</v>
      </c>
      <c r="AM87" s="43">
        <f ca="1">(INDEX(teffSumBC_Res,2,35)&lt;INDEX(effGoalBC_Res,35)) * MIN(INDEX(bcEff_Res,2,34)+INDEX(pushBC_Res,1),(INDEX(effGoalBC_Res,35)-INDEX(teffSumBC_Res,2,35))/(INDEX(doEff,3)-INDEX(doEff,2)))</f>
        <v>0</v>
      </c>
      <c r="AN87" s="44">
        <f ca="1">(INDEX(teffSumBC_Res,2,36)&lt;INDEX(effGoalBC_Res,36)) * MIN(INDEX(bcEff_Res,2,35)+INDEX(pushBC_Res,1),(INDEX(effGoalBC_Res,36)-INDEX(teffSumBC_Res,2,36))/(INDEX(doEff,3)-INDEX(doEff,2)))</f>
        <v>0</v>
      </c>
      <c r="AO87" s="8"/>
    </row>
    <row r="88" spans="2:41" hidden="1" x14ac:dyDescent="0.35">
      <c r="B88" s="8"/>
      <c r="C88" s="19" t="str">
        <f>"EL 2: " &amp; INDEX(_doName,1,3)</f>
        <v>EL 2: Tier 2</v>
      </c>
      <c r="D88" s="11"/>
      <c r="E88" s="43"/>
      <c r="F88" s="43">
        <f ca="1">(INDEX(teffSumBC_Res,3,2)&lt;INDEX(effGoalBC_Res,2)) * MIN(INDEX(bcEff_Res,3,1)+INDEX(pushBC_Res,2),(INDEX(effGoalBC_Res,2)-INDEX(teffSumBC_Res,3,2))/(INDEX(doEff,4)-INDEX(doEff,3)))</f>
        <v>0</v>
      </c>
      <c r="G88" s="43">
        <f ca="1">(INDEX(teffSumBC_Res,3,3)&lt;INDEX(effGoalBC_Res,3)) * MIN(INDEX(bcEff_Res,3,2)+INDEX(pushBC_Res,2),(INDEX(effGoalBC_Res,3)-INDEX(teffSumBC_Res,3,3))/(INDEX(doEff,4)-INDEX(doEff,3)))</f>
        <v>0</v>
      </c>
      <c r="H88" s="43">
        <f ca="1">(INDEX(teffSumBC_Res,3,4)&lt;INDEX(effGoalBC_Res,4)) * MIN(INDEX(bcEff_Res,3,3)+INDEX(pushBC_Res,2),(INDEX(effGoalBC_Res,4)-INDEX(teffSumBC_Res,3,4))/(INDEX(doEff,4)-INDEX(doEff,3)))</f>
        <v>0</v>
      </c>
      <c r="I88" s="43">
        <f ca="1">(INDEX(teffSumBC_Res,3,5)&lt;INDEX(effGoalBC_Res,5)) * MIN(INDEX(bcEff_Res,3,4)+INDEX(pushBC_Res,2),(INDEX(effGoalBC_Res,5)-INDEX(teffSumBC_Res,3,5))/(INDEX(doEff,4)-INDEX(doEff,3)))</f>
        <v>0</v>
      </c>
      <c r="J88" s="43">
        <f ca="1">(INDEX(teffSumBC_Res,3,6)&lt;INDEX(effGoalBC_Res,6)) * MIN(INDEX(bcEff_Res,3,5)+INDEX(pushBC_Res,2),(INDEX(effGoalBC_Res,6)-INDEX(teffSumBC_Res,3,6))/(INDEX(doEff,4)-INDEX(doEff,3)))</f>
        <v>0</v>
      </c>
      <c r="K88" s="43">
        <f ca="1">(INDEX(teffSumBC_Res,3,7)&lt;INDEX(effGoalBC_Res,7)) * MIN(INDEX(bcEff_Res,3,6)+INDEX(pushBC_Res,2),(INDEX(effGoalBC_Res,7)-INDEX(teffSumBC_Res,3,7))/(INDEX(doEff,4)-INDEX(doEff,3)))</f>
        <v>0</v>
      </c>
      <c r="L88" s="43">
        <f ca="1">(INDEX(teffSumBC_Res,3,8)&lt;INDEX(effGoalBC_Res,8)) * MIN(INDEX(bcEff_Res,3,7)+INDEX(pushBC_Res,2),(INDEX(effGoalBC_Res,8)-INDEX(teffSumBC_Res,3,8))/(INDEX(doEff,4)-INDEX(doEff,3)))</f>
        <v>0</v>
      </c>
      <c r="M88" s="43">
        <f ca="1">(INDEX(teffSumBC_Res,3,9)&lt;INDEX(effGoalBC_Res,9)) * MIN(INDEX(bcEff_Res,3,8)+INDEX(pushBC_Res,2),(INDEX(effGoalBC_Res,9)-INDEX(teffSumBC_Res,3,9))/(INDEX(doEff,4)-INDEX(doEff,3)))</f>
        <v>0</v>
      </c>
      <c r="N88" s="43">
        <f ca="1">(INDEX(teffSumBC_Res,3,10)&lt;INDEX(effGoalBC_Res,10)) * MIN(INDEX(bcEff_Res,3,9)+INDEX(pushBC_Res,2),(INDEX(effGoalBC_Res,10)-INDEX(teffSumBC_Res,3,10))/(INDEX(doEff,4)-INDEX(doEff,3)))</f>
        <v>0</v>
      </c>
      <c r="O88" s="43">
        <f ca="1">(INDEX(teffSumBC_Res,3,11)&lt;INDEX(effGoalBC_Res,11)) * MIN(INDEX(bcEff_Res,3,10)+INDEX(pushBC_Res,2),(INDEX(effGoalBC_Res,11)-INDEX(teffSumBC_Res,3,11))/(INDEX(doEff,4)-INDEX(doEff,3)))</f>
        <v>0</v>
      </c>
      <c r="P88" s="43">
        <f ca="1">(INDEX(teffSumBC_Res,3,12)&lt;INDEX(effGoalBC_Res,12)) * MIN(INDEX(bcEff_Res,3,11)+INDEX(pushBC_Res,2),(INDEX(effGoalBC_Res,12)-INDEX(teffSumBC_Res,3,12))/(INDEX(doEff,4)-INDEX(doEff,3)))</f>
        <v>0</v>
      </c>
      <c r="Q88" s="43">
        <f ca="1">(INDEX(teffSumBC_Res,3,13)&lt;INDEX(effGoalBC_Res,13)) * MIN(INDEX(bcEff_Res,3,12)+INDEX(pushBC_Res,2),(INDEX(effGoalBC_Res,13)-INDEX(teffSumBC_Res,3,13))/(INDEX(doEff,4)-INDEX(doEff,3)))</f>
        <v>0</v>
      </c>
      <c r="R88" s="43">
        <f ca="1">(INDEX(teffSumBC_Res,3,14)&lt;INDEX(effGoalBC_Res,14)) * MIN(INDEX(bcEff_Res,3,13)+INDEX(pushBC_Res,2),(INDEX(effGoalBC_Res,14)-INDEX(teffSumBC_Res,3,14))/(INDEX(doEff,4)-INDEX(doEff,3)))</f>
        <v>0</v>
      </c>
      <c r="S88" s="43">
        <f ca="1">(INDEX(teffSumBC_Res,3,15)&lt;INDEX(effGoalBC_Res,15)) * MIN(INDEX(bcEff_Res,3,14)+INDEX(pushBC_Res,2),(INDEX(effGoalBC_Res,15)-INDEX(teffSumBC_Res,3,15))/(INDEX(doEff,4)-INDEX(doEff,3)))</f>
        <v>0</v>
      </c>
      <c r="T88" s="43">
        <f ca="1">(INDEX(teffSumBC_Res,3,16)&lt;INDEX(effGoalBC_Res,16)) * MIN(INDEX(bcEff_Res,3,15)+INDEX(pushBC_Res,2),(INDEX(effGoalBC_Res,16)-INDEX(teffSumBC_Res,3,16))/(INDEX(doEff,4)-INDEX(doEff,3)))</f>
        <v>0</v>
      </c>
      <c r="U88" s="43">
        <f ca="1">(INDEX(teffSumBC_Res,3,17)&lt;INDEX(effGoalBC_Res,17)) * MIN(INDEX(bcEff_Res,3,16)+INDEX(pushBC_Res,2),(INDEX(effGoalBC_Res,17)-INDEX(teffSumBC_Res,3,17))/(INDEX(doEff,4)-INDEX(doEff,3)))</f>
        <v>0</v>
      </c>
      <c r="V88" s="43">
        <f ca="1">(INDEX(teffSumBC_Res,3,18)&lt;INDEX(effGoalBC_Res,18)) * MIN(INDEX(bcEff_Res,3,17)+INDEX(pushBC_Res,2),(INDEX(effGoalBC_Res,18)-INDEX(teffSumBC_Res,3,18))/(INDEX(doEff,4)-INDEX(doEff,3)))</f>
        <v>0</v>
      </c>
      <c r="W88" s="43">
        <f ca="1">(INDEX(teffSumBC_Res,3,19)&lt;INDEX(effGoalBC_Res,19)) * MIN(INDEX(bcEff_Res,3,18)+INDEX(pushBC_Res,2),(INDEX(effGoalBC_Res,19)-INDEX(teffSumBC_Res,3,19))/(INDEX(doEff,4)-INDEX(doEff,3)))</f>
        <v>0</v>
      </c>
      <c r="X88" s="43">
        <f ca="1">(INDEX(teffSumBC_Res,3,20)&lt;INDEX(effGoalBC_Res,20)) * MIN(INDEX(bcEff_Res,3,19)+INDEX(pushBC_Res,2),(INDEX(effGoalBC_Res,20)-INDEX(teffSumBC_Res,3,20))/(INDEX(doEff,4)-INDEX(doEff,3)))</f>
        <v>0</v>
      </c>
      <c r="Y88" s="43">
        <f ca="1">(INDEX(teffSumBC_Res,3,21)&lt;INDEX(effGoalBC_Res,21)) * MIN(INDEX(bcEff_Res,3,20)+INDEX(pushBC_Res,2),(INDEX(effGoalBC_Res,21)-INDEX(teffSumBC_Res,3,21))/(INDEX(doEff,4)-INDEX(doEff,3)))</f>
        <v>0</v>
      </c>
      <c r="Z88" s="43">
        <f ca="1">(INDEX(teffSumBC_Res,3,22)&lt;INDEX(effGoalBC_Res,22)) * MIN(INDEX(bcEff_Res,3,21)+INDEX(pushBC_Res,2),(INDEX(effGoalBC_Res,22)-INDEX(teffSumBC_Res,3,22))/(INDEX(doEff,4)-INDEX(doEff,3)))</f>
        <v>0</v>
      </c>
      <c r="AA88" s="43">
        <f ca="1">(INDEX(teffSumBC_Res,3,23)&lt;INDEX(effGoalBC_Res,23)) * MIN(INDEX(bcEff_Res,3,22)+INDEX(pushBC_Res,2),(INDEX(effGoalBC_Res,23)-INDEX(teffSumBC_Res,3,23))/(INDEX(doEff,4)-INDEX(doEff,3)))</f>
        <v>0</v>
      </c>
      <c r="AB88" s="43">
        <f ca="1">(INDEX(teffSumBC_Res,3,24)&lt;INDEX(effGoalBC_Res,24)) * MIN(INDEX(bcEff_Res,3,23)+INDEX(pushBC_Res,2),(INDEX(effGoalBC_Res,24)-INDEX(teffSumBC_Res,3,24))/(INDEX(doEff,4)-INDEX(doEff,3)))</f>
        <v>0</v>
      </c>
      <c r="AC88" s="43">
        <f ca="1">(INDEX(teffSumBC_Res,3,25)&lt;INDEX(effGoalBC_Res,25)) * MIN(INDEX(bcEff_Res,3,24)+INDEX(pushBC_Res,2),(INDEX(effGoalBC_Res,25)-INDEX(teffSumBC_Res,3,25))/(INDEX(doEff,4)-INDEX(doEff,3)))</f>
        <v>0</v>
      </c>
      <c r="AD88" s="43">
        <f ca="1">(INDEX(teffSumBC_Res,3,26)&lt;INDEX(effGoalBC_Res,26)) * MIN(INDEX(bcEff_Res,3,25)+INDEX(pushBC_Res,2),(INDEX(effGoalBC_Res,26)-INDEX(teffSumBC_Res,3,26))/(INDEX(doEff,4)-INDEX(doEff,3)))</f>
        <v>0</v>
      </c>
      <c r="AE88" s="43">
        <f ca="1">(INDEX(teffSumBC_Res,3,27)&lt;INDEX(effGoalBC_Res,27)) * MIN(INDEX(bcEff_Res,3,26)+INDEX(pushBC_Res,2),(INDEX(effGoalBC_Res,27)-INDEX(teffSumBC_Res,3,27))/(INDEX(doEff,4)-INDEX(doEff,3)))</f>
        <v>0</v>
      </c>
      <c r="AF88" s="43">
        <f ca="1">(INDEX(teffSumBC_Res,3,28)&lt;INDEX(effGoalBC_Res,28)) * MIN(INDEX(bcEff_Res,3,27)+INDEX(pushBC_Res,2),(INDEX(effGoalBC_Res,28)-INDEX(teffSumBC_Res,3,28))/(INDEX(doEff,4)-INDEX(doEff,3)))</f>
        <v>0</v>
      </c>
      <c r="AG88" s="43">
        <f ca="1">(INDEX(teffSumBC_Res,3,29)&lt;INDEX(effGoalBC_Res,29)) * MIN(INDEX(bcEff_Res,3,28)+INDEX(pushBC_Res,2),(INDEX(effGoalBC_Res,29)-INDEX(teffSumBC_Res,3,29))/(INDEX(doEff,4)-INDEX(doEff,3)))</f>
        <v>0</v>
      </c>
      <c r="AH88" s="43">
        <f ca="1">(INDEX(teffSumBC_Res,3,30)&lt;INDEX(effGoalBC_Res,30)) * MIN(INDEX(bcEff_Res,3,29)+INDEX(pushBC_Res,2),(INDEX(effGoalBC_Res,30)-INDEX(teffSumBC_Res,3,30))/(INDEX(doEff,4)-INDEX(doEff,3)))</f>
        <v>0</v>
      </c>
      <c r="AI88" s="43">
        <f ca="1">(INDEX(teffSumBC_Res,3,31)&lt;INDEX(effGoalBC_Res,31)) * MIN(INDEX(bcEff_Res,3,30)+INDEX(pushBC_Res,2),(INDEX(effGoalBC_Res,31)-INDEX(teffSumBC_Res,3,31))/(INDEX(doEff,4)-INDEX(doEff,3)))</f>
        <v>0</v>
      </c>
      <c r="AJ88" s="43">
        <f ca="1">(INDEX(teffSumBC_Res,3,32)&lt;INDEX(effGoalBC_Res,32)) * MIN(INDEX(bcEff_Res,3,31)+INDEX(pushBC_Res,2),(INDEX(effGoalBC_Res,32)-INDEX(teffSumBC_Res,3,32))/(INDEX(doEff,4)-INDEX(doEff,3)))</f>
        <v>0</v>
      </c>
      <c r="AK88" s="43">
        <f ca="1">(INDEX(teffSumBC_Res,3,33)&lt;INDEX(effGoalBC_Res,33)) * MIN(INDEX(bcEff_Res,3,32)+INDEX(pushBC_Res,2),(INDEX(effGoalBC_Res,33)-INDEX(teffSumBC_Res,3,33))/(INDEX(doEff,4)-INDEX(doEff,3)))</f>
        <v>0</v>
      </c>
      <c r="AL88" s="43">
        <f ca="1">(INDEX(teffSumBC_Res,3,34)&lt;INDEX(effGoalBC_Res,34)) * MIN(INDEX(bcEff_Res,3,33)+INDEX(pushBC_Res,2),(INDEX(effGoalBC_Res,34)-INDEX(teffSumBC_Res,3,34))/(INDEX(doEff,4)-INDEX(doEff,3)))</f>
        <v>0</v>
      </c>
      <c r="AM88" s="43">
        <f ca="1">(INDEX(teffSumBC_Res,3,35)&lt;INDEX(effGoalBC_Res,35)) * MIN(INDEX(bcEff_Res,3,34)+INDEX(pushBC_Res,2),(INDEX(effGoalBC_Res,35)-INDEX(teffSumBC_Res,3,35))/(INDEX(doEff,4)-INDEX(doEff,3)))</f>
        <v>0</v>
      </c>
      <c r="AN88" s="44">
        <f ca="1">(INDEX(teffSumBC_Res,3,36)&lt;INDEX(effGoalBC_Res,36)) * MIN(INDEX(bcEff_Res,3,35)+INDEX(pushBC_Res,2),(INDEX(effGoalBC_Res,36)-INDEX(teffSumBC_Res,3,36))/(INDEX(doEff,4)-INDEX(doEff,3)))</f>
        <v>0</v>
      </c>
      <c r="AO88" s="8"/>
    </row>
    <row r="89" spans="2:41" hidden="1" x14ac:dyDescent="0.35">
      <c r="B89" s="8"/>
      <c r="C89" s="19" t="str">
        <f>"EL 3: " &amp; INDEX(_doName,1,4)</f>
        <v>EL 3: EL 3</v>
      </c>
      <c r="D89" s="11"/>
      <c r="E89" s="43"/>
      <c r="F89" s="43">
        <f ca="1">(INDEX(teffSumBC_Res,4,2)&lt;INDEX(effGoalBC_Res,2)) * MIN(INDEX(bcEff_Res,4,1)+INDEX(pushBC_Res,3),(INDEX(effGoalBC_Res,2)-INDEX(teffSumBC_Res,4,2))/(INDEX(doEff,5)-INDEX(doEff,4)))</f>
        <v>0</v>
      </c>
      <c r="G89" s="43">
        <f ca="1">(INDEX(teffSumBC_Res,4,3)&lt;INDEX(effGoalBC_Res,3)) * MIN(INDEX(bcEff_Res,4,2)+INDEX(pushBC_Res,3),(INDEX(effGoalBC_Res,3)-INDEX(teffSumBC_Res,4,3))/(INDEX(doEff,5)-INDEX(doEff,4)))</f>
        <v>0</v>
      </c>
      <c r="H89" s="43">
        <f ca="1">(INDEX(teffSumBC_Res,4,4)&lt;INDEX(effGoalBC_Res,4)) * MIN(INDEX(bcEff_Res,4,3)+INDEX(pushBC_Res,3),(INDEX(effGoalBC_Res,4)-INDEX(teffSumBC_Res,4,4))/(INDEX(doEff,5)-INDEX(doEff,4)))</f>
        <v>0</v>
      </c>
      <c r="I89" s="43">
        <f ca="1">(INDEX(teffSumBC_Res,4,5)&lt;INDEX(effGoalBC_Res,5)) * MIN(INDEX(bcEff_Res,4,4)+INDEX(pushBC_Res,3),(INDEX(effGoalBC_Res,5)-INDEX(teffSumBC_Res,4,5))/(INDEX(doEff,5)-INDEX(doEff,4)))</f>
        <v>0</v>
      </c>
      <c r="J89" s="43">
        <f ca="1">(INDEX(teffSumBC_Res,4,6)&lt;INDEX(effGoalBC_Res,6)) * MIN(INDEX(bcEff_Res,4,5)+INDEX(pushBC_Res,3),(INDEX(effGoalBC_Res,6)-INDEX(teffSumBC_Res,4,6))/(INDEX(doEff,5)-INDEX(doEff,4)))</f>
        <v>0</v>
      </c>
      <c r="K89" s="43">
        <f ca="1">(INDEX(teffSumBC_Res,4,7)&lt;INDEX(effGoalBC_Res,7)) * MIN(INDEX(bcEff_Res,4,6)+INDEX(pushBC_Res,3),(INDEX(effGoalBC_Res,7)-INDEX(teffSumBC_Res,4,7))/(INDEX(doEff,5)-INDEX(doEff,4)))</f>
        <v>0</v>
      </c>
      <c r="L89" s="43">
        <f ca="1">(INDEX(teffSumBC_Res,4,8)&lt;INDEX(effGoalBC_Res,8)) * MIN(INDEX(bcEff_Res,4,7)+INDEX(pushBC_Res,3),(INDEX(effGoalBC_Res,8)-INDEX(teffSumBC_Res,4,8))/(INDEX(doEff,5)-INDEX(doEff,4)))</f>
        <v>0</v>
      </c>
      <c r="M89" s="43">
        <f ca="1">(INDEX(teffSumBC_Res,4,9)&lt;INDEX(effGoalBC_Res,9)) * MIN(INDEX(bcEff_Res,4,8)+INDEX(pushBC_Res,3),(INDEX(effGoalBC_Res,9)-INDEX(teffSumBC_Res,4,9))/(INDEX(doEff,5)-INDEX(doEff,4)))</f>
        <v>0</v>
      </c>
      <c r="N89" s="43">
        <f ca="1">(INDEX(teffSumBC_Res,4,10)&lt;INDEX(effGoalBC_Res,10)) * MIN(INDEX(bcEff_Res,4,9)+INDEX(pushBC_Res,3),(INDEX(effGoalBC_Res,10)-INDEX(teffSumBC_Res,4,10))/(INDEX(doEff,5)-INDEX(doEff,4)))</f>
        <v>0</v>
      </c>
      <c r="O89" s="43">
        <f ca="1">(INDEX(teffSumBC_Res,4,11)&lt;INDEX(effGoalBC_Res,11)) * MIN(INDEX(bcEff_Res,4,10)+INDEX(pushBC_Res,3),(INDEX(effGoalBC_Res,11)-INDEX(teffSumBC_Res,4,11))/(INDEX(doEff,5)-INDEX(doEff,4)))</f>
        <v>0</v>
      </c>
      <c r="P89" s="43">
        <f ca="1">(INDEX(teffSumBC_Res,4,12)&lt;INDEX(effGoalBC_Res,12)) * MIN(INDEX(bcEff_Res,4,11)+INDEX(pushBC_Res,3),(INDEX(effGoalBC_Res,12)-INDEX(teffSumBC_Res,4,12))/(INDEX(doEff,5)-INDEX(doEff,4)))</f>
        <v>0</v>
      </c>
      <c r="Q89" s="43">
        <f ca="1">(INDEX(teffSumBC_Res,4,13)&lt;INDEX(effGoalBC_Res,13)) * MIN(INDEX(bcEff_Res,4,12)+INDEX(pushBC_Res,3),(INDEX(effGoalBC_Res,13)-INDEX(teffSumBC_Res,4,13))/(INDEX(doEff,5)-INDEX(doEff,4)))</f>
        <v>0</v>
      </c>
      <c r="R89" s="43">
        <f ca="1">(INDEX(teffSumBC_Res,4,14)&lt;INDEX(effGoalBC_Res,14)) * MIN(INDEX(bcEff_Res,4,13)+INDEX(pushBC_Res,3),(INDEX(effGoalBC_Res,14)-INDEX(teffSumBC_Res,4,14))/(INDEX(doEff,5)-INDEX(doEff,4)))</f>
        <v>0</v>
      </c>
      <c r="S89" s="43">
        <f ca="1">(INDEX(teffSumBC_Res,4,15)&lt;INDEX(effGoalBC_Res,15)) * MIN(INDEX(bcEff_Res,4,14)+INDEX(pushBC_Res,3),(INDEX(effGoalBC_Res,15)-INDEX(teffSumBC_Res,4,15))/(INDEX(doEff,5)-INDEX(doEff,4)))</f>
        <v>0</v>
      </c>
      <c r="T89" s="43">
        <f ca="1">(INDEX(teffSumBC_Res,4,16)&lt;INDEX(effGoalBC_Res,16)) * MIN(INDEX(bcEff_Res,4,15)+INDEX(pushBC_Res,3),(INDEX(effGoalBC_Res,16)-INDEX(teffSumBC_Res,4,16))/(INDEX(doEff,5)-INDEX(doEff,4)))</f>
        <v>0</v>
      </c>
      <c r="U89" s="43">
        <f ca="1">(INDEX(teffSumBC_Res,4,17)&lt;INDEX(effGoalBC_Res,17)) * MIN(INDEX(bcEff_Res,4,16)+INDEX(pushBC_Res,3),(INDEX(effGoalBC_Res,17)-INDEX(teffSumBC_Res,4,17))/(INDEX(doEff,5)-INDEX(doEff,4)))</f>
        <v>0</v>
      </c>
      <c r="V89" s="43">
        <f ca="1">(INDEX(teffSumBC_Res,4,18)&lt;INDEX(effGoalBC_Res,18)) * MIN(INDEX(bcEff_Res,4,17)+INDEX(pushBC_Res,3),(INDEX(effGoalBC_Res,18)-INDEX(teffSumBC_Res,4,18))/(INDEX(doEff,5)-INDEX(doEff,4)))</f>
        <v>0</v>
      </c>
      <c r="W89" s="43">
        <f ca="1">(INDEX(teffSumBC_Res,4,19)&lt;INDEX(effGoalBC_Res,19)) * MIN(INDEX(bcEff_Res,4,18)+INDEX(pushBC_Res,3),(INDEX(effGoalBC_Res,19)-INDEX(teffSumBC_Res,4,19))/(INDEX(doEff,5)-INDEX(doEff,4)))</f>
        <v>0</v>
      </c>
      <c r="X89" s="43">
        <f ca="1">(INDEX(teffSumBC_Res,4,20)&lt;INDEX(effGoalBC_Res,20)) * MIN(INDEX(bcEff_Res,4,19)+INDEX(pushBC_Res,3),(INDEX(effGoalBC_Res,20)-INDEX(teffSumBC_Res,4,20))/(INDEX(doEff,5)-INDEX(doEff,4)))</f>
        <v>0</v>
      </c>
      <c r="Y89" s="43">
        <f ca="1">(INDEX(teffSumBC_Res,4,21)&lt;INDEX(effGoalBC_Res,21)) * MIN(INDEX(bcEff_Res,4,20)+INDEX(pushBC_Res,3),(INDEX(effGoalBC_Res,21)-INDEX(teffSumBC_Res,4,21))/(INDEX(doEff,5)-INDEX(doEff,4)))</f>
        <v>0</v>
      </c>
      <c r="Z89" s="43">
        <f ca="1">(INDEX(teffSumBC_Res,4,22)&lt;INDEX(effGoalBC_Res,22)) * MIN(INDEX(bcEff_Res,4,21)+INDEX(pushBC_Res,3),(INDEX(effGoalBC_Res,22)-INDEX(teffSumBC_Res,4,22))/(INDEX(doEff,5)-INDEX(doEff,4)))</f>
        <v>0</v>
      </c>
      <c r="AA89" s="43">
        <f ca="1">(INDEX(teffSumBC_Res,4,23)&lt;INDEX(effGoalBC_Res,23)) * MIN(INDEX(bcEff_Res,4,22)+INDEX(pushBC_Res,3),(INDEX(effGoalBC_Res,23)-INDEX(teffSumBC_Res,4,23))/(INDEX(doEff,5)-INDEX(doEff,4)))</f>
        <v>0</v>
      </c>
      <c r="AB89" s="43">
        <f ca="1">(INDEX(teffSumBC_Res,4,24)&lt;INDEX(effGoalBC_Res,24)) * MIN(INDEX(bcEff_Res,4,23)+INDEX(pushBC_Res,3),(INDEX(effGoalBC_Res,24)-INDEX(teffSumBC_Res,4,24))/(INDEX(doEff,5)-INDEX(doEff,4)))</f>
        <v>0</v>
      </c>
      <c r="AC89" s="43">
        <f ca="1">(INDEX(teffSumBC_Res,4,25)&lt;INDEX(effGoalBC_Res,25)) * MIN(INDEX(bcEff_Res,4,24)+INDEX(pushBC_Res,3),(INDEX(effGoalBC_Res,25)-INDEX(teffSumBC_Res,4,25))/(INDEX(doEff,5)-INDEX(doEff,4)))</f>
        <v>0</v>
      </c>
      <c r="AD89" s="43">
        <f ca="1">(INDEX(teffSumBC_Res,4,26)&lt;INDEX(effGoalBC_Res,26)) * MIN(INDEX(bcEff_Res,4,25)+INDEX(pushBC_Res,3),(INDEX(effGoalBC_Res,26)-INDEX(teffSumBC_Res,4,26))/(INDEX(doEff,5)-INDEX(doEff,4)))</f>
        <v>0</v>
      </c>
      <c r="AE89" s="43">
        <f ca="1">(INDEX(teffSumBC_Res,4,27)&lt;INDEX(effGoalBC_Res,27)) * MIN(INDEX(bcEff_Res,4,26)+INDEX(pushBC_Res,3),(INDEX(effGoalBC_Res,27)-INDEX(teffSumBC_Res,4,27))/(INDEX(doEff,5)-INDEX(doEff,4)))</f>
        <v>0</v>
      </c>
      <c r="AF89" s="43">
        <f ca="1">(INDEX(teffSumBC_Res,4,28)&lt;INDEX(effGoalBC_Res,28)) * MIN(INDEX(bcEff_Res,4,27)+INDEX(pushBC_Res,3),(INDEX(effGoalBC_Res,28)-INDEX(teffSumBC_Res,4,28))/(INDEX(doEff,5)-INDEX(doEff,4)))</f>
        <v>0</v>
      </c>
      <c r="AG89" s="43">
        <f ca="1">(INDEX(teffSumBC_Res,4,29)&lt;INDEX(effGoalBC_Res,29)) * MIN(INDEX(bcEff_Res,4,28)+INDEX(pushBC_Res,3),(INDEX(effGoalBC_Res,29)-INDEX(teffSumBC_Res,4,29))/(INDEX(doEff,5)-INDEX(doEff,4)))</f>
        <v>0</v>
      </c>
      <c r="AH89" s="43">
        <f ca="1">(INDEX(teffSumBC_Res,4,30)&lt;INDEX(effGoalBC_Res,30)) * MIN(INDEX(bcEff_Res,4,29)+INDEX(pushBC_Res,3),(INDEX(effGoalBC_Res,30)-INDEX(teffSumBC_Res,4,30))/(INDEX(doEff,5)-INDEX(doEff,4)))</f>
        <v>0</v>
      </c>
      <c r="AI89" s="43">
        <f ca="1">(INDEX(teffSumBC_Res,4,31)&lt;INDEX(effGoalBC_Res,31)) * MIN(INDEX(bcEff_Res,4,30)+INDEX(pushBC_Res,3),(INDEX(effGoalBC_Res,31)-INDEX(teffSumBC_Res,4,31))/(INDEX(doEff,5)-INDEX(doEff,4)))</f>
        <v>0</v>
      </c>
      <c r="AJ89" s="43">
        <f ca="1">(INDEX(teffSumBC_Res,4,32)&lt;INDEX(effGoalBC_Res,32)) * MIN(INDEX(bcEff_Res,4,31)+INDEX(pushBC_Res,3),(INDEX(effGoalBC_Res,32)-INDEX(teffSumBC_Res,4,32))/(INDEX(doEff,5)-INDEX(doEff,4)))</f>
        <v>0</v>
      </c>
      <c r="AK89" s="43">
        <f ca="1">(INDEX(teffSumBC_Res,4,33)&lt;INDEX(effGoalBC_Res,33)) * MIN(INDEX(bcEff_Res,4,32)+INDEX(pushBC_Res,3),(INDEX(effGoalBC_Res,33)-INDEX(teffSumBC_Res,4,33))/(INDEX(doEff,5)-INDEX(doEff,4)))</f>
        <v>0</v>
      </c>
      <c r="AL89" s="43">
        <f ca="1">(INDEX(teffSumBC_Res,4,34)&lt;INDEX(effGoalBC_Res,34)) * MIN(INDEX(bcEff_Res,4,33)+INDEX(pushBC_Res,3),(INDEX(effGoalBC_Res,34)-INDEX(teffSumBC_Res,4,34))/(INDEX(doEff,5)-INDEX(doEff,4)))</f>
        <v>0</v>
      </c>
      <c r="AM89" s="43">
        <f ca="1">(INDEX(teffSumBC_Res,4,35)&lt;INDEX(effGoalBC_Res,35)) * MIN(INDEX(bcEff_Res,4,34)+INDEX(pushBC_Res,3),(INDEX(effGoalBC_Res,35)-INDEX(teffSumBC_Res,4,35))/(INDEX(doEff,5)-INDEX(doEff,4)))</f>
        <v>0</v>
      </c>
      <c r="AN89" s="44">
        <f ca="1">(INDEX(teffSumBC_Res,4,36)&lt;INDEX(effGoalBC_Res,36)) * MIN(INDEX(bcEff_Res,4,35)+INDEX(pushBC_Res,3),(INDEX(effGoalBC_Res,36)-INDEX(teffSumBC_Res,4,36))/(INDEX(doEff,5)-INDEX(doEff,4)))</f>
        <v>0</v>
      </c>
      <c r="AO89" s="8"/>
    </row>
    <row r="90" spans="2:41" hidden="1" x14ac:dyDescent="0.35">
      <c r="B90" s="8"/>
      <c r="C90" s="35" t="str">
        <f>"EL 4: " &amp; INDEX(_doName,1,5)</f>
        <v>EL 4: EL 4</v>
      </c>
      <c r="D90" s="15"/>
      <c r="E90" s="45"/>
      <c r="F90" s="45">
        <f>0</f>
        <v>0</v>
      </c>
      <c r="G90" s="45">
        <f>0</f>
        <v>0</v>
      </c>
      <c r="H90" s="45">
        <f>0</f>
        <v>0</v>
      </c>
      <c r="I90" s="45">
        <f>0</f>
        <v>0</v>
      </c>
      <c r="J90" s="45">
        <f>0</f>
        <v>0</v>
      </c>
      <c r="K90" s="45">
        <f>0</f>
        <v>0</v>
      </c>
      <c r="L90" s="45">
        <f>0</f>
        <v>0</v>
      </c>
      <c r="M90" s="45">
        <f>0</f>
        <v>0</v>
      </c>
      <c r="N90" s="45">
        <f>0</f>
        <v>0</v>
      </c>
      <c r="O90" s="45">
        <f>0</f>
        <v>0</v>
      </c>
      <c r="P90" s="45">
        <f>0</f>
        <v>0</v>
      </c>
      <c r="Q90" s="45">
        <f>0</f>
        <v>0</v>
      </c>
      <c r="R90" s="45">
        <f>0</f>
        <v>0</v>
      </c>
      <c r="S90" s="45">
        <f>0</f>
        <v>0</v>
      </c>
      <c r="T90" s="45">
        <f>0</f>
        <v>0</v>
      </c>
      <c r="U90" s="45">
        <f>0</f>
        <v>0</v>
      </c>
      <c r="V90" s="45">
        <f>0</f>
        <v>0</v>
      </c>
      <c r="W90" s="45">
        <f>0</f>
        <v>0</v>
      </c>
      <c r="X90" s="45">
        <f>0</f>
        <v>0</v>
      </c>
      <c r="Y90" s="45">
        <f>0</f>
        <v>0</v>
      </c>
      <c r="Z90" s="45">
        <f>0</f>
        <v>0</v>
      </c>
      <c r="AA90" s="45">
        <f>0</f>
        <v>0</v>
      </c>
      <c r="AB90" s="45">
        <f>0</f>
        <v>0</v>
      </c>
      <c r="AC90" s="45">
        <f>0</f>
        <v>0</v>
      </c>
      <c r="AD90" s="45">
        <f>0</f>
        <v>0</v>
      </c>
      <c r="AE90" s="45">
        <f>0</f>
        <v>0</v>
      </c>
      <c r="AF90" s="45">
        <f>0</f>
        <v>0</v>
      </c>
      <c r="AG90" s="45">
        <f>0</f>
        <v>0</v>
      </c>
      <c r="AH90" s="45">
        <f>0</f>
        <v>0</v>
      </c>
      <c r="AI90" s="45">
        <f>0</f>
        <v>0</v>
      </c>
      <c r="AJ90" s="45">
        <f>0</f>
        <v>0</v>
      </c>
      <c r="AK90" s="45">
        <f>0</f>
        <v>0</v>
      </c>
      <c r="AL90" s="45">
        <f>0</f>
        <v>0</v>
      </c>
      <c r="AM90" s="45">
        <f>0</f>
        <v>0</v>
      </c>
      <c r="AN90" s="46">
        <f>0</f>
        <v>0</v>
      </c>
      <c r="AO90" s="8"/>
    </row>
    <row r="91" spans="2:41" hidden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</row>
    <row r="92" spans="2:41" hidden="1" x14ac:dyDescent="0.35">
      <c r="B92" s="8"/>
      <c r="C92" s="23" t="s">
        <v>99</v>
      </c>
      <c r="D92" s="24"/>
      <c r="E92" s="26">
        <f t="array" ref="E92:AN92">_yS</f>
        <v>2024</v>
      </c>
      <c r="F92" s="26">
        <v>2025</v>
      </c>
      <c r="G92" s="26">
        <v>2026</v>
      </c>
      <c r="H92" s="26">
        <v>2027</v>
      </c>
      <c r="I92" s="26">
        <v>2028</v>
      </c>
      <c r="J92" s="26">
        <v>2029</v>
      </c>
      <c r="K92" s="26">
        <v>2030</v>
      </c>
      <c r="L92" s="26">
        <v>2031</v>
      </c>
      <c r="M92" s="26">
        <v>2032</v>
      </c>
      <c r="N92" s="26">
        <v>2033</v>
      </c>
      <c r="O92" s="26">
        <v>2034</v>
      </c>
      <c r="P92" s="26">
        <v>2035</v>
      </c>
      <c r="Q92" s="26">
        <v>2036</v>
      </c>
      <c r="R92" s="26">
        <v>2037</v>
      </c>
      <c r="S92" s="26">
        <v>2038</v>
      </c>
      <c r="T92" s="26">
        <v>2039</v>
      </c>
      <c r="U92" s="26">
        <v>2040</v>
      </c>
      <c r="V92" s="26">
        <v>2041</v>
      </c>
      <c r="W92" s="26">
        <v>2042</v>
      </c>
      <c r="X92" s="26">
        <v>2043</v>
      </c>
      <c r="Y92" s="26">
        <v>2044</v>
      </c>
      <c r="Z92" s="26">
        <v>2045</v>
      </c>
      <c r="AA92" s="26">
        <v>2046</v>
      </c>
      <c r="AB92" s="26">
        <v>2047</v>
      </c>
      <c r="AC92" s="26">
        <v>2048</v>
      </c>
      <c r="AD92" s="26">
        <v>2049</v>
      </c>
      <c r="AE92" s="26">
        <v>2050</v>
      </c>
      <c r="AF92" s="26">
        <v>2051</v>
      </c>
      <c r="AG92" s="26">
        <v>2052</v>
      </c>
      <c r="AH92" s="26">
        <v>2053</v>
      </c>
      <c r="AI92" s="26">
        <v>2054</v>
      </c>
      <c r="AJ92" s="26">
        <v>2055</v>
      </c>
      <c r="AK92" s="26">
        <v>2056</v>
      </c>
      <c r="AL92" s="26">
        <v>2057</v>
      </c>
      <c r="AM92" s="26">
        <v>2058</v>
      </c>
      <c r="AN92" s="27">
        <v>2059</v>
      </c>
      <c r="AO92" s="8"/>
    </row>
    <row r="93" spans="2:41" hidden="1" x14ac:dyDescent="0.35">
      <c r="B93" s="8"/>
      <c r="C93" s="19" t="str">
        <f>"EL 0: " &amp; INDEX(_doName,1,1)</f>
        <v>EL 0: Baseline</v>
      </c>
      <c r="D93" s="11"/>
      <c r="E93" s="33"/>
      <c r="F93" s="33">
        <f>0 + INDEX(doEff,1)*(INDEX(eff0BC_Res,1)+0) + SUMPRODUCT(doEff,INDEX(bcEff_Res,,1),N(_el&gt;0))</f>
        <v>1.9319253112033195</v>
      </c>
      <c r="G93" s="33">
        <f ca="1">0 + INDEX(doEff,1)*(INDEX(eff0BC_Res,1)+0) + SUMPRODUCT(doEff,INDEX(bcEff_Res,,2),N(_el&gt;0))</f>
        <v>1.9319253112033195</v>
      </c>
      <c r="H93" s="33">
        <f ca="1">0 + INDEX(doEff,1)*(INDEX(eff0BC_Res,1)+0) + SUMPRODUCT(doEff,INDEX(bcEff_Res,,3),N(_el&gt;0))</f>
        <v>1.9319253112033195</v>
      </c>
      <c r="I93" s="33">
        <f ca="1">0 + INDEX(doEff,1)*(INDEX(eff0BC_Res,1)+0) + SUMPRODUCT(doEff,INDEX(bcEff_Res,,4),N(_el&gt;0))</f>
        <v>1.9319253112033195</v>
      </c>
      <c r="J93" s="33">
        <f ca="1">0 + INDEX(doEff,1)*(INDEX(eff0BC_Res,1)+0) + SUMPRODUCT(doEff,INDEX(bcEff_Res,,5),N(_el&gt;0))</f>
        <v>1.9319253112033195</v>
      </c>
      <c r="K93" s="33">
        <f ca="1">0 + INDEX(doEff,1)*(INDEX(eff0BC_Res,1)+0) + SUMPRODUCT(doEff,INDEX(bcEff_Res,,6),N(_el&gt;0))</f>
        <v>1.9319253112033195</v>
      </c>
      <c r="L93" s="33">
        <f ca="1">0 + INDEX(doEff,1)*(INDEX(eff0BC_Res,1)+0) + SUMPRODUCT(doEff,INDEX(bcEff_Res,,7),N(_el&gt;0))</f>
        <v>1.9319253112033195</v>
      </c>
      <c r="M93" s="33">
        <f ca="1">0 + INDEX(doEff,1)*(INDEX(eff0BC_Res,1)+0) + SUMPRODUCT(doEff,INDEX(bcEff_Res,,8),N(_el&gt;0))</f>
        <v>1.9319253112033195</v>
      </c>
      <c r="N93" s="33">
        <f ca="1">0 + INDEX(doEff,1)*(INDEX(eff0BC_Res,1)+0) + SUMPRODUCT(doEff,INDEX(bcEff_Res,,9),N(_el&gt;0))</f>
        <v>1.9319253112033195</v>
      </c>
      <c r="O93" s="33">
        <f ca="1">0 + INDEX(doEff,1)*(INDEX(eff0BC_Res,1)+0) + SUMPRODUCT(doEff,INDEX(bcEff_Res,,10),N(_el&gt;0))</f>
        <v>1.9319253112033195</v>
      </c>
      <c r="P93" s="33">
        <f ca="1">0 + INDEX(doEff,1)*(INDEX(eff0BC_Res,1)+0) + SUMPRODUCT(doEff,INDEX(bcEff_Res,,11),N(_el&gt;0))</f>
        <v>1.9319253112033195</v>
      </c>
      <c r="Q93" s="33">
        <f ca="1">0 + INDEX(doEff,1)*(INDEX(eff0BC_Res,1)+0) + SUMPRODUCT(doEff,INDEX(bcEff_Res,,12),N(_el&gt;0))</f>
        <v>1.9319253112033195</v>
      </c>
      <c r="R93" s="33">
        <f ca="1">0 + INDEX(doEff,1)*(INDEX(eff0BC_Res,1)+0) + SUMPRODUCT(doEff,INDEX(bcEff_Res,,13),N(_el&gt;0))</f>
        <v>1.9319253112033195</v>
      </c>
      <c r="S93" s="33">
        <f ca="1">0 + INDEX(doEff,1)*(INDEX(eff0BC_Res,1)+0) + SUMPRODUCT(doEff,INDEX(bcEff_Res,,14),N(_el&gt;0))</f>
        <v>1.9319253112033195</v>
      </c>
      <c r="T93" s="33">
        <f ca="1">0 + INDEX(doEff,1)*(INDEX(eff0BC_Res,1)+0) + SUMPRODUCT(doEff,INDEX(bcEff_Res,,15),N(_el&gt;0))</f>
        <v>1.9319253112033195</v>
      </c>
      <c r="U93" s="33">
        <f ca="1">0 + INDEX(doEff,1)*(INDEX(eff0BC_Res,1)+0) + SUMPRODUCT(doEff,INDEX(bcEff_Res,,16),N(_el&gt;0))</f>
        <v>1.9319253112033195</v>
      </c>
      <c r="V93" s="33">
        <f ca="1">0 + INDEX(doEff,1)*(INDEX(eff0BC_Res,1)+0) + SUMPRODUCT(doEff,INDEX(bcEff_Res,,17),N(_el&gt;0))</f>
        <v>1.9319253112033195</v>
      </c>
      <c r="W93" s="33">
        <f ca="1">0 + INDEX(doEff,1)*(INDEX(eff0BC_Res,1)+0) + SUMPRODUCT(doEff,INDEX(bcEff_Res,,18),N(_el&gt;0))</f>
        <v>1.9319253112033195</v>
      </c>
      <c r="X93" s="33">
        <f ca="1">0 + INDEX(doEff,1)*(INDEX(eff0BC_Res,1)+0) + SUMPRODUCT(doEff,INDEX(bcEff_Res,,19),N(_el&gt;0))</f>
        <v>1.9319253112033195</v>
      </c>
      <c r="Y93" s="33">
        <f ca="1">0 + INDEX(doEff,1)*(INDEX(eff0BC_Res,1)+0) + SUMPRODUCT(doEff,INDEX(bcEff_Res,,20),N(_el&gt;0))</f>
        <v>1.9319253112033195</v>
      </c>
      <c r="Z93" s="33">
        <f ca="1">0 + INDEX(doEff,1)*(INDEX(eff0BC_Res,1)+0) + SUMPRODUCT(doEff,INDEX(bcEff_Res,,21),N(_el&gt;0))</f>
        <v>1.9319253112033195</v>
      </c>
      <c r="AA93" s="33">
        <f ca="1">0 + INDEX(doEff,1)*(INDEX(eff0BC_Res,1)+0) + SUMPRODUCT(doEff,INDEX(bcEff_Res,,22),N(_el&gt;0))</f>
        <v>1.9319253112033195</v>
      </c>
      <c r="AB93" s="33">
        <f ca="1">0 + INDEX(doEff,1)*(INDEX(eff0BC_Res,1)+0) + SUMPRODUCT(doEff,INDEX(bcEff_Res,,23),N(_el&gt;0))</f>
        <v>1.9319253112033195</v>
      </c>
      <c r="AC93" s="33">
        <f ca="1">0 + INDEX(doEff,1)*(INDEX(eff0BC_Res,1)+0) + SUMPRODUCT(doEff,INDEX(bcEff_Res,,24),N(_el&gt;0))</f>
        <v>1.9319253112033195</v>
      </c>
      <c r="AD93" s="33">
        <f ca="1">0 + INDEX(doEff,1)*(INDEX(eff0BC_Res,1)+0) + SUMPRODUCT(doEff,INDEX(bcEff_Res,,25),N(_el&gt;0))</f>
        <v>1.9319253112033195</v>
      </c>
      <c r="AE93" s="33">
        <f ca="1">0 + INDEX(doEff,1)*(INDEX(eff0BC_Res,1)+0) + SUMPRODUCT(doEff,INDEX(bcEff_Res,,26),N(_el&gt;0))</f>
        <v>1.9319253112033195</v>
      </c>
      <c r="AF93" s="33">
        <f ca="1">0 + INDEX(doEff,1)*(INDEX(eff0BC_Res,1)+0) + SUMPRODUCT(doEff,INDEX(bcEff_Res,,27),N(_el&gt;0))</f>
        <v>1.9319253112033195</v>
      </c>
      <c r="AG93" s="33">
        <f ca="1">0 + INDEX(doEff,1)*(INDEX(eff0BC_Res,1)+0) + SUMPRODUCT(doEff,INDEX(bcEff_Res,,28),N(_el&gt;0))</f>
        <v>1.9319253112033195</v>
      </c>
      <c r="AH93" s="33">
        <f ca="1">0 + INDEX(doEff,1)*(INDEX(eff0BC_Res,1)+0) + SUMPRODUCT(doEff,INDEX(bcEff_Res,,29),N(_el&gt;0))</f>
        <v>1.9319253112033195</v>
      </c>
      <c r="AI93" s="33">
        <f ca="1">0 + INDEX(doEff,1)*(INDEX(eff0BC_Res,1)+0) + SUMPRODUCT(doEff,INDEX(bcEff_Res,,30),N(_el&gt;0))</f>
        <v>1.9319253112033195</v>
      </c>
      <c r="AJ93" s="33">
        <f ca="1">0 + INDEX(doEff,1)*(INDEX(eff0BC_Res,1)+0) + SUMPRODUCT(doEff,INDEX(bcEff_Res,,31),N(_el&gt;0))</f>
        <v>1.9319253112033195</v>
      </c>
      <c r="AK93" s="33">
        <f ca="1">0 + INDEX(doEff,1)*(INDEX(eff0BC_Res,1)+0) + SUMPRODUCT(doEff,INDEX(bcEff_Res,,32),N(_el&gt;0))</f>
        <v>1.9319253112033195</v>
      </c>
      <c r="AL93" s="33">
        <f ca="1">0 + INDEX(doEff,1)*(INDEX(eff0BC_Res,1)+0) + SUMPRODUCT(doEff,INDEX(bcEff_Res,,33),N(_el&gt;0))</f>
        <v>1.9319253112033195</v>
      </c>
      <c r="AM93" s="33">
        <f ca="1">0 + INDEX(doEff,1)*(INDEX(eff0BC_Res,1)+0) + SUMPRODUCT(doEff,INDEX(bcEff_Res,,34),N(_el&gt;0))</f>
        <v>1.9319253112033195</v>
      </c>
      <c r="AN93" s="34">
        <f ca="1">0 + INDEX(doEff,1)*(INDEX(eff0BC_Res,1)+0) + SUMPRODUCT(doEff,INDEX(bcEff_Res,,35),N(_el&gt;0))</f>
        <v>1.9319253112033195</v>
      </c>
      <c r="AO93" s="8"/>
    </row>
    <row r="94" spans="2:41" hidden="1" x14ac:dyDescent="0.35">
      <c r="B94" s="8"/>
      <c r="C94" s="19" t="str">
        <f>"EL 1: " &amp; INDEX(_doName,1,2)</f>
        <v>EL 1: Tier 1</v>
      </c>
      <c r="D94" s="11"/>
      <c r="E94" s="33"/>
      <c r="F94" s="33">
        <f ca="1">SUMPRODUCT(OFFSET(doEff,0,0,1,1),OFFSET(INDEX(bcEff_Res,1,2),0,0,1,1)) + INDEX(doEff,2)*(INDEX(eff0BC_Res,2)+INDEX(pushBC_Res,1)) + SUMPRODUCT(doEff,INDEX(bcEff_Res,,1),N(_el&gt;1))</f>
        <v>1.9319253112033197</v>
      </c>
      <c r="G94" s="33">
        <f ca="1">SUMPRODUCT(OFFSET(doEff,0,0,1,1),OFFSET(INDEX(bcEff_Res,1,3),0,0,1,1)) + INDEX(doEff,2)*(INDEX(eff0BC_Res,2)+INDEX(pushBC_Res,1)) + SUMPRODUCT(doEff,INDEX(bcEff_Res,,2),N(_el&gt;1))</f>
        <v>1.9319253112033197</v>
      </c>
      <c r="H94" s="33">
        <f ca="1">SUMPRODUCT(OFFSET(doEff,0,0,1,1),OFFSET(INDEX(bcEff_Res,1,4),0,0,1,1)) + INDEX(doEff,2)*(INDEX(eff0BC_Res,2)+INDEX(pushBC_Res,1)) + SUMPRODUCT(doEff,INDEX(bcEff_Res,,3),N(_el&gt;1))</f>
        <v>1.9319253112033197</v>
      </c>
      <c r="I94" s="33">
        <f ca="1">SUMPRODUCT(OFFSET(doEff,0,0,1,1),OFFSET(INDEX(bcEff_Res,1,5),0,0,1,1)) + INDEX(doEff,2)*(INDEX(eff0BC_Res,2)+INDEX(pushBC_Res,1)) + SUMPRODUCT(doEff,INDEX(bcEff_Res,,4),N(_el&gt;1))</f>
        <v>1.9319253112033197</v>
      </c>
      <c r="J94" s="33">
        <f ca="1">SUMPRODUCT(OFFSET(doEff,0,0,1,1),OFFSET(INDEX(bcEff_Res,1,6),0,0,1,1)) + INDEX(doEff,2)*(INDEX(eff0BC_Res,2)+INDEX(pushBC_Res,1)) + SUMPRODUCT(doEff,INDEX(bcEff_Res,,5),N(_el&gt;1))</f>
        <v>1.9319253112033197</v>
      </c>
      <c r="K94" s="33">
        <f ca="1">SUMPRODUCT(OFFSET(doEff,0,0,1,1),OFFSET(INDEX(bcEff_Res,1,7),0,0,1,1)) + INDEX(doEff,2)*(INDEX(eff0BC_Res,2)+INDEX(pushBC_Res,1)) + SUMPRODUCT(doEff,INDEX(bcEff_Res,,6),N(_el&gt;1))</f>
        <v>1.9319253112033197</v>
      </c>
      <c r="L94" s="33">
        <f ca="1">SUMPRODUCT(OFFSET(doEff,0,0,1,1),OFFSET(INDEX(bcEff_Res,1,8),0,0,1,1)) + INDEX(doEff,2)*(INDEX(eff0BC_Res,2)+INDEX(pushBC_Res,1)) + SUMPRODUCT(doEff,INDEX(bcEff_Res,,7),N(_el&gt;1))</f>
        <v>1.9319253112033197</v>
      </c>
      <c r="M94" s="33">
        <f ca="1">SUMPRODUCT(OFFSET(doEff,0,0,1,1),OFFSET(INDEX(bcEff_Res,1,9),0,0,1,1)) + INDEX(doEff,2)*(INDEX(eff0BC_Res,2)+INDEX(pushBC_Res,1)) + SUMPRODUCT(doEff,INDEX(bcEff_Res,,8),N(_el&gt;1))</f>
        <v>1.9319253112033197</v>
      </c>
      <c r="N94" s="33">
        <f ca="1">SUMPRODUCT(OFFSET(doEff,0,0,1,1),OFFSET(INDEX(bcEff_Res,1,10),0,0,1,1)) + INDEX(doEff,2)*(INDEX(eff0BC_Res,2)+INDEX(pushBC_Res,1)) + SUMPRODUCT(doEff,INDEX(bcEff_Res,,9),N(_el&gt;1))</f>
        <v>1.9319253112033197</v>
      </c>
      <c r="O94" s="33">
        <f ca="1">SUMPRODUCT(OFFSET(doEff,0,0,1,1),OFFSET(INDEX(bcEff_Res,1,11),0,0,1,1)) + INDEX(doEff,2)*(INDEX(eff0BC_Res,2)+INDEX(pushBC_Res,1)) + SUMPRODUCT(doEff,INDEX(bcEff_Res,,10),N(_el&gt;1))</f>
        <v>1.9319253112033197</v>
      </c>
      <c r="P94" s="33">
        <f ca="1">SUMPRODUCT(OFFSET(doEff,0,0,1,1),OFFSET(INDEX(bcEff_Res,1,12),0,0,1,1)) + INDEX(doEff,2)*(INDEX(eff0BC_Res,2)+INDEX(pushBC_Res,1)) + SUMPRODUCT(doEff,INDEX(bcEff_Res,,11),N(_el&gt;1))</f>
        <v>1.9319253112033197</v>
      </c>
      <c r="Q94" s="33">
        <f ca="1">SUMPRODUCT(OFFSET(doEff,0,0,1,1),OFFSET(INDEX(bcEff_Res,1,13),0,0,1,1)) + INDEX(doEff,2)*(INDEX(eff0BC_Res,2)+INDEX(pushBC_Res,1)) + SUMPRODUCT(doEff,INDEX(bcEff_Res,,12),N(_el&gt;1))</f>
        <v>1.9319253112033197</v>
      </c>
      <c r="R94" s="33">
        <f ca="1">SUMPRODUCT(OFFSET(doEff,0,0,1,1),OFFSET(INDEX(bcEff_Res,1,14),0,0,1,1)) + INDEX(doEff,2)*(INDEX(eff0BC_Res,2)+INDEX(pushBC_Res,1)) + SUMPRODUCT(doEff,INDEX(bcEff_Res,,13),N(_el&gt;1))</f>
        <v>1.9319253112033197</v>
      </c>
      <c r="S94" s="33">
        <f ca="1">SUMPRODUCT(OFFSET(doEff,0,0,1,1),OFFSET(INDEX(bcEff_Res,1,15),0,0,1,1)) + INDEX(doEff,2)*(INDEX(eff0BC_Res,2)+INDEX(pushBC_Res,1)) + SUMPRODUCT(doEff,INDEX(bcEff_Res,,14),N(_el&gt;1))</f>
        <v>1.9319253112033197</v>
      </c>
      <c r="T94" s="33">
        <f ca="1">SUMPRODUCT(OFFSET(doEff,0,0,1,1),OFFSET(INDEX(bcEff_Res,1,16),0,0,1,1)) + INDEX(doEff,2)*(INDEX(eff0BC_Res,2)+INDEX(pushBC_Res,1)) + SUMPRODUCT(doEff,INDEX(bcEff_Res,,15),N(_el&gt;1))</f>
        <v>1.9319253112033197</v>
      </c>
      <c r="U94" s="33">
        <f ca="1">SUMPRODUCT(OFFSET(doEff,0,0,1,1),OFFSET(INDEX(bcEff_Res,1,17),0,0,1,1)) + INDEX(doEff,2)*(INDEX(eff0BC_Res,2)+INDEX(pushBC_Res,1)) + SUMPRODUCT(doEff,INDEX(bcEff_Res,,16),N(_el&gt;1))</f>
        <v>1.9319253112033197</v>
      </c>
      <c r="V94" s="33">
        <f ca="1">SUMPRODUCT(OFFSET(doEff,0,0,1,1),OFFSET(INDEX(bcEff_Res,1,18),0,0,1,1)) + INDEX(doEff,2)*(INDEX(eff0BC_Res,2)+INDEX(pushBC_Res,1)) + SUMPRODUCT(doEff,INDEX(bcEff_Res,,17),N(_el&gt;1))</f>
        <v>1.9319253112033197</v>
      </c>
      <c r="W94" s="33">
        <f ca="1">SUMPRODUCT(OFFSET(doEff,0,0,1,1),OFFSET(INDEX(bcEff_Res,1,19),0,0,1,1)) + INDEX(doEff,2)*(INDEX(eff0BC_Res,2)+INDEX(pushBC_Res,1)) + SUMPRODUCT(doEff,INDEX(bcEff_Res,,18),N(_el&gt;1))</f>
        <v>1.9319253112033197</v>
      </c>
      <c r="X94" s="33">
        <f ca="1">SUMPRODUCT(OFFSET(doEff,0,0,1,1),OFFSET(INDEX(bcEff_Res,1,20),0,0,1,1)) + INDEX(doEff,2)*(INDEX(eff0BC_Res,2)+INDEX(pushBC_Res,1)) + SUMPRODUCT(doEff,INDEX(bcEff_Res,,19),N(_el&gt;1))</f>
        <v>1.9319253112033197</v>
      </c>
      <c r="Y94" s="33">
        <f ca="1">SUMPRODUCT(OFFSET(doEff,0,0,1,1),OFFSET(INDEX(bcEff_Res,1,21),0,0,1,1)) + INDEX(doEff,2)*(INDEX(eff0BC_Res,2)+INDEX(pushBC_Res,1)) + SUMPRODUCT(doEff,INDEX(bcEff_Res,,20),N(_el&gt;1))</f>
        <v>1.9319253112033197</v>
      </c>
      <c r="Z94" s="33">
        <f ca="1">SUMPRODUCT(OFFSET(doEff,0,0,1,1),OFFSET(INDEX(bcEff_Res,1,22),0,0,1,1)) + INDEX(doEff,2)*(INDEX(eff0BC_Res,2)+INDEX(pushBC_Res,1)) + SUMPRODUCT(doEff,INDEX(bcEff_Res,,21),N(_el&gt;1))</f>
        <v>1.9319253112033197</v>
      </c>
      <c r="AA94" s="33">
        <f ca="1">SUMPRODUCT(OFFSET(doEff,0,0,1,1),OFFSET(INDEX(bcEff_Res,1,23),0,0,1,1)) + INDEX(doEff,2)*(INDEX(eff0BC_Res,2)+INDEX(pushBC_Res,1)) + SUMPRODUCT(doEff,INDEX(bcEff_Res,,22),N(_el&gt;1))</f>
        <v>1.9319253112033197</v>
      </c>
      <c r="AB94" s="33">
        <f ca="1">SUMPRODUCT(OFFSET(doEff,0,0,1,1),OFFSET(INDEX(bcEff_Res,1,24),0,0,1,1)) + INDEX(doEff,2)*(INDEX(eff0BC_Res,2)+INDEX(pushBC_Res,1)) + SUMPRODUCT(doEff,INDEX(bcEff_Res,,23),N(_el&gt;1))</f>
        <v>1.9319253112033197</v>
      </c>
      <c r="AC94" s="33">
        <f ca="1">SUMPRODUCT(OFFSET(doEff,0,0,1,1),OFFSET(INDEX(bcEff_Res,1,25),0,0,1,1)) + INDEX(doEff,2)*(INDEX(eff0BC_Res,2)+INDEX(pushBC_Res,1)) + SUMPRODUCT(doEff,INDEX(bcEff_Res,,24),N(_el&gt;1))</f>
        <v>1.9319253112033197</v>
      </c>
      <c r="AD94" s="33">
        <f ca="1">SUMPRODUCT(OFFSET(doEff,0,0,1,1),OFFSET(INDEX(bcEff_Res,1,26),0,0,1,1)) + INDEX(doEff,2)*(INDEX(eff0BC_Res,2)+INDEX(pushBC_Res,1)) + SUMPRODUCT(doEff,INDEX(bcEff_Res,,25),N(_el&gt;1))</f>
        <v>1.9319253112033197</v>
      </c>
      <c r="AE94" s="33">
        <f ca="1">SUMPRODUCT(OFFSET(doEff,0,0,1,1),OFFSET(INDEX(bcEff_Res,1,27),0,0,1,1)) + INDEX(doEff,2)*(INDEX(eff0BC_Res,2)+INDEX(pushBC_Res,1)) + SUMPRODUCT(doEff,INDEX(bcEff_Res,,26),N(_el&gt;1))</f>
        <v>1.9319253112033197</v>
      </c>
      <c r="AF94" s="33">
        <f ca="1">SUMPRODUCT(OFFSET(doEff,0,0,1,1),OFFSET(INDEX(bcEff_Res,1,28),0,0,1,1)) + INDEX(doEff,2)*(INDEX(eff0BC_Res,2)+INDEX(pushBC_Res,1)) + SUMPRODUCT(doEff,INDEX(bcEff_Res,,27),N(_el&gt;1))</f>
        <v>1.9319253112033197</v>
      </c>
      <c r="AG94" s="33">
        <f ca="1">SUMPRODUCT(OFFSET(doEff,0,0,1,1),OFFSET(INDEX(bcEff_Res,1,29),0,0,1,1)) + INDEX(doEff,2)*(INDEX(eff0BC_Res,2)+INDEX(pushBC_Res,1)) + SUMPRODUCT(doEff,INDEX(bcEff_Res,,28),N(_el&gt;1))</f>
        <v>1.9319253112033197</v>
      </c>
      <c r="AH94" s="33">
        <f ca="1">SUMPRODUCT(OFFSET(doEff,0,0,1,1),OFFSET(INDEX(bcEff_Res,1,30),0,0,1,1)) + INDEX(doEff,2)*(INDEX(eff0BC_Res,2)+INDEX(pushBC_Res,1)) + SUMPRODUCT(doEff,INDEX(bcEff_Res,,29),N(_el&gt;1))</f>
        <v>1.9319253112033197</v>
      </c>
      <c r="AI94" s="33">
        <f ca="1">SUMPRODUCT(OFFSET(doEff,0,0,1,1),OFFSET(INDEX(bcEff_Res,1,31),0,0,1,1)) + INDEX(doEff,2)*(INDEX(eff0BC_Res,2)+INDEX(pushBC_Res,1)) + SUMPRODUCT(doEff,INDEX(bcEff_Res,,30),N(_el&gt;1))</f>
        <v>1.9319253112033197</v>
      </c>
      <c r="AJ94" s="33">
        <f ca="1">SUMPRODUCT(OFFSET(doEff,0,0,1,1),OFFSET(INDEX(bcEff_Res,1,32),0,0,1,1)) + INDEX(doEff,2)*(INDEX(eff0BC_Res,2)+INDEX(pushBC_Res,1)) + SUMPRODUCT(doEff,INDEX(bcEff_Res,,31),N(_el&gt;1))</f>
        <v>1.9319253112033197</v>
      </c>
      <c r="AK94" s="33">
        <f ca="1">SUMPRODUCT(OFFSET(doEff,0,0,1,1),OFFSET(INDEX(bcEff_Res,1,33),0,0,1,1)) + INDEX(doEff,2)*(INDEX(eff0BC_Res,2)+INDEX(pushBC_Res,1)) + SUMPRODUCT(doEff,INDEX(bcEff_Res,,32),N(_el&gt;1))</f>
        <v>1.9319253112033197</v>
      </c>
      <c r="AL94" s="33">
        <f ca="1">SUMPRODUCT(OFFSET(doEff,0,0,1,1),OFFSET(INDEX(bcEff_Res,1,34),0,0,1,1)) + INDEX(doEff,2)*(INDEX(eff0BC_Res,2)+INDEX(pushBC_Res,1)) + SUMPRODUCT(doEff,INDEX(bcEff_Res,,33),N(_el&gt;1))</f>
        <v>1.9319253112033197</v>
      </c>
      <c r="AM94" s="33">
        <f ca="1">SUMPRODUCT(OFFSET(doEff,0,0,1,1),OFFSET(INDEX(bcEff_Res,1,35),0,0,1,1)) + INDEX(doEff,2)*(INDEX(eff0BC_Res,2)+INDEX(pushBC_Res,1)) + SUMPRODUCT(doEff,INDEX(bcEff_Res,,34),N(_el&gt;1))</f>
        <v>1.9319253112033197</v>
      </c>
      <c r="AN94" s="34">
        <f ca="1">SUMPRODUCT(OFFSET(doEff,0,0,1,1),OFFSET(INDEX(bcEff_Res,1,36),0,0,1,1)) + INDEX(doEff,2)*(INDEX(eff0BC_Res,2)+INDEX(pushBC_Res,1)) + SUMPRODUCT(doEff,INDEX(bcEff_Res,,35),N(_el&gt;1))</f>
        <v>1.9319253112033197</v>
      </c>
      <c r="AO94" s="8"/>
    </row>
    <row r="95" spans="2:41" hidden="1" x14ac:dyDescent="0.35">
      <c r="B95" s="8"/>
      <c r="C95" s="19" t="str">
        <f>"EL 2: " &amp; INDEX(_doName,1,3)</f>
        <v>EL 2: Tier 2</v>
      </c>
      <c r="D95" s="11"/>
      <c r="E95" s="33"/>
      <c r="F95" s="33">
        <f ca="1">SUMPRODUCT(OFFSET(doEff,0,0,2,1),OFFSET(INDEX(bcEff_Res,1,2),0,0,2,1)) + INDEX(doEff,3)*(INDEX(eff0BC_Res,3)+INDEX(pushBC_Res,2)) + SUMPRODUCT(doEff,INDEX(bcEff_Res,,1),N(_el&gt;2))</f>
        <v>1.9319253112033197</v>
      </c>
      <c r="G95" s="33">
        <f ca="1">SUMPRODUCT(OFFSET(doEff,0,0,2,1),OFFSET(INDEX(bcEff_Res,1,3),0,0,2,1)) + INDEX(doEff,3)*(INDEX(eff0BC_Res,3)+INDEX(pushBC_Res,2)) + SUMPRODUCT(doEff,INDEX(bcEff_Res,,2),N(_el&gt;2))</f>
        <v>1.9319253112033197</v>
      </c>
      <c r="H95" s="33">
        <f ca="1">SUMPRODUCT(OFFSET(doEff,0,0,2,1),OFFSET(INDEX(bcEff_Res,1,4),0,0,2,1)) + INDEX(doEff,3)*(INDEX(eff0BC_Res,3)+INDEX(pushBC_Res,2)) + SUMPRODUCT(doEff,INDEX(bcEff_Res,,3),N(_el&gt;2))</f>
        <v>1.9319253112033197</v>
      </c>
      <c r="I95" s="33">
        <f ca="1">SUMPRODUCT(OFFSET(doEff,0,0,2,1),OFFSET(INDEX(bcEff_Res,1,5),0,0,2,1)) + INDEX(doEff,3)*(INDEX(eff0BC_Res,3)+INDEX(pushBC_Res,2)) + SUMPRODUCT(doEff,INDEX(bcEff_Res,,4),N(_el&gt;2))</f>
        <v>1.9319253112033197</v>
      </c>
      <c r="J95" s="33">
        <f ca="1">SUMPRODUCT(OFFSET(doEff,0,0,2,1),OFFSET(INDEX(bcEff_Res,1,6),0,0,2,1)) + INDEX(doEff,3)*(INDEX(eff0BC_Res,3)+INDEX(pushBC_Res,2)) + SUMPRODUCT(doEff,INDEX(bcEff_Res,,5),N(_el&gt;2))</f>
        <v>1.9319253112033197</v>
      </c>
      <c r="K95" s="33">
        <f ca="1">SUMPRODUCT(OFFSET(doEff,0,0,2,1),OFFSET(INDEX(bcEff_Res,1,7),0,0,2,1)) + INDEX(doEff,3)*(INDEX(eff0BC_Res,3)+INDEX(pushBC_Res,2)) + SUMPRODUCT(doEff,INDEX(bcEff_Res,,6),N(_el&gt;2))</f>
        <v>1.9319253112033197</v>
      </c>
      <c r="L95" s="33">
        <f ca="1">SUMPRODUCT(OFFSET(doEff,0,0,2,1),OFFSET(INDEX(bcEff_Res,1,8),0,0,2,1)) + INDEX(doEff,3)*(INDEX(eff0BC_Res,3)+INDEX(pushBC_Res,2)) + SUMPRODUCT(doEff,INDEX(bcEff_Res,,7),N(_el&gt;2))</f>
        <v>1.9319253112033197</v>
      </c>
      <c r="M95" s="33">
        <f ca="1">SUMPRODUCT(OFFSET(doEff,0,0,2,1),OFFSET(INDEX(bcEff_Res,1,9),0,0,2,1)) + INDEX(doEff,3)*(INDEX(eff0BC_Res,3)+INDEX(pushBC_Res,2)) + SUMPRODUCT(doEff,INDEX(bcEff_Res,,8),N(_el&gt;2))</f>
        <v>1.9319253112033197</v>
      </c>
      <c r="N95" s="33">
        <f ca="1">SUMPRODUCT(OFFSET(doEff,0,0,2,1),OFFSET(INDEX(bcEff_Res,1,10),0,0,2,1)) + INDEX(doEff,3)*(INDEX(eff0BC_Res,3)+INDEX(pushBC_Res,2)) + SUMPRODUCT(doEff,INDEX(bcEff_Res,,9),N(_el&gt;2))</f>
        <v>1.9319253112033197</v>
      </c>
      <c r="O95" s="33">
        <f ca="1">SUMPRODUCT(OFFSET(doEff,0,0,2,1),OFFSET(INDEX(bcEff_Res,1,11),0,0,2,1)) + INDEX(doEff,3)*(INDEX(eff0BC_Res,3)+INDEX(pushBC_Res,2)) + SUMPRODUCT(doEff,INDEX(bcEff_Res,,10),N(_el&gt;2))</f>
        <v>1.9319253112033197</v>
      </c>
      <c r="P95" s="33">
        <f ca="1">SUMPRODUCT(OFFSET(doEff,0,0,2,1),OFFSET(INDEX(bcEff_Res,1,12),0,0,2,1)) + INDEX(doEff,3)*(INDEX(eff0BC_Res,3)+INDEX(pushBC_Res,2)) + SUMPRODUCT(doEff,INDEX(bcEff_Res,,11),N(_el&gt;2))</f>
        <v>1.9319253112033197</v>
      </c>
      <c r="Q95" s="33">
        <f ca="1">SUMPRODUCT(OFFSET(doEff,0,0,2,1),OFFSET(INDEX(bcEff_Res,1,13),0,0,2,1)) + INDEX(doEff,3)*(INDEX(eff0BC_Res,3)+INDEX(pushBC_Res,2)) + SUMPRODUCT(doEff,INDEX(bcEff_Res,,12),N(_el&gt;2))</f>
        <v>1.9319253112033197</v>
      </c>
      <c r="R95" s="33">
        <f ca="1">SUMPRODUCT(OFFSET(doEff,0,0,2,1),OFFSET(INDEX(bcEff_Res,1,14),0,0,2,1)) + INDEX(doEff,3)*(INDEX(eff0BC_Res,3)+INDEX(pushBC_Res,2)) + SUMPRODUCT(doEff,INDEX(bcEff_Res,,13),N(_el&gt;2))</f>
        <v>1.9319253112033197</v>
      </c>
      <c r="S95" s="33">
        <f ca="1">SUMPRODUCT(OFFSET(doEff,0,0,2,1),OFFSET(INDEX(bcEff_Res,1,15),0,0,2,1)) + INDEX(doEff,3)*(INDEX(eff0BC_Res,3)+INDEX(pushBC_Res,2)) + SUMPRODUCT(doEff,INDEX(bcEff_Res,,14),N(_el&gt;2))</f>
        <v>1.9319253112033197</v>
      </c>
      <c r="T95" s="33">
        <f ca="1">SUMPRODUCT(OFFSET(doEff,0,0,2,1),OFFSET(INDEX(bcEff_Res,1,16),0,0,2,1)) + INDEX(doEff,3)*(INDEX(eff0BC_Res,3)+INDEX(pushBC_Res,2)) + SUMPRODUCT(doEff,INDEX(bcEff_Res,,15),N(_el&gt;2))</f>
        <v>1.9319253112033197</v>
      </c>
      <c r="U95" s="33">
        <f ca="1">SUMPRODUCT(OFFSET(doEff,0,0,2,1),OFFSET(INDEX(bcEff_Res,1,17),0,0,2,1)) + INDEX(doEff,3)*(INDEX(eff0BC_Res,3)+INDEX(pushBC_Res,2)) + SUMPRODUCT(doEff,INDEX(bcEff_Res,,16),N(_el&gt;2))</f>
        <v>1.9319253112033197</v>
      </c>
      <c r="V95" s="33">
        <f ca="1">SUMPRODUCT(OFFSET(doEff,0,0,2,1),OFFSET(INDEX(bcEff_Res,1,18),0,0,2,1)) + INDEX(doEff,3)*(INDEX(eff0BC_Res,3)+INDEX(pushBC_Res,2)) + SUMPRODUCT(doEff,INDEX(bcEff_Res,,17),N(_el&gt;2))</f>
        <v>1.9319253112033197</v>
      </c>
      <c r="W95" s="33">
        <f ca="1">SUMPRODUCT(OFFSET(doEff,0,0,2,1),OFFSET(INDEX(bcEff_Res,1,19),0,0,2,1)) + INDEX(doEff,3)*(INDEX(eff0BC_Res,3)+INDEX(pushBC_Res,2)) + SUMPRODUCT(doEff,INDEX(bcEff_Res,,18),N(_el&gt;2))</f>
        <v>1.9319253112033197</v>
      </c>
      <c r="X95" s="33">
        <f ca="1">SUMPRODUCT(OFFSET(doEff,0,0,2,1),OFFSET(INDEX(bcEff_Res,1,20),0,0,2,1)) + INDEX(doEff,3)*(INDEX(eff0BC_Res,3)+INDEX(pushBC_Res,2)) + SUMPRODUCT(doEff,INDEX(bcEff_Res,,19),N(_el&gt;2))</f>
        <v>1.9319253112033197</v>
      </c>
      <c r="Y95" s="33">
        <f ca="1">SUMPRODUCT(OFFSET(doEff,0,0,2,1),OFFSET(INDEX(bcEff_Res,1,21),0,0,2,1)) + INDEX(doEff,3)*(INDEX(eff0BC_Res,3)+INDEX(pushBC_Res,2)) + SUMPRODUCT(doEff,INDEX(bcEff_Res,,20),N(_el&gt;2))</f>
        <v>1.9319253112033197</v>
      </c>
      <c r="Z95" s="33">
        <f ca="1">SUMPRODUCT(OFFSET(doEff,0,0,2,1),OFFSET(INDEX(bcEff_Res,1,22),0,0,2,1)) + INDEX(doEff,3)*(INDEX(eff0BC_Res,3)+INDEX(pushBC_Res,2)) + SUMPRODUCT(doEff,INDEX(bcEff_Res,,21),N(_el&gt;2))</f>
        <v>1.9319253112033197</v>
      </c>
      <c r="AA95" s="33">
        <f ca="1">SUMPRODUCT(OFFSET(doEff,0,0,2,1),OFFSET(INDEX(bcEff_Res,1,23),0,0,2,1)) + INDEX(doEff,3)*(INDEX(eff0BC_Res,3)+INDEX(pushBC_Res,2)) + SUMPRODUCT(doEff,INDEX(bcEff_Res,,22),N(_el&gt;2))</f>
        <v>1.9319253112033197</v>
      </c>
      <c r="AB95" s="33">
        <f ca="1">SUMPRODUCT(OFFSET(doEff,0,0,2,1),OFFSET(INDEX(bcEff_Res,1,24),0,0,2,1)) + INDEX(doEff,3)*(INDEX(eff0BC_Res,3)+INDEX(pushBC_Res,2)) + SUMPRODUCT(doEff,INDEX(bcEff_Res,,23),N(_el&gt;2))</f>
        <v>1.9319253112033197</v>
      </c>
      <c r="AC95" s="33">
        <f ca="1">SUMPRODUCT(OFFSET(doEff,0,0,2,1),OFFSET(INDEX(bcEff_Res,1,25),0,0,2,1)) + INDEX(doEff,3)*(INDEX(eff0BC_Res,3)+INDEX(pushBC_Res,2)) + SUMPRODUCT(doEff,INDEX(bcEff_Res,,24),N(_el&gt;2))</f>
        <v>1.9319253112033197</v>
      </c>
      <c r="AD95" s="33">
        <f ca="1">SUMPRODUCT(OFFSET(doEff,0,0,2,1),OFFSET(INDEX(bcEff_Res,1,26),0,0,2,1)) + INDEX(doEff,3)*(INDEX(eff0BC_Res,3)+INDEX(pushBC_Res,2)) + SUMPRODUCT(doEff,INDEX(bcEff_Res,,25),N(_el&gt;2))</f>
        <v>1.9319253112033197</v>
      </c>
      <c r="AE95" s="33">
        <f ca="1">SUMPRODUCT(OFFSET(doEff,0,0,2,1),OFFSET(INDEX(bcEff_Res,1,27),0,0,2,1)) + INDEX(doEff,3)*(INDEX(eff0BC_Res,3)+INDEX(pushBC_Res,2)) + SUMPRODUCT(doEff,INDEX(bcEff_Res,,26),N(_el&gt;2))</f>
        <v>1.9319253112033197</v>
      </c>
      <c r="AF95" s="33">
        <f ca="1">SUMPRODUCT(OFFSET(doEff,0,0,2,1),OFFSET(INDEX(bcEff_Res,1,28),0,0,2,1)) + INDEX(doEff,3)*(INDEX(eff0BC_Res,3)+INDEX(pushBC_Res,2)) + SUMPRODUCT(doEff,INDEX(bcEff_Res,,27),N(_el&gt;2))</f>
        <v>1.9319253112033197</v>
      </c>
      <c r="AG95" s="33">
        <f ca="1">SUMPRODUCT(OFFSET(doEff,0,0,2,1),OFFSET(INDEX(bcEff_Res,1,29),0,0,2,1)) + INDEX(doEff,3)*(INDEX(eff0BC_Res,3)+INDEX(pushBC_Res,2)) + SUMPRODUCT(doEff,INDEX(bcEff_Res,,28),N(_el&gt;2))</f>
        <v>1.9319253112033197</v>
      </c>
      <c r="AH95" s="33">
        <f ca="1">SUMPRODUCT(OFFSET(doEff,0,0,2,1),OFFSET(INDEX(bcEff_Res,1,30),0,0,2,1)) + INDEX(doEff,3)*(INDEX(eff0BC_Res,3)+INDEX(pushBC_Res,2)) + SUMPRODUCT(doEff,INDEX(bcEff_Res,,29),N(_el&gt;2))</f>
        <v>1.9319253112033197</v>
      </c>
      <c r="AI95" s="33">
        <f ca="1">SUMPRODUCT(OFFSET(doEff,0,0,2,1),OFFSET(INDEX(bcEff_Res,1,31),0,0,2,1)) + INDEX(doEff,3)*(INDEX(eff0BC_Res,3)+INDEX(pushBC_Res,2)) + SUMPRODUCT(doEff,INDEX(bcEff_Res,,30),N(_el&gt;2))</f>
        <v>1.9319253112033197</v>
      </c>
      <c r="AJ95" s="33">
        <f ca="1">SUMPRODUCT(OFFSET(doEff,0,0,2,1),OFFSET(INDEX(bcEff_Res,1,32),0,0,2,1)) + INDEX(doEff,3)*(INDEX(eff0BC_Res,3)+INDEX(pushBC_Res,2)) + SUMPRODUCT(doEff,INDEX(bcEff_Res,,31),N(_el&gt;2))</f>
        <v>1.9319253112033197</v>
      </c>
      <c r="AK95" s="33">
        <f ca="1">SUMPRODUCT(OFFSET(doEff,0,0,2,1),OFFSET(INDEX(bcEff_Res,1,33),0,0,2,1)) + INDEX(doEff,3)*(INDEX(eff0BC_Res,3)+INDEX(pushBC_Res,2)) + SUMPRODUCT(doEff,INDEX(bcEff_Res,,32),N(_el&gt;2))</f>
        <v>1.9319253112033197</v>
      </c>
      <c r="AL95" s="33">
        <f ca="1">SUMPRODUCT(OFFSET(doEff,0,0,2,1),OFFSET(INDEX(bcEff_Res,1,34),0,0,2,1)) + INDEX(doEff,3)*(INDEX(eff0BC_Res,3)+INDEX(pushBC_Res,2)) + SUMPRODUCT(doEff,INDEX(bcEff_Res,,33),N(_el&gt;2))</f>
        <v>1.9319253112033197</v>
      </c>
      <c r="AM95" s="33">
        <f ca="1">SUMPRODUCT(OFFSET(doEff,0,0,2,1),OFFSET(INDEX(bcEff_Res,1,35),0,0,2,1)) + INDEX(doEff,3)*(INDEX(eff0BC_Res,3)+INDEX(pushBC_Res,2)) + SUMPRODUCT(doEff,INDEX(bcEff_Res,,34),N(_el&gt;2))</f>
        <v>1.9319253112033197</v>
      </c>
      <c r="AN95" s="34">
        <f ca="1">SUMPRODUCT(OFFSET(doEff,0,0,2,1),OFFSET(INDEX(bcEff_Res,1,36),0,0,2,1)) + INDEX(doEff,3)*(INDEX(eff0BC_Res,3)+INDEX(pushBC_Res,2)) + SUMPRODUCT(doEff,INDEX(bcEff_Res,,35),N(_el&gt;2))</f>
        <v>1.9319253112033197</v>
      </c>
      <c r="AO95" s="8"/>
    </row>
    <row r="96" spans="2:41" hidden="1" x14ac:dyDescent="0.35">
      <c r="B96" s="8"/>
      <c r="C96" s="19" t="str">
        <f>"EL 3: " &amp; INDEX(_doName,1,4)</f>
        <v>EL 3: EL 3</v>
      </c>
      <c r="D96" s="11"/>
      <c r="E96" s="33"/>
      <c r="F96" s="33">
        <f ca="1">SUMPRODUCT(OFFSET(doEff,0,0,3,1),OFFSET(INDEX(bcEff_Res,1,2),0,0,3,1)) + INDEX(doEff,4)*(INDEX(eff0BC_Res,4)+INDEX(pushBC_Res,3)) + SUMPRODUCT(doEff,INDEX(bcEff_Res,,1),N(_el&gt;3))</f>
        <v>1.9319253112033197</v>
      </c>
      <c r="G96" s="33">
        <f ca="1">SUMPRODUCT(OFFSET(doEff,0,0,3,1),OFFSET(INDEX(bcEff_Res,1,3),0,0,3,1)) + INDEX(doEff,4)*(INDEX(eff0BC_Res,4)+INDEX(pushBC_Res,3)) + SUMPRODUCT(doEff,INDEX(bcEff_Res,,2),N(_el&gt;3))</f>
        <v>1.9319253112033197</v>
      </c>
      <c r="H96" s="33">
        <f ca="1">SUMPRODUCT(OFFSET(doEff,0,0,3,1),OFFSET(INDEX(bcEff_Res,1,4),0,0,3,1)) + INDEX(doEff,4)*(INDEX(eff0BC_Res,4)+INDEX(pushBC_Res,3)) + SUMPRODUCT(doEff,INDEX(bcEff_Res,,3),N(_el&gt;3))</f>
        <v>1.9319253112033197</v>
      </c>
      <c r="I96" s="33">
        <f ca="1">SUMPRODUCT(OFFSET(doEff,0,0,3,1),OFFSET(INDEX(bcEff_Res,1,5),0,0,3,1)) + INDEX(doEff,4)*(INDEX(eff0BC_Res,4)+INDEX(pushBC_Res,3)) + SUMPRODUCT(doEff,INDEX(bcEff_Res,,4),N(_el&gt;3))</f>
        <v>1.9319253112033197</v>
      </c>
      <c r="J96" s="33">
        <f ca="1">SUMPRODUCT(OFFSET(doEff,0,0,3,1),OFFSET(INDEX(bcEff_Res,1,6),0,0,3,1)) + INDEX(doEff,4)*(INDEX(eff0BC_Res,4)+INDEX(pushBC_Res,3)) + SUMPRODUCT(doEff,INDEX(bcEff_Res,,5),N(_el&gt;3))</f>
        <v>1.9319253112033197</v>
      </c>
      <c r="K96" s="33">
        <f ca="1">SUMPRODUCT(OFFSET(doEff,0,0,3,1),OFFSET(INDEX(bcEff_Res,1,7),0,0,3,1)) + INDEX(doEff,4)*(INDEX(eff0BC_Res,4)+INDEX(pushBC_Res,3)) + SUMPRODUCT(doEff,INDEX(bcEff_Res,,6),N(_el&gt;3))</f>
        <v>1.9319253112033197</v>
      </c>
      <c r="L96" s="33">
        <f ca="1">SUMPRODUCT(OFFSET(doEff,0,0,3,1),OFFSET(INDEX(bcEff_Res,1,8),0,0,3,1)) + INDEX(doEff,4)*(INDEX(eff0BC_Res,4)+INDEX(pushBC_Res,3)) + SUMPRODUCT(doEff,INDEX(bcEff_Res,,7),N(_el&gt;3))</f>
        <v>1.9319253112033197</v>
      </c>
      <c r="M96" s="33">
        <f ca="1">SUMPRODUCT(OFFSET(doEff,0,0,3,1),OFFSET(INDEX(bcEff_Res,1,9),0,0,3,1)) + INDEX(doEff,4)*(INDEX(eff0BC_Res,4)+INDEX(pushBC_Res,3)) + SUMPRODUCT(doEff,INDEX(bcEff_Res,,8),N(_el&gt;3))</f>
        <v>1.9319253112033197</v>
      </c>
      <c r="N96" s="33">
        <f ca="1">SUMPRODUCT(OFFSET(doEff,0,0,3,1),OFFSET(INDEX(bcEff_Res,1,10),0,0,3,1)) + INDEX(doEff,4)*(INDEX(eff0BC_Res,4)+INDEX(pushBC_Res,3)) + SUMPRODUCT(doEff,INDEX(bcEff_Res,,9),N(_el&gt;3))</f>
        <v>1.9319253112033197</v>
      </c>
      <c r="O96" s="33">
        <f ca="1">SUMPRODUCT(OFFSET(doEff,0,0,3,1),OFFSET(INDEX(bcEff_Res,1,11),0,0,3,1)) + INDEX(doEff,4)*(INDEX(eff0BC_Res,4)+INDEX(pushBC_Res,3)) + SUMPRODUCT(doEff,INDEX(bcEff_Res,,10),N(_el&gt;3))</f>
        <v>1.9319253112033197</v>
      </c>
      <c r="P96" s="33">
        <f ca="1">SUMPRODUCT(OFFSET(doEff,0,0,3,1),OFFSET(INDEX(bcEff_Res,1,12),0,0,3,1)) + INDEX(doEff,4)*(INDEX(eff0BC_Res,4)+INDEX(pushBC_Res,3)) + SUMPRODUCT(doEff,INDEX(bcEff_Res,,11),N(_el&gt;3))</f>
        <v>1.9319253112033197</v>
      </c>
      <c r="Q96" s="33">
        <f ca="1">SUMPRODUCT(OFFSET(doEff,0,0,3,1),OFFSET(INDEX(bcEff_Res,1,13),0,0,3,1)) + INDEX(doEff,4)*(INDEX(eff0BC_Res,4)+INDEX(pushBC_Res,3)) + SUMPRODUCT(doEff,INDEX(bcEff_Res,,12),N(_el&gt;3))</f>
        <v>1.9319253112033197</v>
      </c>
      <c r="R96" s="33">
        <f ca="1">SUMPRODUCT(OFFSET(doEff,0,0,3,1),OFFSET(INDEX(bcEff_Res,1,14),0,0,3,1)) + INDEX(doEff,4)*(INDEX(eff0BC_Res,4)+INDEX(pushBC_Res,3)) + SUMPRODUCT(doEff,INDEX(bcEff_Res,,13),N(_el&gt;3))</f>
        <v>1.9319253112033197</v>
      </c>
      <c r="S96" s="33">
        <f ca="1">SUMPRODUCT(OFFSET(doEff,0,0,3,1),OFFSET(INDEX(bcEff_Res,1,15),0,0,3,1)) + INDEX(doEff,4)*(INDEX(eff0BC_Res,4)+INDEX(pushBC_Res,3)) + SUMPRODUCT(doEff,INDEX(bcEff_Res,,14),N(_el&gt;3))</f>
        <v>1.9319253112033197</v>
      </c>
      <c r="T96" s="33">
        <f ca="1">SUMPRODUCT(OFFSET(doEff,0,0,3,1),OFFSET(INDEX(bcEff_Res,1,16),0,0,3,1)) + INDEX(doEff,4)*(INDEX(eff0BC_Res,4)+INDEX(pushBC_Res,3)) + SUMPRODUCT(doEff,INDEX(bcEff_Res,,15),N(_el&gt;3))</f>
        <v>1.9319253112033197</v>
      </c>
      <c r="U96" s="33">
        <f ca="1">SUMPRODUCT(OFFSET(doEff,0,0,3,1),OFFSET(INDEX(bcEff_Res,1,17),0,0,3,1)) + INDEX(doEff,4)*(INDEX(eff0BC_Res,4)+INDEX(pushBC_Res,3)) + SUMPRODUCT(doEff,INDEX(bcEff_Res,,16),N(_el&gt;3))</f>
        <v>1.9319253112033197</v>
      </c>
      <c r="V96" s="33">
        <f ca="1">SUMPRODUCT(OFFSET(doEff,0,0,3,1),OFFSET(INDEX(bcEff_Res,1,18),0,0,3,1)) + INDEX(doEff,4)*(INDEX(eff0BC_Res,4)+INDEX(pushBC_Res,3)) + SUMPRODUCT(doEff,INDEX(bcEff_Res,,17),N(_el&gt;3))</f>
        <v>1.9319253112033197</v>
      </c>
      <c r="W96" s="33">
        <f ca="1">SUMPRODUCT(OFFSET(doEff,0,0,3,1),OFFSET(INDEX(bcEff_Res,1,19),0,0,3,1)) + INDEX(doEff,4)*(INDEX(eff0BC_Res,4)+INDEX(pushBC_Res,3)) + SUMPRODUCT(doEff,INDEX(bcEff_Res,,18),N(_el&gt;3))</f>
        <v>1.9319253112033197</v>
      </c>
      <c r="X96" s="33">
        <f ca="1">SUMPRODUCT(OFFSET(doEff,0,0,3,1),OFFSET(INDEX(bcEff_Res,1,20),0,0,3,1)) + INDEX(doEff,4)*(INDEX(eff0BC_Res,4)+INDEX(pushBC_Res,3)) + SUMPRODUCT(doEff,INDEX(bcEff_Res,,19),N(_el&gt;3))</f>
        <v>1.9319253112033197</v>
      </c>
      <c r="Y96" s="33">
        <f ca="1">SUMPRODUCT(OFFSET(doEff,0,0,3,1),OFFSET(INDEX(bcEff_Res,1,21),0,0,3,1)) + INDEX(doEff,4)*(INDEX(eff0BC_Res,4)+INDEX(pushBC_Res,3)) + SUMPRODUCT(doEff,INDEX(bcEff_Res,,20),N(_el&gt;3))</f>
        <v>1.9319253112033197</v>
      </c>
      <c r="Z96" s="33">
        <f ca="1">SUMPRODUCT(OFFSET(doEff,0,0,3,1),OFFSET(INDEX(bcEff_Res,1,22),0,0,3,1)) + INDEX(doEff,4)*(INDEX(eff0BC_Res,4)+INDEX(pushBC_Res,3)) + SUMPRODUCT(doEff,INDEX(bcEff_Res,,21),N(_el&gt;3))</f>
        <v>1.9319253112033197</v>
      </c>
      <c r="AA96" s="33">
        <f ca="1">SUMPRODUCT(OFFSET(doEff,0,0,3,1),OFFSET(INDEX(bcEff_Res,1,23),0,0,3,1)) + INDEX(doEff,4)*(INDEX(eff0BC_Res,4)+INDEX(pushBC_Res,3)) + SUMPRODUCT(doEff,INDEX(bcEff_Res,,22),N(_el&gt;3))</f>
        <v>1.9319253112033197</v>
      </c>
      <c r="AB96" s="33">
        <f ca="1">SUMPRODUCT(OFFSET(doEff,0,0,3,1),OFFSET(INDEX(bcEff_Res,1,24),0,0,3,1)) + INDEX(doEff,4)*(INDEX(eff0BC_Res,4)+INDEX(pushBC_Res,3)) + SUMPRODUCT(doEff,INDEX(bcEff_Res,,23),N(_el&gt;3))</f>
        <v>1.9319253112033197</v>
      </c>
      <c r="AC96" s="33">
        <f ca="1">SUMPRODUCT(OFFSET(doEff,0,0,3,1),OFFSET(INDEX(bcEff_Res,1,25),0,0,3,1)) + INDEX(doEff,4)*(INDEX(eff0BC_Res,4)+INDEX(pushBC_Res,3)) + SUMPRODUCT(doEff,INDEX(bcEff_Res,,24),N(_el&gt;3))</f>
        <v>1.9319253112033197</v>
      </c>
      <c r="AD96" s="33">
        <f ca="1">SUMPRODUCT(OFFSET(doEff,0,0,3,1),OFFSET(INDEX(bcEff_Res,1,26),0,0,3,1)) + INDEX(doEff,4)*(INDEX(eff0BC_Res,4)+INDEX(pushBC_Res,3)) + SUMPRODUCT(doEff,INDEX(bcEff_Res,,25),N(_el&gt;3))</f>
        <v>1.9319253112033197</v>
      </c>
      <c r="AE96" s="33">
        <f ca="1">SUMPRODUCT(OFFSET(doEff,0,0,3,1),OFFSET(INDEX(bcEff_Res,1,27),0,0,3,1)) + INDEX(doEff,4)*(INDEX(eff0BC_Res,4)+INDEX(pushBC_Res,3)) + SUMPRODUCT(doEff,INDEX(bcEff_Res,,26),N(_el&gt;3))</f>
        <v>1.9319253112033197</v>
      </c>
      <c r="AF96" s="33">
        <f ca="1">SUMPRODUCT(OFFSET(doEff,0,0,3,1),OFFSET(INDEX(bcEff_Res,1,28),0,0,3,1)) + INDEX(doEff,4)*(INDEX(eff0BC_Res,4)+INDEX(pushBC_Res,3)) + SUMPRODUCT(doEff,INDEX(bcEff_Res,,27),N(_el&gt;3))</f>
        <v>1.9319253112033197</v>
      </c>
      <c r="AG96" s="33">
        <f ca="1">SUMPRODUCT(OFFSET(doEff,0,0,3,1),OFFSET(INDEX(bcEff_Res,1,29),0,0,3,1)) + INDEX(doEff,4)*(INDEX(eff0BC_Res,4)+INDEX(pushBC_Res,3)) + SUMPRODUCT(doEff,INDEX(bcEff_Res,,28),N(_el&gt;3))</f>
        <v>1.9319253112033197</v>
      </c>
      <c r="AH96" s="33">
        <f ca="1">SUMPRODUCT(OFFSET(doEff,0,0,3,1),OFFSET(INDEX(bcEff_Res,1,30),0,0,3,1)) + INDEX(doEff,4)*(INDEX(eff0BC_Res,4)+INDEX(pushBC_Res,3)) + SUMPRODUCT(doEff,INDEX(bcEff_Res,,29),N(_el&gt;3))</f>
        <v>1.9319253112033197</v>
      </c>
      <c r="AI96" s="33">
        <f ca="1">SUMPRODUCT(OFFSET(doEff,0,0,3,1),OFFSET(INDEX(bcEff_Res,1,31),0,0,3,1)) + INDEX(doEff,4)*(INDEX(eff0BC_Res,4)+INDEX(pushBC_Res,3)) + SUMPRODUCT(doEff,INDEX(bcEff_Res,,30),N(_el&gt;3))</f>
        <v>1.9319253112033197</v>
      </c>
      <c r="AJ96" s="33">
        <f ca="1">SUMPRODUCT(OFFSET(doEff,0,0,3,1),OFFSET(INDEX(bcEff_Res,1,32),0,0,3,1)) + INDEX(doEff,4)*(INDEX(eff0BC_Res,4)+INDEX(pushBC_Res,3)) + SUMPRODUCT(doEff,INDEX(bcEff_Res,,31),N(_el&gt;3))</f>
        <v>1.9319253112033197</v>
      </c>
      <c r="AK96" s="33">
        <f ca="1">SUMPRODUCT(OFFSET(doEff,0,0,3,1),OFFSET(INDEX(bcEff_Res,1,33),0,0,3,1)) + INDEX(doEff,4)*(INDEX(eff0BC_Res,4)+INDEX(pushBC_Res,3)) + SUMPRODUCT(doEff,INDEX(bcEff_Res,,32),N(_el&gt;3))</f>
        <v>1.9319253112033197</v>
      </c>
      <c r="AL96" s="33">
        <f ca="1">SUMPRODUCT(OFFSET(doEff,0,0,3,1),OFFSET(INDEX(bcEff_Res,1,34),0,0,3,1)) + INDEX(doEff,4)*(INDEX(eff0BC_Res,4)+INDEX(pushBC_Res,3)) + SUMPRODUCT(doEff,INDEX(bcEff_Res,,33),N(_el&gt;3))</f>
        <v>1.9319253112033197</v>
      </c>
      <c r="AM96" s="33">
        <f ca="1">SUMPRODUCT(OFFSET(doEff,0,0,3,1),OFFSET(INDEX(bcEff_Res,1,35),0,0,3,1)) + INDEX(doEff,4)*(INDEX(eff0BC_Res,4)+INDEX(pushBC_Res,3)) + SUMPRODUCT(doEff,INDEX(bcEff_Res,,34),N(_el&gt;3))</f>
        <v>1.9319253112033197</v>
      </c>
      <c r="AN96" s="34">
        <f ca="1">SUMPRODUCT(OFFSET(doEff,0,0,3,1),OFFSET(INDEX(bcEff_Res,1,36),0,0,3,1)) + INDEX(doEff,4)*(INDEX(eff0BC_Res,4)+INDEX(pushBC_Res,3)) + SUMPRODUCT(doEff,INDEX(bcEff_Res,,35),N(_el&gt;3))</f>
        <v>1.9319253112033197</v>
      </c>
      <c r="AO96" s="8"/>
    </row>
    <row r="97" spans="2:41" hidden="1" x14ac:dyDescent="0.35">
      <c r="B97" s="8"/>
      <c r="C97" s="35" t="str">
        <f>"EL 4: " &amp; INDEX(_doName,1,5)</f>
        <v>EL 4: EL 4</v>
      </c>
      <c r="D97" s="15"/>
      <c r="E97" s="21"/>
      <c r="F97" s="21">
        <f ca="1">SUMPRODUCT(OFFSET(doEff,0,0,4,1),OFFSET(INDEX(bcEff_Res,1,2),0,0,4,1)) + INDEX(doEff,5)*(INDEX(eff0BC_Res,5)+INDEX(pushBC_Res,4)) + 0</f>
        <v>1.9319253112033197</v>
      </c>
      <c r="G97" s="21">
        <f ca="1">SUMPRODUCT(OFFSET(doEff,0,0,4,1),OFFSET(INDEX(bcEff_Res,1,3),0,0,4,1)) + INDEX(doEff,5)*(INDEX(eff0BC_Res,5)+INDEX(pushBC_Res,4)) + 0</f>
        <v>1.9319253112033197</v>
      </c>
      <c r="H97" s="21">
        <f ca="1">SUMPRODUCT(OFFSET(doEff,0,0,4,1),OFFSET(INDEX(bcEff_Res,1,4),0,0,4,1)) + INDEX(doEff,5)*(INDEX(eff0BC_Res,5)+INDEX(pushBC_Res,4)) + 0</f>
        <v>1.9319253112033197</v>
      </c>
      <c r="I97" s="21">
        <f ca="1">SUMPRODUCT(OFFSET(doEff,0,0,4,1),OFFSET(INDEX(bcEff_Res,1,5),0,0,4,1)) + INDEX(doEff,5)*(INDEX(eff0BC_Res,5)+INDEX(pushBC_Res,4)) + 0</f>
        <v>1.9319253112033197</v>
      </c>
      <c r="J97" s="21">
        <f ca="1">SUMPRODUCT(OFFSET(doEff,0,0,4,1),OFFSET(INDEX(bcEff_Res,1,6),0,0,4,1)) + INDEX(doEff,5)*(INDEX(eff0BC_Res,5)+INDEX(pushBC_Res,4)) + 0</f>
        <v>1.9319253112033197</v>
      </c>
      <c r="K97" s="21">
        <f ca="1">SUMPRODUCT(OFFSET(doEff,0,0,4,1),OFFSET(INDEX(bcEff_Res,1,7),0,0,4,1)) + INDEX(doEff,5)*(INDEX(eff0BC_Res,5)+INDEX(pushBC_Res,4)) + 0</f>
        <v>1.9319253112033197</v>
      </c>
      <c r="L97" s="21">
        <f ca="1">SUMPRODUCT(OFFSET(doEff,0,0,4,1),OFFSET(INDEX(bcEff_Res,1,8),0,0,4,1)) + INDEX(doEff,5)*(INDEX(eff0BC_Res,5)+INDEX(pushBC_Res,4)) + 0</f>
        <v>1.9319253112033197</v>
      </c>
      <c r="M97" s="21">
        <f ca="1">SUMPRODUCT(OFFSET(doEff,0,0,4,1),OFFSET(INDEX(bcEff_Res,1,9),0,0,4,1)) + INDEX(doEff,5)*(INDEX(eff0BC_Res,5)+INDEX(pushBC_Res,4)) + 0</f>
        <v>1.9319253112033197</v>
      </c>
      <c r="N97" s="21">
        <f ca="1">SUMPRODUCT(OFFSET(doEff,0,0,4,1),OFFSET(INDEX(bcEff_Res,1,10),0,0,4,1)) + INDEX(doEff,5)*(INDEX(eff0BC_Res,5)+INDEX(pushBC_Res,4)) + 0</f>
        <v>1.9319253112033197</v>
      </c>
      <c r="O97" s="21">
        <f ca="1">SUMPRODUCT(OFFSET(doEff,0,0,4,1),OFFSET(INDEX(bcEff_Res,1,11),0,0,4,1)) + INDEX(doEff,5)*(INDEX(eff0BC_Res,5)+INDEX(pushBC_Res,4)) + 0</f>
        <v>1.9319253112033197</v>
      </c>
      <c r="P97" s="21">
        <f ca="1">SUMPRODUCT(OFFSET(doEff,0,0,4,1),OFFSET(INDEX(bcEff_Res,1,12),0,0,4,1)) + INDEX(doEff,5)*(INDEX(eff0BC_Res,5)+INDEX(pushBC_Res,4)) + 0</f>
        <v>1.9319253112033197</v>
      </c>
      <c r="Q97" s="21">
        <f ca="1">SUMPRODUCT(OFFSET(doEff,0,0,4,1),OFFSET(INDEX(bcEff_Res,1,13),0,0,4,1)) + INDEX(doEff,5)*(INDEX(eff0BC_Res,5)+INDEX(pushBC_Res,4)) + 0</f>
        <v>1.9319253112033197</v>
      </c>
      <c r="R97" s="21">
        <f ca="1">SUMPRODUCT(OFFSET(doEff,0,0,4,1),OFFSET(INDEX(bcEff_Res,1,14),0,0,4,1)) + INDEX(doEff,5)*(INDEX(eff0BC_Res,5)+INDEX(pushBC_Res,4)) + 0</f>
        <v>1.9319253112033197</v>
      </c>
      <c r="S97" s="21">
        <f ca="1">SUMPRODUCT(OFFSET(doEff,0,0,4,1),OFFSET(INDEX(bcEff_Res,1,15),0,0,4,1)) + INDEX(doEff,5)*(INDEX(eff0BC_Res,5)+INDEX(pushBC_Res,4)) + 0</f>
        <v>1.9319253112033197</v>
      </c>
      <c r="T97" s="21">
        <f ca="1">SUMPRODUCT(OFFSET(doEff,0,0,4,1),OFFSET(INDEX(bcEff_Res,1,16),0,0,4,1)) + INDEX(doEff,5)*(INDEX(eff0BC_Res,5)+INDEX(pushBC_Res,4)) + 0</f>
        <v>1.9319253112033197</v>
      </c>
      <c r="U97" s="21">
        <f ca="1">SUMPRODUCT(OFFSET(doEff,0,0,4,1),OFFSET(INDEX(bcEff_Res,1,17),0,0,4,1)) + INDEX(doEff,5)*(INDEX(eff0BC_Res,5)+INDEX(pushBC_Res,4)) + 0</f>
        <v>1.9319253112033197</v>
      </c>
      <c r="V97" s="21">
        <f ca="1">SUMPRODUCT(OFFSET(doEff,0,0,4,1),OFFSET(INDEX(bcEff_Res,1,18),0,0,4,1)) + INDEX(doEff,5)*(INDEX(eff0BC_Res,5)+INDEX(pushBC_Res,4)) + 0</f>
        <v>1.9319253112033197</v>
      </c>
      <c r="W97" s="21">
        <f ca="1">SUMPRODUCT(OFFSET(doEff,0,0,4,1),OFFSET(INDEX(bcEff_Res,1,19),0,0,4,1)) + INDEX(doEff,5)*(INDEX(eff0BC_Res,5)+INDEX(pushBC_Res,4)) + 0</f>
        <v>1.9319253112033197</v>
      </c>
      <c r="X97" s="21">
        <f ca="1">SUMPRODUCT(OFFSET(doEff,0,0,4,1),OFFSET(INDEX(bcEff_Res,1,20),0,0,4,1)) + INDEX(doEff,5)*(INDEX(eff0BC_Res,5)+INDEX(pushBC_Res,4)) + 0</f>
        <v>1.9319253112033197</v>
      </c>
      <c r="Y97" s="21">
        <f ca="1">SUMPRODUCT(OFFSET(doEff,0,0,4,1),OFFSET(INDEX(bcEff_Res,1,21),0,0,4,1)) + INDEX(doEff,5)*(INDEX(eff0BC_Res,5)+INDEX(pushBC_Res,4)) + 0</f>
        <v>1.9319253112033197</v>
      </c>
      <c r="Z97" s="21">
        <f ca="1">SUMPRODUCT(OFFSET(doEff,0,0,4,1),OFFSET(INDEX(bcEff_Res,1,22),0,0,4,1)) + INDEX(doEff,5)*(INDEX(eff0BC_Res,5)+INDEX(pushBC_Res,4)) + 0</f>
        <v>1.9319253112033197</v>
      </c>
      <c r="AA97" s="21">
        <f ca="1">SUMPRODUCT(OFFSET(doEff,0,0,4,1),OFFSET(INDEX(bcEff_Res,1,23),0,0,4,1)) + INDEX(doEff,5)*(INDEX(eff0BC_Res,5)+INDEX(pushBC_Res,4)) + 0</f>
        <v>1.9319253112033197</v>
      </c>
      <c r="AB97" s="21">
        <f ca="1">SUMPRODUCT(OFFSET(doEff,0,0,4,1),OFFSET(INDEX(bcEff_Res,1,24),0,0,4,1)) + INDEX(doEff,5)*(INDEX(eff0BC_Res,5)+INDEX(pushBC_Res,4)) + 0</f>
        <v>1.9319253112033197</v>
      </c>
      <c r="AC97" s="21">
        <f ca="1">SUMPRODUCT(OFFSET(doEff,0,0,4,1),OFFSET(INDEX(bcEff_Res,1,25),0,0,4,1)) + INDEX(doEff,5)*(INDEX(eff0BC_Res,5)+INDEX(pushBC_Res,4)) + 0</f>
        <v>1.9319253112033197</v>
      </c>
      <c r="AD97" s="21">
        <f ca="1">SUMPRODUCT(OFFSET(doEff,0,0,4,1),OFFSET(INDEX(bcEff_Res,1,26),0,0,4,1)) + INDEX(doEff,5)*(INDEX(eff0BC_Res,5)+INDEX(pushBC_Res,4)) + 0</f>
        <v>1.9319253112033197</v>
      </c>
      <c r="AE97" s="21">
        <f ca="1">SUMPRODUCT(OFFSET(doEff,0,0,4,1),OFFSET(INDEX(bcEff_Res,1,27),0,0,4,1)) + INDEX(doEff,5)*(INDEX(eff0BC_Res,5)+INDEX(pushBC_Res,4)) + 0</f>
        <v>1.9319253112033197</v>
      </c>
      <c r="AF97" s="21">
        <f ca="1">SUMPRODUCT(OFFSET(doEff,0,0,4,1),OFFSET(INDEX(bcEff_Res,1,28),0,0,4,1)) + INDEX(doEff,5)*(INDEX(eff0BC_Res,5)+INDEX(pushBC_Res,4)) + 0</f>
        <v>1.9319253112033197</v>
      </c>
      <c r="AG97" s="21">
        <f ca="1">SUMPRODUCT(OFFSET(doEff,0,0,4,1),OFFSET(INDEX(bcEff_Res,1,29),0,0,4,1)) + INDEX(doEff,5)*(INDEX(eff0BC_Res,5)+INDEX(pushBC_Res,4)) + 0</f>
        <v>1.9319253112033197</v>
      </c>
      <c r="AH97" s="21">
        <f ca="1">SUMPRODUCT(OFFSET(doEff,0,0,4,1),OFFSET(INDEX(bcEff_Res,1,30),0,0,4,1)) + INDEX(doEff,5)*(INDEX(eff0BC_Res,5)+INDEX(pushBC_Res,4)) + 0</f>
        <v>1.9319253112033197</v>
      </c>
      <c r="AI97" s="21">
        <f ca="1">SUMPRODUCT(OFFSET(doEff,0,0,4,1),OFFSET(INDEX(bcEff_Res,1,31),0,0,4,1)) + INDEX(doEff,5)*(INDEX(eff0BC_Res,5)+INDEX(pushBC_Res,4)) + 0</f>
        <v>1.9319253112033197</v>
      </c>
      <c r="AJ97" s="21">
        <f ca="1">SUMPRODUCT(OFFSET(doEff,0,0,4,1),OFFSET(INDEX(bcEff_Res,1,32),0,0,4,1)) + INDEX(doEff,5)*(INDEX(eff0BC_Res,5)+INDEX(pushBC_Res,4)) + 0</f>
        <v>1.9319253112033197</v>
      </c>
      <c r="AK97" s="21">
        <f ca="1">SUMPRODUCT(OFFSET(doEff,0,0,4,1),OFFSET(INDEX(bcEff_Res,1,33),0,0,4,1)) + INDEX(doEff,5)*(INDEX(eff0BC_Res,5)+INDEX(pushBC_Res,4)) + 0</f>
        <v>1.9319253112033197</v>
      </c>
      <c r="AL97" s="21">
        <f ca="1">SUMPRODUCT(OFFSET(doEff,0,0,4,1),OFFSET(INDEX(bcEff_Res,1,34),0,0,4,1)) + INDEX(doEff,5)*(INDEX(eff0BC_Res,5)+INDEX(pushBC_Res,4)) + 0</f>
        <v>1.9319253112033197</v>
      </c>
      <c r="AM97" s="21">
        <f ca="1">SUMPRODUCT(OFFSET(doEff,0,0,4,1),OFFSET(INDEX(bcEff_Res,1,35),0,0,4,1)) + INDEX(doEff,5)*(INDEX(eff0BC_Res,5)+INDEX(pushBC_Res,4)) + 0</f>
        <v>1.9319253112033197</v>
      </c>
      <c r="AN97" s="22">
        <f ca="1">SUMPRODUCT(OFFSET(doEff,0,0,4,1),OFFSET(INDEX(bcEff_Res,1,36),0,0,4,1)) + INDEX(doEff,5)*(INDEX(eff0BC_Res,5)+INDEX(pushBC_Res,4)) + 0</f>
        <v>1.9319253112033197</v>
      </c>
      <c r="AO97" s="8"/>
    </row>
    <row r="98" spans="2:41" hidden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</row>
    <row r="99" spans="2:41" x14ac:dyDescent="0.35">
      <c r="B99" s="8"/>
      <c r="C99" s="132" t="s">
        <v>15</v>
      </c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4"/>
      <c r="AO99" s="8"/>
    </row>
    <row r="100" spans="2:41" x14ac:dyDescent="0.35">
      <c r="B100" s="8"/>
      <c r="C100" s="23" t="s">
        <v>98</v>
      </c>
      <c r="D100" s="24"/>
      <c r="E100" s="26">
        <f t="array" ref="E100:AN100">_yS</f>
        <v>2024</v>
      </c>
      <c r="F100" s="26">
        <v>2025</v>
      </c>
      <c r="G100" s="26">
        <v>2026</v>
      </c>
      <c r="H100" s="26">
        <v>2027</v>
      </c>
      <c r="I100" s="26">
        <v>2028</v>
      </c>
      <c r="J100" s="26">
        <v>2029</v>
      </c>
      <c r="K100" s="26">
        <v>2030</v>
      </c>
      <c r="L100" s="26">
        <v>2031</v>
      </c>
      <c r="M100" s="26">
        <v>2032</v>
      </c>
      <c r="N100" s="26">
        <v>2033</v>
      </c>
      <c r="O100" s="26">
        <v>2034</v>
      </c>
      <c r="P100" s="26">
        <v>2035</v>
      </c>
      <c r="Q100" s="26">
        <v>2036</v>
      </c>
      <c r="R100" s="26">
        <v>2037</v>
      </c>
      <c r="S100" s="26">
        <v>2038</v>
      </c>
      <c r="T100" s="26">
        <v>2039</v>
      </c>
      <c r="U100" s="26">
        <v>2040</v>
      </c>
      <c r="V100" s="26">
        <v>2041</v>
      </c>
      <c r="W100" s="26">
        <v>2042</v>
      </c>
      <c r="X100" s="26">
        <v>2043</v>
      </c>
      <c r="Y100" s="26">
        <v>2044</v>
      </c>
      <c r="Z100" s="26">
        <v>2045</v>
      </c>
      <c r="AA100" s="26">
        <v>2046</v>
      </c>
      <c r="AB100" s="26">
        <v>2047</v>
      </c>
      <c r="AC100" s="26">
        <v>2048</v>
      </c>
      <c r="AD100" s="26">
        <v>2049</v>
      </c>
      <c r="AE100" s="26">
        <v>2050</v>
      </c>
      <c r="AF100" s="26">
        <v>2051</v>
      </c>
      <c r="AG100" s="26">
        <v>2052</v>
      </c>
      <c r="AH100" s="26">
        <v>2053</v>
      </c>
      <c r="AI100" s="26">
        <v>2054</v>
      </c>
      <c r="AJ100" s="26">
        <v>2055</v>
      </c>
      <c r="AK100" s="26">
        <v>2056</v>
      </c>
      <c r="AL100" s="26">
        <v>2057</v>
      </c>
      <c r="AM100" s="26">
        <v>2058</v>
      </c>
      <c r="AN100" s="27">
        <v>2059</v>
      </c>
      <c r="AO100" s="8"/>
    </row>
    <row r="101" spans="2:41" x14ac:dyDescent="0.35">
      <c r="B101" s="8"/>
      <c r="C101" s="19" t="str">
        <f>"EL 0: " &amp; INDEX(_doName,1,1)</f>
        <v>EL 0: Baseline</v>
      </c>
      <c r="D101" s="11" t="s">
        <v>63</v>
      </c>
      <c r="E101" s="43">
        <f t="array" aca="1" ref="E101:AN105" ca="1">IF(_yS&lt;yearC,bcEff_Com,IF(_yS&lt;year2nd,MMULT(mRoll1_Com,refEff_Com),MMULT(mRoll2_Com,refEff_Com)))</f>
        <v>0</v>
      </c>
      <c r="F101" s="43">
        <f ca="1"/>
        <v>0</v>
      </c>
      <c r="G101" s="43">
        <f ca="1"/>
        <v>0</v>
      </c>
      <c r="H101" s="43">
        <f ca="1"/>
        <v>0</v>
      </c>
      <c r="I101" s="43">
        <f ca="1"/>
        <v>0</v>
      </c>
      <c r="J101" s="43">
        <f ca="1"/>
        <v>0</v>
      </c>
      <c r="K101" s="43">
        <f ca="1"/>
        <v>0</v>
      </c>
      <c r="L101" s="43">
        <f ca="1"/>
        <v>0</v>
      </c>
      <c r="M101" s="43">
        <f ca="1"/>
        <v>0</v>
      </c>
      <c r="N101" s="43">
        <f ca="1"/>
        <v>0</v>
      </c>
      <c r="O101" s="43">
        <f ca="1"/>
        <v>0</v>
      </c>
      <c r="P101" s="43">
        <f ca="1"/>
        <v>0</v>
      </c>
      <c r="Q101" s="43">
        <f ca="1"/>
        <v>0</v>
      </c>
      <c r="R101" s="43">
        <f ca="1"/>
        <v>0</v>
      </c>
      <c r="S101" s="43">
        <f ca="1"/>
        <v>0</v>
      </c>
      <c r="T101" s="43">
        <f ca="1"/>
        <v>0</v>
      </c>
      <c r="U101" s="43">
        <f ca="1"/>
        <v>0</v>
      </c>
      <c r="V101" s="43">
        <f ca="1"/>
        <v>0</v>
      </c>
      <c r="W101" s="43">
        <f ca="1"/>
        <v>0</v>
      </c>
      <c r="X101" s="43">
        <f ca="1"/>
        <v>0</v>
      </c>
      <c r="Y101" s="43">
        <f ca="1"/>
        <v>0</v>
      </c>
      <c r="Z101" s="43">
        <f ca="1"/>
        <v>0</v>
      </c>
      <c r="AA101" s="43">
        <f ca="1"/>
        <v>0</v>
      </c>
      <c r="AB101" s="43">
        <f ca="1"/>
        <v>0</v>
      </c>
      <c r="AC101" s="43">
        <f ca="1"/>
        <v>0</v>
      </c>
      <c r="AD101" s="43">
        <f ca="1"/>
        <v>0</v>
      </c>
      <c r="AE101" s="43">
        <f ca="1"/>
        <v>0</v>
      </c>
      <c r="AF101" s="43">
        <f ca="1"/>
        <v>0</v>
      </c>
      <c r="AG101" s="43">
        <f ca="1"/>
        <v>0</v>
      </c>
      <c r="AH101" s="43">
        <f ca="1"/>
        <v>0</v>
      </c>
      <c r="AI101" s="43">
        <f ca="1"/>
        <v>0</v>
      </c>
      <c r="AJ101" s="43">
        <f ca="1"/>
        <v>0</v>
      </c>
      <c r="AK101" s="43">
        <f ca="1"/>
        <v>0</v>
      </c>
      <c r="AL101" s="43">
        <f ca="1"/>
        <v>0</v>
      </c>
      <c r="AM101" s="43">
        <f ca="1"/>
        <v>0</v>
      </c>
      <c r="AN101" s="44">
        <f ca="1"/>
        <v>0</v>
      </c>
      <c r="AO101" s="8"/>
    </row>
    <row r="102" spans="2:41" x14ac:dyDescent="0.35">
      <c r="B102" s="8"/>
      <c r="C102" s="19" t="str">
        <f>"EL 1: " &amp; INDEX(_doName,1,2)</f>
        <v>EL 1: Tier 1</v>
      </c>
      <c r="D102" s="11" t="s">
        <v>63</v>
      </c>
      <c r="E102" s="43">
        <f ca="1"/>
        <v>0.70022078747795669</v>
      </c>
      <c r="F102" s="43">
        <f ca="1"/>
        <v>0.70045659853447373</v>
      </c>
      <c r="G102" s="43">
        <f ca="1"/>
        <v>0</v>
      </c>
      <c r="H102" s="43">
        <f ca="1"/>
        <v>0</v>
      </c>
      <c r="I102" s="43">
        <f ca="1"/>
        <v>0</v>
      </c>
      <c r="J102" s="43">
        <f ca="1"/>
        <v>0</v>
      </c>
      <c r="K102" s="43">
        <f ca="1"/>
        <v>0</v>
      </c>
      <c r="L102" s="43">
        <f ca="1"/>
        <v>0</v>
      </c>
      <c r="M102" s="43">
        <f ca="1"/>
        <v>0</v>
      </c>
      <c r="N102" s="43">
        <f ca="1"/>
        <v>0</v>
      </c>
      <c r="O102" s="43">
        <f ca="1"/>
        <v>0</v>
      </c>
      <c r="P102" s="43">
        <f ca="1"/>
        <v>0</v>
      </c>
      <c r="Q102" s="43">
        <f ca="1"/>
        <v>0</v>
      </c>
      <c r="R102" s="43">
        <f ca="1"/>
        <v>0</v>
      </c>
      <c r="S102" s="43">
        <f ca="1"/>
        <v>0</v>
      </c>
      <c r="T102" s="43">
        <f ca="1"/>
        <v>0</v>
      </c>
      <c r="U102" s="43">
        <f ca="1"/>
        <v>0</v>
      </c>
      <c r="V102" s="43">
        <f ca="1"/>
        <v>0</v>
      </c>
      <c r="W102" s="43">
        <f ca="1"/>
        <v>0</v>
      </c>
      <c r="X102" s="43">
        <f ca="1"/>
        <v>0</v>
      </c>
      <c r="Y102" s="43">
        <f ca="1"/>
        <v>0</v>
      </c>
      <c r="Z102" s="43">
        <f ca="1"/>
        <v>0</v>
      </c>
      <c r="AA102" s="43">
        <f ca="1"/>
        <v>0</v>
      </c>
      <c r="AB102" s="43">
        <f ca="1"/>
        <v>0</v>
      </c>
      <c r="AC102" s="43">
        <f ca="1"/>
        <v>0</v>
      </c>
      <c r="AD102" s="43">
        <f ca="1"/>
        <v>0</v>
      </c>
      <c r="AE102" s="43">
        <f ca="1"/>
        <v>0</v>
      </c>
      <c r="AF102" s="43">
        <f ca="1"/>
        <v>0</v>
      </c>
      <c r="AG102" s="43">
        <f ca="1"/>
        <v>0</v>
      </c>
      <c r="AH102" s="43">
        <f ca="1"/>
        <v>0</v>
      </c>
      <c r="AI102" s="43">
        <f ca="1"/>
        <v>0</v>
      </c>
      <c r="AJ102" s="43">
        <f ca="1"/>
        <v>0</v>
      </c>
      <c r="AK102" s="43">
        <f ca="1"/>
        <v>0</v>
      </c>
      <c r="AL102" s="43">
        <f ca="1"/>
        <v>0</v>
      </c>
      <c r="AM102" s="43">
        <f ca="1"/>
        <v>0</v>
      </c>
      <c r="AN102" s="44">
        <f ca="1"/>
        <v>0</v>
      </c>
      <c r="AO102" s="8"/>
    </row>
    <row r="103" spans="2:41" x14ac:dyDescent="0.35">
      <c r="B103" s="8"/>
      <c r="C103" s="19" t="str">
        <f>"EL 2: " &amp; INDEX(_doName,1,3)</f>
        <v>EL 2: Tier 2</v>
      </c>
      <c r="D103" s="11" t="s">
        <v>63</v>
      </c>
      <c r="E103" s="43">
        <f ca="1"/>
        <v>0.19152560800019428</v>
      </c>
      <c r="F103" s="43">
        <f ca="1"/>
        <v>0.19137495093630844</v>
      </c>
      <c r="G103" s="43">
        <f ca="1"/>
        <v>0.89123507323265549</v>
      </c>
      <c r="H103" s="43">
        <f ca="1"/>
        <v>0.89135526261568609</v>
      </c>
      <c r="I103" s="43">
        <f ca="1"/>
        <v>0.89147457388922169</v>
      </c>
      <c r="J103" s="43">
        <f ca="1"/>
        <v>0.89150652071973813</v>
      </c>
      <c r="K103" s="43">
        <f ca="1"/>
        <v>0.89153827937302177</v>
      </c>
      <c r="L103" s="43">
        <f ca="1"/>
        <v>0.89156985588541338</v>
      </c>
      <c r="M103" s="43">
        <f ca="1"/>
        <v>0.89160125568721327</v>
      </c>
      <c r="N103" s="43">
        <f ca="1"/>
        <v>0.89163248393846062</v>
      </c>
      <c r="O103" s="43">
        <f ca="1"/>
        <v>0.89163585102052012</v>
      </c>
      <c r="P103" s="43">
        <f ca="1"/>
        <v>0.89163919283789661</v>
      </c>
      <c r="Q103" s="43">
        <f ca="1"/>
        <v>0.89164251108751913</v>
      </c>
      <c r="R103" s="43">
        <f ca="1"/>
        <v>0.89164580732007592</v>
      </c>
      <c r="S103" s="43">
        <f ca="1"/>
        <v>0.89164908296320577</v>
      </c>
      <c r="T103" s="43">
        <f ca="1"/>
        <v>0.89165233909265396</v>
      </c>
      <c r="U103" s="43">
        <f ca="1"/>
        <v>0.89165557671569173</v>
      </c>
      <c r="V103" s="43">
        <f ca="1"/>
        <v>0.89165879669856318</v>
      </c>
      <c r="W103" s="43">
        <f ca="1"/>
        <v>0.8916619998093831</v>
      </c>
      <c r="X103" s="43">
        <f ca="1"/>
        <v>0.89166518675112849</v>
      </c>
      <c r="Y103" s="43">
        <f ca="1"/>
        <v>0.89166609841502176</v>
      </c>
      <c r="Z103" s="43">
        <f ca="1"/>
        <v>0.89166700440899593</v>
      </c>
      <c r="AA103" s="43">
        <f ca="1"/>
        <v>0.89166790523103467</v>
      </c>
      <c r="AB103" s="43">
        <f ca="1"/>
        <v>0.89166880134772952</v>
      </c>
      <c r="AC103" s="43">
        <f ca="1"/>
        <v>0.89166969319227807</v>
      </c>
      <c r="AD103" s="43">
        <f ca="1"/>
        <v>0.89167058116421838</v>
      </c>
      <c r="AE103" s="43">
        <f ca="1"/>
        <v>0.89167146563137722</v>
      </c>
      <c r="AF103" s="43">
        <f ca="1"/>
        <v>0.89167234693316266</v>
      </c>
      <c r="AG103" s="43">
        <f ca="1"/>
        <v>0.89167322538434624</v>
      </c>
      <c r="AH103" s="43">
        <f ca="1"/>
        <v>0.89167410127861502</v>
      </c>
      <c r="AI103" s="43">
        <f ca="1"/>
        <v>0.89167497489136704</v>
      </c>
      <c r="AJ103" s="43">
        <f ca="1"/>
        <v>0.89167584648169607</v>
      </c>
      <c r="AK103" s="43">
        <f ca="1"/>
        <v>0.89167671629379741</v>
      </c>
      <c r="AL103" s="43">
        <f ca="1"/>
        <v>0.89167758455769108</v>
      </c>
      <c r="AM103" s="43">
        <f ca="1"/>
        <v>0.89211618257261405</v>
      </c>
      <c r="AN103" s="44">
        <f ca="1"/>
        <v>0.89211618257261405</v>
      </c>
      <c r="AO103" s="8"/>
    </row>
    <row r="104" spans="2:41" x14ac:dyDescent="0.35">
      <c r="B104" s="8"/>
      <c r="C104" s="19" t="str">
        <f>"EL 3: " &amp; INDEX(_doName,1,4)</f>
        <v>EL 3: EL 3</v>
      </c>
      <c r="D104" s="11" t="s">
        <v>63</v>
      </c>
      <c r="E104" s="43">
        <f ca="1"/>
        <v>7.4944803130510801E-2</v>
      </c>
      <c r="F104" s="43">
        <f ca="1"/>
        <v>7.4885850366381568E-2</v>
      </c>
      <c r="G104" s="43">
        <f ca="1"/>
        <v>7.5298795454315393E-2</v>
      </c>
      <c r="H104" s="43">
        <f ca="1"/>
        <v>7.5215587419909663E-2</v>
      </c>
      <c r="I104" s="43">
        <f ca="1"/>
        <v>7.5132987307461874E-2</v>
      </c>
      <c r="J104" s="43">
        <f ca="1"/>
        <v>7.511087027095055E-2</v>
      </c>
      <c r="K104" s="43">
        <f ca="1"/>
        <v>7.5088883510985069E-2</v>
      </c>
      <c r="L104" s="43">
        <f ca="1"/>
        <v>7.5067022848559914E-2</v>
      </c>
      <c r="M104" s="43">
        <f ca="1"/>
        <v>7.5045284524236894E-2</v>
      </c>
      <c r="N104" s="43">
        <f ca="1"/>
        <v>7.5023664965681094E-2</v>
      </c>
      <c r="O104" s="43">
        <f ca="1"/>
        <v>7.5021333908870738E-2</v>
      </c>
      <c r="P104" s="43">
        <f ca="1"/>
        <v>7.5019020342994666E-2</v>
      </c>
      <c r="Q104" s="43">
        <f ca="1"/>
        <v>7.5016723093255952E-2</v>
      </c>
      <c r="R104" s="43">
        <f ca="1"/>
        <v>7.5014441086101294E-2</v>
      </c>
      <c r="S104" s="43">
        <f ca="1"/>
        <v>7.5012173333165164E-2</v>
      </c>
      <c r="T104" s="43">
        <f ca="1"/>
        <v>7.500991908970113E-2</v>
      </c>
      <c r="U104" s="43">
        <f ca="1"/>
        <v>7.5007677658367217E-2</v>
      </c>
      <c r="V104" s="43">
        <f ca="1"/>
        <v>7.5005448439456252E-2</v>
      </c>
      <c r="W104" s="43">
        <f ca="1"/>
        <v>7.5003230901196247E-2</v>
      </c>
      <c r="X104" s="43">
        <f ca="1"/>
        <v>7.5001024556911058E-2</v>
      </c>
      <c r="Y104" s="43">
        <f ca="1"/>
        <v>7.5000393404985002E-2</v>
      </c>
      <c r="Z104" s="43">
        <f ca="1"/>
        <v>7.4999766178387439E-2</v>
      </c>
      <c r="AA104" s="43">
        <f ca="1"/>
        <v>7.4999142532360619E-2</v>
      </c>
      <c r="AB104" s="43">
        <f ca="1"/>
        <v>7.4998522143879587E-2</v>
      </c>
      <c r="AC104" s="43">
        <f ca="1"/>
        <v>7.4997904713038216E-2</v>
      </c>
      <c r="AD104" s="43">
        <f ca="1"/>
        <v>7.4997289963233557E-2</v>
      </c>
      <c r="AE104" s="43">
        <f ca="1"/>
        <v>7.4996677639815768E-2</v>
      </c>
      <c r="AF104" s="43">
        <f ca="1"/>
        <v>7.499606750781046E-2</v>
      </c>
      <c r="AG104" s="43">
        <f ca="1"/>
        <v>7.4995459349298757E-2</v>
      </c>
      <c r="AH104" s="43">
        <f ca="1"/>
        <v>7.4994852960958855E-2</v>
      </c>
      <c r="AI104" s="43">
        <f ca="1"/>
        <v>7.4994248152130516E-2</v>
      </c>
      <c r="AJ104" s="43">
        <f ca="1"/>
        <v>7.4993644743441154E-2</v>
      </c>
      <c r="AK104" s="43">
        <f ca="1"/>
        <v>7.4993042565832557E-2</v>
      </c>
      <c r="AL104" s="43">
        <f ca="1"/>
        <v>7.4992441460060025E-2</v>
      </c>
      <c r="AM104" s="43">
        <f ca="1"/>
        <v>7.4688796680497924E-2</v>
      </c>
      <c r="AN104" s="44">
        <f ca="1"/>
        <v>7.4688796680497924E-2</v>
      </c>
      <c r="AO104" s="8"/>
    </row>
    <row r="105" spans="2:41" x14ac:dyDescent="0.35">
      <c r="B105" s="8"/>
      <c r="C105" s="35" t="str">
        <f>"EL 4: " &amp; INDEX(_doName,1,5)</f>
        <v>EL 4: EL 4</v>
      </c>
      <c r="D105" s="15" t="s">
        <v>63</v>
      </c>
      <c r="E105" s="45">
        <f ca="1"/>
        <v>3.3308801391338135E-2</v>
      </c>
      <c r="F105" s="45">
        <f ca="1"/>
        <v>3.3282600162836254E-2</v>
      </c>
      <c r="G105" s="45">
        <f ca="1"/>
        <v>3.3466131313029064E-2</v>
      </c>
      <c r="H105" s="45">
        <f ca="1"/>
        <v>3.3429149964404291E-2</v>
      </c>
      <c r="I105" s="45">
        <f ca="1"/>
        <v>3.3392438803316389E-2</v>
      </c>
      <c r="J105" s="45">
        <f ca="1"/>
        <v>3.3382609009311358E-2</v>
      </c>
      <c r="K105" s="45">
        <f ca="1"/>
        <v>3.3372837115993363E-2</v>
      </c>
      <c r="L105" s="45">
        <f ca="1"/>
        <v>3.3363121266026634E-2</v>
      </c>
      <c r="M105" s="45">
        <f ca="1"/>
        <v>3.3353459788549734E-2</v>
      </c>
      <c r="N105" s="45">
        <f ca="1"/>
        <v>3.334385109585826E-2</v>
      </c>
      <c r="O105" s="45">
        <f ca="1"/>
        <v>3.3342815070609218E-2</v>
      </c>
      <c r="P105" s="45">
        <f ca="1"/>
        <v>3.3341786819108744E-2</v>
      </c>
      <c r="Q105" s="45">
        <f ca="1"/>
        <v>3.334076581922487E-2</v>
      </c>
      <c r="R105" s="45">
        <f ca="1"/>
        <v>3.3339751593822804E-2</v>
      </c>
      <c r="S105" s="45">
        <f ca="1"/>
        <v>3.3338743703628958E-2</v>
      </c>
      <c r="T105" s="45">
        <f ca="1"/>
        <v>3.3337741817644949E-2</v>
      </c>
      <c r="U105" s="45">
        <f ca="1"/>
        <v>3.3336745625940981E-2</v>
      </c>
      <c r="V105" s="45">
        <f ca="1"/>
        <v>3.3335754861980565E-2</v>
      </c>
      <c r="W105" s="45">
        <f ca="1"/>
        <v>3.3334769289420557E-2</v>
      </c>
      <c r="X105" s="45">
        <f ca="1"/>
        <v>3.3333788691960471E-2</v>
      </c>
      <c r="Y105" s="45">
        <f ca="1"/>
        <v>3.3333508179993331E-2</v>
      </c>
      <c r="Z105" s="45">
        <f ca="1"/>
        <v>3.3333229412616634E-2</v>
      </c>
      <c r="AA105" s="45">
        <f ca="1"/>
        <v>3.3332952236604721E-2</v>
      </c>
      <c r="AB105" s="45">
        <f ca="1"/>
        <v>3.3332676508390932E-2</v>
      </c>
      <c r="AC105" s="45">
        <f ca="1"/>
        <v>3.3332402094683654E-2</v>
      </c>
      <c r="AD105" s="45">
        <f ca="1"/>
        <v>3.3332128872548251E-2</v>
      </c>
      <c r="AE105" s="45">
        <f ca="1"/>
        <v>3.3331856728807008E-2</v>
      </c>
      <c r="AF105" s="45">
        <f ca="1"/>
        <v>3.333158555902687E-2</v>
      </c>
      <c r="AG105" s="45">
        <f ca="1"/>
        <v>3.3331315266355008E-2</v>
      </c>
      <c r="AH105" s="45">
        <f ca="1"/>
        <v>3.3331045760426156E-2</v>
      </c>
      <c r="AI105" s="45">
        <f ca="1"/>
        <v>3.3330776956502446E-2</v>
      </c>
      <c r="AJ105" s="45">
        <f ca="1"/>
        <v>3.3330508774862731E-2</v>
      </c>
      <c r="AK105" s="45">
        <f ca="1"/>
        <v>3.3330241140370032E-2</v>
      </c>
      <c r="AL105" s="45">
        <f ca="1"/>
        <v>3.3329973982248892E-2</v>
      </c>
      <c r="AM105" s="45">
        <f ca="1"/>
        <v>3.3195020746887967E-2</v>
      </c>
      <c r="AN105" s="46">
        <f ca="1"/>
        <v>3.3195020746887967E-2</v>
      </c>
      <c r="AO105" s="8"/>
    </row>
    <row r="106" spans="2:41" hidden="1" x14ac:dyDescent="0.35">
      <c r="B106" s="8"/>
      <c r="C106" s="23" t="s">
        <v>97</v>
      </c>
      <c r="D106" s="24"/>
      <c r="E106" s="26">
        <f t="array" ref="E106:AN106">_yS</f>
        <v>2024</v>
      </c>
      <c r="F106" s="26">
        <v>2025</v>
      </c>
      <c r="G106" s="26">
        <v>2026</v>
      </c>
      <c r="H106" s="26">
        <v>2027</v>
      </c>
      <c r="I106" s="26">
        <v>2028</v>
      </c>
      <c r="J106" s="26">
        <v>2029</v>
      </c>
      <c r="K106" s="26">
        <v>2030</v>
      </c>
      <c r="L106" s="26">
        <v>2031</v>
      </c>
      <c r="M106" s="26">
        <v>2032</v>
      </c>
      <c r="N106" s="26">
        <v>2033</v>
      </c>
      <c r="O106" s="26">
        <v>2034</v>
      </c>
      <c r="P106" s="26">
        <v>2035</v>
      </c>
      <c r="Q106" s="26">
        <v>2036</v>
      </c>
      <c r="R106" s="26">
        <v>2037</v>
      </c>
      <c r="S106" s="26">
        <v>2038</v>
      </c>
      <c r="T106" s="26">
        <v>2039</v>
      </c>
      <c r="U106" s="26">
        <v>2040</v>
      </c>
      <c r="V106" s="26">
        <v>2041</v>
      </c>
      <c r="W106" s="26">
        <v>2042</v>
      </c>
      <c r="X106" s="26">
        <v>2043</v>
      </c>
      <c r="Y106" s="26">
        <v>2044</v>
      </c>
      <c r="Z106" s="26">
        <v>2045</v>
      </c>
      <c r="AA106" s="26">
        <v>2046</v>
      </c>
      <c r="AB106" s="26">
        <v>2047</v>
      </c>
      <c r="AC106" s="26">
        <v>2048</v>
      </c>
      <c r="AD106" s="26">
        <v>2049</v>
      </c>
      <c r="AE106" s="26">
        <v>2050</v>
      </c>
      <c r="AF106" s="26">
        <v>2051</v>
      </c>
      <c r="AG106" s="26">
        <v>2052</v>
      </c>
      <c r="AH106" s="26">
        <v>2053</v>
      </c>
      <c r="AI106" s="26">
        <v>2054</v>
      </c>
      <c r="AJ106" s="26">
        <v>2055</v>
      </c>
      <c r="AK106" s="26">
        <v>2056</v>
      </c>
      <c r="AL106" s="26">
        <v>2057</v>
      </c>
      <c r="AM106" s="26">
        <v>2058</v>
      </c>
      <c r="AN106" s="27">
        <v>2059</v>
      </c>
      <c r="AO106" s="8"/>
    </row>
    <row r="107" spans="2:41" hidden="1" x14ac:dyDescent="0.35">
      <c r="B107" s="8"/>
      <c r="C107" s="19" t="str">
        <f>"EL 0: " &amp; INDEX(_doName,1,1)</f>
        <v>EL 0: Baseline</v>
      </c>
      <c r="D107" s="11" t="s">
        <v>63</v>
      </c>
      <c r="E107" s="43">
        <f t="array" aca="1" ref="E107:AN111" ca="1">IF(_yS&lt;yearC,'CADR 10-99'!bcEff_Com,IF(OR(bElast,bRepair),IF(tShpsmlStd_Com&gt;0,elShpStd_Com/tShpsmlStd_Com,'CADR 10-99'!bcEff_Com),'CADR 10-99'!bcEff_Com))</f>
        <v>0.27803172984274588</v>
      </c>
      <c r="F107" s="43">
        <f ca="1"/>
        <v>0.27859964147052424</v>
      </c>
      <c r="G107" s="43">
        <f ca="1"/>
        <v>0.27820745672271519</v>
      </c>
      <c r="H107" s="43">
        <f ca="1"/>
        <v>0.27852369180391262</v>
      </c>
      <c r="I107" s="43">
        <f ca="1"/>
        <v>0.27883639370511071</v>
      </c>
      <c r="J107" s="43">
        <f ca="1"/>
        <v>0.27892206430582739</v>
      </c>
      <c r="K107" s="43">
        <f ca="1"/>
        <v>0.27900690042046128</v>
      </c>
      <c r="L107" s="43">
        <f ca="1"/>
        <v>0.2790909297772583</v>
      </c>
      <c r="M107" s="43">
        <f ca="1"/>
        <v>0.2791741773044113</v>
      </c>
      <c r="N107" s="43">
        <f ca="1"/>
        <v>0.27925666668299864</v>
      </c>
      <c r="O107" s="43">
        <f ca="1"/>
        <v>0.27926747636563365</v>
      </c>
      <c r="P107" s="43">
        <f ca="1"/>
        <v>0.27927816906248537</v>
      </c>
      <c r="Q107" s="43">
        <f ca="1"/>
        <v>0.27928875264191999</v>
      </c>
      <c r="R107" s="43">
        <f ca="1"/>
        <v>0.2792992342934294</v>
      </c>
      <c r="S107" s="43">
        <f ca="1"/>
        <v>0.27930962063519582</v>
      </c>
      <c r="T107" s="43">
        <f ca="1"/>
        <v>0.27931991665636835</v>
      </c>
      <c r="U107" s="43">
        <f ca="1"/>
        <v>0.2793301270279433</v>
      </c>
      <c r="V107" s="43">
        <f ca="1"/>
        <v>0.27934025576752886</v>
      </c>
      <c r="W107" s="43">
        <f ca="1"/>
        <v>0.27935030643790482</v>
      </c>
      <c r="X107" s="43">
        <f ca="1"/>
        <v>0.27936028229968712</v>
      </c>
      <c r="Y107" s="43">
        <f ca="1"/>
        <v>0.27936449571148297</v>
      </c>
      <c r="Z107" s="43">
        <f ca="1"/>
        <v>0.27936868257843223</v>
      </c>
      <c r="AA107" s="43">
        <f ca="1"/>
        <v>0.27937284520787964</v>
      </c>
      <c r="AB107" s="43">
        <f ca="1"/>
        <v>0.27937698576135428</v>
      </c>
      <c r="AC107" s="43">
        <f ca="1"/>
        <v>0.27938110624538648</v>
      </c>
      <c r="AD107" s="43">
        <f ca="1"/>
        <v>0.27938520851034804</v>
      </c>
      <c r="AE107" s="43">
        <f ca="1"/>
        <v>0.27938929425952802</v>
      </c>
      <c r="AF107" s="43">
        <f ca="1"/>
        <v>0.27939336506439355</v>
      </c>
      <c r="AG107" s="43">
        <f ca="1"/>
        <v>0.27939742238212284</v>
      </c>
      <c r="AH107" s="43">
        <f ca="1"/>
        <v>0.2794014675720547</v>
      </c>
      <c r="AI107" s="43">
        <f ca="1"/>
        <v>0.279405501908639</v>
      </c>
      <c r="AJ107" s="43">
        <f ca="1"/>
        <v>0.27940952659063678</v>
      </c>
      <c r="AK107" s="43">
        <f ca="1"/>
        <v>0.27941354274764219</v>
      </c>
      <c r="AL107" s="43">
        <f ca="1"/>
        <v>0.27941755144345165</v>
      </c>
      <c r="AM107" s="43">
        <f ca="1"/>
        <v>0.28049792531120338</v>
      </c>
      <c r="AN107" s="44">
        <f ca="1"/>
        <v>0.28049792531120338</v>
      </c>
      <c r="AO107" s="8"/>
    </row>
    <row r="108" spans="2:41" hidden="1" x14ac:dyDescent="0.35">
      <c r="B108" s="8"/>
      <c r="C108" s="19" t="str">
        <f>"EL 1: " &amp; INDEX(_doName,1,2)</f>
        <v>EL 1: Tier 1</v>
      </c>
      <c r="D108" s="11" t="s">
        <v>63</v>
      </c>
      <c r="E108" s="43">
        <f ca="1"/>
        <v>0.42218905763521086</v>
      </c>
      <c r="F108" s="43">
        <f ca="1"/>
        <v>0.42185695706394943</v>
      </c>
      <c r="G108" s="43">
        <f ca="1"/>
        <v>0.42059736146002324</v>
      </c>
      <c r="H108" s="43">
        <f ca="1"/>
        <v>0.42061395851644884</v>
      </c>
      <c r="I108" s="43">
        <f ca="1"/>
        <v>0.42063165706504185</v>
      </c>
      <c r="J108" s="43">
        <f ca="1"/>
        <v>0.42063445461037047</v>
      </c>
      <c r="K108" s="43">
        <f ca="1"/>
        <v>0.42063756553559861</v>
      </c>
      <c r="L108" s="43">
        <f ca="1"/>
        <v>0.42064097882850204</v>
      </c>
      <c r="M108" s="43">
        <f ca="1"/>
        <v>0.42064468459864107</v>
      </c>
      <c r="N108" s="43">
        <f ca="1"/>
        <v>0.42064867345427703</v>
      </c>
      <c r="O108" s="43">
        <f ca="1"/>
        <v>0.4206471879988834</v>
      </c>
      <c r="P108" s="43">
        <f ca="1"/>
        <v>0.42064574956553596</v>
      </c>
      <c r="Q108" s="43">
        <f ca="1"/>
        <v>0.42064435498505615</v>
      </c>
      <c r="R108" s="43">
        <f ca="1"/>
        <v>0.42064300136216537</v>
      </c>
      <c r="S108" s="43">
        <f ca="1"/>
        <v>0.42064168603214352</v>
      </c>
      <c r="T108" s="43">
        <f ca="1"/>
        <v>0.42064040698482713</v>
      </c>
      <c r="U108" s="43">
        <f ca="1"/>
        <v>0.42063916233858784</v>
      </c>
      <c r="V108" s="43">
        <f ca="1"/>
        <v>0.42063795047464614</v>
      </c>
      <c r="W108" s="43">
        <f ca="1"/>
        <v>0.42063676995731014</v>
      </c>
      <c r="X108" s="43">
        <f ca="1"/>
        <v>0.42063561947266864</v>
      </c>
      <c r="Y108" s="43">
        <f ca="1"/>
        <v>0.42063393066857702</v>
      </c>
      <c r="Z108" s="43">
        <f ca="1"/>
        <v>0.42063225270801807</v>
      </c>
      <c r="AA108" s="43">
        <f ca="1"/>
        <v>0.42063058466267783</v>
      </c>
      <c r="AB108" s="43">
        <f ca="1"/>
        <v>0.42062892566312732</v>
      </c>
      <c r="AC108" s="43">
        <f ca="1"/>
        <v>0.4206272749024606</v>
      </c>
      <c r="AD108" s="43">
        <f ca="1"/>
        <v>0.42062563163671784</v>
      </c>
      <c r="AE108" s="43">
        <f ca="1"/>
        <v>0.42062399518120891</v>
      </c>
      <c r="AF108" s="43">
        <f ca="1"/>
        <v>0.42062236490436467</v>
      </c>
      <c r="AG108" s="43">
        <f ca="1"/>
        <v>0.42062074022068213</v>
      </c>
      <c r="AH108" s="43">
        <f ca="1"/>
        <v>0.42061912058410994</v>
      </c>
      <c r="AI108" s="43">
        <f ca="1"/>
        <v>0.42061750548283894</v>
      </c>
      <c r="AJ108" s="43">
        <f ca="1"/>
        <v>0.42061589443559855</v>
      </c>
      <c r="AK108" s="43">
        <f ca="1"/>
        <v>0.42061428698902753</v>
      </c>
      <c r="AL108" s="43">
        <f ca="1"/>
        <v>0.42061268271630836</v>
      </c>
      <c r="AM108" s="43">
        <f ca="1"/>
        <v>0.42074688796680493</v>
      </c>
      <c r="AN108" s="44">
        <f ca="1"/>
        <v>0.42074688796680493</v>
      </c>
      <c r="AO108" s="8"/>
    </row>
    <row r="109" spans="2:41" hidden="1" x14ac:dyDescent="0.35">
      <c r="B109" s="8"/>
      <c r="C109" s="19" t="str">
        <f>"EL 2: " &amp; INDEX(_doName,1,3)</f>
        <v>EL 2: Tier 2</v>
      </c>
      <c r="D109" s="11" t="s">
        <v>63</v>
      </c>
      <c r="E109" s="43">
        <f ca="1"/>
        <v>0.19152560800019428</v>
      </c>
      <c r="F109" s="43">
        <f ca="1"/>
        <v>0.19137495093630844</v>
      </c>
      <c r="G109" s="43">
        <f ca="1"/>
        <v>0.19243025504991706</v>
      </c>
      <c r="H109" s="43">
        <f ca="1"/>
        <v>0.19221761229532466</v>
      </c>
      <c r="I109" s="43">
        <f ca="1"/>
        <v>0.19200652311906921</v>
      </c>
      <c r="J109" s="43">
        <f ca="1"/>
        <v>0.19195000180354027</v>
      </c>
      <c r="K109" s="43">
        <f ca="1"/>
        <v>0.19189381341696182</v>
      </c>
      <c r="L109" s="43">
        <f ca="1"/>
        <v>0.19183794727965311</v>
      </c>
      <c r="M109" s="43">
        <f ca="1"/>
        <v>0.19178239378416093</v>
      </c>
      <c r="N109" s="43">
        <f ca="1"/>
        <v>0.191727143801185</v>
      </c>
      <c r="O109" s="43">
        <f ca="1"/>
        <v>0.19172118665600299</v>
      </c>
      <c r="P109" s="43">
        <f ca="1"/>
        <v>0.19171527420987527</v>
      </c>
      <c r="Q109" s="43">
        <f ca="1"/>
        <v>0.19170940346054299</v>
      </c>
      <c r="R109" s="43">
        <f ca="1"/>
        <v>0.19170357166448113</v>
      </c>
      <c r="S109" s="43">
        <f ca="1"/>
        <v>0.19169777629586651</v>
      </c>
      <c r="T109" s="43">
        <f ca="1"/>
        <v>0.19169201545145842</v>
      </c>
      <c r="U109" s="43">
        <f ca="1"/>
        <v>0.19168628734916066</v>
      </c>
      <c r="V109" s="43">
        <f ca="1"/>
        <v>0.19168059045638822</v>
      </c>
      <c r="W109" s="43">
        <f ca="1"/>
        <v>0.1916749234141682</v>
      </c>
      <c r="X109" s="43">
        <f ca="1"/>
        <v>0.1916692849787727</v>
      </c>
      <c r="Y109" s="43">
        <f ca="1"/>
        <v>0.19166767203496166</v>
      </c>
      <c r="Z109" s="43">
        <f ca="1"/>
        <v>0.19166606912254566</v>
      </c>
      <c r="AA109" s="43">
        <f ca="1"/>
        <v>0.19166447536047715</v>
      </c>
      <c r="AB109" s="43">
        <f ca="1"/>
        <v>0.19166288992324784</v>
      </c>
      <c r="AC109" s="43">
        <f ca="1"/>
        <v>0.19166131204443099</v>
      </c>
      <c r="AD109" s="43">
        <f ca="1"/>
        <v>0.19165974101715244</v>
      </c>
      <c r="AE109" s="43">
        <f ca="1"/>
        <v>0.19165817619064029</v>
      </c>
      <c r="AF109" s="43">
        <f ca="1"/>
        <v>0.1916566169644045</v>
      </c>
      <c r="AG109" s="43">
        <f ca="1"/>
        <v>0.19165506278154126</v>
      </c>
      <c r="AH109" s="43">
        <f ca="1"/>
        <v>0.19165351312245041</v>
      </c>
      <c r="AI109" s="43">
        <f ca="1"/>
        <v>0.19165196749988905</v>
      </c>
      <c r="AJ109" s="43">
        <f ca="1"/>
        <v>0.19165042545546071</v>
      </c>
      <c r="AK109" s="43">
        <f ca="1"/>
        <v>0.19164888655712764</v>
      </c>
      <c r="AL109" s="43">
        <f ca="1"/>
        <v>0.19164735039793113</v>
      </c>
      <c r="AM109" s="43">
        <f ca="1"/>
        <v>0.1908713692946058</v>
      </c>
      <c r="AN109" s="44">
        <f ca="1"/>
        <v>0.1908713692946058</v>
      </c>
      <c r="AO109" s="8"/>
    </row>
    <row r="110" spans="2:41" hidden="1" x14ac:dyDescent="0.35">
      <c r="B110" s="8"/>
      <c r="C110" s="19" t="str">
        <f>"EL 3: " &amp; INDEX(_doName,1,4)</f>
        <v>EL 3: EL 3</v>
      </c>
      <c r="D110" s="11" t="s">
        <v>63</v>
      </c>
      <c r="E110" s="43">
        <f ca="1"/>
        <v>7.4944803130510801E-2</v>
      </c>
      <c r="F110" s="43">
        <f ca="1"/>
        <v>7.4885850366381568E-2</v>
      </c>
      <c r="G110" s="43">
        <f ca="1"/>
        <v>7.5298795454315393E-2</v>
      </c>
      <c r="H110" s="43">
        <f ca="1"/>
        <v>7.5215587419909663E-2</v>
      </c>
      <c r="I110" s="43">
        <f ca="1"/>
        <v>7.5132987307461874E-2</v>
      </c>
      <c r="J110" s="43">
        <f ca="1"/>
        <v>7.511087027095055E-2</v>
      </c>
      <c r="K110" s="43">
        <f ca="1"/>
        <v>7.5088883510985069E-2</v>
      </c>
      <c r="L110" s="43">
        <f ca="1"/>
        <v>7.5067022848559914E-2</v>
      </c>
      <c r="M110" s="43">
        <f ca="1"/>
        <v>7.5045284524236894E-2</v>
      </c>
      <c r="N110" s="43">
        <f ca="1"/>
        <v>7.5023664965681094E-2</v>
      </c>
      <c r="O110" s="43">
        <f ca="1"/>
        <v>7.5021333908870738E-2</v>
      </c>
      <c r="P110" s="43">
        <f ca="1"/>
        <v>7.5019020342994666E-2</v>
      </c>
      <c r="Q110" s="43">
        <f ca="1"/>
        <v>7.5016723093255952E-2</v>
      </c>
      <c r="R110" s="43">
        <f ca="1"/>
        <v>7.5014441086101294E-2</v>
      </c>
      <c r="S110" s="43">
        <f ca="1"/>
        <v>7.5012173333165164E-2</v>
      </c>
      <c r="T110" s="43">
        <f ca="1"/>
        <v>7.500991908970113E-2</v>
      </c>
      <c r="U110" s="43">
        <f ca="1"/>
        <v>7.5007677658367217E-2</v>
      </c>
      <c r="V110" s="43">
        <f ca="1"/>
        <v>7.5005448439456252E-2</v>
      </c>
      <c r="W110" s="43">
        <f ca="1"/>
        <v>7.5003230901196247E-2</v>
      </c>
      <c r="X110" s="43">
        <f ca="1"/>
        <v>7.5001024556911058E-2</v>
      </c>
      <c r="Y110" s="43">
        <f ca="1"/>
        <v>7.5000393404985002E-2</v>
      </c>
      <c r="Z110" s="43">
        <f ca="1"/>
        <v>7.4999766178387439E-2</v>
      </c>
      <c r="AA110" s="43">
        <f ca="1"/>
        <v>7.4999142532360619E-2</v>
      </c>
      <c r="AB110" s="43">
        <f ca="1"/>
        <v>7.4998522143879587E-2</v>
      </c>
      <c r="AC110" s="43">
        <f ca="1"/>
        <v>7.4997904713038216E-2</v>
      </c>
      <c r="AD110" s="43">
        <f ca="1"/>
        <v>7.4997289963233557E-2</v>
      </c>
      <c r="AE110" s="43">
        <f ca="1"/>
        <v>7.4996677639815768E-2</v>
      </c>
      <c r="AF110" s="43">
        <f ca="1"/>
        <v>7.499606750781046E-2</v>
      </c>
      <c r="AG110" s="43">
        <f ca="1"/>
        <v>7.4995459349298757E-2</v>
      </c>
      <c r="AH110" s="43">
        <f ca="1"/>
        <v>7.4994852960958855E-2</v>
      </c>
      <c r="AI110" s="43">
        <f ca="1"/>
        <v>7.4994248152130516E-2</v>
      </c>
      <c r="AJ110" s="43">
        <f ca="1"/>
        <v>7.4993644743441154E-2</v>
      </c>
      <c r="AK110" s="43">
        <f ca="1"/>
        <v>7.4993042565832557E-2</v>
      </c>
      <c r="AL110" s="43">
        <f ca="1"/>
        <v>7.4992441460060025E-2</v>
      </c>
      <c r="AM110" s="43">
        <f ca="1"/>
        <v>7.4688796680497924E-2</v>
      </c>
      <c r="AN110" s="44">
        <f ca="1"/>
        <v>7.4688796680497924E-2</v>
      </c>
      <c r="AO110" s="8"/>
    </row>
    <row r="111" spans="2:41" hidden="1" x14ac:dyDescent="0.35">
      <c r="B111" s="8"/>
      <c r="C111" s="35" t="str">
        <f>"EL 4: " &amp; INDEX(_doName,1,5)</f>
        <v>EL 4: EL 4</v>
      </c>
      <c r="D111" s="15" t="s">
        <v>63</v>
      </c>
      <c r="E111" s="45">
        <f ca="1"/>
        <v>3.3308801391338135E-2</v>
      </c>
      <c r="F111" s="45">
        <f ca="1"/>
        <v>3.3282600162836254E-2</v>
      </c>
      <c r="G111" s="45">
        <f ca="1"/>
        <v>3.3466131313029064E-2</v>
      </c>
      <c r="H111" s="45">
        <f ca="1"/>
        <v>3.3429149964404291E-2</v>
      </c>
      <c r="I111" s="45">
        <f ca="1"/>
        <v>3.3392438803316389E-2</v>
      </c>
      <c r="J111" s="45">
        <f ca="1"/>
        <v>3.3382609009311358E-2</v>
      </c>
      <c r="K111" s="45">
        <f ca="1"/>
        <v>3.3372837115993363E-2</v>
      </c>
      <c r="L111" s="45">
        <f ca="1"/>
        <v>3.3363121266026634E-2</v>
      </c>
      <c r="M111" s="45">
        <f ca="1"/>
        <v>3.3353459788549734E-2</v>
      </c>
      <c r="N111" s="45">
        <f ca="1"/>
        <v>3.334385109585826E-2</v>
      </c>
      <c r="O111" s="45">
        <f ca="1"/>
        <v>3.3342815070609218E-2</v>
      </c>
      <c r="P111" s="45">
        <f ca="1"/>
        <v>3.3341786819108744E-2</v>
      </c>
      <c r="Q111" s="45">
        <f ca="1"/>
        <v>3.334076581922487E-2</v>
      </c>
      <c r="R111" s="45">
        <f ca="1"/>
        <v>3.3339751593822804E-2</v>
      </c>
      <c r="S111" s="45">
        <f ca="1"/>
        <v>3.3338743703628958E-2</v>
      </c>
      <c r="T111" s="45">
        <f ca="1"/>
        <v>3.3337741817644949E-2</v>
      </c>
      <c r="U111" s="45">
        <f ca="1"/>
        <v>3.3336745625940981E-2</v>
      </c>
      <c r="V111" s="45">
        <f ca="1"/>
        <v>3.3335754861980565E-2</v>
      </c>
      <c r="W111" s="45">
        <f ca="1"/>
        <v>3.3334769289420557E-2</v>
      </c>
      <c r="X111" s="45">
        <f ca="1"/>
        <v>3.3333788691960471E-2</v>
      </c>
      <c r="Y111" s="45">
        <f ca="1"/>
        <v>3.3333508179993331E-2</v>
      </c>
      <c r="Z111" s="45">
        <f ca="1"/>
        <v>3.3333229412616634E-2</v>
      </c>
      <c r="AA111" s="45">
        <f ca="1"/>
        <v>3.3332952236604721E-2</v>
      </c>
      <c r="AB111" s="45">
        <f ca="1"/>
        <v>3.3332676508390932E-2</v>
      </c>
      <c r="AC111" s="45">
        <f ca="1"/>
        <v>3.3332402094683654E-2</v>
      </c>
      <c r="AD111" s="45">
        <f ca="1"/>
        <v>3.3332128872548251E-2</v>
      </c>
      <c r="AE111" s="45">
        <f ca="1"/>
        <v>3.3331856728807008E-2</v>
      </c>
      <c r="AF111" s="45">
        <f ca="1"/>
        <v>3.333158555902687E-2</v>
      </c>
      <c r="AG111" s="45">
        <f ca="1"/>
        <v>3.3331315266355008E-2</v>
      </c>
      <c r="AH111" s="45">
        <f ca="1"/>
        <v>3.3331045760426156E-2</v>
      </c>
      <c r="AI111" s="45">
        <f ca="1"/>
        <v>3.3330776956502446E-2</v>
      </c>
      <c r="AJ111" s="45">
        <f ca="1"/>
        <v>3.3330508774862731E-2</v>
      </c>
      <c r="AK111" s="45">
        <f ca="1"/>
        <v>3.3330241140370032E-2</v>
      </c>
      <c r="AL111" s="45">
        <f ca="1"/>
        <v>3.3329973982248892E-2</v>
      </c>
      <c r="AM111" s="45">
        <f ca="1"/>
        <v>3.3195020746887967E-2</v>
      </c>
      <c r="AN111" s="46">
        <f ca="1"/>
        <v>3.3195020746887967E-2</v>
      </c>
      <c r="AO111" s="8"/>
    </row>
    <row r="112" spans="2:41" x14ac:dyDescent="0.35">
      <c r="B112" s="8"/>
      <c r="C112" s="23" t="s">
        <v>96</v>
      </c>
      <c r="D112" s="24"/>
      <c r="E112" s="26">
        <f t="array" ref="E112:AN112">_yS</f>
        <v>2024</v>
      </c>
      <c r="F112" s="26">
        <v>2025</v>
      </c>
      <c r="G112" s="26">
        <v>2026</v>
      </c>
      <c r="H112" s="26">
        <v>2027</v>
      </c>
      <c r="I112" s="26">
        <v>2028</v>
      </c>
      <c r="J112" s="26">
        <v>2029</v>
      </c>
      <c r="K112" s="26">
        <v>2030</v>
      </c>
      <c r="L112" s="26">
        <v>2031</v>
      </c>
      <c r="M112" s="26">
        <v>2032</v>
      </c>
      <c r="N112" s="26">
        <v>2033</v>
      </c>
      <c r="O112" s="26">
        <v>2034</v>
      </c>
      <c r="P112" s="26">
        <v>2035</v>
      </c>
      <c r="Q112" s="26">
        <v>2036</v>
      </c>
      <c r="R112" s="26">
        <v>2037</v>
      </c>
      <c r="S112" s="26">
        <v>2038</v>
      </c>
      <c r="T112" s="26">
        <v>2039</v>
      </c>
      <c r="U112" s="26">
        <v>2040</v>
      </c>
      <c r="V112" s="26">
        <v>2041</v>
      </c>
      <c r="W112" s="26">
        <v>2042</v>
      </c>
      <c r="X112" s="26">
        <v>2043</v>
      </c>
      <c r="Y112" s="26">
        <v>2044</v>
      </c>
      <c r="Z112" s="26">
        <v>2045</v>
      </c>
      <c r="AA112" s="26">
        <v>2046</v>
      </c>
      <c r="AB112" s="26">
        <v>2047</v>
      </c>
      <c r="AC112" s="26">
        <v>2048</v>
      </c>
      <c r="AD112" s="26">
        <v>2049</v>
      </c>
      <c r="AE112" s="26">
        <v>2050</v>
      </c>
      <c r="AF112" s="26">
        <v>2051</v>
      </c>
      <c r="AG112" s="26">
        <v>2052</v>
      </c>
      <c r="AH112" s="26">
        <v>2053</v>
      </c>
      <c r="AI112" s="26">
        <v>2054</v>
      </c>
      <c r="AJ112" s="26">
        <v>2055</v>
      </c>
      <c r="AK112" s="26">
        <v>2056</v>
      </c>
      <c r="AL112" s="26">
        <v>2057</v>
      </c>
      <c r="AM112" s="26">
        <v>2058</v>
      </c>
      <c r="AN112" s="27">
        <v>2059</v>
      </c>
      <c r="AO112" s="8"/>
    </row>
    <row r="113" spans="2:41" x14ac:dyDescent="0.35">
      <c r="B113" s="8"/>
      <c r="C113" s="19" t="str">
        <f>"EL 0: " &amp; INDEX(_doName,1,1)</f>
        <v>EL 0: Baseline</v>
      </c>
      <c r="D113" s="11" t="s">
        <v>63</v>
      </c>
      <c r="E113" s="43">
        <f t="array" ref="E113:E117">TRANSPOSE(bcsml_Com)</f>
        <v>0.28049792531120338</v>
      </c>
      <c r="F113" s="43">
        <f t="array" ref="F113:F117" ca="1">eff0BC_Com+IF(_el=0,0,pullBC_Com)-pushBC_Com</f>
        <v>0.28049792531120338</v>
      </c>
      <c r="G113" s="43">
        <f t="array" ref="G113:G117" ca="1">eff0BC_Com+IF(_el=0,0,pullBC_Com)-pushBC_Com</f>
        <v>0.28049792531120338</v>
      </c>
      <c r="H113" s="43">
        <f t="array" ref="H113:H117" ca="1">eff0BC_Com+IF(_el=0,0,pullBC_Com)-pushBC_Com</f>
        <v>0.28049792531120338</v>
      </c>
      <c r="I113" s="43">
        <f t="array" ref="I113:I117" ca="1">eff0BC_Com+IF(_el=0,0,pullBC_Com)-pushBC_Com</f>
        <v>0.28049792531120338</v>
      </c>
      <c r="J113" s="43">
        <f t="array" ref="J113:J117" ca="1">eff0BC_Com+IF(_el=0,0,pullBC_Com)-pushBC_Com</f>
        <v>0.28049792531120338</v>
      </c>
      <c r="K113" s="43">
        <f t="array" ref="K113:K117" ca="1">eff0BC_Com+IF(_el=0,0,pullBC_Com)-pushBC_Com</f>
        <v>0.28049792531120338</v>
      </c>
      <c r="L113" s="43">
        <f t="array" ref="L113:L117" ca="1">eff0BC_Com+IF(_el=0,0,pullBC_Com)-pushBC_Com</f>
        <v>0.28049792531120338</v>
      </c>
      <c r="M113" s="43">
        <f t="array" ref="M113:M117" ca="1">eff0BC_Com+IF(_el=0,0,pullBC_Com)-pushBC_Com</f>
        <v>0.28049792531120338</v>
      </c>
      <c r="N113" s="43">
        <f t="array" ref="N113:N117" ca="1">eff0BC_Com+IF(_el=0,0,pullBC_Com)-pushBC_Com</f>
        <v>0.28049792531120338</v>
      </c>
      <c r="O113" s="43">
        <f t="array" ref="O113:O117" ca="1">eff0BC_Com+IF(_el=0,0,pullBC_Com)-pushBC_Com</f>
        <v>0.28049792531120338</v>
      </c>
      <c r="P113" s="43">
        <f t="array" ref="P113:P117" ca="1">eff0BC_Com+IF(_el=0,0,pullBC_Com)-pushBC_Com</f>
        <v>0.28049792531120338</v>
      </c>
      <c r="Q113" s="43">
        <f t="array" ref="Q113:Q117" ca="1">eff0BC_Com+IF(_el=0,0,pullBC_Com)-pushBC_Com</f>
        <v>0.28049792531120338</v>
      </c>
      <c r="R113" s="43">
        <f t="array" ref="R113:R117" ca="1">eff0BC_Com+IF(_el=0,0,pullBC_Com)-pushBC_Com</f>
        <v>0.28049792531120338</v>
      </c>
      <c r="S113" s="43">
        <f t="array" ref="S113:S117" ca="1">eff0BC_Com+IF(_el=0,0,pullBC_Com)-pushBC_Com</f>
        <v>0.28049792531120338</v>
      </c>
      <c r="T113" s="43">
        <f t="array" ref="T113:T117" ca="1">eff0BC_Com+IF(_el=0,0,pullBC_Com)-pushBC_Com</f>
        <v>0.28049792531120338</v>
      </c>
      <c r="U113" s="43">
        <f t="array" ref="U113:U117" ca="1">eff0BC_Com+IF(_el=0,0,pullBC_Com)-pushBC_Com</f>
        <v>0.28049792531120338</v>
      </c>
      <c r="V113" s="43">
        <f t="array" ref="V113:V117" ca="1">eff0BC_Com+IF(_el=0,0,pullBC_Com)-pushBC_Com</f>
        <v>0.28049792531120338</v>
      </c>
      <c r="W113" s="43">
        <f t="array" ref="W113:W117" ca="1">eff0BC_Com+IF(_el=0,0,pullBC_Com)-pushBC_Com</f>
        <v>0.28049792531120338</v>
      </c>
      <c r="X113" s="43">
        <f t="array" ref="X113:X117" ca="1">eff0BC_Com+IF(_el=0,0,pullBC_Com)-pushBC_Com</f>
        <v>0.28049792531120338</v>
      </c>
      <c r="Y113" s="43">
        <f t="array" ref="Y113:Y117" ca="1">eff0BC_Com+IF(_el=0,0,pullBC_Com)-pushBC_Com</f>
        <v>0.28049792531120338</v>
      </c>
      <c r="Z113" s="43">
        <f t="array" ref="Z113:Z117" ca="1">eff0BC_Com+IF(_el=0,0,pullBC_Com)-pushBC_Com</f>
        <v>0.28049792531120338</v>
      </c>
      <c r="AA113" s="43">
        <f t="array" ref="AA113:AA117" ca="1">eff0BC_Com+IF(_el=0,0,pullBC_Com)-pushBC_Com</f>
        <v>0.28049792531120338</v>
      </c>
      <c r="AB113" s="43">
        <f t="array" ref="AB113:AB117" ca="1">eff0BC_Com+IF(_el=0,0,pullBC_Com)-pushBC_Com</f>
        <v>0.28049792531120338</v>
      </c>
      <c r="AC113" s="43">
        <f t="array" ref="AC113:AC117" ca="1">eff0BC_Com+IF(_el=0,0,pullBC_Com)-pushBC_Com</f>
        <v>0.28049792531120338</v>
      </c>
      <c r="AD113" s="43">
        <f t="array" ref="AD113:AD117" ca="1">eff0BC_Com+IF(_el=0,0,pullBC_Com)-pushBC_Com</f>
        <v>0.28049792531120338</v>
      </c>
      <c r="AE113" s="43">
        <f t="array" ref="AE113:AE117" ca="1">eff0BC_Com+IF(_el=0,0,pullBC_Com)-pushBC_Com</f>
        <v>0.28049792531120338</v>
      </c>
      <c r="AF113" s="43">
        <f t="array" ref="AF113:AF117" ca="1">eff0BC_Com+IF(_el=0,0,pullBC_Com)-pushBC_Com</f>
        <v>0.28049792531120338</v>
      </c>
      <c r="AG113" s="43">
        <f t="array" ref="AG113:AG117" ca="1">eff0BC_Com+IF(_el=0,0,pullBC_Com)-pushBC_Com</f>
        <v>0.28049792531120338</v>
      </c>
      <c r="AH113" s="43">
        <f t="array" ref="AH113:AH117" ca="1">eff0BC_Com+IF(_el=0,0,pullBC_Com)-pushBC_Com</f>
        <v>0.28049792531120338</v>
      </c>
      <c r="AI113" s="43">
        <f t="array" ref="AI113:AI117" ca="1">eff0BC_Com+IF(_el=0,0,pullBC_Com)-pushBC_Com</f>
        <v>0.28049792531120338</v>
      </c>
      <c r="AJ113" s="43">
        <f t="array" ref="AJ113:AJ117" ca="1">eff0BC_Com+IF(_el=0,0,pullBC_Com)-pushBC_Com</f>
        <v>0.28049792531120338</v>
      </c>
      <c r="AK113" s="43">
        <f t="array" ref="AK113:AK117" ca="1">eff0BC_Com+IF(_el=0,0,pullBC_Com)-pushBC_Com</f>
        <v>0.28049792531120338</v>
      </c>
      <c r="AL113" s="43">
        <f t="array" ref="AL113:AL117" ca="1">eff0BC_Com+IF(_el=0,0,pullBC_Com)-pushBC_Com</f>
        <v>0.28049792531120338</v>
      </c>
      <c r="AM113" s="43">
        <f t="array" ref="AM113:AM117" ca="1">eff0BC_Com+IF(_el=0,0,pullBC_Com)-pushBC_Com</f>
        <v>0.28049792531120338</v>
      </c>
      <c r="AN113" s="44">
        <f t="array" ref="AN113:AN117" ca="1">eff0BC_Com+IF(_el=0,0,pullBC_Com)-pushBC_Com</f>
        <v>0.28049792531120338</v>
      </c>
      <c r="AO113" s="8"/>
    </row>
    <row r="114" spans="2:41" x14ac:dyDescent="0.35">
      <c r="B114" s="8"/>
      <c r="C114" s="19" t="str">
        <f>"EL 1: " &amp; INDEX(_doName,1,2)</f>
        <v>EL 1: Tier 1</v>
      </c>
      <c r="D114" s="11" t="s">
        <v>63</v>
      </c>
      <c r="E114" s="43">
        <v>0.42074688796680493</v>
      </c>
      <c r="F114" s="43">
        <f ca="1"/>
        <v>0.42074688796680493</v>
      </c>
      <c r="G114" s="43">
        <f ca="1"/>
        <v>0.42074688796680493</v>
      </c>
      <c r="H114" s="43">
        <f ca="1"/>
        <v>0.42074688796680493</v>
      </c>
      <c r="I114" s="43">
        <f ca="1"/>
        <v>0.42074688796680493</v>
      </c>
      <c r="J114" s="43">
        <f ca="1"/>
        <v>0.42074688796680493</v>
      </c>
      <c r="K114" s="43">
        <f ca="1"/>
        <v>0.42074688796680493</v>
      </c>
      <c r="L114" s="43">
        <f ca="1"/>
        <v>0.42074688796680493</v>
      </c>
      <c r="M114" s="43">
        <f ca="1"/>
        <v>0.42074688796680493</v>
      </c>
      <c r="N114" s="43">
        <f ca="1"/>
        <v>0.42074688796680493</v>
      </c>
      <c r="O114" s="43">
        <f ca="1"/>
        <v>0.42074688796680493</v>
      </c>
      <c r="P114" s="43">
        <f ca="1"/>
        <v>0.42074688796680493</v>
      </c>
      <c r="Q114" s="43">
        <f ca="1"/>
        <v>0.42074688796680493</v>
      </c>
      <c r="R114" s="43">
        <f ca="1"/>
        <v>0.42074688796680493</v>
      </c>
      <c r="S114" s="43">
        <f ca="1"/>
        <v>0.42074688796680493</v>
      </c>
      <c r="T114" s="43">
        <f ca="1"/>
        <v>0.42074688796680493</v>
      </c>
      <c r="U114" s="43">
        <f ca="1"/>
        <v>0.42074688796680493</v>
      </c>
      <c r="V114" s="43">
        <f ca="1"/>
        <v>0.42074688796680493</v>
      </c>
      <c r="W114" s="43">
        <f ca="1"/>
        <v>0.42074688796680493</v>
      </c>
      <c r="X114" s="43">
        <f ca="1"/>
        <v>0.42074688796680493</v>
      </c>
      <c r="Y114" s="43">
        <f ca="1"/>
        <v>0.42074688796680493</v>
      </c>
      <c r="Z114" s="43">
        <f ca="1"/>
        <v>0.42074688796680493</v>
      </c>
      <c r="AA114" s="43">
        <f ca="1"/>
        <v>0.42074688796680493</v>
      </c>
      <c r="AB114" s="43">
        <f ca="1"/>
        <v>0.42074688796680493</v>
      </c>
      <c r="AC114" s="43">
        <f ca="1"/>
        <v>0.42074688796680493</v>
      </c>
      <c r="AD114" s="43">
        <f ca="1"/>
        <v>0.42074688796680493</v>
      </c>
      <c r="AE114" s="43">
        <f ca="1"/>
        <v>0.42074688796680493</v>
      </c>
      <c r="AF114" s="43">
        <f ca="1"/>
        <v>0.42074688796680493</v>
      </c>
      <c r="AG114" s="43">
        <f ca="1"/>
        <v>0.42074688796680493</v>
      </c>
      <c r="AH114" s="43">
        <f ca="1"/>
        <v>0.42074688796680493</v>
      </c>
      <c r="AI114" s="43">
        <f ca="1"/>
        <v>0.42074688796680493</v>
      </c>
      <c r="AJ114" s="43">
        <f ca="1"/>
        <v>0.42074688796680493</v>
      </c>
      <c r="AK114" s="43">
        <f ca="1"/>
        <v>0.42074688796680493</v>
      </c>
      <c r="AL114" s="43">
        <f ca="1"/>
        <v>0.42074688796680493</v>
      </c>
      <c r="AM114" s="43">
        <f ca="1"/>
        <v>0.42074688796680493</v>
      </c>
      <c r="AN114" s="44">
        <f ca="1"/>
        <v>0.42074688796680493</v>
      </c>
      <c r="AO114" s="8"/>
    </row>
    <row r="115" spans="2:41" x14ac:dyDescent="0.35">
      <c r="B115" s="8"/>
      <c r="C115" s="19" t="str">
        <f>"EL 2: " &amp; INDEX(_doName,1,3)</f>
        <v>EL 2: Tier 2</v>
      </c>
      <c r="D115" s="11" t="s">
        <v>63</v>
      </c>
      <c r="E115" s="43">
        <v>0.1908713692946058</v>
      </c>
      <c r="F115" s="43">
        <f ca="1"/>
        <v>0.1908713692946058</v>
      </c>
      <c r="G115" s="43">
        <f ca="1"/>
        <v>0.1908713692946058</v>
      </c>
      <c r="H115" s="43">
        <f ca="1"/>
        <v>0.1908713692946058</v>
      </c>
      <c r="I115" s="43">
        <f ca="1"/>
        <v>0.1908713692946058</v>
      </c>
      <c r="J115" s="43">
        <f ca="1"/>
        <v>0.1908713692946058</v>
      </c>
      <c r="K115" s="43">
        <f ca="1"/>
        <v>0.1908713692946058</v>
      </c>
      <c r="L115" s="43">
        <f ca="1"/>
        <v>0.1908713692946058</v>
      </c>
      <c r="M115" s="43">
        <f ca="1"/>
        <v>0.1908713692946058</v>
      </c>
      <c r="N115" s="43">
        <f ca="1"/>
        <v>0.1908713692946058</v>
      </c>
      <c r="O115" s="43">
        <f ca="1"/>
        <v>0.1908713692946058</v>
      </c>
      <c r="P115" s="43">
        <f ca="1"/>
        <v>0.1908713692946058</v>
      </c>
      <c r="Q115" s="43">
        <f ca="1"/>
        <v>0.1908713692946058</v>
      </c>
      <c r="R115" s="43">
        <f ca="1"/>
        <v>0.1908713692946058</v>
      </c>
      <c r="S115" s="43">
        <f ca="1"/>
        <v>0.1908713692946058</v>
      </c>
      <c r="T115" s="43">
        <f ca="1"/>
        <v>0.1908713692946058</v>
      </c>
      <c r="U115" s="43">
        <f ca="1"/>
        <v>0.1908713692946058</v>
      </c>
      <c r="V115" s="43">
        <f ca="1"/>
        <v>0.1908713692946058</v>
      </c>
      <c r="W115" s="43">
        <f ca="1"/>
        <v>0.1908713692946058</v>
      </c>
      <c r="X115" s="43">
        <f ca="1"/>
        <v>0.1908713692946058</v>
      </c>
      <c r="Y115" s="43">
        <f ca="1"/>
        <v>0.1908713692946058</v>
      </c>
      <c r="Z115" s="43">
        <f ca="1"/>
        <v>0.1908713692946058</v>
      </c>
      <c r="AA115" s="43">
        <f ca="1"/>
        <v>0.1908713692946058</v>
      </c>
      <c r="AB115" s="43">
        <f ca="1"/>
        <v>0.1908713692946058</v>
      </c>
      <c r="AC115" s="43">
        <f ca="1"/>
        <v>0.1908713692946058</v>
      </c>
      <c r="AD115" s="43">
        <f ca="1"/>
        <v>0.1908713692946058</v>
      </c>
      <c r="AE115" s="43">
        <f ca="1"/>
        <v>0.1908713692946058</v>
      </c>
      <c r="AF115" s="43">
        <f ca="1"/>
        <v>0.1908713692946058</v>
      </c>
      <c r="AG115" s="43">
        <f ca="1"/>
        <v>0.1908713692946058</v>
      </c>
      <c r="AH115" s="43">
        <f ca="1"/>
        <v>0.1908713692946058</v>
      </c>
      <c r="AI115" s="43">
        <f ca="1"/>
        <v>0.1908713692946058</v>
      </c>
      <c r="AJ115" s="43">
        <f ca="1"/>
        <v>0.1908713692946058</v>
      </c>
      <c r="AK115" s="43">
        <f ca="1"/>
        <v>0.1908713692946058</v>
      </c>
      <c r="AL115" s="43">
        <f ca="1"/>
        <v>0.1908713692946058</v>
      </c>
      <c r="AM115" s="43">
        <f ca="1"/>
        <v>0.1908713692946058</v>
      </c>
      <c r="AN115" s="44">
        <f ca="1"/>
        <v>0.1908713692946058</v>
      </c>
      <c r="AO115" s="8"/>
    </row>
    <row r="116" spans="2:41" x14ac:dyDescent="0.35">
      <c r="B116" s="8"/>
      <c r="C116" s="19" t="str">
        <f>"EL 3: " &amp; INDEX(_doName,1,4)</f>
        <v>EL 3: EL 3</v>
      </c>
      <c r="D116" s="11" t="s">
        <v>63</v>
      </c>
      <c r="E116" s="43">
        <v>7.4688796680497924E-2</v>
      </c>
      <c r="F116" s="43">
        <f ca="1"/>
        <v>7.4688796680497924E-2</v>
      </c>
      <c r="G116" s="43">
        <f ca="1"/>
        <v>7.4688796680497924E-2</v>
      </c>
      <c r="H116" s="43">
        <f ca="1"/>
        <v>7.4688796680497924E-2</v>
      </c>
      <c r="I116" s="43">
        <f ca="1"/>
        <v>7.4688796680497924E-2</v>
      </c>
      <c r="J116" s="43">
        <f ca="1"/>
        <v>7.4688796680497924E-2</v>
      </c>
      <c r="K116" s="43">
        <f ca="1"/>
        <v>7.4688796680497924E-2</v>
      </c>
      <c r="L116" s="43">
        <f ca="1"/>
        <v>7.4688796680497924E-2</v>
      </c>
      <c r="M116" s="43">
        <f ca="1"/>
        <v>7.4688796680497924E-2</v>
      </c>
      <c r="N116" s="43">
        <f ca="1"/>
        <v>7.4688796680497924E-2</v>
      </c>
      <c r="O116" s="43">
        <f ca="1"/>
        <v>7.4688796680497924E-2</v>
      </c>
      <c r="P116" s="43">
        <f ca="1"/>
        <v>7.4688796680497924E-2</v>
      </c>
      <c r="Q116" s="43">
        <f ca="1"/>
        <v>7.4688796680497924E-2</v>
      </c>
      <c r="R116" s="43">
        <f ca="1"/>
        <v>7.4688796680497924E-2</v>
      </c>
      <c r="S116" s="43">
        <f ca="1"/>
        <v>7.4688796680497924E-2</v>
      </c>
      <c r="T116" s="43">
        <f ca="1"/>
        <v>7.4688796680497924E-2</v>
      </c>
      <c r="U116" s="43">
        <f ca="1"/>
        <v>7.4688796680497924E-2</v>
      </c>
      <c r="V116" s="43">
        <f ca="1"/>
        <v>7.4688796680497924E-2</v>
      </c>
      <c r="W116" s="43">
        <f ca="1"/>
        <v>7.4688796680497924E-2</v>
      </c>
      <c r="X116" s="43">
        <f ca="1"/>
        <v>7.4688796680497924E-2</v>
      </c>
      <c r="Y116" s="43">
        <f ca="1"/>
        <v>7.4688796680497924E-2</v>
      </c>
      <c r="Z116" s="43">
        <f ca="1"/>
        <v>7.4688796680497924E-2</v>
      </c>
      <c r="AA116" s="43">
        <f ca="1"/>
        <v>7.4688796680497924E-2</v>
      </c>
      <c r="AB116" s="43">
        <f ca="1"/>
        <v>7.4688796680497924E-2</v>
      </c>
      <c r="AC116" s="43">
        <f ca="1"/>
        <v>7.4688796680497924E-2</v>
      </c>
      <c r="AD116" s="43">
        <f ca="1"/>
        <v>7.4688796680497924E-2</v>
      </c>
      <c r="AE116" s="43">
        <f ca="1"/>
        <v>7.4688796680497924E-2</v>
      </c>
      <c r="AF116" s="43">
        <f ca="1"/>
        <v>7.4688796680497924E-2</v>
      </c>
      <c r="AG116" s="43">
        <f ca="1"/>
        <v>7.4688796680497924E-2</v>
      </c>
      <c r="AH116" s="43">
        <f ca="1"/>
        <v>7.4688796680497924E-2</v>
      </c>
      <c r="AI116" s="43">
        <f ca="1"/>
        <v>7.4688796680497924E-2</v>
      </c>
      <c r="AJ116" s="43">
        <f ca="1"/>
        <v>7.4688796680497924E-2</v>
      </c>
      <c r="AK116" s="43">
        <f ca="1"/>
        <v>7.4688796680497924E-2</v>
      </c>
      <c r="AL116" s="43">
        <f ca="1"/>
        <v>7.4688796680497924E-2</v>
      </c>
      <c r="AM116" s="43">
        <f ca="1"/>
        <v>7.4688796680497924E-2</v>
      </c>
      <c r="AN116" s="44">
        <f ca="1"/>
        <v>7.4688796680497924E-2</v>
      </c>
      <c r="AO116" s="8"/>
    </row>
    <row r="117" spans="2:41" x14ac:dyDescent="0.35">
      <c r="B117" s="8"/>
      <c r="C117" s="35" t="str">
        <f>"EL 4: " &amp; INDEX(_doName,1,5)</f>
        <v>EL 4: EL 4</v>
      </c>
      <c r="D117" s="15" t="s">
        <v>63</v>
      </c>
      <c r="E117" s="45">
        <v>3.3195020746887967E-2</v>
      </c>
      <c r="F117" s="45">
        <f ca="1"/>
        <v>3.3195020746887967E-2</v>
      </c>
      <c r="G117" s="45">
        <f ca="1"/>
        <v>3.3195020746887967E-2</v>
      </c>
      <c r="H117" s="45">
        <f ca="1"/>
        <v>3.3195020746887967E-2</v>
      </c>
      <c r="I117" s="45">
        <f ca="1"/>
        <v>3.3195020746887967E-2</v>
      </c>
      <c r="J117" s="45">
        <f ca="1"/>
        <v>3.3195020746887967E-2</v>
      </c>
      <c r="K117" s="45">
        <f ca="1"/>
        <v>3.3195020746887967E-2</v>
      </c>
      <c r="L117" s="45">
        <f ca="1"/>
        <v>3.3195020746887967E-2</v>
      </c>
      <c r="M117" s="45">
        <f ca="1"/>
        <v>3.3195020746887967E-2</v>
      </c>
      <c r="N117" s="45">
        <f ca="1"/>
        <v>3.3195020746887967E-2</v>
      </c>
      <c r="O117" s="45">
        <f ca="1"/>
        <v>3.3195020746887967E-2</v>
      </c>
      <c r="P117" s="45">
        <f ca="1"/>
        <v>3.3195020746887967E-2</v>
      </c>
      <c r="Q117" s="45">
        <f ca="1"/>
        <v>3.3195020746887967E-2</v>
      </c>
      <c r="R117" s="45">
        <f ca="1"/>
        <v>3.3195020746887967E-2</v>
      </c>
      <c r="S117" s="45">
        <f ca="1"/>
        <v>3.3195020746887967E-2</v>
      </c>
      <c r="T117" s="45">
        <f ca="1"/>
        <v>3.3195020746887967E-2</v>
      </c>
      <c r="U117" s="45">
        <f ca="1"/>
        <v>3.3195020746887967E-2</v>
      </c>
      <c r="V117" s="45">
        <f ca="1"/>
        <v>3.3195020746887967E-2</v>
      </c>
      <c r="W117" s="45">
        <f ca="1"/>
        <v>3.3195020746887967E-2</v>
      </c>
      <c r="X117" s="45">
        <f ca="1"/>
        <v>3.3195020746887967E-2</v>
      </c>
      <c r="Y117" s="45">
        <f ca="1"/>
        <v>3.3195020746887967E-2</v>
      </c>
      <c r="Z117" s="45">
        <f ca="1"/>
        <v>3.3195020746887967E-2</v>
      </c>
      <c r="AA117" s="45">
        <f ca="1"/>
        <v>3.3195020746887967E-2</v>
      </c>
      <c r="AB117" s="45">
        <f ca="1"/>
        <v>3.3195020746887967E-2</v>
      </c>
      <c r="AC117" s="45">
        <f ca="1"/>
        <v>3.3195020746887967E-2</v>
      </c>
      <c r="AD117" s="45">
        <f ca="1"/>
        <v>3.3195020746887967E-2</v>
      </c>
      <c r="AE117" s="45">
        <f ca="1"/>
        <v>3.3195020746887967E-2</v>
      </c>
      <c r="AF117" s="45">
        <f ca="1"/>
        <v>3.3195020746887967E-2</v>
      </c>
      <c r="AG117" s="45">
        <f ca="1"/>
        <v>3.3195020746887967E-2</v>
      </c>
      <c r="AH117" s="45">
        <f ca="1"/>
        <v>3.3195020746887967E-2</v>
      </c>
      <c r="AI117" s="45">
        <f ca="1"/>
        <v>3.3195020746887967E-2</v>
      </c>
      <c r="AJ117" s="45">
        <f ca="1"/>
        <v>3.3195020746887967E-2</v>
      </c>
      <c r="AK117" s="45">
        <f ca="1"/>
        <v>3.3195020746887967E-2</v>
      </c>
      <c r="AL117" s="45">
        <f ca="1"/>
        <v>3.3195020746887967E-2</v>
      </c>
      <c r="AM117" s="45">
        <f ca="1"/>
        <v>3.3195020746887967E-2</v>
      </c>
      <c r="AN117" s="46">
        <f ca="1"/>
        <v>3.3195020746887967E-2</v>
      </c>
      <c r="AO117" s="8"/>
    </row>
    <row r="118" spans="2:41" x14ac:dyDescent="0.35">
      <c r="B118" s="8"/>
      <c r="C118" s="23" t="s">
        <v>92</v>
      </c>
      <c r="D118" s="24"/>
      <c r="E118" s="26">
        <f t="array" ref="E118:AN118">_yS</f>
        <v>2024</v>
      </c>
      <c r="F118" s="26">
        <v>2025</v>
      </c>
      <c r="G118" s="26">
        <v>2026</v>
      </c>
      <c r="H118" s="26">
        <v>2027</v>
      </c>
      <c r="I118" s="26">
        <v>2028</v>
      </c>
      <c r="J118" s="26">
        <v>2029</v>
      </c>
      <c r="K118" s="26">
        <v>2030</v>
      </c>
      <c r="L118" s="26">
        <v>2031</v>
      </c>
      <c r="M118" s="26">
        <v>2032</v>
      </c>
      <c r="N118" s="26">
        <v>2033</v>
      </c>
      <c r="O118" s="26">
        <v>2034</v>
      </c>
      <c r="P118" s="26">
        <v>2035</v>
      </c>
      <c r="Q118" s="26">
        <v>2036</v>
      </c>
      <c r="R118" s="26">
        <v>2037</v>
      </c>
      <c r="S118" s="26">
        <v>2038</v>
      </c>
      <c r="T118" s="26">
        <v>2039</v>
      </c>
      <c r="U118" s="26">
        <v>2040</v>
      </c>
      <c r="V118" s="26">
        <v>2041</v>
      </c>
      <c r="W118" s="26">
        <v>2042</v>
      </c>
      <c r="X118" s="26">
        <v>2043</v>
      </c>
      <c r="Y118" s="26">
        <v>2044</v>
      </c>
      <c r="Z118" s="26">
        <v>2045</v>
      </c>
      <c r="AA118" s="26">
        <v>2046</v>
      </c>
      <c r="AB118" s="26">
        <v>2047</v>
      </c>
      <c r="AC118" s="26">
        <v>2048</v>
      </c>
      <c r="AD118" s="26">
        <v>2049</v>
      </c>
      <c r="AE118" s="26">
        <v>2050</v>
      </c>
      <c r="AF118" s="26">
        <v>2051</v>
      </c>
      <c r="AG118" s="26">
        <v>2052</v>
      </c>
      <c r="AH118" s="26">
        <v>2053</v>
      </c>
      <c r="AI118" s="26">
        <v>2054</v>
      </c>
      <c r="AJ118" s="26">
        <v>2055</v>
      </c>
      <c r="AK118" s="26">
        <v>2056</v>
      </c>
      <c r="AL118" s="26">
        <v>2057</v>
      </c>
      <c r="AM118" s="26">
        <v>2058</v>
      </c>
      <c r="AN118" s="27">
        <v>2059</v>
      </c>
      <c r="AO118" s="8"/>
    </row>
    <row r="119" spans="2:41" x14ac:dyDescent="0.35">
      <c r="B119" s="8"/>
      <c r="C119" s="19" t="s">
        <v>65</v>
      </c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18"/>
      <c r="AO119" s="8"/>
    </row>
    <row r="120" spans="2:41" x14ac:dyDescent="0.35">
      <c r="B120" s="8"/>
      <c r="C120" s="10" t="s">
        <v>93</v>
      </c>
      <c r="D120" s="11" t="str">
        <f>CHOOSE(MATCH(LEFT(effTrend,1),{"L","G"},0),"CADR/watt","%")</f>
        <v>CADR/watt</v>
      </c>
      <c r="E120" s="8">
        <v>0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18"/>
      <c r="AO120" s="8"/>
    </row>
    <row r="121" spans="2:41" x14ac:dyDescent="0.35">
      <c r="B121" s="8"/>
      <c r="C121" s="10" t="s">
        <v>94</v>
      </c>
      <c r="D121" s="11" t="s">
        <v>74</v>
      </c>
      <c r="E121" s="33">
        <f>SUMPRODUCT(doEff,INDEX(bcEff_Com,,1))</f>
        <v>1.9319253112033197</v>
      </c>
      <c r="F121" s="33">
        <f>MIN(maxEff,(1+effTrendG*trendGrowthBC_Com)*E$121+effTrendL*trendGrowthBC_Com)</f>
        <v>1.9319253112033197</v>
      </c>
      <c r="G121" s="33">
        <f>MIN(maxEff,(1+effTrendG*trendGrowthBC_Com)*F$121+effTrendL*trendGrowthBC_Com)</f>
        <v>1.9319253112033197</v>
      </c>
      <c r="H121" s="33">
        <f>MIN(maxEff,(1+effTrendG*trendGrowthBC_Com)*G$121+effTrendL*trendGrowthBC_Com)</f>
        <v>1.9319253112033197</v>
      </c>
      <c r="I121" s="33">
        <f>MIN(maxEff,(1+effTrendG*trendGrowthBC_Com)*H$121+effTrendL*trendGrowthBC_Com)</f>
        <v>1.9319253112033197</v>
      </c>
      <c r="J121" s="33">
        <f>MIN(maxEff,(1+effTrendG*trendGrowthBC_Com)*I$121+effTrendL*trendGrowthBC_Com)</f>
        <v>1.9319253112033197</v>
      </c>
      <c r="K121" s="33">
        <f>MIN(maxEff,(1+effTrendG*trendGrowthBC_Com)*J$121+effTrendL*trendGrowthBC_Com)</f>
        <v>1.9319253112033197</v>
      </c>
      <c r="L121" s="33">
        <f>MIN(maxEff,(1+effTrendG*trendGrowthBC_Com)*K$121+effTrendL*trendGrowthBC_Com)</f>
        <v>1.9319253112033197</v>
      </c>
      <c r="M121" s="33">
        <f>MIN(maxEff,(1+effTrendG*trendGrowthBC_Com)*L$121+effTrendL*trendGrowthBC_Com)</f>
        <v>1.9319253112033197</v>
      </c>
      <c r="N121" s="33">
        <f>MIN(maxEff,(1+effTrendG*trendGrowthBC_Com)*M$121+effTrendL*trendGrowthBC_Com)</f>
        <v>1.9319253112033197</v>
      </c>
      <c r="O121" s="33">
        <f>MIN(maxEff,(1+effTrendG*trendGrowthBC_Com)*N$121+effTrendL*trendGrowthBC_Com)</f>
        <v>1.9319253112033197</v>
      </c>
      <c r="P121" s="33">
        <f>MIN(maxEff,(1+effTrendG*trendGrowthBC_Com)*O$121+effTrendL*trendGrowthBC_Com)</f>
        <v>1.9319253112033197</v>
      </c>
      <c r="Q121" s="33">
        <f>MIN(maxEff,(1+effTrendG*trendGrowthBC_Com)*P$121+effTrendL*trendGrowthBC_Com)</f>
        <v>1.9319253112033197</v>
      </c>
      <c r="R121" s="33">
        <f>MIN(maxEff,(1+effTrendG*trendGrowthBC_Com)*Q$121+effTrendL*trendGrowthBC_Com)</f>
        <v>1.9319253112033197</v>
      </c>
      <c r="S121" s="33">
        <f>MIN(maxEff,(1+effTrendG*trendGrowthBC_Com)*R$121+effTrendL*trendGrowthBC_Com)</f>
        <v>1.9319253112033197</v>
      </c>
      <c r="T121" s="33">
        <f>MIN(maxEff,(1+effTrendG*trendGrowthBC_Com)*S$121+effTrendL*trendGrowthBC_Com)</f>
        <v>1.9319253112033197</v>
      </c>
      <c r="U121" s="33">
        <f>MIN(maxEff,(1+effTrendG*trendGrowthBC_Com)*T$121+effTrendL*trendGrowthBC_Com)</f>
        <v>1.9319253112033197</v>
      </c>
      <c r="V121" s="33">
        <f>MIN(maxEff,(1+effTrendG*trendGrowthBC_Com)*U$121+effTrendL*trendGrowthBC_Com)</f>
        <v>1.9319253112033197</v>
      </c>
      <c r="W121" s="33">
        <f>MIN(maxEff,(1+effTrendG*trendGrowthBC_Com)*V$121+effTrendL*trendGrowthBC_Com)</f>
        <v>1.9319253112033197</v>
      </c>
      <c r="X121" s="33">
        <f>MIN(maxEff,(1+effTrendG*trendGrowthBC_Com)*W$121+effTrendL*trendGrowthBC_Com)</f>
        <v>1.9319253112033197</v>
      </c>
      <c r="Y121" s="33">
        <f>MIN(maxEff,(1+effTrendG*trendGrowthBC_Com)*X$121+effTrendL*trendGrowthBC_Com)</f>
        <v>1.9319253112033197</v>
      </c>
      <c r="Z121" s="33">
        <f>MIN(maxEff,(1+effTrendG*trendGrowthBC_Com)*Y$121+effTrendL*trendGrowthBC_Com)</f>
        <v>1.9319253112033197</v>
      </c>
      <c r="AA121" s="33">
        <f>MIN(maxEff,(1+effTrendG*trendGrowthBC_Com)*Z$121+effTrendL*trendGrowthBC_Com)</f>
        <v>1.9319253112033197</v>
      </c>
      <c r="AB121" s="33">
        <f>MIN(maxEff,(1+effTrendG*trendGrowthBC_Com)*AA$121+effTrendL*trendGrowthBC_Com)</f>
        <v>1.9319253112033197</v>
      </c>
      <c r="AC121" s="33">
        <f>MIN(maxEff,(1+effTrendG*trendGrowthBC_Com)*AB$121+effTrendL*trendGrowthBC_Com)</f>
        <v>1.9319253112033197</v>
      </c>
      <c r="AD121" s="33">
        <f>MIN(maxEff,(1+effTrendG*trendGrowthBC_Com)*AC$121+effTrendL*trendGrowthBC_Com)</f>
        <v>1.9319253112033197</v>
      </c>
      <c r="AE121" s="33">
        <f>MIN(maxEff,(1+effTrendG*trendGrowthBC_Com)*AD$121+effTrendL*trendGrowthBC_Com)</f>
        <v>1.9319253112033197</v>
      </c>
      <c r="AF121" s="33">
        <f>MIN(maxEff,(1+effTrendG*trendGrowthBC_Com)*AE$121+effTrendL*trendGrowthBC_Com)</f>
        <v>1.9319253112033197</v>
      </c>
      <c r="AG121" s="33">
        <f>MIN(maxEff,(1+effTrendG*trendGrowthBC_Com)*AF$121+effTrendL*trendGrowthBC_Com)</f>
        <v>1.9319253112033197</v>
      </c>
      <c r="AH121" s="33">
        <f>MIN(maxEff,(1+effTrendG*trendGrowthBC_Com)*AG$121+effTrendL*trendGrowthBC_Com)</f>
        <v>1.9319253112033197</v>
      </c>
      <c r="AI121" s="33">
        <f>MIN(maxEff,(1+effTrendG*trendGrowthBC_Com)*AH$121+effTrendL*trendGrowthBC_Com)</f>
        <v>1.9319253112033197</v>
      </c>
      <c r="AJ121" s="33">
        <f>MIN(maxEff,(1+effTrendG*trendGrowthBC_Com)*AI$121+effTrendL*trendGrowthBC_Com)</f>
        <v>1.9319253112033197</v>
      </c>
      <c r="AK121" s="33">
        <f>MIN(maxEff,(1+effTrendG*trendGrowthBC_Com)*AJ$121+effTrendL*trendGrowthBC_Com)</f>
        <v>1.9319253112033197</v>
      </c>
      <c r="AL121" s="33">
        <f>MIN(maxEff,(1+effTrendG*trendGrowthBC_Com)*AK$121+effTrendL*trendGrowthBC_Com)</f>
        <v>1.9319253112033197</v>
      </c>
      <c r="AM121" s="33">
        <f>MIN(maxEff,(1+effTrendG*trendGrowthBC_Com)*AL$121+effTrendL*trendGrowthBC_Com)</f>
        <v>1.9319253112033197</v>
      </c>
      <c r="AN121" s="34">
        <f>MIN(maxEff,(1+effTrendG*trendGrowthBC_Com)*AM$121+effTrendL*trendGrowthBC_Com)</f>
        <v>1.9319253112033197</v>
      </c>
      <c r="AO121" s="8"/>
    </row>
    <row r="122" spans="2:41" x14ac:dyDescent="0.35">
      <c r="B122" s="8"/>
      <c r="C122" s="19" t="s">
        <v>95</v>
      </c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18"/>
      <c r="AO122" s="8"/>
    </row>
    <row r="123" spans="2:41" x14ac:dyDescent="0.35">
      <c r="B123" s="8"/>
      <c r="C123" s="14" t="s">
        <v>94</v>
      </c>
      <c r="D123" s="15" t="s">
        <v>74</v>
      </c>
      <c r="E123" s="21">
        <f ca="1">IF(E$118&lt;yearC,E$121,IF(E$118=yearC,SUMPRODUCT(doEff,INDEX(polEff_Com,,1)),MIN(maxEff,MAX(0,E$121))))</f>
        <v>1.9777880440211615</v>
      </c>
      <c r="F123" s="21">
        <f ca="1">IF(F$118&lt;yearC,F$121,IF(F$118=yearC,SUMPRODUCT(doEff,INDEX(polEff_Com,,2)),MIN(maxEff,MAX(INDEX(trendEffPol_Com,1),F$121))))</f>
        <v>1.9777880440211615</v>
      </c>
      <c r="G123" s="21">
        <f ca="1">IF(G$118&lt;yearC,G$121,IF(G$118=yearC,SUMPRODUCT(doEff,INDEX(polEff_Com,,3)),MIN(maxEff,MAX(INDEX(trendEffPol_Com,2),G$121))))</f>
        <v>1.9777880440211615</v>
      </c>
      <c r="H123" s="21">
        <f ca="1">IF(H$118&lt;yearC,H$121,IF(H$118=yearC,SUMPRODUCT(doEff,INDEX(polEff_Com,,4)),MIN(maxEff,MAX(INDEX(trendEffPol_Com,3),H$121))))</f>
        <v>1.9777880440211615</v>
      </c>
      <c r="I123" s="21">
        <f ca="1">IF(I$118&lt;yearC,I$121,IF(I$118=yearC,SUMPRODUCT(doEff,INDEX(polEff_Com,,5)),MIN(maxEff,MAX(INDEX(trendEffPol_Com,4),I$121))))</f>
        <v>1.9777880440211615</v>
      </c>
      <c r="J123" s="21">
        <f ca="1">IF(J$118&lt;yearC,J$121,IF(J$118=yearC,SUMPRODUCT(doEff,INDEX(polEff_Com,,6)),MIN(maxEff,MAX(INDEX(trendEffPol_Com,5),J$121))))</f>
        <v>1.9777880440211615</v>
      </c>
      <c r="K123" s="21">
        <f ca="1">IF(K$118&lt;yearC,K$121,IF(K$118=yearC,SUMPRODUCT(doEff,INDEX(polEff_Com,,7)),MIN(maxEff,MAX(INDEX(trendEffPol_Com,6),K$121))))</f>
        <v>1.9777880440211615</v>
      </c>
      <c r="L123" s="21">
        <f ca="1">MIN(maxEff,MAX(INDEX(trendEffPol_Com,7),L$121))</f>
        <v>1.9777880440211615</v>
      </c>
      <c r="M123" s="21">
        <f ca="1">MIN(maxEff,MAX(INDEX(trendEffPol_Com,7),M$121))</f>
        <v>1.9777880440211615</v>
      </c>
      <c r="N123" s="21">
        <f ca="1">MIN(maxEff,MAX(INDEX(trendEffPol_Com,7),N$121))</f>
        <v>1.9777880440211615</v>
      </c>
      <c r="O123" s="21">
        <f ca="1">MIN(maxEff,MAX(INDEX(trendEffPol_Com,7),O$121))</f>
        <v>1.9777880440211615</v>
      </c>
      <c r="P123" s="21">
        <f ca="1">MIN(maxEff,MAX(INDEX(trendEffPol_Com,7),P$121))</f>
        <v>1.9777880440211615</v>
      </c>
      <c r="Q123" s="21">
        <f ca="1">MIN(maxEff,MAX(INDEX(trendEffPol_Com,7),Q$121))</f>
        <v>1.9777880440211615</v>
      </c>
      <c r="R123" s="21">
        <f ca="1">MIN(maxEff,MAX(INDEX(trendEffPol_Com,7),R$121))</f>
        <v>1.9777880440211615</v>
      </c>
      <c r="S123" s="21">
        <f ca="1">MIN(maxEff,MAX(INDEX(trendEffPol_Com,7),S$121))</f>
        <v>1.9777880440211615</v>
      </c>
      <c r="T123" s="21">
        <f ca="1">MIN(maxEff,MAX(INDEX(trendEffPol_Com,7),T$121))</f>
        <v>1.9777880440211615</v>
      </c>
      <c r="U123" s="21">
        <f ca="1">MIN(maxEff,MAX(INDEX(trendEffPol_Com,7),U$121))</f>
        <v>1.9777880440211615</v>
      </c>
      <c r="V123" s="21">
        <f ca="1">MIN(maxEff,MAX(INDEX(trendEffPol_Com,7),V$121))</f>
        <v>1.9777880440211615</v>
      </c>
      <c r="W123" s="21">
        <f ca="1">MIN(maxEff,MAX(INDEX(trendEffPol_Com,7),W$121))</f>
        <v>1.9777880440211615</v>
      </c>
      <c r="X123" s="21">
        <f ca="1">MIN(maxEff,MAX(INDEX(trendEffPol_Com,7),X$121))</f>
        <v>1.9777880440211615</v>
      </c>
      <c r="Y123" s="21">
        <f ca="1">MIN(maxEff,MAX(INDEX(trendEffPol_Com,7),Y$121))</f>
        <v>1.9777880440211615</v>
      </c>
      <c r="Z123" s="21">
        <f ca="1">MIN(maxEff,MAX(INDEX(trendEffPol_Com,7),Z$121))</f>
        <v>1.9777880440211615</v>
      </c>
      <c r="AA123" s="21">
        <f ca="1">MIN(maxEff,MAX(INDEX(trendEffPol_Com,7),AA$121))</f>
        <v>1.9777880440211615</v>
      </c>
      <c r="AB123" s="21">
        <f ca="1">MIN(maxEff,MAX(INDEX(trendEffPol_Com,7),AB$121))</f>
        <v>1.9777880440211615</v>
      </c>
      <c r="AC123" s="21">
        <f ca="1">MIN(maxEff,MAX(INDEX(trendEffPol_Com,7),AC$121))</f>
        <v>1.9777880440211615</v>
      </c>
      <c r="AD123" s="21">
        <f ca="1">MIN(maxEff,MAX(INDEX(trendEffPol_Com,7),AD$121))</f>
        <v>1.9777880440211615</v>
      </c>
      <c r="AE123" s="21">
        <f ca="1">MIN(maxEff,MAX(INDEX(trendEffPol_Com,7),AE$121))</f>
        <v>1.9777880440211615</v>
      </c>
      <c r="AF123" s="21">
        <f ca="1">MIN(maxEff,MAX(INDEX(trendEffPol_Com,7),AF$121))</f>
        <v>1.9777880440211615</v>
      </c>
      <c r="AG123" s="21">
        <f ca="1">MIN(maxEff,MAX(INDEX(trendEffPol_Com,7),AG$121))</f>
        <v>1.9777880440211615</v>
      </c>
      <c r="AH123" s="21">
        <f ca="1">MIN(maxEff,MAX(INDEX(trendEffPol_Com,7),AH$121))</f>
        <v>1.9777880440211615</v>
      </c>
      <c r="AI123" s="21">
        <f ca="1">MIN(maxEff,MAX(INDEX(trendEffPol_Com,7),AI$121))</f>
        <v>1.9777880440211615</v>
      </c>
      <c r="AJ123" s="21">
        <f ca="1">MIN(maxEff,MAX(INDEX(trendEffPol_Com,7),AJ$121))</f>
        <v>1.9777880440211615</v>
      </c>
      <c r="AK123" s="21">
        <f ca="1">MIN(maxEff,MAX(INDEX(trendEffPol_Com,7),AK$121))</f>
        <v>1.9777880440211615</v>
      </c>
      <c r="AL123" s="21">
        <f ca="1">MIN(maxEff,MAX(INDEX(trendEffPol_Com,7),AL$121))</f>
        <v>1.9777880440211615</v>
      </c>
      <c r="AM123" s="21">
        <f ca="1">MIN(maxEff,MAX(INDEX(trendEffPol_Com,7),AM$121))</f>
        <v>1.9777880440211615</v>
      </c>
      <c r="AN123" s="22">
        <f ca="1">MIN(maxEff,MAX(INDEX(trendEffPol_Com,7),AN$121))</f>
        <v>1.9777880440211615</v>
      </c>
      <c r="AO123" s="8"/>
    </row>
    <row r="124" spans="2:4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</row>
    <row r="125" spans="2:41" hidden="1" x14ac:dyDescent="0.35">
      <c r="B125" s="8"/>
      <c r="C125" s="23" t="s">
        <v>91</v>
      </c>
      <c r="D125" s="24"/>
      <c r="E125" s="26">
        <f t="array" ref="E125:AN125">_yS</f>
        <v>2024</v>
      </c>
      <c r="F125" s="26">
        <v>2025</v>
      </c>
      <c r="G125" s="26">
        <v>2026</v>
      </c>
      <c r="H125" s="26">
        <v>2027</v>
      </c>
      <c r="I125" s="26">
        <v>2028</v>
      </c>
      <c r="J125" s="26">
        <v>2029</v>
      </c>
      <c r="K125" s="26">
        <v>2030</v>
      </c>
      <c r="L125" s="26">
        <v>2031</v>
      </c>
      <c r="M125" s="26">
        <v>2032</v>
      </c>
      <c r="N125" s="26">
        <v>2033</v>
      </c>
      <c r="O125" s="26">
        <v>2034</v>
      </c>
      <c r="P125" s="26">
        <v>2035</v>
      </c>
      <c r="Q125" s="26">
        <v>2036</v>
      </c>
      <c r="R125" s="26">
        <v>2037</v>
      </c>
      <c r="S125" s="26">
        <v>2038</v>
      </c>
      <c r="T125" s="26">
        <v>2039</v>
      </c>
      <c r="U125" s="26">
        <v>2040</v>
      </c>
      <c r="V125" s="26">
        <v>2041</v>
      </c>
      <c r="W125" s="26">
        <v>2042</v>
      </c>
      <c r="X125" s="26">
        <v>2043</v>
      </c>
      <c r="Y125" s="26">
        <v>2044</v>
      </c>
      <c r="Z125" s="26">
        <v>2045</v>
      </c>
      <c r="AA125" s="26">
        <v>2046</v>
      </c>
      <c r="AB125" s="26">
        <v>2047</v>
      </c>
      <c r="AC125" s="26">
        <v>2048</v>
      </c>
      <c r="AD125" s="26">
        <v>2049</v>
      </c>
      <c r="AE125" s="26">
        <v>2050</v>
      </c>
      <c r="AF125" s="26">
        <v>2051</v>
      </c>
      <c r="AG125" s="26">
        <v>2052</v>
      </c>
      <c r="AH125" s="26">
        <v>2053</v>
      </c>
      <c r="AI125" s="26">
        <v>2054</v>
      </c>
      <c r="AJ125" s="26">
        <v>2055</v>
      </c>
      <c r="AK125" s="26">
        <v>2056</v>
      </c>
      <c r="AL125" s="26">
        <v>2057</v>
      </c>
      <c r="AM125" s="26">
        <v>2058</v>
      </c>
      <c r="AN125" s="27">
        <v>2059</v>
      </c>
      <c r="AO125" s="8"/>
    </row>
    <row r="126" spans="2:41" hidden="1" x14ac:dyDescent="0.35">
      <c r="B126" s="8"/>
      <c r="C126" s="19" t="s">
        <v>89</v>
      </c>
      <c r="D126" s="11"/>
      <c r="E126" s="43">
        <f>0</f>
        <v>0</v>
      </c>
      <c r="F126" s="43">
        <f t="array" ref="F126:AN126">$E$126</f>
        <v>0</v>
      </c>
      <c r="G126" s="43">
        <v>0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0</v>
      </c>
      <c r="W126" s="43">
        <v>0</v>
      </c>
      <c r="X126" s="43">
        <v>0</v>
      </c>
      <c r="Y126" s="43">
        <v>0</v>
      </c>
      <c r="Z126" s="43">
        <v>0</v>
      </c>
      <c r="AA126" s="43">
        <v>0</v>
      </c>
      <c r="AB126" s="43">
        <v>0</v>
      </c>
      <c r="AC126" s="43">
        <v>0</v>
      </c>
      <c r="AD126" s="43">
        <v>0</v>
      </c>
      <c r="AE126" s="43">
        <v>0</v>
      </c>
      <c r="AF126" s="43">
        <v>0</v>
      </c>
      <c r="AG126" s="43">
        <v>0</v>
      </c>
      <c r="AH126" s="43">
        <v>0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4">
        <v>0</v>
      </c>
      <c r="AO126" s="8"/>
    </row>
    <row r="127" spans="2:41" hidden="1" x14ac:dyDescent="0.35">
      <c r="B127" s="8"/>
      <c r="C127" s="19" t="str">
        <f>"EL 0: " &amp; INDEX(_doName,1,1)</f>
        <v>EL 0: Baseline</v>
      </c>
      <c r="D127" s="11"/>
      <c r="E127" s="43"/>
      <c r="F127" s="43">
        <f ca="1">(INDEX(teffSumPol_Com,1,2)&lt;INDEX(effGoalPol_Com,2)) * MIN(INDEX(polEff_Com,1,1),(INDEX(effGoalPol_Com,2)-INDEX(teffSumPol_Com,1,2))/(INDEX(doEff,2)-INDEX(doEff,1)))</f>
        <v>0</v>
      </c>
      <c r="G127" s="43">
        <f ca="1">(INDEX(teffSumPol_Com,1,3)&lt;INDEX(effGoalPol_Com,3)) * MIN(INDEX(polEff_Com,1,2),(INDEX(effGoalPol_Com,3)-INDEX(teffSumPol_Com,1,3))/(INDEX(doEff,2)-INDEX(doEff,1)))</f>
        <v>0</v>
      </c>
      <c r="H127" s="43">
        <f ca="1">(INDEX(teffSumPol_Com,1,4)&lt;INDEX(effGoalPol_Com,4)) * MIN(INDEX(polEff_Com,1,3),(INDEX(effGoalPol_Com,4)-INDEX(teffSumPol_Com,1,4))/(INDEX(doEff,2)-INDEX(doEff,1)))</f>
        <v>0</v>
      </c>
      <c r="I127" s="43">
        <f ca="1">(INDEX(teffSumPol_Com,1,5)&lt;INDEX(effGoalPol_Com,5)) * MIN(INDEX(polEff_Com,1,4),(INDEX(effGoalPol_Com,5)-INDEX(teffSumPol_Com,1,5))/(INDEX(doEff,2)-INDEX(doEff,1)))</f>
        <v>0</v>
      </c>
      <c r="J127" s="43">
        <f ca="1">(INDEX(teffSumPol_Com,1,6)&lt;INDEX(effGoalPol_Com,6)) * MIN(INDEX(polEff_Com,1,5),(INDEX(effGoalPol_Com,6)-INDEX(teffSumPol_Com,1,6))/(INDEX(doEff,2)-INDEX(doEff,1)))</f>
        <v>0</v>
      </c>
      <c r="K127" s="43">
        <f ca="1">(INDEX(teffSumPol_Com,1,7)&lt;INDEX(effGoalPol_Com,7)) * MIN(INDEX(polEff_Com,1,6),(INDEX(effGoalPol_Com,7)-INDEX(teffSumPol_Com,1,7))/(INDEX(doEff,2)-INDEX(doEff,1)))</f>
        <v>0</v>
      </c>
      <c r="L127" s="43">
        <f ca="1">(INDEX(teffSumPol_Com,1,8)&lt;INDEX(effGoalPol_Com,8)) * MIN(INDEX(polEff_Com,1,7),(INDEX(effGoalPol_Com,8)-INDEX(teffSumPol_Com,1,8))/(INDEX(doEff,2)-INDEX(doEff,1)))</f>
        <v>0</v>
      </c>
      <c r="M127" s="43">
        <f ca="1">(INDEX(teffSumPol_Com,1,9)&lt;INDEX(effGoalPol_Com,9)) * MIN(INDEX(polEff_Com,1,8),(INDEX(effGoalPol_Com,9)-INDEX(teffSumPol_Com,1,9))/(INDEX(doEff,2)-INDEX(doEff,1)))</f>
        <v>0</v>
      </c>
      <c r="N127" s="43">
        <f ca="1">(INDEX(teffSumPol_Com,1,10)&lt;INDEX(effGoalPol_Com,10)) * MIN(INDEX(polEff_Com,1,9),(INDEX(effGoalPol_Com,10)-INDEX(teffSumPol_Com,1,10))/(INDEX(doEff,2)-INDEX(doEff,1)))</f>
        <v>0</v>
      </c>
      <c r="O127" s="43">
        <f ca="1">(INDEX(teffSumPol_Com,1,11)&lt;INDEX(effGoalPol_Com,11)) * MIN(INDEX(polEff_Com,1,10),(INDEX(effGoalPol_Com,11)-INDEX(teffSumPol_Com,1,11))/(INDEX(doEff,2)-INDEX(doEff,1)))</f>
        <v>0</v>
      </c>
      <c r="P127" s="43">
        <f ca="1">(INDEX(teffSumPol_Com,1,12)&lt;INDEX(effGoalPol_Com,12)) * MIN(INDEX(polEff_Com,1,11),(INDEX(effGoalPol_Com,12)-INDEX(teffSumPol_Com,1,12))/(INDEX(doEff,2)-INDEX(doEff,1)))</f>
        <v>0</v>
      </c>
      <c r="Q127" s="43">
        <f ca="1">(INDEX(teffSumPol_Com,1,13)&lt;INDEX(effGoalPol_Com,13)) * MIN(INDEX(polEff_Com,1,12),(INDEX(effGoalPol_Com,13)-INDEX(teffSumPol_Com,1,13))/(INDEX(doEff,2)-INDEX(doEff,1)))</f>
        <v>0</v>
      </c>
      <c r="R127" s="43">
        <f ca="1">(INDEX(teffSumPol_Com,1,14)&lt;INDEX(effGoalPol_Com,14)) * MIN(INDEX(polEff_Com,1,13),(INDEX(effGoalPol_Com,14)-INDEX(teffSumPol_Com,1,14))/(INDEX(doEff,2)-INDEX(doEff,1)))</f>
        <v>0</v>
      </c>
      <c r="S127" s="43">
        <f ca="1">(INDEX(teffSumPol_Com,1,15)&lt;INDEX(effGoalPol_Com,15)) * MIN(INDEX(polEff_Com,1,14),(INDEX(effGoalPol_Com,15)-INDEX(teffSumPol_Com,1,15))/(INDEX(doEff,2)-INDEX(doEff,1)))</f>
        <v>0</v>
      </c>
      <c r="T127" s="43">
        <f ca="1">(INDEX(teffSumPol_Com,1,16)&lt;INDEX(effGoalPol_Com,16)) * MIN(INDEX(polEff_Com,1,15),(INDEX(effGoalPol_Com,16)-INDEX(teffSumPol_Com,1,16))/(INDEX(doEff,2)-INDEX(doEff,1)))</f>
        <v>0</v>
      </c>
      <c r="U127" s="43">
        <f ca="1">(INDEX(teffSumPol_Com,1,17)&lt;INDEX(effGoalPol_Com,17)) * MIN(INDEX(polEff_Com,1,16),(INDEX(effGoalPol_Com,17)-INDEX(teffSumPol_Com,1,17))/(INDEX(doEff,2)-INDEX(doEff,1)))</f>
        <v>0</v>
      </c>
      <c r="V127" s="43">
        <f ca="1">(INDEX(teffSumPol_Com,1,18)&lt;INDEX(effGoalPol_Com,18)) * MIN(INDEX(polEff_Com,1,17),(INDEX(effGoalPol_Com,18)-INDEX(teffSumPol_Com,1,18))/(INDEX(doEff,2)-INDEX(doEff,1)))</f>
        <v>0</v>
      </c>
      <c r="W127" s="43">
        <f ca="1">(INDEX(teffSumPol_Com,1,19)&lt;INDEX(effGoalPol_Com,19)) * MIN(INDEX(polEff_Com,1,18),(INDEX(effGoalPol_Com,19)-INDEX(teffSumPol_Com,1,19))/(INDEX(doEff,2)-INDEX(doEff,1)))</f>
        <v>0</v>
      </c>
      <c r="X127" s="43">
        <f ca="1">(INDEX(teffSumPol_Com,1,20)&lt;INDEX(effGoalPol_Com,20)) * MIN(INDEX(polEff_Com,1,19),(INDEX(effGoalPol_Com,20)-INDEX(teffSumPol_Com,1,20))/(INDEX(doEff,2)-INDEX(doEff,1)))</f>
        <v>0</v>
      </c>
      <c r="Y127" s="43">
        <f ca="1">(INDEX(teffSumPol_Com,1,21)&lt;INDEX(effGoalPol_Com,21)) * MIN(INDEX(polEff_Com,1,20),(INDEX(effGoalPol_Com,21)-INDEX(teffSumPol_Com,1,21))/(INDEX(doEff,2)-INDEX(doEff,1)))</f>
        <v>0</v>
      </c>
      <c r="Z127" s="43">
        <f ca="1">(INDEX(teffSumPol_Com,1,22)&lt;INDEX(effGoalPol_Com,22)) * MIN(INDEX(polEff_Com,1,21),(INDEX(effGoalPol_Com,22)-INDEX(teffSumPol_Com,1,22))/(INDEX(doEff,2)-INDEX(doEff,1)))</f>
        <v>0</v>
      </c>
      <c r="AA127" s="43">
        <f ca="1">(INDEX(teffSumPol_Com,1,23)&lt;INDEX(effGoalPol_Com,23)) * MIN(INDEX(polEff_Com,1,22),(INDEX(effGoalPol_Com,23)-INDEX(teffSumPol_Com,1,23))/(INDEX(doEff,2)-INDEX(doEff,1)))</f>
        <v>0</v>
      </c>
      <c r="AB127" s="43">
        <f ca="1">(INDEX(teffSumPol_Com,1,24)&lt;INDEX(effGoalPol_Com,24)) * MIN(INDEX(polEff_Com,1,23),(INDEX(effGoalPol_Com,24)-INDEX(teffSumPol_Com,1,24))/(INDEX(doEff,2)-INDEX(doEff,1)))</f>
        <v>0</v>
      </c>
      <c r="AC127" s="43">
        <f ca="1">(INDEX(teffSumPol_Com,1,25)&lt;INDEX(effGoalPol_Com,25)) * MIN(INDEX(polEff_Com,1,24),(INDEX(effGoalPol_Com,25)-INDEX(teffSumPol_Com,1,25))/(INDEX(doEff,2)-INDEX(doEff,1)))</f>
        <v>0</v>
      </c>
      <c r="AD127" s="43">
        <f ca="1">(INDEX(teffSumPol_Com,1,26)&lt;INDEX(effGoalPol_Com,26)) * MIN(INDEX(polEff_Com,1,25),(INDEX(effGoalPol_Com,26)-INDEX(teffSumPol_Com,1,26))/(INDEX(doEff,2)-INDEX(doEff,1)))</f>
        <v>0</v>
      </c>
      <c r="AE127" s="43">
        <f ca="1">(INDEX(teffSumPol_Com,1,27)&lt;INDEX(effGoalPol_Com,27)) * MIN(INDEX(polEff_Com,1,26),(INDEX(effGoalPol_Com,27)-INDEX(teffSumPol_Com,1,27))/(INDEX(doEff,2)-INDEX(doEff,1)))</f>
        <v>0</v>
      </c>
      <c r="AF127" s="43">
        <f ca="1">(INDEX(teffSumPol_Com,1,28)&lt;INDEX(effGoalPol_Com,28)) * MIN(INDEX(polEff_Com,1,27),(INDEX(effGoalPol_Com,28)-INDEX(teffSumPol_Com,1,28))/(INDEX(doEff,2)-INDEX(doEff,1)))</f>
        <v>0</v>
      </c>
      <c r="AG127" s="43">
        <f ca="1">(INDEX(teffSumPol_Com,1,29)&lt;INDEX(effGoalPol_Com,29)) * MIN(INDEX(polEff_Com,1,28),(INDEX(effGoalPol_Com,29)-INDEX(teffSumPol_Com,1,29))/(INDEX(doEff,2)-INDEX(doEff,1)))</f>
        <v>0</v>
      </c>
      <c r="AH127" s="43">
        <f ca="1">(INDEX(teffSumPol_Com,1,30)&lt;INDEX(effGoalPol_Com,30)) * MIN(INDEX(polEff_Com,1,29),(INDEX(effGoalPol_Com,30)-INDEX(teffSumPol_Com,1,30))/(INDEX(doEff,2)-INDEX(doEff,1)))</f>
        <v>0</v>
      </c>
      <c r="AI127" s="43">
        <f ca="1">(INDEX(teffSumPol_Com,1,31)&lt;INDEX(effGoalPol_Com,31)) * MIN(INDEX(polEff_Com,1,30),(INDEX(effGoalPol_Com,31)-INDEX(teffSumPol_Com,1,31))/(INDEX(doEff,2)-INDEX(doEff,1)))</f>
        <v>0</v>
      </c>
      <c r="AJ127" s="43">
        <f ca="1">(INDEX(teffSumPol_Com,1,32)&lt;INDEX(effGoalPol_Com,32)) * MIN(INDEX(polEff_Com,1,31),(INDEX(effGoalPol_Com,32)-INDEX(teffSumPol_Com,1,32))/(INDEX(doEff,2)-INDEX(doEff,1)))</f>
        <v>0</v>
      </c>
      <c r="AK127" s="43">
        <f ca="1">(INDEX(teffSumPol_Com,1,33)&lt;INDEX(effGoalPol_Com,33)) * MIN(INDEX(polEff_Com,1,32),(INDEX(effGoalPol_Com,33)-INDEX(teffSumPol_Com,1,33))/(INDEX(doEff,2)-INDEX(doEff,1)))</f>
        <v>0</v>
      </c>
      <c r="AL127" s="43">
        <f ca="1">(INDEX(teffSumPol_Com,1,34)&lt;INDEX(effGoalPol_Com,34)) * MIN(INDEX(polEff_Com,1,33),(INDEX(effGoalPol_Com,34)-INDEX(teffSumPol_Com,1,34))/(INDEX(doEff,2)-INDEX(doEff,1)))</f>
        <v>0</v>
      </c>
      <c r="AM127" s="43">
        <f ca="1">(INDEX(teffSumPol_Com,1,35)&lt;INDEX(effGoalPol_Com,35)) * MIN(INDEX(polEff_Com,1,34),(INDEX(effGoalPol_Com,35)-INDEX(teffSumPol_Com,1,35))/(INDEX(doEff,2)-INDEX(doEff,1)))</f>
        <v>0</v>
      </c>
      <c r="AN127" s="44">
        <f ca="1">(INDEX(teffSumPol_Com,1,36)&lt;INDEX(effGoalPol_Com,36)) * MIN(INDEX(polEff_Com,1,35),(INDEX(effGoalPol_Com,36)-INDEX(teffSumPol_Com,1,36))/(INDEX(doEff,2)-INDEX(doEff,1)))</f>
        <v>0</v>
      </c>
      <c r="AO127" s="8"/>
    </row>
    <row r="128" spans="2:41" hidden="1" x14ac:dyDescent="0.35">
      <c r="B128" s="8"/>
      <c r="C128" s="19" t="str">
        <f>"EL 1: " &amp; INDEX(_doName,1,2)</f>
        <v>EL 1: Tier 1</v>
      </c>
      <c r="D128" s="11"/>
      <c r="E128" s="43"/>
      <c r="F128" s="43">
        <f ca="1">(INDEX(teffSumPol_Com,2,2)&lt;INDEX(effGoalPol_Com,2)) * MIN(INDEX(polEff_Com,2,1)+INDEX(pushPol_Com,1),(INDEX(effGoalPol_Com,2)-INDEX(teffSumPol_Com,2,2))/(INDEX(doEff,3)-INDEX(doEff,2)))</f>
        <v>0</v>
      </c>
      <c r="G128" s="43">
        <f ca="1">(INDEX(teffSumPol_Com,2,3)&lt;INDEX(effGoalPol_Com,3)) * MIN(INDEX(polEff_Com,2,2)+INDEX(pushPol_Com,1),(INDEX(effGoalPol_Com,3)-INDEX(teffSumPol_Com,2,3))/(INDEX(doEff,3)-INDEX(doEff,2)))</f>
        <v>1.1318930712811428E-3</v>
      </c>
      <c r="H128" s="43">
        <f ca="1">(INDEX(teffSumPol_Com,2,4)&lt;INDEX(effGoalPol_Com,4)) * MIN(INDEX(polEff_Com,2,3)+INDEX(pushPol_Com,1),(INDEX(effGoalPol_Com,4)-INDEX(teffSumPol_Com,2,4))/(INDEX(doEff,3)-INDEX(doEff,2)))</f>
        <v>0</v>
      </c>
      <c r="I128" s="43">
        <f ca="1">(INDEX(teffSumPol_Com,2,5)&lt;INDEX(effGoalPol_Com,5)) * MIN(INDEX(polEff_Com,2,4)+INDEX(pushPol_Com,1),(INDEX(effGoalPol_Com,5)-INDEX(teffSumPol_Com,2,5))/(INDEX(doEff,3)-INDEX(doEff,2)))</f>
        <v>0</v>
      </c>
      <c r="J128" s="43">
        <f ca="1">(INDEX(teffSumPol_Com,2,6)&lt;INDEX(effGoalPol_Com,6)) * MIN(INDEX(polEff_Com,2,5)+INDEX(pushPol_Com,1),(INDEX(effGoalPol_Com,6)-INDEX(teffSumPol_Com,2,6))/(INDEX(doEff,3)-INDEX(doEff,2)))</f>
        <v>0</v>
      </c>
      <c r="K128" s="43">
        <f ca="1">(INDEX(teffSumPol_Com,2,7)&lt;INDEX(effGoalPol_Com,7)) * MIN(INDEX(polEff_Com,2,6)+INDEX(pushPol_Com,1),(INDEX(effGoalPol_Com,7)-INDEX(teffSumPol_Com,2,7))/(INDEX(doEff,3)-INDEX(doEff,2)))</f>
        <v>0</v>
      </c>
      <c r="L128" s="43">
        <f ca="1">(INDEX(teffSumPol_Com,2,8)&lt;INDEX(effGoalPol_Com,8)) * MIN(INDEX(polEff_Com,2,7)+INDEX(pushPol_Com,1),(INDEX(effGoalPol_Com,8)-INDEX(teffSumPol_Com,2,8))/(INDEX(doEff,3)-INDEX(doEff,2)))</f>
        <v>0</v>
      </c>
      <c r="M128" s="43">
        <f ca="1">(INDEX(teffSumPol_Com,2,9)&lt;INDEX(effGoalPol_Com,9)) * MIN(INDEX(polEff_Com,2,8)+INDEX(pushPol_Com,1),(INDEX(effGoalPol_Com,9)-INDEX(teffSumPol_Com,2,9))/(INDEX(doEff,3)-INDEX(doEff,2)))</f>
        <v>0</v>
      </c>
      <c r="N128" s="43">
        <f ca="1">(INDEX(teffSumPol_Com,2,10)&lt;INDEX(effGoalPol_Com,10)) * MIN(INDEX(polEff_Com,2,9)+INDEX(pushPol_Com,1),(INDEX(effGoalPol_Com,10)-INDEX(teffSumPol_Com,2,10))/(INDEX(doEff,3)-INDEX(doEff,2)))</f>
        <v>0</v>
      </c>
      <c r="O128" s="43">
        <f ca="1">(INDEX(teffSumPol_Com,2,11)&lt;INDEX(effGoalPol_Com,11)) * MIN(INDEX(polEff_Com,2,10)+INDEX(pushPol_Com,1),(INDEX(effGoalPol_Com,11)-INDEX(teffSumPol_Com,2,11))/(INDEX(doEff,3)-INDEX(doEff,2)))</f>
        <v>0</v>
      </c>
      <c r="P128" s="43">
        <f ca="1">(INDEX(teffSumPol_Com,2,12)&lt;INDEX(effGoalPol_Com,12)) * MIN(INDEX(polEff_Com,2,11)+INDEX(pushPol_Com,1),(INDEX(effGoalPol_Com,12)-INDEX(teffSumPol_Com,2,12))/(INDEX(doEff,3)-INDEX(doEff,2)))</f>
        <v>0</v>
      </c>
      <c r="Q128" s="43">
        <f ca="1">(INDEX(teffSumPol_Com,2,13)&lt;INDEX(effGoalPol_Com,13)) * MIN(INDEX(polEff_Com,2,12)+INDEX(pushPol_Com,1),(INDEX(effGoalPol_Com,13)-INDEX(teffSumPol_Com,2,13))/(INDEX(doEff,3)-INDEX(doEff,2)))</f>
        <v>0</v>
      </c>
      <c r="R128" s="43">
        <f ca="1">(INDEX(teffSumPol_Com,2,14)&lt;INDEX(effGoalPol_Com,14)) * MIN(INDEX(polEff_Com,2,13)+INDEX(pushPol_Com,1),(INDEX(effGoalPol_Com,14)-INDEX(teffSumPol_Com,2,14))/(INDEX(doEff,3)-INDEX(doEff,2)))</f>
        <v>0</v>
      </c>
      <c r="S128" s="43">
        <f ca="1">(INDEX(teffSumPol_Com,2,15)&lt;INDEX(effGoalPol_Com,15)) * MIN(INDEX(polEff_Com,2,14)+INDEX(pushPol_Com,1),(INDEX(effGoalPol_Com,15)-INDEX(teffSumPol_Com,2,15))/(INDEX(doEff,3)-INDEX(doEff,2)))</f>
        <v>0</v>
      </c>
      <c r="T128" s="43">
        <f ca="1">(INDEX(teffSumPol_Com,2,16)&lt;INDEX(effGoalPol_Com,16)) * MIN(INDEX(polEff_Com,2,15)+INDEX(pushPol_Com,1),(INDEX(effGoalPol_Com,16)-INDEX(teffSumPol_Com,2,16))/(INDEX(doEff,3)-INDEX(doEff,2)))</f>
        <v>0</v>
      </c>
      <c r="U128" s="43">
        <f ca="1">(INDEX(teffSumPol_Com,2,17)&lt;INDEX(effGoalPol_Com,17)) * MIN(INDEX(polEff_Com,2,16)+INDEX(pushPol_Com,1),(INDEX(effGoalPol_Com,17)-INDEX(teffSumPol_Com,2,17))/(INDEX(doEff,3)-INDEX(doEff,2)))</f>
        <v>0</v>
      </c>
      <c r="V128" s="43">
        <f ca="1">(INDEX(teffSumPol_Com,2,18)&lt;INDEX(effGoalPol_Com,18)) * MIN(INDEX(polEff_Com,2,17)+INDEX(pushPol_Com,1),(INDEX(effGoalPol_Com,18)-INDEX(teffSumPol_Com,2,18))/(INDEX(doEff,3)-INDEX(doEff,2)))</f>
        <v>0</v>
      </c>
      <c r="W128" s="43">
        <f ca="1">(INDEX(teffSumPol_Com,2,19)&lt;INDEX(effGoalPol_Com,19)) * MIN(INDEX(polEff_Com,2,18)+INDEX(pushPol_Com,1),(INDEX(effGoalPol_Com,19)-INDEX(teffSumPol_Com,2,19))/(INDEX(doEff,3)-INDEX(doEff,2)))</f>
        <v>0</v>
      </c>
      <c r="X128" s="43">
        <f ca="1">(INDEX(teffSumPol_Com,2,20)&lt;INDEX(effGoalPol_Com,20)) * MIN(INDEX(polEff_Com,2,19)+INDEX(pushPol_Com,1),(INDEX(effGoalPol_Com,20)-INDEX(teffSumPol_Com,2,20))/(INDEX(doEff,3)-INDEX(doEff,2)))</f>
        <v>0</v>
      </c>
      <c r="Y128" s="43">
        <f ca="1">(INDEX(teffSumPol_Com,2,21)&lt;INDEX(effGoalPol_Com,21)) * MIN(INDEX(polEff_Com,2,20)+INDEX(pushPol_Com,1),(INDEX(effGoalPol_Com,21)-INDEX(teffSumPol_Com,2,21))/(INDEX(doEff,3)-INDEX(doEff,2)))</f>
        <v>0</v>
      </c>
      <c r="Z128" s="43">
        <f ca="1">(INDEX(teffSumPol_Com,2,22)&lt;INDEX(effGoalPol_Com,22)) * MIN(INDEX(polEff_Com,2,21)+INDEX(pushPol_Com,1),(INDEX(effGoalPol_Com,22)-INDEX(teffSumPol_Com,2,22))/(INDEX(doEff,3)-INDEX(doEff,2)))</f>
        <v>0</v>
      </c>
      <c r="AA128" s="43">
        <f ca="1">(INDEX(teffSumPol_Com,2,23)&lt;INDEX(effGoalPol_Com,23)) * MIN(INDEX(polEff_Com,2,22)+INDEX(pushPol_Com,1),(INDEX(effGoalPol_Com,23)-INDEX(teffSumPol_Com,2,23))/(INDEX(doEff,3)-INDEX(doEff,2)))</f>
        <v>0</v>
      </c>
      <c r="AB128" s="43">
        <f ca="1">(INDEX(teffSumPol_Com,2,24)&lt;INDEX(effGoalPol_Com,24)) * MIN(INDEX(polEff_Com,2,23)+INDEX(pushPol_Com,1),(INDEX(effGoalPol_Com,24)-INDEX(teffSumPol_Com,2,24))/(INDEX(doEff,3)-INDEX(doEff,2)))</f>
        <v>0</v>
      </c>
      <c r="AC128" s="43">
        <f ca="1">(INDEX(teffSumPol_Com,2,25)&lt;INDEX(effGoalPol_Com,25)) * MIN(INDEX(polEff_Com,2,24)+INDEX(pushPol_Com,1),(INDEX(effGoalPol_Com,25)-INDEX(teffSumPol_Com,2,25))/(INDEX(doEff,3)-INDEX(doEff,2)))</f>
        <v>0</v>
      </c>
      <c r="AD128" s="43">
        <f ca="1">(INDEX(teffSumPol_Com,2,26)&lt;INDEX(effGoalPol_Com,26)) * MIN(INDEX(polEff_Com,2,25)+INDEX(pushPol_Com,1),(INDEX(effGoalPol_Com,26)-INDEX(teffSumPol_Com,2,26))/(INDEX(doEff,3)-INDEX(doEff,2)))</f>
        <v>0</v>
      </c>
      <c r="AE128" s="43">
        <f ca="1">(INDEX(teffSumPol_Com,2,27)&lt;INDEX(effGoalPol_Com,27)) * MIN(INDEX(polEff_Com,2,26)+INDEX(pushPol_Com,1),(INDEX(effGoalPol_Com,27)-INDEX(teffSumPol_Com,2,27))/(INDEX(doEff,3)-INDEX(doEff,2)))</f>
        <v>0</v>
      </c>
      <c r="AF128" s="43">
        <f ca="1">(INDEX(teffSumPol_Com,2,28)&lt;INDEX(effGoalPol_Com,28)) * MIN(INDEX(polEff_Com,2,27)+INDEX(pushPol_Com,1),(INDEX(effGoalPol_Com,28)-INDEX(teffSumPol_Com,2,28))/(INDEX(doEff,3)-INDEX(doEff,2)))</f>
        <v>0</v>
      </c>
      <c r="AG128" s="43">
        <f ca="1">(INDEX(teffSumPol_Com,2,29)&lt;INDEX(effGoalPol_Com,29)) * MIN(INDEX(polEff_Com,2,28)+INDEX(pushPol_Com,1),(INDEX(effGoalPol_Com,29)-INDEX(teffSumPol_Com,2,29))/(INDEX(doEff,3)-INDEX(doEff,2)))</f>
        <v>0</v>
      </c>
      <c r="AH128" s="43">
        <f ca="1">(INDEX(teffSumPol_Com,2,30)&lt;INDEX(effGoalPol_Com,30)) * MIN(INDEX(polEff_Com,2,29)+INDEX(pushPol_Com,1),(INDEX(effGoalPol_Com,30)-INDEX(teffSumPol_Com,2,30))/(INDEX(doEff,3)-INDEX(doEff,2)))</f>
        <v>0</v>
      </c>
      <c r="AI128" s="43">
        <f ca="1">(INDEX(teffSumPol_Com,2,31)&lt;INDEX(effGoalPol_Com,31)) * MIN(INDEX(polEff_Com,2,30)+INDEX(pushPol_Com,1),(INDEX(effGoalPol_Com,31)-INDEX(teffSumPol_Com,2,31))/(INDEX(doEff,3)-INDEX(doEff,2)))</f>
        <v>0</v>
      </c>
      <c r="AJ128" s="43">
        <f ca="1">(INDEX(teffSumPol_Com,2,32)&lt;INDEX(effGoalPol_Com,32)) * MIN(INDEX(polEff_Com,2,31)+INDEX(pushPol_Com,1),(INDEX(effGoalPol_Com,32)-INDEX(teffSumPol_Com,2,32))/(INDEX(doEff,3)-INDEX(doEff,2)))</f>
        <v>0</v>
      </c>
      <c r="AK128" s="43">
        <f ca="1">(INDEX(teffSumPol_Com,2,33)&lt;INDEX(effGoalPol_Com,33)) * MIN(INDEX(polEff_Com,2,32)+INDEX(pushPol_Com,1),(INDEX(effGoalPol_Com,33)-INDEX(teffSumPol_Com,2,33))/(INDEX(doEff,3)-INDEX(doEff,2)))</f>
        <v>0</v>
      </c>
      <c r="AL128" s="43">
        <f ca="1">(INDEX(teffSumPol_Com,2,34)&lt;INDEX(effGoalPol_Com,34)) * MIN(INDEX(polEff_Com,2,33)+INDEX(pushPol_Com,1),(INDEX(effGoalPol_Com,34)-INDEX(teffSumPol_Com,2,34))/(INDEX(doEff,3)-INDEX(doEff,2)))</f>
        <v>0</v>
      </c>
      <c r="AM128" s="43">
        <f ca="1">(INDEX(teffSumPol_Com,2,35)&lt;INDEX(effGoalPol_Com,35)) * MIN(INDEX(polEff_Com,2,34)+INDEX(pushPol_Com,1),(INDEX(effGoalPol_Com,35)-INDEX(teffSumPol_Com,2,35))/(INDEX(doEff,3)-INDEX(doEff,2)))</f>
        <v>0</v>
      </c>
      <c r="AN128" s="44">
        <f ca="1">(INDEX(teffSumPol_Com,2,36)&lt;INDEX(effGoalPol_Com,36)) * MIN(INDEX(polEff_Com,2,35)+INDEX(pushPol_Com,1),(INDEX(effGoalPol_Com,36)-INDEX(teffSumPol_Com,2,36))/(INDEX(doEff,3)-INDEX(doEff,2)))</f>
        <v>0</v>
      </c>
      <c r="AO128" s="8"/>
    </row>
    <row r="129" spans="2:41" hidden="1" x14ac:dyDescent="0.35">
      <c r="B129" s="8"/>
      <c r="C129" s="19" t="str">
        <f>"EL 2: " &amp; INDEX(_doName,1,3)</f>
        <v>EL 2: Tier 2</v>
      </c>
      <c r="D129" s="11"/>
      <c r="E129" s="43"/>
      <c r="F129" s="43">
        <f ca="1">(INDEX(teffSumPol_Com,3,2)&lt;INDEX(effGoalPol_Com,2)) * MIN(INDEX(polEff_Com,3,1)+INDEX(pushPol_Com,2),(INDEX(effGoalPol_Com,2)-INDEX(teffSumPol_Com,3,2))/(INDEX(doEff,4)-INDEX(doEff,3)))</f>
        <v>0</v>
      </c>
      <c r="G129" s="43">
        <f ca="1">(INDEX(teffSumPol_Com,3,3)&lt;INDEX(effGoalPol_Com,3)) * MIN(INDEX(polEff_Com,3,2)+INDEX(pushPol_Com,2),(INDEX(effGoalPol_Com,3)-INDEX(teffSumPol_Com,3,3))/(INDEX(doEff,4)-INDEX(doEff,3)))</f>
        <v>0.19250684400758958</v>
      </c>
      <c r="H129" s="43">
        <f ca="1">(INDEX(teffSumPol_Com,3,4)&lt;INDEX(effGoalPol_Com,4)) * MIN(INDEX(polEff_Com,3,3)+INDEX(pushPol_Com,2),(INDEX(effGoalPol_Com,4)-INDEX(teffSumPol_Com,3,4))/(INDEX(doEff,4)-INDEX(doEff,3)))</f>
        <v>0</v>
      </c>
      <c r="I129" s="43">
        <f ca="1">(INDEX(teffSumPol_Com,3,5)&lt;INDEX(effGoalPol_Com,5)) * MIN(INDEX(polEff_Com,3,4)+INDEX(pushPol_Com,2),(INDEX(effGoalPol_Com,5)-INDEX(teffSumPol_Com,3,5))/(INDEX(doEff,4)-INDEX(doEff,3)))</f>
        <v>0</v>
      </c>
      <c r="J129" s="43">
        <f ca="1">(INDEX(teffSumPol_Com,3,6)&lt;INDEX(effGoalPol_Com,6)) * MIN(INDEX(polEff_Com,3,5)+INDEX(pushPol_Com,2),(INDEX(effGoalPol_Com,6)-INDEX(teffSumPol_Com,3,6))/(INDEX(doEff,4)-INDEX(doEff,3)))</f>
        <v>0</v>
      </c>
      <c r="K129" s="43">
        <f ca="1">(INDEX(teffSumPol_Com,3,7)&lt;INDEX(effGoalPol_Com,7)) * MIN(INDEX(polEff_Com,3,6)+INDEX(pushPol_Com,2),(INDEX(effGoalPol_Com,7)-INDEX(teffSumPol_Com,3,7))/(INDEX(doEff,4)-INDEX(doEff,3)))</f>
        <v>0</v>
      </c>
      <c r="L129" s="43">
        <f ca="1">(INDEX(teffSumPol_Com,3,8)&lt;INDEX(effGoalPol_Com,8)) * MIN(INDEX(polEff_Com,3,7)+INDEX(pushPol_Com,2),(INDEX(effGoalPol_Com,8)-INDEX(teffSumPol_Com,3,8))/(INDEX(doEff,4)-INDEX(doEff,3)))</f>
        <v>0</v>
      </c>
      <c r="M129" s="43">
        <f ca="1">(INDEX(teffSumPol_Com,3,9)&lt;INDEX(effGoalPol_Com,9)) * MIN(INDEX(polEff_Com,3,8)+INDEX(pushPol_Com,2),(INDEX(effGoalPol_Com,9)-INDEX(teffSumPol_Com,3,9))/(INDEX(doEff,4)-INDEX(doEff,3)))</f>
        <v>0</v>
      </c>
      <c r="N129" s="43">
        <f ca="1">(INDEX(teffSumPol_Com,3,10)&lt;INDEX(effGoalPol_Com,10)) * MIN(INDEX(polEff_Com,3,9)+INDEX(pushPol_Com,2),(INDEX(effGoalPol_Com,10)-INDEX(teffSumPol_Com,3,10))/(INDEX(doEff,4)-INDEX(doEff,3)))</f>
        <v>0</v>
      </c>
      <c r="O129" s="43">
        <f ca="1">(INDEX(teffSumPol_Com,3,11)&lt;INDEX(effGoalPol_Com,11)) * MIN(INDEX(polEff_Com,3,10)+INDEX(pushPol_Com,2),(INDEX(effGoalPol_Com,11)-INDEX(teffSumPol_Com,3,11))/(INDEX(doEff,4)-INDEX(doEff,3)))</f>
        <v>0</v>
      </c>
      <c r="P129" s="43">
        <f ca="1">(INDEX(teffSumPol_Com,3,12)&lt;INDEX(effGoalPol_Com,12)) * MIN(INDEX(polEff_Com,3,11)+INDEX(pushPol_Com,2),(INDEX(effGoalPol_Com,12)-INDEX(teffSumPol_Com,3,12))/(INDEX(doEff,4)-INDEX(doEff,3)))</f>
        <v>0</v>
      </c>
      <c r="Q129" s="43">
        <f ca="1">(INDEX(teffSumPol_Com,3,13)&lt;INDEX(effGoalPol_Com,13)) * MIN(INDEX(polEff_Com,3,12)+INDEX(pushPol_Com,2),(INDEX(effGoalPol_Com,13)-INDEX(teffSumPol_Com,3,13))/(INDEX(doEff,4)-INDEX(doEff,3)))</f>
        <v>0</v>
      </c>
      <c r="R129" s="43">
        <f ca="1">(INDEX(teffSumPol_Com,3,14)&lt;INDEX(effGoalPol_Com,14)) * MIN(INDEX(polEff_Com,3,13)+INDEX(pushPol_Com,2),(INDEX(effGoalPol_Com,14)-INDEX(teffSumPol_Com,3,14))/(INDEX(doEff,4)-INDEX(doEff,3)))</f>
        <v>0</v>
      </c>
      <c r="S129" s="43">
        <f ca="1">(INDEX(teffSumPol_Com,3,15)&lt;INDEX(effGoalPol_Com,15)) * MIN(INDEX(polEff_Com,3,14)+INDEX(pushPol_Com,2),(INDEX(effGoalPol_Com,15)-INDEX(teffSumPol_Com,3,15))/(INDEX(doEff,4)-INDEX(doEff,3)))</f>
        <v>0</v>
      </c>
      <c r="T129" s="43">
        <f ca="1">(INDEX(teffSumPol_Com,3,16)&lt;INDEX(effGoalPol_Com,16)) * MIN(INDEX(polEff_Com,3,15)+INDEX(pushPol_Com,2),(INDEX(effGoalPol_Com,16)-INDEX(teffSumPol_Com,3,16))/(INDEX(doEff,4)-INDEX(doEff,3)))</f>
        <v>0</v>
      </c>
      <c r="U129" s="43">
        <f ca="1">(INDEX(teffSumPol_Com,3,17)&lt;INDEX(effGoalPol_Com,17)) * MIN(INDEX(polEff_Com,3,16)+INDEX(pushPol_Com,2),(INDEX(effGoalPol_Com,17)-INDEX(teffSumPol_Com,3,17))/(INDEX(doEff,4)-INDEX(doEff,3)))</f>
        <v>0</v>
      </c>
      <c r="V129" s="43">
        <f ca="1">(INDEX(teffSumPol_Com,3,18)&lt;INDEX(effGoalPol_Com,18)) * MIN(INDEX(polEff_Com,3,17)+INDEX(pushPol_Com,2),(INDEX(effGoalPol_Com,18)-INDEX(teffSumPol_Com,3,18))/(INDEX(doEff,4)-INDEX(doEff,3)))</f>
        <v>0</v>
      </c>
      <c r="W129" s="43">
        <f ca="1">(INDEX(teffSumPol_Com,3,19)&lt;INDEX(effGoalPol_Com,19)) * MIN(INDEX(polEff_Com,3,18)+INDEX(pushPol_Com,2),(INDEX(effGoalPol_Com,19)-INDEX(teffSumPol_Com,3,19))/(INDEX(doEff,4)-INDEX(doEff,3)))</f>
        <v>0</v>
      </c>
      <c r="X129" s="43">
        <f ca="1">(INDEX(teffSumPol_Com,3,20)&lt;INDEX(effGoalPol_Com,20)) * MIN(INDEX(polEff_Com,3,19)+INDEX(pushPol_Com,2),(INDEX(effGoalPol_Com,20)-INDEX(teffSumPol_Com,3,20))/(INDEX(doEff,4)-INDEX(doEff,3)))</f>
        <v>0</v>
      </c>
      <c r="Y129" s="43">
        <f ca="1">(INDEX(teffSumPol_Com,3,21)&lt;INDEX(effGoalPol_Com,21)) * MIN(INDEX(polEff_Com,3,20)+INDEX(pushPol_Com,2),(INDEX(effGoalPol_Com,21)-INDEX(teffSumPol_Com,3,21))/(INDEX(doEff,4)-INDEX(doEff,3)))</f>
        <v>0</v>
      </c>
      <c r="Z129" s="43">
        <f ca="1">(INDEX(teffSumPol_Com,3,22)&lt;INDEX(effGoalPol_Com,22)) * MIN(INDEX(polEff_Com,3,21)+INDEX(pushPol_Com,2),(INDEX(effGoalPol_Com,22)-INDEX(teffSumPol_Com,3,22))/(INDEX(doEff,4)-INDEX(doEff,3)))</f>
        <v>0</v>
      </c>
      <c r="AA129" s="43">
        <f ca="1">(INDEX(teffSumPol_Com,3,23)&lt;INDEX(effGoalPol_Com,23)) * MIN(INDEX(polEff_Com,3,22)+INDEX(pushPol_Com,2),(INDEX(effGoalPol_Com,23)-INDEX(teffSumPol_Com,3,23))/(INDEX(doEff,4)-INDEX(doEff,3)))</f>
        <v>0</v>
      </c>
      <c r="AB129" s="43">
        <f ca="1">(INDEX(teffSumPol_Com,3,24)&lt;INDEX(effGoalPol_Com,24)) * MIN(INDEX(polEff_Com,3,23)+INDEX(pushPol_Com,2),(INDEX(effGoalPol_Com,24)-INDEX(teffSumPol_Com,3,24))/(INDEX(doEff,4)-INDEX(doEff,3)))</f>
        <v>0</v>
      </c>
      <c r="AC129" s="43">
        <f ca="1">(INDEX(teffSumPol_Com,3,25)&lt;INDEX(effGoalPol_Com,25)) * MIN(INDEX(polEff_Com,3,24)+INDEX(pushPol_Com,2),(INDEX(effGoalPol_Com,25)-INDEX(teffSumPol_Com,3,25))/(INDEX(doEff,4)-INDEX(doEff,3)))</f>
        <v>0</v>
      </c>
      <c r="AD129" s="43">
        <f ca="1">(INDEX(teffSumPol_Com,3,26)&lt;INDEX(effGoalPol_Com,26)) * MIN(INDEX(polEff_Com,3,25)+INDEX(pushPol_Com,2),(INDEX(effGoalPol_Com,26)-INDEX(teffSumPol_Com,3,26))/(INDEX(doEff,4)-INDEX(doEff,3)))</f>
        <v>0</v>
      </c>
      <c r="AE129" s="43">
        <f ca="1">(INDEX(teffSumPol_Com,3,27)&lt;INDEX(effGoalPol_Com,27)) * MIN(INDEX(polEff_Com,3,26)+INDEX(pushPol_Com,2),(INDEX(effGoalPol_Com,27)-INDEX(teffSumPol_Com,3,27))/(INDEX(doEff,4)-INDEX(doEff,3)))</f>
        <v>0</v>
      </c>
      <c r="AF129" s="43">
        <f ca="1">(INDEX(teffSumPol_Com,3,28)&lt;INDEX(effGoalPol_Com,28)) * MIN(INDEX(polEff_Com,3,27)+INDEX(pushPol_Com,2),(INDEX(effGoalPol_Com,28)-INDEX(teffSumPol_Com,3,28))/(INDEX(doEff,4)-INDEX(doEff,3)))</f>
        <v>0</v>
      </c>
      <c r="AG129" s="43">
        <f ca="1">(INDEX(teffSumPol_Com,3,29)&lt;INDEX(effGoalPol_Com,29)) * MIN(INDEX(polEff_Com,3,28)+INDEX(pushPol_Com,2),(INDEX(effGoalPol_Com,29)-INDEX(teffSumPol_Com,3,29))/(INDEX(doEff,4)-INDEX(doEff,3)))</f>
        <v>0</v>
      </c>
      <c r="AH129" s="43">
        <f ca="1">(INDEX(teffSumPol_Com,3,30)&lt;INDEX(effGoalPol_Com,30)) * MIN(INDEX(polEff_Com,3,29)+INDEX(pushPol_Com,2),(INDEX(effGoalPol_Com,30)-INDEX(teffSumPol_Com,3,30))/(INDEX(doEff,4)-INDEX(doEff,3)))</f>
        <v>0</v>
      </c>
      <c r="AI129" s="43">
        <f ca="1">(INDEX(teffSumPol_Com,3,31)&lt;INDEX(effGoalPol_Com,31)) * MIN(INDEX(polEff_Com,3,30)+INDEX(pushPol_Com,2),(INDEX(effGoalPol_Com,31)-INDEX(teffSumPol_Com,3,31))/(INDEX(doEff,4)-INDEX(doEff,3)))</f>
        <v>0</v>
      </c>
      <c r="AJ129" s="43">
        <f ca="1">(INDEX(teffSumPol_Com,3,32)&lt;INDEX(effGoalPol_Com,32)) * MIN(INDEX(polEff_Com,3,31)+INDEX(pushPol_Com,2),(INDEX(effGoalPol_Com,32)-INDEX(teffSumPol_Com,3,32))/(INDEX(doEff,4)-INDEX(doEff,3)))</f>
        <v>0</v>
      </c>
      <c r="AK129" s="43">
        <f ca="1">(INDEX(teffSumPol_Com,3,33)&lt;INDEX(effGoalPol_Com,33)) * MIN(INDEX(polEff_Com,3,32)+INDEX(pushPol_Com,2),(INDEX(effGoalPol_Com,33)-INDEX(teffSumPol_Com,3,33))/(INDEX(doEff,4)-INDEX(doEff,3)))</f>
        <v>0</v>
      </c>
      <c r="AL129" s="43">
        <f ca="1">(INDEX(teffSumPol_Com,3,34)&lt;INDEX(effGoalPol_Com,34)) * MIN(INDEX(polEff_Com,3,33)+INDEX(pushPol_Com,2),(INDEX(effGoalPol_Com,34)-INDEX(teffSumPol_Com,3,34))/(INDEX(doEff,4)-INDEX(doEff,3)))</f>
        <v>0</v>
      </c>
      <c r="AM129" s="43">
        <f ca="1">(INDEX(teffSumPol_Com,3,35)&lt;INDEX(effGoalPol_Com,35)) * MIN(INDEX(polEff_Com,3,34)+INDEX(pushPol_Com,2),(INDEX(effGoalPol_Com,35)-INDEX(teffSumPol_Com,3,35))/(INDEX(doEff,4)-INDEX(doEff,3)))</f>
        <v>0</v>
      </c>
      <c r="AN129" s="44">
        <f ca="1">(INDEX(teffSumPol_Com,3,36)&lt;INDEX(effGoalPol_Com,36)) * MIN(INDEX(polEff_Com,3,35)+INDEX(pushPol_Com,2),(INDEX(effGoalPol_Com,36)-INDEX(teffSumPol_Com,3,36))/(INDEX(doEff,4)-INDEX(doEff,3)))</f>
        <v>0</v>
      </c>
      <c r="AO129" s="8"/>
    </row>
    <row r="130" spans="2:41" hidden="1" x14ac:dyDescent="0.35">
      <c r="B130" s="8"/>
      <c r="C130" s="19" t="str">
        <f>"EL 3: " &amp; INDEX(_doName,1,4)</f>
        <v>EL 3: EL 3</v>
      </c>
      <c r="D130" s="11"/>
      <c r="E130" s="43"/>
      <c r="F130" s="43">
        <f ca="1">(INDEX(teffSumPol_Com,4,2)&lt;INDEX(effGoalPol_Com,2)) * MIN(INDEX(polEff_Com,4,1)+INDEX(pushPol_Com,3),(INDEX(effGoalPol_Com,2)-INDEX(teffSumPol_Com,4,2))/(INDEX(doEff,5)-INDEX(doEff,4)))</f>
        <v>0</v>
      </c>
      <c r="G130" s="43">
        <f ca="1">(INDEX(teffSumPol_Com,4,3)&lt;INDEX(effGoalPol_Com,3)) * MIN(INDEX(polEff_Com,4,2)+INDEX(pushPol_Com,3),(INDEX(effGoalPol_Com,3)-INDEX(teffSumPol_Com,4,3))/(INDEX(doEff,5)-INDEX(doEff,4)))</f>
        <v>0</v>
      </c>
      <c r="H130" s="43">
        <f ca="1">(INDEX(teffSumPol_Com,4,4)&lt;INDEX(effGoalPol_Com,4)) * MIN(INDEX(polEff_Com,4,3)+INDEX(pushPol_Com,3),(INDEX(effGoalPol_Com,4)-INDEX(teffSumPol_Com,4,4))/(INDEX(doEff,5)-INDEX(doEff,4)))</f>
        <v>0</v>
      </c>
      <c r="I130" s="43">
        <f ca="1">(INDEX(teffSumPol_Com,4,5)&lt;INDEX(effGoalPol_Com,5)) * MIN(INDEX(polEff_Com,4,4)+INDEX(pushPol_Com,3),(INDEX(effGoalPol_Com,5)-INDEX(teffSumPol_Com,4,5))/(INDEX(doEff,5)-INDEX(doEff,4)))</f>
        <v>0</v>
      </c>
      <c r="J130" s="43">
        <f ca="1">(INDEX(teffSumPol_Com,4,6)&lt;INDEX(effGoalPol_Com,6)) * MIN(INDEX(polEff_Com,4,5)+INDEX(pushPol_Com,3),(INDEX(effGoalPol_Com,6)-INDEX(teffSumPol_Com,4,6))/(INDEX(doEff,5)-INDEX(doEff,4)))</f>
        <v>0</v>
      </c>
      <c r="K130" s="43">
        <f ca="1">(INDEX(teffSumPol_Com,4,7)&lt;INDEX(effGoalPol_Com,7)) * MIN(INDEX(polEff_Com,4,6)+INDEX(pushPol_Com,3),(INDEX(effGoalPol_Com,7)-INDEX(teffSumPol_Com,4,7))/(INDEX(doEff,5)-INDEX(doEff,4)))</f>
        <v>0</v>
      </c>
      <c r="L130" s="43">
        <f ca="1">(INDEX(teffSumPol_Com,4,8)&lt;INDEX(effGoalPol_Com,8)) * MIN(INDEX(polEff_Com,4,7)+INDEX(pushPol_Com,3),(INDEX(effGoalPol_Com,8)-INDEX(teffSumPol_Com,4,8))/(INDEX(doEff,5)-INDEX(doEff,4)))</f>
        <v>0</v>
      </c>
      <c r="M130" s="43">
        <f ca="1">(INDEX(teffSumPol_Com,4,9)&lt;INDEX(effGoalPol_Com,9)) * MIN(INDEX(polEff_Com,4,8)+INDEX(pushPol_Com,3),(INDEX(effGoalPol_Com,9)-INDEX(teffSumPol_Com,4,9))/(INDEX(doEff,5)-INDEX(doEff,4)))</f>
        <v>0</v>
      </c>
      <c r="N130" s="43">
        <f ca="1">(INDEX(teffSumPol_Com,4,10)&lt;INDEX(effGoalPol_Com,10)) * MIN(INDEX(polEff_Com,4,9)+INDEX(pushPol_Com,3),(INDEX(effGoalPol_Com,10)-INDEX(teffSumPol_Com,4,10))/(INDEX(doEff,5)-INDEX(doEff,4)))</f>
        <v>0</v>
      </c>
      <c r="O130" s="43">
        <f ca="1">(INDEX(teffSumPol_Com,4,11)&lt;INDEX(effGoalPol_Com,11)) * MIN(INDEX(polEff_Com,4,10)+INDEX(pushPol_Com,3),(INDEX(effGoalPol_Com,11)-INDEX(teffSumPol_Com,4,11))/(INDEX(doEff,5)-INDEX(doEff,4)))</f>
        <v>0</v>
      </c>
      <c r="P130" s="43">
        <f ca="1">(INDEX(teffSumPol_Com,4,12)&lt;INDEX(effGoalPol_Com,12)) * MIN(INDEX(polEff_Com,4,11)+INDEX(pushPol_Com,3),(INDEX(effGoalPol_Com,12)-INDEX(teffSumPol_Com,4,12))/(INDEX(doEff,5)-INDEX(doEff,4)))</f>
        <v>0</v>
      </c>
      <c r="Q130" s="43">
        <f ca="1">(INDEX(teffSumPol_Com,4,13)&lt;INDEX(effGoalPol_Com,13)) * MIN(INDEX(polEff_Com,4,12)+INDEX(pushPol_Com,3),(INDEX(effGoalPol_Com,13)-INDEX(teffSumPol_Com,4,13))/(INDEX(doEff,5)-INDEX(doEff,4)))</f>
        <v>0</v>
      </c>
      <c r="R130" s="43">
        <f ca="1">(INDEX(teffSumPol_Com,4,14)&lt;INDEX(effGoalPol_Com,14)) * MIN(INDEX(polEff_Com,4,13)+INDEX(pushPol_Com,3),(INDEX(effGoalPol_Com,14)-INDEX(teffSumPol_Com,4,14))/(INDEX(doEff,5)-INDEX(doEff,4)))</f>
        <v>0</v>
      </c>
      <c r="S130" s="43">
        <f ca="1">(INDEX(teffSumPol_Com,4,15)&lt;INDEX(effGoalPol_Com,15)) * MIN(INDEX(polEff_Com,4,14)+INDEX(pushPol_Com,3),(INDEX(effGoalPol_Com,15)-INDEX(teffSumPol_Com,4,15))/(INDEX(doEff,5)-INDEX(doEff,4)))</f>
        <v>0</v>
      </c>
      <c r="T130" s="43">
        <f ca="1">(INDEX(teffSumPol_Com,4,16)&lt;INDEX(effGoalPol_Com,16)) * MIN(INDEX(polEff_Com,4,15)+INDEX(pushPol_Com,3),(INDEX(effGoalPol_Com,16)-INDEX(teffSumPol_Com,4,16))/(INDEX(doEff,5)-INDEX(doEff,4)))</f>
        <v>0</v>
      </c>
      <c r="U130" s="43">
        <f ca="1">(INDEX(teffSumPol_Com,4,17)&lt;INDEX(effGoalPol_Com,17)) * MIN(INDEX(polEff_Com,4,16)+INDEX(pushPol_Com,3),(INDEX(effGoalPol_Com,17)-INDEX(teffSumPol_Com,4,17))/(INDEX(doEff,5)-INDEX(doEff,4)))</f>
        <v>0</v>
      </c>
      <c r="V130" s="43">
        <f ca="1">(INDEX(teffSumPol_Com,4,18)&lt;INDEX(effGoalPol_Com,18)) * MIN(INDEX(polEff_Com,4,17)+INDEX(pushPol_Com,3),(INDEX(effGoalPol_Com,18)-INDEX(teffSumPol_Com,4,18))/(INDEX(doEff,5)-INDEX(doEff,4)))</f>
        <v>0</v>
      </c>
      <c r="W130" s="43">
        <f ca="1">(INDEX(teffSumPol_Com,4,19)&lt;INDEX(effGoalPol_Com,19)) * MIN(INDEX(polEff_Com,4,18)+INDEX(pushPol_Com,3),(INDEX(effGoalPol_Com,19)-INDEX(teffSumPol_Com,4,19))/(INDEX(doEff,5)-INDEX(doEff,4)))</f>
        <v>0</v>
      </c>
      <c r="X130" s="43">
        <f ca="1">(INDEX(teffSumPol_Com,4,20)&lt;INDEX(effGoalPol_Com,20)) * MIN(INDEX(polEff_Com,4,19)+INDEX(pushPol_Com,3),(INDEX(effGoalPol_Com,20)-INDEX(teffSumPol_Com,4,20))/(INDEX(doEff,5)-INDEX(doEff,4)))</f>
        <v>0</v>
      </c>
      <c r="Y130" s="43">
        <f ca="1">(INDEX(teffSumPol_Com,4,21)&lt;INDEX(effGoalPol_Com,21)) * MIN(INDEX(polEff_Com,4,20)+INDEX(pushPol_Com,3),(INDEX(effGoalPol_Com,21)-INDEX(teffSumPol_Com,4,21))/(INDEX(doEff,5)-INDEX(doEff,4)))</f>
        <v>0</v>
      </c>
      <c r="Z130" s="43">
        <f ca="1">(INDEX(teffSumPol_Com,4,22)&lt;INDEX(effGoalPol_Com,22)) * MIN(INDEX(polEff_Com,4,21)+INDEX(pushPol_Com,3),(INDEX(effGoalPol_Com,22)-INDEX(teffSumPol_Com,4,22))/(INDEX(doEff,5)-INDEX(doEff,4)))</f>
        <v>0</v>
      </c>
      <c r="AA130" s="43">
        <f ca="1">(INDEX(teffSumPol_Com,4,23)&lt;INDEX(effGoalPol_Com,23)) * MIN(INDEX(polEff_Com,4,22)+INDEX(pushPol_Com,3),(INDEX(effGoalPol_Com,23)-INDEX(teffSumPol_Com,4,23))/(INDEX(doEff,5)-INDEX(doEff,4)))</f>
        <v>0</v>
      </c>
      <c r="AB130" s="43">
        <f ca="1">(INDEX(teffSumPol_Com,4,24)&lt;INDEX(effGoalPol_Com,24)) * MIN(INDEX(polEff_Com,4,23)+INDEX(pushPol_Com,3),(INDEX(effGoalPol_Com,24)-INDEX(teffSumPol_Com,4,24))/(INDEX(doEff,5)-INDEX(doEff,4)))</f>
        <v>0</v>
      </c>
      <c r="AC130" s="43">
        <f ca="1">(INDEX(teffSumPol_Com,4,25)&lt;INDEX(effGoalPol_Com,25)) * MIN(INDEX(polEff_Com,4,24)+INDEX(pushPol_Com,3),(INDEX(effGoalPol_Com,25)-INDEX(teffSumPol_Com,4,25))/(INDEX(doEff,5)-INDEX(doEff,4)))</f>
        <v>0</v>
      </c>
      <c r="AD130" s="43">
        <f ca="1">(INDEX(teffSumPol_Com,4,26)&lt;INDEX(effGoalPol_Com,26)) * MIN(INDEX(polEff_Com,4,25)+INDEX(pushPol_Com,3),(INDEX(effGoalPol_Com,26)-INDEX(teffSumPol_Com,4,26))/(INDEX(doEff,5)-INDEX(doEff,4)))</f>
        <v>0</v>
      </c>
      <c r="AE130" s="43">
        <f ca="1">(INDEX(teffSumPol_Com,4,27)&lt;INDEX(effGoalPol_Com,27)) * MIN(INDEX(polEff_Com,4,26)+INDEX(pushPol_Com,3),(INDEX(effGoalPol_Com,27)-INDEX(teffSumPol_Com,4,27))/(INDEX(doEff,5)-INDEX(doEff,4)))</f>
        <v>0</v>
      </c>
      <c r="AF130" s="43">
        <f ca="1">(INDEX(teffSumPol_Com,4,28)&lt;INDEX(effGoalPol_Com,28)) * MIN(INDEX(polEff_Com,4,27)+INDEX(pushPol_Com,3),(INDEX(effGoalPol_Com,28)-INDEX(teffSumPol_Com,4,28))/(INDEX(doEff,5)-INDEX(doEff,4)))</f>
        <v>0</v>
      </c>
      <c r="AG130" s="43">
        <f ca="1">(INDEX(teffSumPol_Com,4,29)&lt;INDEX(effGoalPol_Com,29)) * MIN(INDEX(polEff_Com,4,28)+INDEX(pushPol_Com,3),(INDEX(effGoalPol_Com,29)-INDEX(teffSumPol_Com,4,29))/(INDEX(doEff,5)-INDEX(doEff,4)))</f>
        <v>0</v>
      </c>
      <c r="AH130" s="43">
        <f ca="1">(INDEX(teffSumPol_Com,4,30)&lt;INDEX(effGoalPol_Com,30)) * MIN(INDEX(polEff_Com,4,29)+INDEX(pushPol_Com,3),(INDEX(effGoalPol_Com,30)-INDEX(teffSumPol_Com,4,30))/(INDEX(doEff,5)-INDEX(doEff,4)))</f>
        <v>0</v>
      </c>
      <c r="AI130" s="43">
        <f ca="1">(INDEX(teffSumPol_Com,4,31)&lt;INDEX(effGoalPol_Com,31)) * MIN(INDEX(polEff_Com,4,30)+INDEX(pushPol_Com,3),(INDEX(effGoalPol_Com,31)-INDEX(teffSumPol_Com,4,31))/(INDEX(doEff,5)-INDEX(doEff,4)))</f>
        <v>0</v>
      </c>
      <c r="AJ130" s="43">
        <f ca="1">(INDEX(teffSumPol_Com,4,32)&lt;INDEX(effGoalPol_Com,32)) * MIN(INDEX(polEff_Com,4,31)+INDEX(pushPol_Com,3),(INDEX(effGoalPol_Com,32)-INDEX(teffSumPol_Com,4,32))/(INDEX(doEff,5)-INDEX(doEff,4)))</f>
        <v>0</v>
      </c>
      <c r="AK130" s="43">
        <f ca="1">(INDEX(teffSumPol_Com,4,33)&lt;INDEX(effGoalPol_Com,33)) * MIN(INDEX(polEff_Com,4,32)+INDEX(pushPol_Com,3),(INDEX(effGoalPol_Com,33)-INDEX(teffSumPol_Com,4,33))/(INDEX(doEff,5)-INDEX(doEff,4)))</f>
        <v>0</v>
      </c>
      <c r="AL130" s="43">
        <f ca="1">(INDEX(teffSumPol_Com,4,34)&lt;INDEX(effGoalPol_Com,34)) * MIN(INDEX(polEff_Com,4,33)+INDEX(pushPol_Com,3),(INDEX(effGoalPol_Com,34)-INDEX(teffSumPol_Com,4,34))/(INDEX(doEff,5)-INDEX(doEff,4)))</f>
        <v>0</v>
      </c>
      <c r="AM130" s="43">
        <f ca="1">(INDEX(teffSumPol_Com,4,35)&lt;INDEX(effGoalPol_Com,35)) * MIN(INDEX(polEff_Com,4,34)+INDEX(pushPol_Com,3),(INDEX(effGoalPol_Com,35)-INDEX(teffSumPol_Com,4,35))/(INDEX(doEff,5)-INDEX(doEff,4)))</f>
        <v>0</v>
      </c>
      <c r="AN130" s="44">
        <f ca="1">(INDEX(teffSumPol_Com,4,36)&lt;INDEX(effGoalPol_Com,36)) * MIN(INDEX(polEff_Com,4,35)+INDEX(pushPol_Com,3),(INDEX(effGoalPol_Com,36)-INDEX(teffSumPol_Com,4,36))/(INDEX(doEff,5)-INDEX(doEff,4)))</f>
        <v>0</v>
      </c>
      <c r="AO130" s="8"/>
    </row>
    <row r="131" spans="2:41" hidden="1" x14ac:dyDescent="0.35">
      <c r="B131" s="8"/>
      <c r="C131" s="35" t="str">
        <f>"EL 4: " &amp; INDEX(_doName,1,5)</f>
        <v>EL 4: EL 4</v>
      </c>
      <c r="D131" s="15"/>
      <c r="E131" s="45"/>
      <c r="F131" s="45">
        <f>0</f>
        <v>0</v>
      </c>
      <c r="G131" s="45">
        <f>0</f>
        <v>0</v>
      </c>
      <c r="H131" s="45">
        <f>0</f>
        <v>0</v>
      </c>
      <c r="I131" s="45">
        <f>0</f>
        <v>0</v>
      </c>
      <c r="J131" s="45">
        <f>0</f>
        <v>0</v>
      </c>
      <c r="K131" s="45">
        <f>0</f>
        <v>0</v>
      </c>
      <c r="L131" s="45">
        <f>0</f>
        <v>0</v>
      </c>
      <c r="M131" s="45">
        <f>0</f>
        <v>0</v>
      </c>
      <c r="N131" s="45">
        <f>0</f>
        <v>0</v>
      </c>
      <c r="O131" s="45">
        <f>0</f>
        <v>0</v>
      </c>
      <c r="P131" s="45">
        <f>0</f>
        <v>0</v>
      </c>
      <c r="Q131" s="45">
        <f>0</f>
        <v>0</v>
      </c>
      <c r="R131" s="45">
        <f>0</f>
        <v>0</v>
      </c>
      <c r="S131" s="45">
        <f>0</f>
        <v>0</v>
      </c>
      <c r="T131" s="45">
        <f>0</f>
        <v>0</v>
      </c>
      <c r="U131" s="45">
        <f>0</f>
        <v>0</v>
      </c>
      <c r="V131" s="45">
        <f>0</f>
        <v>0</v>
      </c>
      <c r="W131" s="45">
        <f>0</f>
        <v>0</v>
      </c>
      <c r="X131" s="45">
        <f>0</f>
        <v>0</v>
      </c>
      <c r="Y131" s="45">
        <f>0</f>
        <v>0</v>
      </c>
      <c r="Z131" s="45">
        <f>0</f>
        <v>0</v>
      </c>
      <c r="AA131" s="45">
        <f>0</f>
        <v>0</v>
      </c>
      <c r="AB131" s="45">
        <f>0</f>
        <v>0</v>
      </c>
      <c r="AC131" s="45">
        <f>0</f>
        <v>0</v>
      </c>
      <c r="AD131" s="45">
        <f>0</f>
        <v>0</v>
      </c>
      <c r="AE131" s="45">
        <f>0</f>
        <v>0</v>
      </c>
      <c r="AF131" s="45">
        <f>0</f>
        <v>0</v>
      </c>
      <c r="AG131" s="45">
        <f>0</f>
        <v>0</v>
      </c>
      <c r="AH131" s="45">
        <f>0</f>
        <v>0</v>
      </c>
      <c r="AI131" s="45">
        <f>0</f>
        <v>0</v>
      </c>
      <c r="AJ131" s="45">
        <f>0</f>
        <v>0</v>
      </c>
      <c r="AK131" s="45">
        <f>0</f>
        <v>0</v>
      </c>
      <c r="AL131" s="45">
        <f>0</f>
        <v>0</v>
      </c>
      <c r="AM131" s="45">
        <f>0</f>
        <v>0</v>
      </c>
      <c r="AN131" s="46">
        <f>0</f>
        <v>0</v>
      </c>
      <c r="AO131" s="8"/>
    </row>
    <row r="132" spans="2:41" hidden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</row>
    <row r="133" spans="2:41" hidden="1" x14ac:dyDescent="0.35">
      <c r="B133" s="8"/>
      <c r="C133" s="23" t="s">
        <v>90</v>
      </c>
      <c r="D133" s="24"/>
      <c r="E133" s="26">
        <f t="array" ref="E133:AN133">_yS</f>
        <v>2024</v>
      </c>
      <c r="F133" s="26">
        <v>2025</v>
      </c>
      <c r="G133" s="26">
        <v>2026</v>
      </c>
      <c r="H133" s="26">
        <v>2027</v>
      </c>
      <c r="I133" s="26">
        <v>2028</v>
      </c>
      <c r="J133" s="26">
        <v>2029</v>
      </c>
      <c r="K133" s="26">
        <v>2030</v>
      </c>
      <c r="L133" s="26">
        <v>2031</v>
      </c>
      <c r="M133" s="26">
        <v>2032</v>
      </c>
      <c r="N133" s="26">
        <v>2033</v>
      </c>
      <c r="O133" s="26">
        <v>2034</v>
      </c>
      <c r="P133" s="26">
        <v>2035</v>
      </c>
      <c r="Q133" s="26">
        <v>2036</v>
      </c>
      <c r="R133" s="26">
        <v>2037</v>
      </c>
      <c r="S133" s="26">
        <v>2038</v>
      </c>
      <c r="T133" s="26">
        <v>2039</v>
      </c>
      <c r="U133" s="26">
        <v>2040</v>
      </c>
      <c r="V133" s="26">
        <v>2041</v>
      </c>
      <c r="W133" s="26">
        <v>2042</v>
      </c>
      <c r="X133" s="26">
        <v>2043</v>
      </c>
      <c r="Y133" s="26">
        <v>2044</v>
      </c>
      <c r="Z133" s="26">
        <v>2045</v>
      </c>
      <c r="AA133" s="26">
        <v>2046</v>
      </c>
      <c r="AB133" s="26">
        <v>2047</v>
      </c>
      <c r="AC133" s="26">
        <v>2048</v>
      </c>
      <c r="AD133" s="26">
        <v>2049</v>
      </c>
      <c r="AE133" s="26">
        <v>2050</v>
      </c>
      <c r="AF133" s="26">
        <v>2051</v>
      </c>
      <c r="AG133" s="26">
        <v>2052</v>
      </c>
      <c r="AH133" s="26">
        <v>2053</v>
      </c>
      <c r="AI133" s="26">
        <v>2054</v>
      </c>
      <c r="AJ133" s="26">
        <v>2055</v>
      </c>
      <c r="AK133" s="26">
        <v>2056</v>
      </c>
      <c r="AL133" s="26">
        <v>2057</v>
      </c>
      <c r="AM133" s="26">
        <v>2058</v>
      </c>
      <c r="AN133" s="27">
        <v>2059</v>
      </c>
      <c r="AO133" s="8"/>
    </row>
    <row r="134" spans="2:41" hidden="1" x14ac:dyDescent="0.35">
      <c r="B134" s="8"/>
      <c r="C134" s="19" t="str">
        <f>"EL 0: " &amp; INDEX(_doName,1,1)</f>
        <v>EL 0: Baseline</v>
      </c>
      <c r="D134" s="11"/>
      <c r="E134" s="33"/>
      <c r="F134" s="33">
        <f ca="1">0 + INDEX(doEff,1)*(INDEX(eff0Pol_Com,1)+0) + SUMPRODUCT(doEff,INDEX(polEff_Com,,1),N(_el&gt;0))</f>
        <v>1.9777880440211615</v>
      </c>
      <c r="G134" s="33">
        <f ca="1">0 + INDEX(doEff,1)*(INDEX(eff0Pol_Com,1)+0) + SUMPRODUCT(doEff,INDEX(polEff_Com,,2),N(_el&gt;0))</f>
        <v>1.9775616654069053</v>
      </c>
      <c r="H134" s="33">
        <f ca="1">0 + INDEX(doEff,1)*(INDEX(eff0Pol_Com,1)+0) + SUMPRODUCT(doEff,INDEX(polEff_Com,,3),N(_el&gt;0))</f>
        <v>2.1189083381811185</v>
      </c>
      <c r="I134" s="33">
        <f ca="1">0 + INDEX(doEff,1)*(INDEX(eff0Pol_Com,1)+0) + SUMPRODUCT(doEff,INDEX(polEff_Com,,4),N(_el&gt;0))</f>
        <v>2.1186553857565253</v>
      </c>
      <c r="J134" s="33">
        <f ca="1">0 + INDEX(doEff,1)*(INDEX(eff0Pol_Com,1)+0) + SUMPRODUCT(doEff,INDEX(polEff_Com,,5),N(_el&gt;0))</f>
        <v>2.118404281414684</v>
      </c>
      <c r="K134" s="33">
        <f ca="1">0 + INDEX(doEff,1)*(INDEX(eff0Pol_Com,1)+0) + SUMPRODUCT(doEff,INDEX(polEff_Com,,6),N(_el&gt;0))</f>
        <v>2.1183370456236896</v>
      </c>
      <c r="L134" s="33">
        <f ca="1">0 + INDEX(doEff,1)*(INDEX(eff0Pol_Com,1)+0) + SUMPRODUCT(doEff,INDEX(polEff_Com,,7),N(_el&gt;0))</f>
        <v>2.1182702058733947</v>
      </c>
      <c r="M134" s="33">
        <f ca="1">0 + INDEX(doEff,1)*(INDEX(eff0Pol_Com,1)+0) + SUMPRODUCT(doEff,INDEX(polEff_Com,,8),N(_el&gt;0))</f>
        <v>2.1182037494596218</v>
      </c>
      <c r="N134" s="33">
        <f ca="1">0 + INDEX(doEff,1)*(INDEX(eff0Pol_Com,1)+0) + SUMPRODUCT(doEff,INDEX(polEff_Com,,9),N(_el&gt;0))</f>
        <v>2.1181376649536801</v>
      </c>
      <c r="O134" s="33">
        <f ca="1">0 + INDEX(doEff,1)*(INDEX(eff0Pol_Com,1)+0) + SUMPRODUCT(doEff,INDEX(polEff_Com,,10),N(_el&gt;0))</f>
        <v>2.1180719414956704</v>
      </c>
      <c r="P134" s="33">
        <f ca="1">0 + INDEX(doEff,1)*(INDEX(eff0Pol_Com,1)+0) + SUMPRODUCT(doEff,INDEX(polEff_Com,,11),N(_el&gt;0))</f>
        <v>2.118064855082967</v>
      </c>
      <c r="Q134" s="33">
        <f ca="1">0 + INDEX(doEff,1)*(INDEX(eff0Pol_Com,1)+0) + SUMPRODUCT(doEff,INDEX(polEff_Com,,12),N(_el&gt;0))</f>
        <v>2.118057821842704</v>
      </c>
      <c r="R134" s="33">
        <f ca="1">0 + INDEX(doEff,1)*(INDEX(eff0Pol_Com,1)+0) + SUMPRODUCT(doEff,INDEX(polEff_Com,,13),N(_el&gt;0))</f>
        <v>2.1180508382034979</v>
      </c>
      <c r="S134" s="33">
        <f ca="1">0 + INDEX(doEff,1)*(INDEX(eff0Pol_Com,1)+0) + SUMPRODUCT(doEff,INDEX(polEff_Com,,14),N(_el&gt;0))</f>
        <v>2.118043900901748</v>
      </c>
      <c r="T134" s="33">
        <f ca="1">0 + INDEX(doEff,1)*(INDEX(eff0Pol_Com,1)+0) + SUMPRODUCT(doEff,INDEX(polEff_Com,,15),N(_el&gt;0))</f>
        <v>2.1180370069328216</v>
      </c>
      <c r="U134" s="33">
        <f ca="1">0 + INDEX(doEff,1)*(INDEX(eff0Pol_Com,1)+0) + SUMPRODUCT(doEff,INDEX(polEff_Com,,16),N(_el&gt;0))</f>
        <v>2.1180301540326916</v>
      </c>
      <c r="V134" s="33">
        <f ca="1">0 + INDEX(doEff,1)*(INDEX(eff0Pol_Com,1)+0) + SUMPRODUCT(doEff,INDEX(polEff_Com,,17),N(_el&gt;0))</f>
        <v>2.1180233400814363</v>
      </c>
      <c r="W134" s="33">
        <f ca="1">0 + INDEX(doEff,1)*(INDEX(eff0Pol_Com,1)+0) + SUMPRODUCT(doEff,INDEX(polEff_Com,,18),N(_el&gt;0))</f>
        <v>2.1180165632559471</v>
      </c>
      <c r="X134" s="33">
        <f ca="1">0 + INDEX(doEff,1)*(INDEX(eff0Pol_Com,1)+0) + SUMPRODUCT(doEff,INDEX(polEff_Com,,19),N(_el&gt;0))</f>
        <v>2.1180098219396362</v>
      </c>
      <c r="Y134" s="33">
        <f ca="1">0 + INDEX(doEff,1)*(INDEX(eff0Pol_Com,1)+0) + SUMPRODUCT(doEff,INDEX(polEff_Com,,20),N(_el&gt;0))</f>
        <v>2.1180031146530096</v>
      </c>
      <c r="Z134" s="33">
        <f ca="1">0 + INDEX(doEff,1)*(INDEX(eff0Pol_Com,1)+0) + SUMPRODUCT(doEff,INDEX(polEff_Com,,21),N(_el&gt;0))</f>
        <v>2.1180011959511544</v>
      </c>
      <c r="AA134" s="33">
        <f ca="1">0 + INDEX(doEff,1)*(INDEX(eff0Pol_Com,1)+0) + SUMPRODUCT(doEff,INDEX(polEff_Com,,22),N(_el&gt;0))</f>
        <v>2.1179992891822974</v>
      </c>
      <c r="AB134" s="33">
        <f ca="1">0 + INDEX(doEff,1)*(INDEX(eff0Pol_Com,1)+0) + SUMPRODUCT(doEff,INDEX(polEff_Com,,23),N(_el&gt;0))</f>
        <v>2.1179973932983764</v>
      </c>
      <c r="AC134" s="33">
        <f ca="1">0 + INDEX(doEff,1)*(INDEX(eff0Pol_Com,1)+0) + SUMPRODUCT(doEff,INDEX(polEff_Com,,24),N(_el&gt;0))</f>
        <v>2.1179955073173939</v>
      </c>
      <c r="AD134" s="33">
        <f ca="1">0 + INDEX(doEff,1)*(INDEX(eff0Pol_Com,1)+0) + SUMPRODUCT(doEff,INDEX(polEff_Com,,25),N(_el&gt;0))</f>
        <v>2.1179936303276361</v>
      </c>
      <c r="AE134" s="33">
        <f ca="1">0 + INDEX(doEff,1)*(INDEX(eff0Pol_Com,1)+0) + SUMPRODUCT(doEff,INDEX(polEff_Com,,26),N(_el&gt;0))</f>
        <v>2.1179917614882302</v>
      </c>
      <c r="AF134" s="33">
        <f ca="1">0 + INDEX(doEff,1)*(INDEX(eff0Pol_Com,1)+0) + SUMPRODUCT(doEff,INDEX(polEff_Com,,27),N(_el&gt;0))</f>
        <v>2.1179899000250395</v>
      </c>
      <c r="AG134" s="33">
        <f ca="1">0 + INDEX(doEff,1)*(INDEX(eff0Pol_Com,1)+0) + SUMPRODUCT(doEff,INDEX(polEff_Com,,28),N(_el&gt;0))</f>
        <v>2.1179880452237434</v>
      </c>
      <c r="AH134" s="33">
        <f ca="1">0 + INDEX(doEff,1)*(INDEX(eff0Pol_Com,1)+0) + SUMPRODUCT(doEff,INDEX(polEff_Com,,29),N(_el&gt;0))</f>
        <v>2.1179861964218683</v>
      </c>
      <c r="AI134" s="33">
        <f ca="1">0 + INDEX(doEff,1)*(INDEX(eff0Pol_Com,1)+0) + SUMPRODUCT(doEff,INDEX(polEff_Com,,30),N(_el&gt;0))</f>
        <v>2.1179843530013147</v>
      </c>
      <c r="AJ134" s="33">
        <f ca="1">0 + INDEX(doEff,1)*(INDEX(eff0Pol_Com,1)+0) + SUMPRODUCT(doEff,INDEX(polEff_Com,,31),N(_el&gt;0))</f>
        <v>2.1179825143824766</v>
      </c>
      <c r="AK134" s="33">
        <f ca="1">0 + INDEX(doEff,1)*(INDEX(eff0Pol_Com,1)+0) + SUMPRODUCT(doEff,INDEX(polEff_Com,,32),N(_el&gt;0))</f>
        <v>2.1179806800200609</v>
      </c>
      <c r="AL134" s="33">
        <f ca="1">0 + INDEX(doEff,1)*(INDEX(eff0Pol_Com,1)+0) + SUMPRODUCT(doEff,INDEX(polEff_Com,,33),N(_el&gt;0))</f>
        <v>2.1179788494001306</v>
      </c>
      <c r="AM134" s="33">
        <f ca="1">0 + INDEX(doEff,1)*(INDEX(eff0Pol_Com,1)+0) + SUMPRODUCT(doEff,INDEX(polEff_Com,,34),N(_el&gt;0))</f>
        <v>2.1179770220385823</v>
      </c>
      <c r="AN134" s="34">
        <f ca="1">0 + INDEX(doEff,1)*(INDEX(eff0Pol_Com,1)+0) + SUMPRODUCT(doEff,INDEX(polEff_Com,,35),N(_el&gt;0))</f>
        <v>2.1170539419087135</v>
      </c>
      <c r="AO134" s="8"/>
    </row>
    <row r="135" spans="2:41" hidden="1" x14ac:dyDescent="0.35">
      <c r="B135" s="8"/>
      <c r="C135" s="19" t="str">
        <f>"EL 1: " &amp; INDEX(_doName,1,2)</f>
        <v>EL 1: Tier 1</v>
      </c>
      <c r="D135" s="11"/>
      <c r="E135" s="33"/>
      <c r="F135" s="33">
        <f ca="1">SUMPRODUCT(OFFSET(doEff,0,0,1,1),OFFSET(INDEX(polEff_Com,1,2),0,0,1,1)) + INDEX(doEff,2)*(INDEX(eff0Pol_Com,2)+INDEX(pushPol_Com,1)) + SUMPRODUCT(doEff,INDEX(polEff_Com,,1),N(_el&gt;1))</f>
        <v>1.9777880440211615</v>
      </c>
      <c r="G135" s="33">
        <f ca="1">SUMPRODUCT(OFFSET(doEff,0,0,1,1),OFFSET(INDEX(polEff_Com,1,3),0,0,1,1)) + INDEX(doEff,2)*(INDEX(eff0Pol_Com,2)+INDEX(pushPol_Com,1)) + SUMPRODUCT(doEff,INDEX(polEff_Com,,2),N(_el&gt;1))</f>
        <v>1.9775616654069053</v>
      </c>
      <c r="H135" s="33">
        <f ca="1">SUMPRODUCT(OFFSET(doEff,0,0,1,1),OFFSET(INDEX(polEff_Com,1,4),0,0,1,1)) + INDEX(doEff,2)*(INDEX(eff0Pol_Com,2)+INDEX(pushPol_Com,1)) + SUMPRODUCT(doEff,INDEX(polEff_Com,,3),N(_el&gt;1))</f>
        <v>2.1189083381811185</v>
      </c>
      <c r="I135" s="33">
        <f ca="1">SUMPRODUCT(OFFSET(doEff,0,0,1,1),OFFSET(INDEX(polEff_Com,1,5),0,0,1,1)) + INDEX(doEff,2)*(INDEX(eff0Pol_Com,2)+INDEX(pushPol_Com,1)) + SUMPRODUCT(doEff,INDEX(polEff_Com,,4),N(_el&gt;1))</f>
        <v>2.1186553857565253</v>
      </c>
      <c r="J135" s="33">
        <f ca="1">SUMPRODUCT(OFFSET(doEff,0,0,1,1),OFFSET(INDEX(polEff_Com,1,6),0,0,1,1)) + INDEX(doEff,2)*(INDEX(eff0Pol_Com,2)+INDEX(pushPol_Com,1)) + SUMPRODUCT(doEff,INDEX(polEff_Com,,5),N(_el&gt;1))</f>
        <v>2.118404281414684</v>
      </c>
      <c r="K135" s="33">
        <f ca="1">SUMPRODUCT(OFFSET(doEff,0,0,1,1),OFFSET(INDEX(polEff_Com,1,7),0,0,1,1)) + INDEX(doEff,2)*(INDEX(eff0Pol_Com,2)+INDEX(pushPol_Com,1)) + SUMPRODUCT(doEff,INDEX(polEff_Com,,6),N(_el&gt;1))</f>
        <v>2.1183370456236896</v>
      </c>
      <c r="L135" s="33">
        <f ca="1">SUMPRODUCT(OFFSET(doEff,0,0,1,1),OFFSET(INDEX(polEff_Com,1,8),0,0,1,1)) + INDEX(doEff,2)*(INDEX(eff0Pol_Com,2)+INDEX(pushPol_Com,1)) + SUMPRODUCT(doEff,INDEX(polEff_Com,,7),N(_el&gt;1))</f>
        <v>2.1182702058733947</v>
      </c>
      <c r="M135" s="33">
        <f ca="1">SUMPRODUCT(OFFSET(doEff,0,0,1,1),OFFSET(INDEX(polEff_Com,1,9),0,0,1,1)) + INDEX(doEff,2)*(INDEX(eff0Pol_Com,2)+INDEX(pushPol_Com,1)) + SUMPRODUCT(doEff,INDEX(polEff_Com,,8),N(_el&gt;1))</f>
        <v>2.1182037494596218</v>
      </c>
      <c r="N135" s="33">
        <f ca="1">SUMPRODUCT(OFFSET(doEff,0,0,1,1),OFFSET(INDEX(polEff_Com,1,10),0,0,1,1)) + INDEX(doEff,2)*(INDEX(eff0Pol_Com,2)+INDEX(pushPol_Com,1)) + SUMPRODUCT(doEff,INDEX(polEff_Com,,9),N(_el&gt;1))</f>
        <v>2.1181376649536801</v>
      </c>
      <c r="O135" s="33">
        <f ca="1">SUMPRODUCT(OFFSET(doEff,0,0,1,1),OFFSET(INDEX(polEff_Com,1,11),0,0,1,1)) + INDEX(doEff,2)*(INDEX(eff0Pol_Com,2)+INDEX(pushPol_Com,1)) + SUMPRODUCT(doEff,INDEX(polEff_Com,,10),N(_el&gt;1))</f>
        <v>2.1180719414956704</v>
      </c>
      <c r="P135" s="33">
        <f ca="1">SUMPRODUCT(OFFSET(doEff,0,0,1,1),OFFSET(INDEX(polEff_Com,1,12),0,0,1,1)) + INDEX(doEff,2)*(INDEX(eff0Pol_Com,2)+INDEX(pushPol_Com,1)) + SUMPRODUCT(doEff,INDEX(polEff_Com,,11),N(_el&gt;1))</f>
        <v>2.118064855082967</v>
      </c>
      <c r="Q135" s="33">
        <f ca="1">SUMPRODUCT(OFFSET(doEff,0,0,1,1),OFFSET(INDEX(polEff_Com,1,13),0,0,1,1)) + INDEX(doEff,2)*(INDEX(eff0Pol_Com,2)+INDEX(pushPol_Com,1)) + SUMPRODUCT(doEff,INDEX(polEff_Com,,12),N(_el&gt;1))</f>
        <v>2.118057821842704</v>
      </c>
      <c r="R135" s="33">
        <f ca="1">SUMPRODUCT(OFFSET(doEff,0,0,1,1),OFFSET(INDEX(polEff_Com,1,14),0,0,1,1)) + INDEX(doEff,2)*(INDEX(eff0Pol_Com,2)+INDEX(pushPol_Com,1)) + SUMPRODUCT(doEff,INDEX(polEff_Com,,13),N(_el&gt;1))</f>
        <v>2.1180508382034979</v>
      </c>
      <c r="S135" s="33">
        <f ca="1">SUMPRODUCT(OFFSET(doEff,0,0,1,1),OFFSET(INDEX(polEff_Com,1,15),0,0,1,1)) + INDEX(doEff,2)*(INDEX(eff0Pol_Com,2)+INDEX(pushPol_Com,1)) + SUMPRODUCT(doEff,INDEX(polEff_Com,,14),N(_el&gt;1))</f>
        <v>2.118043900901748</v>
      </c>
      <c r="T135" s="33">
        <f ca="1">SUMPRODUCT(OFFSET(doEff,0,0,1,1),OFFSET(INDEX(polEff_Com,1,16),0,0,1,1)) + INDEX(doEff,2)*(INDEX(eff0Pol_Com,2)+INDEX(pushPol_Com,1)) + SUMPRODUCT(doEff,INDEX(polEff_Com,,15),N(_el&gt;1))</f>
        <v>2.1180370069328216</v>
      </c>
      <c r="U135" s="33">
        <f ca="1">SUMPRODUCT(OFFSET(doEff,0,0,1,1),OFFSET(INDEX(polEff_Com,1,17),0,0,1,1)) + INDEX(doEff,2)*(INDEX(eff0Pol_Com,2)+INDEX(pushPol_Com,1)) + SUMPRODUCT(doEff,INDEX(polEff_Com,,16),N(_el&gt;1))</f>
        <v>2.1180301540326916</v>
      </c>
      <c r="V135" s="33">
        <f ca="1">SUMPRODUCT(OFFSET(doEff,0,0,1,1),OFFSET(INDEX(polEff_Com,1,18),0,0,1,1)) + INDEX(doEff,2)*(INDEX(eff0Pol_Com,2)+INDEX(pushPol_Com,1)) + SUMPRODUCT(doEff,INDEX(polEff_Com,,17),N(_el&gt;1))</f>
        <v>2.1180233400814363</v>
      </c>
      <c r="W135" s="33">
        <f ca="1">SUMPRODUCT(OFFSET(doEff,0,0,1,1),OFFSET(INDEX(polEff_Com,1,19),0,0,1,1)) + INDEX(doEff,2)*(INDEX(eff0Pol_Com,2)+INDEX(pushPol_Com,1)) + SUMPRODUCT(doEff,INDEX(polEff_Com,,18),N(_el&gt;1))</f>
        <v>2.1180165632559471</v>
      </c>
      <c r="X135" s="33">
        <f ca="1">SUMPRODUCT(OFFSET(doEff,0,0,1,1),OFFSET(INDEX(polEff_Com,1,20),0,0,1,1)) + INDEX(doEff,2)*(INDEX(eff0Pol_Com,2)+INDEX(pushPol_Com,1)) + SUMPRODUCT(doEff,INDEX(polEff_Com,,19),N(_el&gt;1))</f>
        <v>2.1180098219396362</v>
      </c>
      <c r="Y135" s="33">
        <f ca="1">SUMPRODUCT(OFFSET(doEff,0,0,1,1),OFFSET(INDEX(polEff_Com,1,21),0,0,1,1)) + INDEX(doEff,2)*(INDEX(eff0Pol_Com,2)+INDEX(pushPol_Com,1)) + SUMPRODUCT(doEff,INDEX(polEff_Com,,20),N(_el&gt;1))</f>
        <v>2.1180031146530096</v>
      </c>
      <c r="Z135" s="33">
        <f ca="1">SUMPRODUCT(OFFSET(doEff,0,0,1,1),OFFSET(INDEX(polEff_Com,1,22),0,0,1,1)) + INDEX(doEff,2)*(INDEX(eff0Pol_Com,2)+INDEX(pushPol_Com,1)) + SUMPRODUCT(doEff,INDEX(polEff_Com,,21),N(_el&gt;1))</f>
        <v>2.1180011959511544</v>
      </c>
      <c r="AA135" s="33">
        <f ca="1">SUMPRODUCT(OFFSET(doEff,0,0,1,1),OFFSET(INDEX(polEff_Com,1,23),0,0,1,1)) + INDEX(doEff,2)*(INDEX(eff0Pol_Com,2)+INDEX(pushPol_Com,1)) + SUMPRODUCT(doEff,INDEX(polEff_Com,,22),N(_el&gt;1))</f>
        <v>2.1179992891822974</v>
      </c>
      <c r="AB135" s="33">
        <f ca="1">SUMPRODUCT(OFFSET(doEff,0,0,1,1),OFFSET(INDEX(polEff_Com,1,24),0,0,1,1)) + INDEX(doEff,2)*(INDEX(eff0Pol_Com,2)+INDEX(pushPol_Com,1)) + SUMPRODUCT(doEff,INDEX(polEff_Com,,23),N(_el&gt;1))</f>
        <v>2.1179973932983764</v>
      </c>
      <c r="AC135" s="33">
        <f ca="1">SUMPRODUCT(OFFSET(doEff,0,0,1,1),OFFSET(INDEX(polEff_Com,1,25),0,0,1,1)) + INDEX(doEff,2)*(INDEX(eff0Pol_Com,2)+INDEX(pushPol_Com,1)) + SUMPRODUCT(doEff,INDEX(polEff_Com,,24),N(_el&gt;1))</f>
        <v>2.1179955073173939</v>
      </c>
      <c r="AD135" s="33">
        <f ca="1">SUMPRODUCT(OFFSET(doEff,0,0,1,1),OFFSET(INDEX(polEff_Com,1,26),0,0,1,1)) + INDEX(doEff,2)*(INDEX(eff0Pol_Com,2)+INDEX(pushPol_Com,1)) + SUMPRODUCT(doEff,INDEX(polEff_Com,,25),N(_el&gt;1))</f>
        <v>2.1179936303276361</v>
      </c>
      <c r="AE135" s="33">
        <f ca="1">SUMPRODUCT(OFFSET(doEff,0,0,1,1),OFFSET(INDEX(polEff_Com,1,27),0,0,1,1)) + INDEX(doEff,2)*(INDEX(eff0Pol_Com,2)+INDEX(pushPol_Com,1)) + SUMPRODUCT(doEff,INDEX(polEff_Com,,26),N(_el&gt;1))</f>
        <v>2.1179917614882302</v>
      </c>
      <c r="AF135" s="33">
        <f ca="1">SUMPRODUCT(OFFSET(doEff,0,0,1,1),OFFSET(INDEX(polEff_Com,1,28),0,0,1,1)) + INDEX(doEff,2)*(INDEX(eff0Pol_Com,2)+INDEX(pushPol_Com,1)) + SUMPRODUCT(doEff,INDEX(polEff_Com,,27),N(_el&gt;1))</f>
        <v>2.1179899000250395</v>
      </c>
      <c r="AG135" s="33">
        <f ca="1">SUMPRODUCT(OFFSET(doEff,0,0,1,1),OFFSET(INDEX(polEff_Com,1,29),0,0,1,1)) + INDEX(doEff,2)*(INDEX(eff0Pol_Com,2)+INDEX(pushPol_Com,1)) + SUMPRODUCT(doEff,INDEX(polEff_Com,,28),N(_el&gt;1))</f>
        <v>2.1179880452237434</v>
      </c>
      <c r="AH135" s="33">
        <f ca="1">SUMPRODUCT(OFFSET(doEff,0,0,1,1),OFFSET(INDEX(polEff_Com,1,30),0,0,1,1)) + INDEX(doEff,2)*(INDEX(eff0Pol_Com,2)+INDEX(pushPol_Com,1)) + SUMPRODUCT(doEff,INDEX(polEff_Com,,29),N(_el&gt;1))</f>
        <v>2.1179861964218683</v>
      </c>
      <c r="AI135" s="33">
        <f ca="1">SUMPRODUCT(OFFSET(doEff,0,0,1,1),OFFSET(INDEX(polEff_Com,1,31),0,0,1,1)) + INDEX(doEff,2)*(INDEX(eff0Pol_Com,2)+INDEX(pushPol_Com,1)) + SUMPRODUCT(doEff,INDEX(polEff_Com,,30),N(_el&gt;1))</f>
        <v>2.1179843530013147</v>
      </c>
      <c r="AJ135" s="33">
        <f ca="1">SUMPRODUCT(OFFSET(doEff,0,0,1,1),OFFSET(INDEX(polEff_Com,1,32),0,0,1,1)) + INDEX(doEff,2)*(INDEX(eff0Pol_Com,2)+INDEX(pushPol_Com,1)) + SUMPRODUCT(doEff,INDEX(polEff_Com,,31),N(_el&gt;1))</f>
        <v>2.1179825143824766</v>
      </c>
      <c r="AK135" s="33">
        <f ca="1">SUMPRODUCT(OFFSET(doEff,0,0,1,1),OFFSET(INDEX(polEff_Com,1,33),0,0,1,1)) + INDEX(doEff,2)*(INDEX(eff0Pol_Com,2)+INDEX(pushPol_Com,1)) + SUMPRODUCT(doEff,INDEX(polEff_Com,,32),N(_el&gt;1))</f>
        <v>2.1179806800200609</v>
      </c>
      <c r="AL135" s="33">
        <f ca="1">SUMPRODUCT(OFFSET(doEff,0,0,1,1),OFFSET(INDEX(polEff_Com,1,34),0,0,1,1)) + INDEX(doEff,2)*(INDEX(eff0Pol_Com,2)+INDEX(pushPol_Com,1)) + SUMPRODUCT(doEff,INDEX(polEff_Com,,33),N(_el&gt;1))</f>
        <v>2.1179788494001306</v>
      </c>
      <c r="AM135" s="33">
        <f ca="1">SUMPRODUCT(OFFSET(doEff,0,0,1,1),OFFSET(INDEX(polEff_Com,1,35),0,0,1,1)) + INDEX(doEff,2)*(INDEX(eff0Pol_Com,2)+INDEX(pushPol_Com,1)) + SUMPRODUCT(doEff,INDEX(polEff_Com,,34),N(_el&gt;1))</f>
        <v>2.1179770220385823</v>
      </c>
      <c r="AN135" s="34">
        <f ca="1">SUMPRODUCT(OFFSET(doEff,0,0,1,1),OFFSET(INDEX(polEff_Com,1,36),0,0,1,1)) + INDEX(doEff,2)*(INDEX(eff0Pol_Com,2)+INDEX(pushPol_Com,1)) + SUMPRODUCT(doEff,INDEX(polEff_Com,,35),N(_el&gt;1))</f>
        <v>2.1170539419087135</v>
      </c>
      <c r="AO135" s="8"/>
    </row>
    <row r="136" spans="2:41" hidden="1" x14ac:dyDescent="0.35">
      <c r="B136" s="8"/>
      <c r="C136" s="19" t="str">
        <f>"EL 2: " &amp; INDEX(_doName,1,3)</f>
        <v>EL 2: Tier 2</v>
      </c>
      <c r="D136" s="11"/>
      <c r="E136" s="33"/>
      <c r="F136" s="33">
        <f ca="1">SUMPRODUCT(OFFSET(doEff,0,0,2,1),OFFSET(INDEX(polEff_Com,1,2),0,0,2,1)) + INDEX(doEff,3)*(INDEX(eff0Pol_Com,3)+INDEX(pushPol_Com,2)) + SUMPRODUCT(doEff,INDEX(polEff_Com,,1),N(_el&gt;2))</f>
        <v>1.9781865647066752</v>
      </c>
      <c r="G136" s="33">
        <f ca="1">SUMPRODUCT(OFFSET(doEff,0,0,2,1),OFFSET(INDEX(polEff_Com,1,3),0,0,2,1)) + INDEX(doEff,3)*(INDEX(eff0Pol_Com,3)+INDEX(pushPol_Com,2)) + SUMPRODUCT(doEff,INDEX(polEff_Com,,2),N(_el&gt;2))</f>
        <v>0.79592929178836591</v>
      </c>
      <c r="H136" s="33">
        <f ca="1">SUMPRODUCT(OFFSET(doEff,0,0,2,1),OFFSET(INDEX(polEff_Com,1,4),0,0,2,1)) + INDEX(doEff,3)*(INDEX(eff0Pol_Com,3)+INDEX(pushPol_Com,2)) + SUMPRODUCT(doEff,INDEX(polEff_Com,,3),N(_el&gt;2))</f>
        <v>2.1189083381811185</v>
      </c>
      <c r="I136" s="33">
        <f ca="1">SUMPRODUCT(OFFSET(doEff,0,0,2,1),OFFSET(INDEX(polEff_Com,1,5),0,0,2,1)) + INDEX(doEff,3)*(INDEX(eff0Pol_Com,3)+INDEX(pushPol_Com,2)) + SUMPRODUCT(doEff,INDEX(polEff_Com,,4),N(_el&gt;2))</f>
        <v>2.1186553857565253</v>
      </c>
      <c r="J136" s="33">
        <f ca="1">SUMPRODUCT(OFFSET(doEff,0,0,2,1),OFFSET(INDEX(polEff_Com,1,6),0,0,2,1)) + INDEX(doEff,3)*(INDEX(eff0Pol_Com,3)+INDEX(pushPol_Com,2)) + SUMPRODUCT(doEff,INDEX(polEff_Com,,5),N(_el&gt;2))</f>
        <v>2.118404281414684</v>
      </c>
      <c r="K136" s="33">
        <f ca="1">SUMPRODUCT(OFFSET(doEff,0,0,2,1),OFFSET(INDEX(polEff_Com,1,7),0,0,2,1)) + INDEX(doEff,3)*(INDEX(eff0Pol_Com,3)+INDEX(pushPol_Com,2)) + SUMPRODUCT(doEff,INDEX(polEff_Com,,6),N(_el&gt;2))</f>
        <v>2.1183370456236896</v>
      </c>
      <c r="L136" s="33">
        <f ca="1">SUMPRODUCT(OFFSET(doEff,0,0,2,1),OFFSET(INDEX(polEff_Com,1,8),0,0,2,1)) + INDEX(doEff,3)*(INDEX(eff0Pol_Com,3)+INDEX(pushPol_Com,2)) + SUMPRODUCT(doEff,INDEX(polEff_Com,,7),N(_el&gt;2))</f>
        <v>2.1182702058733947</v>
      </c>
      <c r="M136" s="33">
        <f ca="1">SUMPRODUCT(OFFSET(doEff,0,0,2,1),OFFSET(INDEX(polEff_Com,1,9),0,0,2,1)) + INDEX(doEff,3)*(INDEX(eff0Pol_Com,3)+INDEX(pushPol_Com,2)) + SUMPRODUCT(doEff,INDEX(polEff_Com,,8),N(_el&gt;2))</f>
        <v>2.1182037494596218</v>
      </c>
      <c r="N136" s="33">
        <f ca="1">SUMPRODUCT(OFFSET(doEff,0,0,2,1),OFFSET(INDEX(polEff_Com,1,10),0,0,2,1)) + INDEX(doEff,3)*(INDEX(eff0Pol_Com,3)+INDEX(pushPol_Com,2)) + SUMPRODUCT(doEff,INDEX(polEff_Com,,9),N(_el&gt;2))</f>
        <v>2.1181376649536801</v>
      </c>
      <c r="O136" s="33">
        <f ca="1">SUMPRODUCT(OFFSET(doEff,0,0,2,1),OFFSET(INDEX(polEff_Com,1,11),0,0,2,1)) + INDEX(doEff,3)*(INDEX(eff0Pol_Com,3)+INDEX(pushPol_Com,2)) + SUMPRODUCT(doEff,INDEX(polEff_Com,,10),N(_el&gt;2))</f>
        <v>2.1180719414956704</v>
      </c>
      <c r="P136" s="33">
        <f ca="1">SUMPRODUCT(OFFSET(doEff,0,0,2,1),OFFSET(INDEX(polEff_Com,1,12),0,0,2,1)) + INDEX(doEff,3)*(INDEX(eff0Pol_Com,3)+INDEX(pushPol_Com,2)) + SUMPRODUCT(doEff,INDEX(polEff_Com,,11),N(_el&gt;2))</f>
        <v>2.118064855082967</v>
      </c>
      <c r="Q136" s="33">
        <f ca="1">SUMPRODUCT(OFFSET(doEff,0,0,2,1),OFFSET(INDEX(polEff_Com,1,13),0,0,2,1)) + INDEX(doEff,3)*(INDEX(eff0Pol_Com,3)+INDEX(pushPol_Com,2)) + SUMPRODUCT(doEff,INDEX(polEff_Com,,12),N(_el&gt;2))</f>
        <v>2.118057821842704</v>
      </c>
      <c r="R136" s="33">
        <f ca="1">SUMPRODUCT(OFFSET(doEff,0,0,2,1),OFFSET(INDEX(polEff_Com,1,14),0,0,2,1)) + INDEX(doEff,3)*(INDEX(eff0Pol_Com,3)+INDEX(pushPol_Com,2)) + SUMPRODUCT(doEff,INDEX(polEff_Com,,13),N(_el&gt;2))</f>
        <v>2.1180508382034979</v>
      </c>
      <c r="S136" s="33">
        <f ca="1">SUMPRODUCT(OFFSET(doEff,0,0,2,1),OFFSET(INDEX(polEff_Com,1,15),0,0,2,1)) + INDEX(doEff,3)*(INDEX(eff0Pol_Com,3)+INDEX(pushPol_Com,2)) + SUMPRODUCT(doEff,INDEX(polEff_Com,,14),N(_el&gt;2))</f>
        <v>2.118043900901748</v>
      </c>
      <c r="T136" s="33">
        <f ca="1">SUMPRODUCT(OFFSET(doEff,0,0,2,1),OFFSET(INDEX(polEff_Com,1,16),0,0,2,1)) + INDEX(doEff,3)*(INDEX(eff0Pol_Com,3)+INDEX(pushPol_Com,2)) + SUMPRODUCT(doEff,INDEX(polEff_Com,,15),N(_el&gt;2))</f>
        <v>2.1180370069328216</v>
      </c>
      <c r="U136" s="33">
        <f ca="1">SUMPRODUCT(OFFSET(doEff,0,0,2,1),OFFSET(INDEX(polEff_Com,1,17),0,0,2,1)) + INDEX(doEff,3)*(INDEX(eff0Pol_Com,3)+INDEX(pushPol_Com,2)) + SUMPRODUCT(doEff,INDEX(polEff_Com,,16),N(_el&gt;2))</f>
        <v>2.1180301540326916</v>
      </c>
      <c r="V136" s="33">
        <f ca="1">SUMPRODUCT(OFFSET(doEff,0,0,2,1),OFFSET(INDEX(polEff_Com,1,18),0,0,2,1)) + INDEX(doEff,3)*(INDEX(eff0Pol_Com,3)+INDEX(pushPol_Com,2)) + SUMPRODUCT(doEff,INDEX(polEff_Com,,17),N(_el&gt;2))</f>
        <v>2.1180233400814359</v>
      </c>
      <c r="W136" s="33">
        <f ca="1">SUMPRODUCT(OFFSET(doEff,0,0,2,1),OFFSET(INDEX(polEff_Com,1,19),0,0,2,1)) + INDEX(doEff,3)*(INDEX(eff0Pol_Com,3)+INDEX(pushPol_Com,2)) + SUMPRODUCT(doEff,INDEX(polEff_Com,,18),N(_el&gt;2))</f>
        <v>2.1180165632559467</v>
      </c>
      <c r="X136" s="33">
        <f ca="1">SUMPRODUCT(OFFSET(doEff,0,0,2,1),OFFSET(INDEX(polEff_Com,1,20),0,0,2,1)) + INDEX(doEff,3)*(INDEX(eff0Pol_Com,3)+INDEX(pushPol_Com,2)) + SUMPRODUCT(doEff,INDEX(polEff_Com,,19),N(_el&gt;2))</f>
        <v>2.1180098219396362</v>
      </c>
      <c r="Y136" s="33">
        <f ca="1">SUMPRODUCT(OFFSET(doEff,0,0,2,1),OFFSET(INDEX(polEff_Com,1,21),0,0,2,1)) + INDEX(doEff,3)*(INDEX(eff0Pol_Com,3)+INDEX(pushPol_Com,2)) + SUMPRODUCT(doEff,INDEX(polEff_Com,,20),N(_el&gt;2))</f>
        <v>2.1180031146530096</v>
      </c>
      <c r="Z136" s="33">
        <f ca="1">SUMPRODUCT(OFFSET(doEff,0,0,2,1),OFFSET(INDEX(polEff_Com,1,22),0,0,2,1)) + INDEX(doEff,3)*(INDEX(eff0Pol_Com,3)+INDEX(pushPol_Com,2)) + SUMPRODUCT(doEff,INDEX(polEff_Com,,21),N(_el&gt;2))</f>
        <v>2.1180011959511544</v>
      </c>
      <c r="AA136" s="33">
        <f ca="1">SUMPRODUCT(OFFSET(doEff,0,0,2,1),OFFSET(INDEX(polEff_Com,1,23),0,0,2,1)) + INDEX(doEff,3)*(INDEX(eff0Pol_Com,3)+INDEX(pushPol_Com,2)) + SUMPRODUCT(doEff,INDEX(polEff_Com,,22),N(_el&gt;2))</f>
        <v>2.1179992891822979</v>
      </c>
      <c r="AB136" s="33">
        <f ca="1">SUMPRODUCT(OFFSET(doEff,0,0,2,1),OFFSET(INDEX(polEff_Com,1,24),0,0,2,1)) + INDEX(doEff,3)*(INDEX(eff0Pol_Com,3)+INDEX(pushPol_Com,2)) + SUMPRODUCT(doEff,INDEX(polEff_Com,,23),N(_el&gt;2))</f>
        <v>2.1179973932983764</v>
      </c>
      <c r="AC136" s="33">
        <f ca="1">SUMPRODUCT(OFFSET(doEff,0,0,2,1),OFFSET(INDEX(polEff_Com,1,25),0,0,2,1)) + INDEX(doEff,3)*(INDEX(eff0Pol_Com,3)+INDEX(pushPol_Com,2)) + SUMPRODUCT(doEff,INDEX(polEff_Com,,24),N(_el&gt;2))</f>
        <v>2.1179955073173939</v>
      </c>
      <c r="AD136" s="33">
        <f ca="1">SUMPRODUCT(OFFSET(doEff,0,0,2,1),OFFSET(INDEX(polEff_Com,1,26),0,0,2,1)) + INDEX(doEff,3)*(INDEX(eff0Pol_Com,3)+INDEX(pushPol_Com,2)) + SUMPRODUCT(doEff,INDEX(polEff_Com,,25),N(_el&gt;2))</f>
        <v>2.1179936303276361</v>
      </c>
      <c r="AE136" s="33">
        <f ca="1">SUMPRODUCT(OFFSET(doEff,0,0,2,1),OFFSET(INDEX(polEff_Com,1,27),0,0,2,1)) + INDEX(doEff,3)*(INDEX(eff0Pol_Com,3)+INDEX(pushPol_Com,2)) + SUMPRODUCT(doEff,INDEX(polEff_Com,,26),N(_el&gt;2))</f>
        <v>2.1179917614882302</v>
      </c>
      <c r="AF136" s="33">
        <f ca="1">SUMPRODUCT(OFFSET(doEff,0,0,2,1),OFFSET(INDEX(polEff_Com,1,28),0,0,2,1)) + INDEX(doEff,3)*(INDEX(eff0Pol_Com,3)+INDEX(pushPol_Com,2)) + SUMPRODUCT(doEff,INDEX(polEff_Com,,27),N(_el&gt;2))</f>
        <v>2.11798990002504</v>
      </c>
      <c r="AG136" s="33">
        <f ca="1">SUMPRODUCT(OFFSET(doEff,0,0,2,1),OFFSET(INDEX(polEff_Com,1,29),0,0,2,1)) + INDEX(doEff,3)*(INDEX(eff0Pol_Com,3)+INDEX(pushPol_Com,2)) + SUMPRODUCT(doEff,INDEX(polEff_Com,,28),N(_el&gt;2))</f>
        <v>2.1179880452237434</v>
      </c>
      <c r="AH136" s="33">
        <f ca="1">SUMPRODUCT(OFFSET(doEff,0,0,2,1),OFFSET(INDEX(polEff_Com,1,30),0,0,2,1)) + INDEX(doEff,3)*(INDEX(eff0Pol_Com,3)+INDEX(pushPol_Com,2)) + SUMPRODUCT(doEff,INDEX(polEff_Com,,29),N(_el&gt;2))</f>
        <v>2.1179861964218683</v>
      </c>
      <c r="AI136" s="33">
        <f ca="1">SUMPRODUCT(OFFSET(doEff,0,0,2,1),OFFSET(INDEX(polEff_Com,1,31),0,0,2,1)) + INDEX(doEff,3)*(INDEX(eff0Pol_Com,3)+INDEX(pushPol_Com,2)) + SUMPRODUCT(doEff,INDEX(polEff_Com,,30),N(_el&gt;2))</f>
        <v>2.1179843530013147</v>
      </c>
      <c r="AJ136" s="33">
        <f ca="1">SUMPRODUCT(OFFSET(doEff,0,0,2,1),OFFSET(INDEX(polEff_Com,1,32),0,0,2,1)) + INDEX(doEff,3)*(INDEX(eff0Pol_Com,3)+INDEX(pushPol_Com,2)) + SUMPRODUCT(doEff,INDEX(polEff_Com,,31),N(_el&gt;2))</f>
        <v>2.1179825143824766</v>
      </c>
      <c r="AK136" s="33">
        <f ca="1">SUMPRODUCT(OFFSET(doEff,0,0,2,1),OFFSET(INDEX(polEff_Com,1,33),0,0,2,1)) + INDEX(doEff,3)*(INDEX(eff0Pol_Com,3)+INDEX(pushPol_Com,2)) + SUMPRODUCT(doEff,INDEX(polEff_Com,,32),N(_el&gt;2))</f>
        <v>2.1179806800200609</v>
      </c>
      <c r="AL136" s="33">
        <f ca="1">SUMPRODUCT(OFFSET(doEff,0,0,2,1),OFFSET(INDEX(polEff_Com,1,34),0,0,2,1)) + INDEX(doEff,3)*(INDEX(eff0Pol_Com,3)+INDEX(pushPol_Com,2)) + SUMPRODUCT(doEff,INDEX(polEff_Com,,33),N(_el&gt;2))</f>
        <v>2.117978849400131</v>
      </c>
      <c r="AM136" s="33">
        <f ca="1">SUMPRODUCT(OFFSET(doEff,0,0,2,1),OFFSET(INDEX(polEff_Com,1,35),0,0,2,1)) + INDEX(doEff,3)*(INDEX(eff0Pol_Com,3)+INDEX(pushPol_Com,2)) + SUMPRODUCT(doEff,INDEX(polEff_Com,,34),N(_el&gt;2))</f>
        <v>2.1179770220385823</v>
      </c>
      <c r="AN136" s="34">
        <f ca="1">SUMPRODUCT(OFFSET(doEff,0,0,2,1),OFFSET(INDEX(polEff_Com,1,36),0,0,2,1)) + INDEX(doEff,3)*(INDEX(eff0Pol_Com,3)+INDEX(pushPol_Com,2)) + SUMPRODUCT(doEff,INDEX(polEff_Com,,35),N(_el&gt;2))</f>
        <v>2.1170539419087135</v>
      </c>
      <c r="AO136" s="8"/>
    </row>
    <row r="137" spans="2:41" hidden="1" x14ac:dyDescent="0.35">
      <c r="B137" s="8"/>
      <c r="C137" s="19" t="str">
        <f>"EL 3: " &amp; INDEX(_doName,1,4)</f>
        <v>EL 3: EL 3</v>
      </c>
      <c r="D137" s="11"/>
      <c r="E137" s="33"/>
      <c r="F137" s="33">
        <f ca="1">SUMPRODUCT(OFFSET(doEff,0,0,3,1),OFFSET(INDEX(polEff_Com,1,2),0,0,3,1)) + INDEX(doEff,4)*(INDEX(eff0Pol_Com,4)+INDEX(pushPol_Com,3)) + SUMPRODUCT(doEff,INDEX(polEff_Com,,1),N(_el&gt;3))</f>
        <v>1.9779018228559311</v>
      </c>
      <c r="G137" s="33">
        <f ca="1">SUMPRODUCT(OFFSET(doEff,0,0,3,1),OFFSET(INDEX(polEff_Com,1,3),0,0,3,1)) + INDEX(doEff,4)*(INDEX(eff0Pol_Com,4)+INDEX(pushPol_Com,3)) + SUMPRODUCT(doEff,INDEX(polEff_Com,,2),N(_el&gt;3))</f>
        <v>2.7652737093293176</v>
      </c>
      <c r="H137" s="33">
        <f ca="1">SUMPRODUCT(OFFSET(doEff,0,0,3,1),OFFSET(INDEX(polEff_Com,1,4),0,0,3,1)) + INDEX(doEff,4)*(INDEX(eff0Pol_Com,4)+INDEX(pushPol_Com,3)) + SUMPRODUCT(doEff,INDEX(polEff_Com,,3),N(_el&gt;3))</f>
        <v>2.1191354961150464</v>
      </c>
      <c r="I137" s="33">
        <f ca="1">SUMPRODUCT(OFFSET(doEff,0,0,3,1),OFFSET(INDEX(polEff_Com,1,5),0,0,3,1)) + INDEX(doEff,4)*(INDEX(eff0Pol_Com,4)+INDEX(pushPol_Com,3)) + SUMPRODUCT(doEff,INDEX(polEff_Com,,4),N(_el&gt;3))</f>
        <v>2.1188808840635076</v>
      </c>
      <c r="J137" s="33">
        <f ca="1">SUMPRODUCT(OFFSET(doEff,0,0,3,1),OFFSET(INDEX(polEff_Com,1,6),0,0,3,1)) + INDEX(doEff,4)*(INDEX(eff0Pol_Com,4)+INDEX(pushPol_Com,3)) + SUMPRODUCT(doEff,INDEX(polEff_Com,,5),N(_el&gt;3))</f>
        <v>2.11846466092436</v>
      </c>
      <c r="K137" s="33">
        <f ca="1">SUMPRODUCT(OFFSET(doEff,0,0,3,1),OFFSET(INDEX(polEff_Com,1,7),0,0,3,1)) + INDEX(doEff,4)*(INDEX(eff0Pol_Com,4)+INDEX(pushPol_Com,3)) + SUMPRODUCT(doEff,INDEX(polEff_Com,,6),N(_el&gt;3))</f>
        <v>2.1183970694783958</v>
      </c>
      <c r="L137" s="33">
        <f ca="1">SUMPRODUCT(OFFSET(doEff,0,0,3,1),OFFSET(INDEX(polEff_Com,1,8),0,0,3,1)) + INDEX(doEff,4)*(INDEX(eff0Pol_Com,4)+INDEX(pushPol_Com,3)) + SUMPRODUCT(doEff,INDEX(polEff_Com,,7),N(_el&gt;3))</f>
        <v>2.1183298854818151</v>
      </c>
      <c r="M137" s="33">
        <f ca="1">SUMPRODUCT(OFFSET(doEff,0,0,3,1),OFFSET(INDEX(polEff_Com,1,9),0,0,3,1)) + INDEX(doEff,4)*(INDEX(eff0Pol_Com,4)+INDEX(pushPol_Com,3)) + SUMPRODUCT(doEff,INDEX(polEff_Com,,8),N(_el&gt;3))</f>
        <v>2.1182630950850236</v>
      </c>
      <c r="N137" s="33">
        <f ca="1">SUMPRODUCT(OFFSET(doEff,0,0,3,1),OFFSET(INDEX(polEff_Com,1,10),0,0,3,1)) + INDEX(doEff,4)*(INDEX(eff0Pol_Com,4)+INDEX(pushPol_Com,3)) + SUMPRODUCT(doEff,INDEX(polEff_Com,,9),N(_el&gt;3))</f>
        <v>2.1181966863485373</v>
      </c>
      <c r="O137" s="33">
        <f ca="1">SUMPRODUCT(OFFSET(doEff,0,0,3,1),OFFSET(INDEX(polEff_Com,1,11),0,0,3,1)) + INDEX(doEff,4)*(INDEX(eff0Pol_Com,4)+INDEX(pushPol_Com,3)) + SUMPRODUCT(doEff,INDEX(polEff_Com,,10),N(_el&gt;3))</f>
        <v>2.118078305280763</v>
      </c>
      <c r="P137" s="33">
        <f ca="1">SUMPRODUCT(OFFSET(doEff,0,0,3,1),OFFSET(INDEX(polEff_Com,1,12),0,0,3,1)) + INDEX(doEff,4)*(INDEX(eff0Pol_Com,4)+INDEX(pushPol_Com,3)) + SUMPRODUCT(doEff,INDEX(polEff_Com,,11),N(_el&gt;3))</f>
        <v>2.1180711711178088</v>
      </c>
      <c r="Q137" s="33">
        <f ca="1">SUMPRODUCT(OFFSET(doEff,0,0,3,1),OFFSET(INDEX(polEff_Com,1,13),0,0,3,1)) + INDEX(doEff,4)*(INDEX(eff0Pol_Com,4)+INDEX(pushPol_Com,3)) + SUMPRODUCT(doEff,INDEX(polEff_Com,,12),N(_el&gt;3))</f>
        <v>2.1180640933344903</v>
      </c>
      <c r="R137" s="33">
        <f ca="1">SUMPRODUCT(OFFSET(doEff,0,0,3,1),OFFSET(INDEX(polEff_Com,1,14),0,0,3,1)) + INDEX(doEff,4)*(INDEX(eff0Pol_Com,4)+INDEX(pushPol_Com,3)) + SUMPRODUCT(doEff,INDEX(polEff_Com,,13),N(_el&gt;3))</f>
        <v>2.1180570680830302</v>
      </c>
      <c r="S137" s="33">
        <f ca="1">SUMPRODUCT(OFFSET(doEff,0,0,3,1),OFFSET(INDEX(polEff_Com,1,15),0,0,3,1)) + INDEX(doEff,4)*(INDEX(eff0Pol_Com,4)+INDEX(pushPol_Com,3)) + SUMPRODUCT(doEff,INDEX(polEff_Com,,14),N(_el&gt;3))</f>
        <v>2.1180500918672633</v>
      </c>
      <c r="T137" s="33">
        <f ca="1">SUMPRODUCT(OFFSET(doEff,0,0,3,1),OFFSET(INDEX(polEff_Com,1,16),0,0,3,1)) + INDEX(doEff,4)*(INDEX(eff0Pol_Com,4)+INDEX(pushPol_Com,3)) + SUMPRODUCT(doEff,INDEX(polEff_Com,,15),N(_el&gt;3))</f>
        <v>2.118043161017479</v>
      </c>
      <c r="U137" s="33">
        <f ca="1">SUMPRODUCT(OFFSET(doEff,0,0,3,1),OFFSET(INDEX(polEff_Com,1,17),0,0,3,1)) + INDEX(doEff,4)*(INDEX(eff0Pol_Com,4)+INDEX(pushPol_Com,3)) + SUMPRODUCT(doEff,INDEX(polEff_Com,,16),N(_el&gt;3))</f>
        <v>2.1180362731402327</v>
      </c>
      <c r="V137" s="33">
        <f ca="1">SUMPRODUCT(OFFSET(doEff,0,0,3,1),OFFSET(INDEX(polEff_Com,1,18),0,0,3,1)) + INDEX(doEff,4)*(INDEX(eff0Pol_Com,4)+INDEX(pushPol_Com,3)) + SUMPRODUCT(doEff,INDEX(polEff_Com,,17),N(_el&gt;3))</f>
        <v>2.1180294258490631</v>
      </c>
      <c r="W137" s="33">
        <f ca="1">SUMPRODUCT(OFFSET(doEff,0,0,3,1),OFFSET(INDEX(polEff_Com,1,19),0,0,3,1)) + INDEX(doEff,4)*(INDEX(eff0Pol_Com,4)+INDEX(pushPol_Com,3)) + SUMPRODUCT(doEff,INDEX(polEff_Com,,18),N(_el&gt;3))</f>
        <v>2.1180226171353969</v>
      </c>
      <c r="X137" s="33">
        <f ca="1">SUMPRODUCT(OFFSET(doEff,0,0,3,1),OFFSET(INDEX(polEff_Com,1,20),0,0,3,1)) + INDEX(doEff,4)*(INDEX(eff0Pol_Com,4)+INDEX(pushPol_Com,3)) + SUMPRODUCT(doEff,INDEX(polEff_Com,,19),N(_el&gt;3))</f>
        <v>2.118015845259535</v>
      </c>
      <c r="Y137" s="33">
        <f ca="1">SUMPRODUCT(OFFSET(doEff,0,0,3,1),OFFSET(INDEX(polEff_Com,1,21),0,0,3,1)) + INDEX(doEff,4)*(INDEX(eff0Pol_Com,4)+INDEX(pushPol_Com,3)) + SUMPRODUCT(doEff,INDEX(polEff_Com,,20),N(_el&gt;3))</f>
        <v>2.118004837697768</v>
      </c>
      <c r="Z137" s="33">
        <f ca="1">SUMPRODUCT(OFFSET(doEff,0,0,3,1),OFFSET(INDEX(polEff_Com,1,22),0,0,3,1)) + INDEX(doEff,4)*(INDEX(eff0Pol_Com,4)+INDEX(pushPol_Com,3)) + SUMPRODUCT(doEff,INDEX(polEff_Com,,21),N(_el&gt;3))</f>
        <v>2.1180029082797658</v>
      </c>
      <c r="AA137" s="33">
        <f ca="1">SUMPRODUCT(OFFSET(doEff,0,0,3,1),OFFSET(INDEX(polEff_Com,1,23),0,0,3,1)) + INDEX(doEff,4)*(INDEX(eff0Pol_Com,4)+INDEX(pushPol_Com,3)) + SUMPRODUCT(doEff,INDEX(polEff_Com,,22),N(_el&gt;3))</f>
        <v>2.118000991735951</v>
      </c>
      <c r="AB137" s="33">
        <f ca="1">SUMPRODUCT(OFFSET(doEff,0,0,3,1),OFFSET(INDEX(polEff_Com,1,24),0,0,3,1)) + INDEX(doEff,4)*(INDEX(eff0Pol_Com,4)+INDEX(pushPol_Com,3)) + SUMPRODUCT(doEff,INDEX(polEff_Com,,23),N(_el&gt;3))</f>
        <v>2.1179990869589296</v>
      </c>
      <c r="AC137" s="33">
        <f ca="1">SUMPRODUCT(OFFSET(doEff,0,0,3,1),OFFSET(INDEX(polEff_Com,1,25),0,0,3,1)) + INDEX(doEff,4)*(INDEX(eff0Pol_Com,4)+INDEX(pushPol_Com,3)) + SUMPRODUCT(doEff,INDEX(polEff_Com,,24),N(_el&gt;3))</f>
        <v>2.1179971929035908</v>
      </c>
      <c r="AD137" s="33">
        <f ca="1">SUMPRODUCT(OFFSET(doEff,0,0,3,1),OFFSET(INDEX(polEff_Com,1,26),0,0,3,1)) + INDEX(doEff,4)*(INDEX(eff0Pol_Com,4)+INDEX(pushPol_Com,3)) + SUMPRODUCT(doEff,INDEX(polEff_Com,,25),N(_el&gt;3))</f>
        <v>2.1179953085946033</v>
      </c>
      <c r="AE137" s="33">
        <f ca="1">SUMPRODUCT(OFFSET(doEff,0,0,3,1),OFFSET(INDEX(polEff_Com,1,27),0,0,3,1)) + INDEX(doEff,4)*(INDEX(eff0Pol_Com,4)+INDEX(pushPol_Com,3)) + SUMPRODUCT(doEff,INDEX(polEff_Com,,26),N(_el&gt;3))</f>
        <v>2.1179934331311605</v>
      </c>
      <c r="AF137" s="33">
        <f ca="1">SUMPRODUCT(OFFSET(doEff,0,0,3,1),OFFSET(INDEX(polEff_Com,1,28),0,0,3,1)) + INDEX(doEff,4)*(INDEX(eff0Pol_Com,4)+INDEX(pushPol_Com,3)) + SUMPRODUCT(doEff,INDEX(polEff_Com,,27),N(_el&gt;3))</f>
        <v>2.117991565685414</v>
      </c>
      <c r="AG137" s="33">
        <f ca="1">SUMPRODUCT(OFFSET(doEff,0,0,3,1),OFFSET(INDEX(polEff_Com,1,29),0,0,3,1)) + INDEX(doEff,4)*(INDEX(eff0Pol_Com,4)+INDEX(pushPol_Com,3)) + SUMPRODUCT(doEff,INDEX(polEff_Com,,28),N(_el&gt;3))</f>
        <v>2.1179897054964805</v>
      </c>
      <c r="AH137" s="33">
        <f ca="1">SUMPRODUCT(OFFSET(doEff,0,0,3,1),OFFSET(INDEX(polEff_Com,1,30),0,0,3,1)) + INDEX(doEff,4)*(INDEX(eff0Pol_Com,4)+INDEX(pushPol_Com,3)) + SUMPRODUCT(doEff,INDEX(polEff_Com,,29),N(_el&gt;3))</f>
        <v>2.1179878518620359</v>
      </c>
      <c r="AI137" s="33">
        <f ca="1">SUMPRODUCT(OFFSET(doEff,0,0,3,1),OFFSET(INDEX(polEff_Com,1,31),0,0,3,1)) + INDEX(doEff,4)*(INDEX(eff0Pol_Com,4)+INDEX(pushPol_Com,3)) + SUMPRODUCT(doEff,INDEX(polEff_Com,,30),N(_el&gt;3))</f>
        <v>2.1179860041294161</v>
      </c>
      <c r="AJ137" s="33">
        <f ca="1">SUMPRODUCT(OFFSET(doEff,0,0,3,1),OFFSET(INDEX(polEff_Com,1,32),0,0,3,1)) + INDEX(doEff,4)*(INDEX(eff0Pol_Com,4)+INDEX(pushPol_Com,3)) + SUMPRODUCT(doEff,INDEX(polEff_Com,,31),N(_el&gt;3))</f>
        <v>2.1179841616881987</v>
      </c>
      <c r="AK137" s="33">
        <f ca="1">SUMPRODUCT(OFFSET(doEff,0,0,3,1),OFFSET(INDEX(polEff_Com,1,33),0,0,3,1)) + INDEX(doEff,4)*(INDEX(eff0Pol_Com,4)+INDEX(pushPol_Com,3)) + SUMPRODUCT(doEff,INDEX(polEff_Com,,32),N(_el&gt;3))</f>
        <v>2.1179823239649322</v>
      </c>
      <c r="AL137" s="33">
        <f ca="1">SUMPRODUCT(OFFSET(doEff,0,0,3,1),OFFSET(INDEX(polEff_Com,1,34),0,0,3,1)) + INDEX(doEff,4)*(INDEX(eff0Pol_Com,4)+INDEX(pushPol_Com,3)) + SUMPRODUCT(doEff,INDEX(polEff_Com,,33),N(_el&gt;3))</f>
        <v>2.1179804904188897</v>
      </c>
      <c r="AM137" s="33">
        <f ca="1">SUMPRODUCT(OFFSET(doEff,0,0,3,1),OFFSET(INDEX(polEff_Com,1,35),0,0,3,1)) + INDEX(doEff,4)*(INDEX(eff0Pol_Com,4)+INDEX(pushPol_Com,3)) + SUMPRODUCT(doEff,INDEX(polEff_Com,,34),N(_el&gt;3))</f>
        <v>2.1188059722867867</v>
      </c>
      <c r="AN137" s="34">
        <f ca="1">SUMPRODUCT(OFFSET(doEff,0,0,3,1),OFFSET(INDEX(polEff_Com,1,36),0,0,3,1)) + INDEX(doEff,4)*(INDEX(eff0Pol_Com,4)+INDEX(pushPol_Com,3)) + SUMPRODUCT(doEff,INDEX(polEff_Com,,35),N(_el&gt;3))</f>
        <v>2.1170539419087135</v>
      </c>
      <c r="AO137" s="8"/>
    </row>
    <row r="138" spans="2:41" hidden="1" x14ac:dyDescent="0.35">
      <c r="B138" s="8"/>
      <c r="C138" s="35" t="str">
        <f>"EL 4: " &amp; INDEX(_doName,1,5)</f>
        <v>EL 4: EL 4</v>
      </c>
      <c r="D138" s="15"/>
      <c r="E138" s="21"/>
      <c r="F138" s="21">
        <f ca="1">SUMPRODUCT(OFFSET(doEff,0,0,4,1),OFFSET(INDEX(polEff_Com,1,2),0,0,4,1)) + INDEX(doEff,5)*(INDEX(eff0Pol_Com,5)+INDEX(pushPol_Com,4)) + 0</f>
        <v>1.9777031520408155</v>
      </c>
      <c r="G138" s="21">
        <f ca="1">SUMPRODUCT(OFFSET(doEff,0,0,4,1),OFFSET(INDEX(polEff_Com,1,3),0,0,4,1)) + INDEX(doEff,5)*(INDEX(eff0Pol_Com,5)+INDEX(pushPol_Com,4)) + 0</f>
        <v>2.1179172699700777</v>
      </c>
      <c r="H138" s="21">
        <f ca="1">SUMPRODUCT(OFFSET(doEff,0,0,4,1),OFFSET(INDEX(polEff_Com,1,4),0,0,4,1)) + INDEX(doEff,5)*(INDEX(eff0Pol_Com,5)+INDEX(pushPol_Com,4)) + 0</f>
        <v>2.1188550850390993</v>
      </c>
      <c r="I138" s="21">
        <f ca="1">SUMPRODUCT(OFFSET(doEff,0,0,4,1),OFFSET(INDEX(polEff_Com,1,5),0,0,4,1)) + INDEX(doEff,5)*(INDEX(eff0Pol_Com,5)+INDEX(pushPol_Com,4)) + 0</f>
        <v>2.1186025216845588</v>
      </c>
      <c r="J138" s="21">
        <f ca="1">SUMPRODUCT(OFFSET(doEff,0,0,4,1),OFFSET(INDEX(polEff_Com,1,6),0,0,4,1)) + INDEX(doEff,5)*(INDEX(eff0Pol_Com,5)+INDEX(pushPol_Com,4)) + 0</f>
        <v>2.1183901265113168</v>
      </c>
      <c r="K138" s="21">
        <f ca="1">SUMPRODUCT(OFFSET(doEff,0,0,4,1),OFFSET(INDEX(polEff_Com,1,7),0,0,4,1)) + INDEX(doEff,5)*(INDEX(eff0Pol_Com,5)+INDEX(pushPol_Com,4)) + 0</f>
        <v>2.1183229740973117</v>
      </c>
      <c r="L138" s="21">
        <f ca="1">SUMPRODUCT(OFFSET(doEff,0,0,4,1),OFFSET(INDEX(polEff_Com,1,8),0,0,4,1)) + INDEX(doEff,5)*(INDEX(eff0Pol_Com,5)+INDEX(pushPol_Com,4)) + 0</f>
        <v>2.1182562150494424</v>
      </c>
      <c r="M138" s="21">
        <f ca="1">SUMPRODUCT(OFFSET(doEff,0,0,4,1),OFFSET(INDEX(polEff_Com,1,9),0,0,4,1)) + INDEX(doEff,5)*(INDEX(eff0Pol_Com,5)+INDEX(pushPol_Com,4)) + 0</f>
        <v>2.1181898369320553</v>
      </c>
      <c r="N138" s="21">
        <f ca="1">SUMPRODUCT(OFFSET(doEff,0,0,4,1),OFFSET(INDEX(polEff_Com,1,10),0,0,4,1)) + INDEX(doEff,5)*(INDEX(eff0Pol_Com,5)+INDEX(pushPol_Com,4)) + 0</f>
        <v>2.1181238284362043</v>
      </c>
      <c r="O138" s="21">
        <f ca="1">SUMPRODUCT(OFFSET(doEff,0,0,4,1),OFFSET(INDEX(polEff_Com,1,11),0,0,4,1)) + INDEX(doEff,5)*(INDEX(eff0Pol_Com,5)+INDEX(pushPol_Com,4)) + 0</f>
        <v>2.1180704496193119</v>
      </c>
      <c r="P138" s="21">
        <f ca="1">SUMPRODUCT(OFFSET(doEff,0,0,4,1),OFFSET(INDEX(polEff_Com,1,12),0,0,4,1)) + INDEX(doEff,5)*(INDEX(eff0Pol_Com,5)+INDEX(pushPol_Com,4)) + 0</f>
        <v>2.1180633744008062</v>
      </c>
      <c r="Q138" s="21">
        <f ca="1">SUMPRODUCT(OFFSET(doEff,0,0,4,1),OFFSET(INDEX(polEff_Com,1,13),0,0,4,1)) + INDEX(doEff,5)*(INDEX(eff0Pol_Com,5)+INDEX(pushPol_Com,4)) + 0</f>
        <v>2.118056351602871</v>
      </c>
      <c r="R138" s="21">
        <f ca="1">SUMPRODUCT(OFFSET(doEff,0,0,4,1),OFFSET(INDEX(polEff_Com,1,14),0,0,4,1)) + INDEX(doEff,5)*(INDEX(eff0Pol_Com,5)+INDEX(pushPol_Com,4)) + 0</f>
        <v>2.1180493777189189</v>
      </c>
      <c r="S138" s="21">
        <f ca="1">SUMPRODUCT(OFFSET(doEff,0,0,4,1),OFFSET(INDEX(polEff_Com,1,15),0,0,4,1)) + INDEX(doEff,5)*(INDEX(eff0Pol_Com,5)+INDEX(pushPol_Com,4)) + 0</f>
        <v>2.1180424495398684</v>
      </c>
      <c r="T138" s="21">
        <f ca="1">SUMPRODUCT(OFFSET(doEff,0,0,4,1),OFFSET(INDEX(polEff_Com,1,16),0,0,4,1)) + INDEX(doEff,5)*(INDEX(eff0Pol_Com,5)+INDEX(pushPol_Com,4)) + 0</f>
        <v>2.118035564217005</v>
      </c>
      <c r="U138" s="21">
        <f ca="1">SUMPRODUCT(OFFSET(doEff,0,0,4,1),OFFSET(INDEX(polEff_Com,1,17),0,0,4,1)) + INDEX(doEff,5)*(INDEX(eff0Pol_Com,5)+INDEX(pushPol_Com,4)) + 0</f>
        <v>2.1180287195166376</v>
      </c>
      <c r="V138" s="21">
        <f ca="1">SUMPRODUCT(OFFSET(doEff,0,0,4,1),OFFSET(INDEX(polEff_Com,1,18),0,0,4,1)) + INDEX(doEff,5)*(INDEX(eff0Pol_Com,5)+INDEX(pushPol_Com,4)) + 0</f>
        <v>2.1180219133813334</v>
      </c>
      <c r="W138" s="21">
        <f ca="1">SUMPRODUCT(OFFSET(doEff,0,0,4,1),OFFSET(INDEX(polEff_Com,1,19),0,0,4,1)) + INDEX(doEff,5)*(INDEX(eff0Pol_Com,5)+INDEX(pushPol_Com,4)) + 0</f>
        <v>2.1180151440314603</v>
      </c>
      <c r="X138" s="21">
        <f ca="1">SUMPRODUCT(OFFSET(doEff,0,0,4,1),OFFSET(INDEX(polEff_Com,1,20),0,0,4,1)) + INDEX(doEff,5)*(INDEX(eff0Pol_Com,5)+INDEX(pushPol_Com,4)) + 0</f>
        <v>2.1180084098792942</v>
      </c>
      <c r="Y138" s="21">
        <f ca="1">SUMPRODUCT(OFFSET(doEff,0,0,4,1),OFFSET(INDEX(polEff_Com,1,21),0,0,4,1)) + INDEX(doEff,5)*(INDEX(eff0Pol_Com,5)+INDEX(pushPol_Com,4)) + 0</f>
        <v>2.1180027107157771</v>
      </c>
      <c r="Z138" s="21">
        <f ca="1">SUMPRODUCT(OFFSET(doEff,0,0,4,1),OFFSET(INDEX(polEff_Com,1,22),0,0,4,1)) + INDEX(doEff,5)*(INDEX(eff0Pol_Com,5)+INDEX(pushPol_Com,4)) + 0</f>
        <v>2.1180007945261319</v>
      </c>
      <c r="AA138" s="21">
        <f ca="1">SUMPRODUCT(OFFSET(doEff,0,0,4,1),OFFSET(INDEX(polEff_Com,1,23),0,0,4,1)) + INDEX(doEff,5)*(INDEX(eff0Pol_Com,5)+INDEX(pushPol_Com,4)) + 0</f>
        <v>2.1179988900488405</v>
      </c>
      <c r="AB138" s="21">
        <f ca="1">SUMPRODUCT(OFFSET(doEff,0,0,4,1),OFFSET(INDEX(polEff_Com,1,24),0,0,4,1)) + INDEX(doEff,5)*(INDEX(eff0Pol_Com,5)+INDEX(pushPol_Com,4)) + 0</f>
        <v>2.1179969962497482</v>
      </c>
      <c r="AC138" s="21">
        <f ca="1">SUMPRODUCT(OFFSET(doEff,0,0,4,1),OFFSET(INDEX(polEff_Com,1,25),0,0,4,1)) + INDEX(doEff,5)*(INDEX(eff0Pol_Com,5)+INDEX(pushPol_Com,4)) + 0</f>
        <v>2.1179951121616551</v>
      </c>
      <c r="AD138" s="21">
        <f ca="1">SUMPRODUCT(OFFSET(doEff,0,0,4,1),OFFSET(INDEX(polEff_Com,1,26),0,0,4,1)) + INDEX(doEff,5)*(INDEX(eff0Pol_Com,5)+INDEX(pushPol_Com,4)) + 0</f>
        <v>2.1179932368877616</v>
      </c>
      <c r="AE138" s="21">
        <f ca="1">SUMPRODUCT(OFFSET(doEff,0,0,4,1),OFFSET(INDEX(polEff_Com,1,27),0,0,4,1)) + INDEX(doEff,5)*(INDEX(eff0Pol_Com,5)+INDEX(pushPol_Com,4)) + 0</f>
        <v>2.1179913696012425</v>
      </c>
      <c r="AF138" s="21">
        <f ca="1">SUMPRODUCT(OFFSET(doEff,0,0,4,1),OFFSET(INDEX(polEff_Com,1,28),0,0,4,1)) + INDEX(doEff,5)*(INDEX(eff0Pol_Com,5)+INDEX(pushPol_Com,4)) + 0</f>
        <v>2.1179895095405561</v>
      </c>
      <c r="AG138" s="21">
        <f ca="1">SUMPRODUCT(OFFSET(doEff,0,0,4,1),OFFSET(INDEX(polEff_Com,1,29),0,0,4,1)) + INDEX(doEff,5)*(INDEX(eff0Pol_Com,5)+INDEX(pushPol_Com,4)) + 0</f>
        <v>2.1179876560022963</v>
      </c>
      <c r="AH138" s="21">
        <f ca="1">SUMPRODUCT(OFFSET(doEff,0,0,4,1),OFFSET(INDEX(polEff_Com,1,30),0,0,4,1)) + INDEX(doEff,5)*(INDEX(eff0Pol_Com,5)+INDEX(pushPol_Com,4)) + 0</f>
        <v>2.1179858083333305</v>
      </c>
      <c r="AI138" s="21">
        <f ca="1">SUMPRODUCT(OFFSET(doEff,0,0,4,1),OFFSET(INDEX(polEff_Com,1,31),0,0,4,1)) + INDEX(doEff,5)*(INDEX(eff0Pol_Com,5)+INDEX(pushPol_Com,4)) + 0</f>
        <v>2.1179839659236648</v>
      </c>
      <c r="AJ138" s="21">
        <f ca="1">SUMPRODUCT(OFFSET(doEff,0,0,4,1),OFFSET(INDEX(polEff_Com,1,32),0,0,4,1)) + INDEX(doEff,5)*(INDEX(eff0Pol_Com,5)+INDEX(pushPol_Com,4)) + 0</f>
        <v>2.1179821282009152</v>
      </c>
      <c r="AK138" s="21">
        <f ca="1">SUMPRODUCT(OFFSET(doEff,0,0,4,1),OFFSET(INDEX(polEff_Com,1,33),0,0,4,1)) + INDEX(doEff,5)*(INDEX(eff0Pol_Com,5)+INDEX(pushPol_Com,4)) + 0</f>
        <v>2.1179802946263915</v>
      </c>
      <c r="AL138" s="21">
        <f ca="1">SUMPRODUCT(OFFSET(doEff,0,0,4,1),OFFSET(INDEX(polEff_Com,1,34),0,0,4,1)) + INDEX(doEff,5)*(INDEX(eff0Pol_Com,5)+INDEX(pushPol_Com,4)) + 0</f>
        <v>2.1179784646924364</v>
      </c>
      <c r="AM138" s="21">
        <f ca="1">SUMPRODUCT(OFFSET(doEff,0,0,4,1),OFFSET(INDEX(polEff_Com,1,35),0,0,4,1)) + INDEX(doEff,5)*(INDEX(eff0Pol_Com,5)+INDEX(pushPol_Com,4)) + 0</f>
        <v>2.1177826893796627</v>
      </c>
      <c r="AN138" s="22">
        <f ca="1">SUMPRODUCT(OFFSET(doEff,0,0,4,1),OFFSET(INDEX(polEff_Com,1,36),0,0,4,1)) + INDEX(doEff,5)*(INDEX(eff0Pol_Com,5)+INDEX(pushPol_Com,4)) + 0</f>
        <v>2.1170539419087135</v>
      </c>
      <c r="AO138" s="8"/>
    </row>
    <row r="139" spans="2:41" hidden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</row>
    <row r="140" spans="2:41" hidden="1" x14ac:dyDescent="0.35">
      <c r="B140" s="8"/>
      <c r="C140" s="23" t="s">
        <v>88</v>
      </c>
      <c r="D140" s="24"/>
      <c r="E140" s="26">
        <f t="array" ref="E140:AN140">_yS</f>
        <v>2024</v>
      </c>
      <c r="F140" s="26">
        <v>2025</v>
      </c>
      <c r="G140" s="26">
        <v>2026</v>
      </c>
      <c r="H140" s="26">
        <v>2027</v>
      </c>
      <c r="I140" s="26">
        <v>2028</v>
      </c>
      <c r="J140" s="26">
        <v>2029</v>
      </c>
      <c r="K140" s="26">
        <v>2030</v>
      </c>
      <c r="L140" s="26">
        <v>2031</v>
      </c>
      <c r="M140" s="26">
        <v>2032</v>
      </c>
      <c r="N140" s="26">
        <v>2033</v>
      </c>
      <c r="O140" s="26">
        <v>2034</v>
      </c>
      <c r="P140" s="26">
        <v>2035</v>
      </c>
      <c r="Q140" s="26">
        <v>2036</v>
      </c>
      <c r="R140" s="26">
        <v>2037</v>
      </c>
      <c r="S140" s="26">
        <v>2038</v>
      </c>
      <c r="T140" s="26">
        <v>2039</v>
      </c>
      <c r="U140" s="26">
        <v>2040</v>
      </c>
      <c r="V140" s="26">
        <v>2041</v>
      </c>
      <c r="W140" s="26">
        <v>2042</v>
      </c>
      <c r="X140" s="26">
        <v>2043</v>
      </c>
      <c r="Y140" s="26">
        <v>2044</v>
      </c>
      <c r="Z140" s="26">
        <v>2045</v>
      </c>
      <c r="AA140" s="26">
        <v>2046</v>
      </c>
      <c r="AB140" s="26">
        <v>2047</v>
      </c>
      <c r="AC140" s="26">
        <v>2048</v>
      </c>
      <c r="AD140" s="26">
        <v>2049</v>
      </c>
      <c r="AE140" s="26">
        <v>2050</v>
      </c>
      <c r="AF140" s="26">
        <v>2051</v>
      </c>
      <c r="AG140" s="26">
        <v>2052</v>
      </c>
      <c r="AH140" s="26">
        <v>2053</v>
      </c>
      <c r="AI140" s="26">
        <v>2054</v>
      </c>
      <c r="AJ140" s="26">
        <v>2055</v>
      </c>
      <c r="AK140" s="26">
        <v>2056</v>
      </c>
      <c r="AL140" s="26">
        <v>2057</v>
      </c>
      <c r="AM140" s="26">
        <v>2058</v>
      </c>
      <c r="AN140" s="27">
        <v>2059</v>
      </c>
      <c r="AO140" s="8"/>
    </row>
    <row r="141" spans="2:41" hidden="1" x14ac:dyDescent="0.35">
      <c r="B141" s="8"/>
      <c r="C141" s="19" t="s">
        <v>89</v>
      </c>
      <c r="D141" s="11"/>
      <c r="E141" s="43">
        <f>0</f>
        <v>0</v>
      </c>
      <c r="F141" s="43">
        <f t="array" ref="F141:AN141">$E$141</f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0</v>
      </c>
      <c r="Y141" s="43">
        <v>0</v>
      </c>
      <c r="Z141" s="43">
        <v>0</v>
      </c>
      <c r="AA141" s="43">
        <v>0</v>
      </c>
      <c r="AB141" s="43">
        <v>0</v>
      </c>
      <c r="AC141" s="43">
        <v>0</v>
      </c>
      <c r="AD141" s="43">
        <v>0</v>
      </c>
      <c r="AE141" s="43">
        <v>0</v>
      </c>
      <c r="AF141" s="43">
        <v>0</v>
      </c>
      <c r="AG141" s="43">
        <v>0</v>
      </c>
      <c r="AH141" s="43">
        <v>0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4">
        <v>0</v>
      </c>
      <c r="AO141" s="8"/>
    </row>
    <row r="142" spans="2:41" hidden="1" x14ac:dyDescent="0.35">
      <c r="B142" s="8"/>
      <c r="C142" s="19" t="str">
        <f>"EL 0: " &amp; INDEX(_doName,1,1)</f>
        <v>EL 0: Baseline</v>
      </c>
      <c r="D142" s="11"/>
      <c r="E142" s="43"/>
      <c r="F142" s="43">
        <f>(INDEX(teffSumBC_Com,1,2)&lt;INDEX(effGoalBC_Com,2)) * MIN(INDEX(bcEff_Com,1,1),(INDEX(effGoalBC_Com,2)-INDEX(teffSumBC_Com,1,2))/(INDEX(doEff,2)-INDEX(doEff,1)))</f>
        <v>0</v>
      </c>
      <c r="G142" s="43">
        <f ca="1">(INDEX(teffSumBC_Com,1,3)&lt;INDEX(effGoalBC_Com,3)) * MIN(INDEX(bcEff_Com,1,2),(INDEX(effGoalBC_Com,3)-INDEX(teffSumBC_Com,1,3))/(INDEX(doEff,2)-INDEX(doEff,1)))</f>
        <v>0</v>
      </c>
      <c r="H142" s="43">
        <f ca="1">(INDEX(teffSumBC_Com,1,4)&lt;INDEX(effGoalBC_Com,4)) * MIN(INDEX(bcEff_Com,1,3),(INDEX(effGoalBC_Com,4)-INDEX(teffSumBC_Com,1,4))/(INDEX(doEff,2)-INDEX(doEff,1)))</f>
        <v>0</v>
      </c>
      <c r="I142" s="43">
        <f ca="1">(INDEX(teffSumBC_Com,1,5)&lt;INDEX(effGoalBC_Com,5)) * MIN(INDEX(bcEff_Com,1,4),(INDEX(effGoalBC_Com,5)-INDEX(teffSumBC_Com,1,5))/(INDEX(doEff,2)-INDEX(doEff,1)))</f>
        <v>0</v>
      </c>
      <c r="J142" s="43">
        <f ca="1">(INDEX(teffSumBC_Com,1,6)&lt;INDEX(effGoalBC_Com,6)) * MIN(INDEX(bcEff_Com,1,5),(INDEX(effGoalBC_Com,6)-INDEX(teffSumBC_Com,1,6))/(INDEX(doEff,2)-INDEX(doEff,1)))</f>
        <v>0</v>
      </c>
      <c r="K142" s="43">
        <f ca="1">(INDEX(teffSumBC_Com,1,7)&lt;INDEX(effGoalBC_Com,7)) * MIN(INDEX(bcEff_Com,1,6),(INDEX(effGoalBC_Com,7)-INDEX(teffSumBC_Com,1,7))/(INDEX(doEff,2)-INDEX(doEff,1)))</f>
        <v>0</v>
      </c>
      <c r="L142" s="43">
        <f ca="1">(INDEX(teffSumBC_Com,1,8)&lt;INDEX(effGoalBC_Com,8)) * MIN(INDEX(bcEff_Com,1,7),(INDEX(effGoalBC_Com,8)-INDEX(teffSumBC_Com,1,8))/(INDEX(doEff,2)-INDEX(doEff,1)))</f>
        <v>0</v>
      </c>
      <c r="M142" s="43">
        <f ca="1">(INDEX(teffSumBC_Com,1,9)&lt;INDEX(effGoalBC_Com,9)) * MIN(INDEX(bcEff_Com,1,8),(INDEX(effGoalBC_Com,9)-INDEX(teffSumBC_Com,1,9))/(INDEX(doEff,2)-INDEX(doEff,1)))</f>
        <v>0</v>
      </c>
      <c r="N142" s="43">
        <f ca="1">(INDEX(teffSumBC_Com,1,10)&lt;INDEX(effGoalBC_Com,10)) * MIN(INDEX(bcEff_Com,1,9),(INDEX(effGoalBC_Com,10)-INDEX(teffSumBC_Com,1,10))/(INDEX(doEff,2)-INDEX(doEff,1)))</f>
        <v>0</v>
      </c>
      <c r="O142" s="43">
        <f ca="1">(INDEX(teffSumBC_Com,1,11)&lt;INDEX(effGoalBC_Com,11)) * MIN(INDEX(bcEff_Com,1,10),(INDEX(effGoalBC_Com,11)-INDEX(teffSumBC_Com,1,11))/(INDEX(doEff,2)-INDEX(doEff,1)))</f>
        <v>0</v>
      </c>
      <c r="P142" s="43">
        <f ca="1">(INDEX(teffSumBC_Com,1,12)&lt;INDEX(effGoalBC_Com,12)) * MIN(INDEX(bcEff_Com,1,11),(INDEX(effGoalBC_Com,12)-INDEX(teffSumBC_Com,1,12))/(INDEX(doEff,2)-INDEX(doEff,1)))</f>
        <v>0</v>
      </c>
      <c r="Q142" s="43">
        <f ca="1">(INDEX(teffSumBC_Com,1,13)&lt;INDEX(effGoalBC_Com,13)) * MIN(INDEX(bcEff_Com,1,12),(INDEX(effGoalBC_Com,13)-INDEX(teffSumBC_Com,1,13))/(INDEX(doEff,2)-INDEX(doEff,1)))</f>
        <v>0</v>
      </c>
      <c r="R142" s="43">
        <f ca="1">(INDEX(teffSumBC_Com,1,14)&lt;INDEX(effGoalBC_Com,14)) * MIN(INDEX(bcEff_Com,1,13),(INDEX(effGoalBC_Com,14)-INDEX(teffSumBC_Com,1,14))/(INDEX(doEff,2)-INDEX(doEff,1)))</f>
        <v>0</v>
      </c>
      <c r="S142" s="43">
        <f ca="1">(INDEX(teffSumBC_Com,1,15)&lt;INDEX(effGoalBC_Com,15)) * MIN(INDEX(bcEff_Com,1,14),(INDEX(effGoalBC_Com,15)-INDEX(teffSumBC_Com,1,15))/(INDEX(doEff,2)-INDEX(doEff,1)))</f>
        <v>0</v>
      </c>
      <c r="T142" s="43">
        <f ca="1">(INDEX(teffSumBC_Com,1,16)&lt;INDEX(effGoalBC_Com,16)) * MIN(INDEX(bcEff_Com,1,15),(INDEX(effGoalBC_Com,16)-INDEX(teffSumBC_Com,1,16))/(INDEX(doEff,2)-INDEX(doEff,1)))</f>
        <v>0</v>
      </c>
      <c r="U142" s="43">
        <f ca="1">(INDEX(teffSumBC_Com,1,17)&lt;INDEX(effGoalBC_Com,17)) * MIN(INDEX(bcEff_Com,1,16),(INDEX(effGoalBC_Com,17)-INDEX(teffSumBC_Com,1,17))/(INDEX(doEff,2)-INDEX(doEff,1)))</f>
        <v>0</v>
      </c>
      <c r="V142" s="43">
        <f ca="1">(INDEX(teffSumBC_Com,1,18)&lt;INDEX(effGoalBC_Com,18)) * MIN(INDEX(bcEff_Com,1,17),(INDEX(effGoalBC_Com,18)-INDEX(teffSumBC_Com,1,18))/(INDEX(doEff,2)-INDEX(doEff,1)))</f>
        <v>0</v>
      </c>
      <c r="W142" s="43">
        <f ca="1">(INDEX(teffSumBC_Com,1,19)&lt;INDEX(effGoalBC_Com,19)) * MIN(INDEX(bcEff_Com,1,18),(INDEX(effGoalBC_Com,19)-INDEX(teffSumBC_Com,1,19))/(INDEX(doEff,2)-INDEX(doEff,1)))</f>
        <v>0</v>
      </c>
      <c r="X142" s="43">
        <f ca="1">(INDEX(teffSumBC_Com,1,20)&lt;INDEX(effGoalBC_Com,20)) * MIN(INDEX(bcEff_Com,1,19),(INDEX(effGoalBC_Com,20)-INDEX(teffSumBC_Com,1,20))/(INDEX(doEff,2)-INDEX(doEff,1)))</f>
        <v>0</v>
      </c>
      <c r="Y142" s="43">
        <f ca="1">(INDEX(teffSumBC_Com,1,21)&lt;INDEX(effGoalBC_Com,21)) * MIN(INDEX(bcEff_Com,1,20),(INDEX(effGoalBC_Com,21)-INDEX(teffSumBC_Com,1,21))/(INDEX(doEff,2)-INDEX(doEff,1)))</f>
        <v>0</v>
      </c>
      <c r="Z142" s="43">
        <f ca="1">(INDEX(teffSumBC_Com,1,22)&lt;INDEX(effGoalBC_Com,22)) * MIN(INDEX(bcEff_Com,1,21),(INDEX(effGoalBC_Com,22)-INDEX(teffSumBC_Com,1,22))/(INDEX(doEff,2)-INDEX(doEff,1)))</f>
        <v>0</v>
      </c>
      <c r="AA142" s="43">
        <f ca="1">(INDEX(teffSumBC_Com,1,23)&lt;INDEX(effGoalBC_Com,23)) * MIN(INDEX(bcEff_Com,1,22),(INDEX(effGoalBC_Com,23)-INDEX(teffSumBC_Com,1,23))/(INDEX(doEff,2)-INDEX(doEff,1)))</f>
        <v>0</v>
      </c>
      <c r="AB142" s="43">
        <f ca="1">(INDEX(teffSumBC_Com,1,24)&lt;INDEX(effGoalBC_Com,24)) * MIN(INDEX(bcEff_Com,1,23),(INDEX(effGoalBC_Com,24)-INDEX(teffSumBC_Com,1,24))/(INDEX(doEff,2)-INDEX(doEff,1)))</f>
        <v>0</v>
      </c>
      <c r="AC142" s="43">
        <f ca="1">(INDEX(teffSumBC_Com,1,25)&lt;INDEX(effGoalBC_Com,25)) * MIN(INDEX(bcEff_Com,1,24),(INDEX(effGoalBC_Com,25)-INDEX(teffSumBC_Com,1,25))/(INDEX(doEff,2)-INDEX(doEff,1)))</f>
        <v>0</v>
      </c>
      <c r="AD142" s="43">
        <f ca="1">(INDEX(teffSumBC_Com,1,26)&lt;INDEX(effGoalBC_Com,26)) * MIN(INDEX(bcEff_Com,1,25),(INDEX(effGoalBC_Com,26)-INDEX(teffSumBC_Com,1,26))/(INDEX(doEff,2)-INDEX(doEff,1)))</f>
        <v>0</v>
      </c>
      <c r="AE142" s="43">
        <f ca="1">(INDEX(teffSumBC_Com,1,27)&lt;INDEX(effGoalBC_Com,27)) * MIN(INDEX(bcEff_Com,1,26),(INDEX(effGoalBC_Com,27)-INDEX(teffSumBC_Com,1,27))/(INDEX(doEff,2)-INDEX(doEff,1)))</f>
        <v>0</v>
      </c>
      <c r="AF142" s="43">
        <f ca="1">(INDEX(teffSumBC_Com,1,28)&lt;INDEX(effGoalBC_Com,28)) * MIN(INDEX(bcEff_Com,1,27),(INDEX(effGoalBC_Com,28)-INDEX(teffSumBC_Com,1,28))/(INDEX(doEff,2)-INDEX(doEff,1)))</f>
        <v>0</v>
      </c>
      <c r="AG142" s="43">
        <f ca="1">(INDEX(teffSumBC_Com,1,29)&lt;INDEX(effGoalBC_Com,29)) * MIN(INDEX(bcEff_Com,1,28),(INDEX(effGoalBC_Com,29)-INDEX(teffSumBC_Com,1,29))/(INDEX(doEff,2)-INDEX(doEff,1)))</f>
        <v>0</v>
      </c>
      <c r="AH142" s="43">
        <f ca="1">(INDEX(teffSumBC_Com,1,30)&lt;INDEX(effGoalBC_Com,30)) * MIN(INDEX(bcEff_Com,1,29),(INDEX(effGoalBC_Com,30)-INDEX(teffSumBC_Com,1,30))/(INDEX(doEff,2)-INDEX(doEff,1)))</f>
        <v>0</v>
      </c>
      <c r="AI142" s="43">
        <f ca="1">(INDEX(teffSumBC_Com,1,31)&lt;INDEX(effGoalBC_Com,31)) * MIN(INDEX(bcEff_Com,1,30),(INDEX(effGoalBC_Com,31)-INDEX(teffSumBC_Com,1,31))/(INDEX(doEff,2)-INDEX(doEff,1)))</f>
        <v>0</v>
      </c>
      <c r="AJ142" s="43">
        <f ca="1">(INDEX(teffSumBC_Com,1,32)&lt;INDEX(effGoalBC_Com,32)) * MIN(INDEX(bcEff_Com,1,31),(INDEX(effGoalBC_Com,32)-INDEX(teffSumBC_Com,1,32))/(INDEX(doEff,2)-INDEX(doEff,1)))</f>
        <v>0</v>
      </c>
      <c r="AK142" s="43">
        <f ca="1">(INDEX(teffSumBC_Com,1,33)&lt;INDEX(effGoalBC_Com,33)) * MIN(INDEX(bcEff_Com,1,32),(INDEX(effGoalBC_Com,33)-INDEX(teffSumBC_Com,1,33))/(INDEX(doEff,2)-INDEX(doEff,1)))</f>
        <v>0</v>
      </c>
      <c r="AL142" s="43">
        <f ca="1">(INDEX(teffSumBC_Com,1,34)&lt;INDEX(effGoalBC_Com,34)) * MIN(INDEX(bcEff_Com,1,33),(INDEX(effGoalBC_Com,34)-INDEX(teffSumBC_Com,1,34))/(INDEX(doEff,2)-INDEX(doEff,1)))</f>
        <v>0</v>
      </c>
      <c r="AM142" s="43">
        <f ca="1">(INDEX(teffSumBC_Com,1,35)&lt;INDEX(effGoalBC_Com,35)) * MIN(INDEX(bcEff_Com,1,34),(INDEX(effGoalBC_Com,35)-INDEX(teffSumBC_Com,1,35))/(INDEX(doEff,2)-INDEX(doEff,1)))</f>
        <v>0</v>
      </c>
      <c r="AN142" s="44">
        <f ca="1">(INDEX(teffSumBC_Com,1,36)&lt;INDEX(effGoalBC_Com,36)) * MIN(INDEX(bcEff_Com,1,35),(INDEX(effGoalBC_Com,36)-INDEX(teffSumBC_Com,1,36))/(INDEX(doEff,2)-INDEX(doEff,1)))</f>
        <v>0</v>
      </c>
      <c r="AO142" s="8"/>
    </row>
    <row r="143" spans="2:41" hidden="1" x14ac:dyDescent="0.35">
      <c r="B143" s="8"/>
      <c r="C143" s="19" t="str">
        <f>"EL 1: " &amp; INDEX(_doName,1,2)</f>
        <v>EL 1: Tier 1</v>
      </c>
      <c r="D143" s="11"/>
      <c r="E143" s="43"/>
      <c r="F143" s="43">
        <f ca="1">(INDEX(teffSumBC_Com,2,2)&lt;INDEX(effGoalBC_Com,2)) * MIN(INDEX(bcEff_Com,2,1)+INDEX(pushBC_Com,1),(INDEX(effGoalBC_Com,2)-INDEX(teffSumBC_Com,2,2))/(INDEX(doEff,3)-INDEX(doEff,2)))</f>
        <v>0</v>
      </c>
      <c r="G143" s="43">
        <f ca="1">(INDEX(teffSumBC_Com,2,3)&lt;INDEX(effGoalBC_Com,3)) * MIN(INDEX(bcEff_Com,2,2)+INDEX(pushBC_Com,1),(INDEX(effGoalBC_Com,3)-INDEX(teffSumBC_Com,2,3))/(INDEX(doEff,3)-INDEX(doEff,2)))</f>
        <v>0</v>
      </c>
      <c r="H143" s="43">
        <f ca="1">(INDEX(teffSumBC_Com,2,4)&lt;INDEX(effGoalBC_Com,4)) * MIN(INDEX(bcEff_Com,2,3)+INDEX(pushBC_Com,1),(INDEX(effGoalBC_Com,4)-INDEX(teffSumBC_Com,2,4))/(INDEX(doEff,3)-INDEX(doEff,2)))</f>
        <v>0</v>
      </c>
      <c r="I143" s="43">
        <f ca="1">(INDEX(teffSumBC_Com,2,5)&lt;INDEX(effGoalBC_Com,5)) * MIN(INDEX(bcEff_Com,2,4)+INDEX(pushBC_Com,1),(INDEX(effGoalBC_Com,5)-INDEX(teffSumBC_Com,2,5))/(INDEX(doEff,3)-INDEX(doEff,2)))</f>
        <v>0</v>
      </c>
      <c r="J143" s="43">
        <f ca="1">(INDEX(teffSumBC_Com,2,6)&lt;INDEX(effGoalBC_Com,6)) * MIN(INDEX(bcEff_Com,2,5)+INDEX(pushBC_Com,1),(INDEX(effGoalBC_Com,6)-INDEX(teffSumBC_Com,2,6))/(INDEX(doEff,3)-INDEX(doEff,2)))</f>
        <v>0</v>
      </c>
      <c r="K143" s="43">
        <f ca="1">(INDEX(teffSumBC_Com,2,7)&lt;INDEX(effGoalBC_Com,7)) * MIN(INDEX(bcEff_Com,2,6)+INDEX(pushBC_Com,1),(INDEX(effGoalBC_Com,7)-INDEX(teffSumBC_Com,2,7))/(INDEX(doEff,3)-INDEX(doEff,2)))</f>
        <v>0</v>
      </c>
      <c r="L143" s="43">
        <f ca="1">(INDEX(teffSumBC_Com,2,8)&lt;INDEX(effGoalBC_Com,8)) * MIN(INDEX(bcEff_Com,2,7)+INDEX(pushBC_Com,1),(INDEX(effGoalBC_Com,8)-INDEX(teffSumBC_Com,2,8))/(INDEX(doEff,3)-INDEX(doEff,2)))</f>
        <v>0</v>
      </c>
      <c r="M143" s="43">
        <f ca="1">(INDEX(teffSumBC_Com,2,9)&lt;INDEX(effGoalBC_Com,9)) * MIN(INDEX(bcEff_Com,2,8)+INDEX(pushBC_Com,1),(INDEX(effGoalBC_Com,9)-INDEX(teffSumBC_Com,2,9))/(INDEX(doEff,3)-INDEX(doEff,2)))</f>
        <v>0</v>
      </c>
      <c r="N143" s="43">
        <f ca="1">(INDEX(teffSumBC_Com,2,10)&lt;INDEX(effGoalBC_Com,10)) * MIN(INDEX(bcEff_Com,2,9)+INDEX(pushBC_Com,1),(INDEX(effGoalBC_Com,10)-INDEX(teffSumBC_Com,2,10))/(INDEX(doEff,3)-INDEX(doEff,2)))</f>
        <v>0</v>
      </c>
      <c r="O143" s="43">
        <f ca="1">(INDEX(teffSumBC_Com,2,11)&lt;INDEX(effGoalBC_Com,11)) * MIN(INDEX(bcEff_Com,2,10)+INDEX(pushBC_Com,1),(INDEX(effGoalBC_Com,11)-INDEX(teffSumBC_Com,2,11))/(INDEX(doEff,3)-INDEX(doEff,2)))</f>
        <v>0</v>
      </c>
      <c r="P143" s="43">
        <f ca="1">(INDEX(teffSumBC_Com,2,12)&lt;INDEX(effGoalBC_Com,12)) * MIN(INDEX(bcEff_Com,2,11)+INDEX(pushBC_Com,1),(INDEX(effGoalBC_Com,12)-INDEX(teffSumBC_Com,2,12))/(INDEX(doEff,3)-INDEX(doEff,2)))</f>
        <v>0</v>
      </c>
      <c r="Q143" s="43">
        <f ca="1">(INDEX(teffSumBC_Com,2,13)&lt;INDEX(effGoalBC_Com,13)) * MIN(INDEX(bcEff_Com,2,12)+INDEX(pushBC_Com,1),(INDEX(effGoalBC_Com,13)-INDEX(teffSumBC_Com,2,13))/(INDEX(doEff,3)-INDEX(doEff,2)))</f>
        <v>0</v>
      </c>
      <c r="R143" s="43">
        <f ca="1">(INDEX(teffSumBC_Com,2,14)&lt;INDEX(effGoalBC_Com,14)) * MIN(INDEX(bcEff_Com,2,13)+INDEX(pushBC_Com,1),(INDEX(effGoalBC_Com,14)-INDEX(teffSumBC_Com,2,14))/(INDEX(doEff,3)-INDEX(doEff,2)))</f>
        <v>0</v>
      </c>
      <c r="S143" s="43">
        <f ca="1">(INDEX(teffSumBC_Com,2,15)&lt;INDEX(effGoalBC_Com,15)) * MIN(INDEX(bcEff_Com,2,14)+INDEX(pushBC_Com,1),(INDEX(effGoalBC_Com,15)-INDEX(teffSumBC_Com,2,15))/(INDEX(doEff,3)-INDEX(doEff,2)))</f>
        <v>0</v>
      </c>
      <c r="T143" s="43">
        <f ca="1">(INDEX(teffSumBC_Com,2,16)&lt;INDEX(effGoalBC_Com,16)) * MIN(INDEX(bcEff_Com,2,15)+INDEX(pushBC_Com,1),(INDEX(effGoalBC_Com,16)-INDEX(teffSumBC_Com,2,16))/(INDEX(doEff,3)-INDEX(doEff,2)))</f>
        <v>0</v>
      </c>
      <c r="U143" s="43">
        <f ca="1">(INDEX(teffSumBC_Com,2,17)&lt;INDEX(effGoalBC_Com,17)) * MIN(INDEX(bcEff_Com,2,16)+INDEX(pushBC_Com,1),(INDEX(effGoalBC_Com,17)-INDEX(teffSumBC_Com,2,17))/(INDEX(doEff,3)-INDEX(doEff,2)))</f>
        <v>0</v>
      </c>
      <c r="V143" s="43">
        <f ca="1">(INDEX(teffSumBC_Com,2,18)&lt;INDEX(effGoalBC_Com,18)) * MIN(INDEX(bcEff_Com,2,17)+INDEX(pushBC_Com,1),(INDEX(effGoalBC_Com,18)-INDEX(teffSumBC_Com,2,18))/(INDEX(doEff,3)-INDEX(doEff,2)))</f>
        <v>0</v>
      </c>
      <c r="W143" s="43">
        <f ca="1">(INDEX(teffSumBC_Com,2,19)&lt;INDEX(effGoalBC_Com,19)) * MIN(INDEX(bcEff_Com,2,18)+INDEX(pushBC_Com,1),(INDEX(effGoalBC_Com,19)-INDEX(teffSumBC_Com,2,19))/(INDEX(doEff,3)-INDEX(doEff,2)))</f>
        <v>0</v>
      </c>
      <c r="X143" s="43">
        <f ca="1">(INDEX(teffSumBC_Com,2,20)&lt;INDEX(effGoalBC_Com,20)) * MIN(INDEX(bcEff_Com,2,19)+INDEX(pushBC_Com,1),(INDEX(effGoalBC_Com,20)-INDEX(teffSumBC_Com,2,20))/(INDEX(doEff,3)-INDEX(doEff,2)))</f>
        <v>0</v>
      </c>
      <c r="Y143" s="43">
        <f ca="1">(INDEX(teffSumBC_Com,2,21)&lt;INDEX(effGoalBC_Com,21)) * MIN(INDEX(bcEff_Com,2,20)+INDEX(pushBC_Com,1),(INDEX(effGoalBC_Com,21)-INDEX(teffSumBC_Com,2,21))/(INDEX(doEff,3)-INDEX(doEff,2)))</f>
        <v>0</v>
      </c>
      <c r="Z143" s="43">
        <f ca="1">(INDEX(teffSumBC_Com,2,22)&lt;INDEX(effGoalBC_Com,22)) * MIN(INDEX(bcEff_Com,2,21)+INDEX(pushBC_Com,1),(INDEX(effGoalBC_Com,22)-INDEX(teffSumBC_Com,2,22))/(INDEX(doEff,3)-INDEX(doEff,2)))</f>
        <v>0</v>
      </c>
      <c r="AA143" s="43">
        <f ca="1">(INDEX(teffSumBC_Com,2,23)&lt;INDEX(effGoalBC_Com,23)) * MIN(INDEX(bcEff_Com,2,22)+INDEX(pushBC_Com,1),(INDEX(effGoalBC_Com,23)-INDEX(teffSumBC_Com,2,23))/(INDEX(doEff,3)-INDEX(doEff,2)))</f>
        <v>0</v>
      </c>
      <c r="AB143" s="43">
        <f ca="1">(INDEX(teffSumBC_Com,2,24)&lt;INDEX(effGoalBC_Com,24)) * MIN(INDEX(bcEff_Com,2,23)+INDEX(pushBC_Com,1),(INDEX(effGoalBC_Com,24)-INDEX(teffSumBC_Com,2,24))/(INDEX(doEff,3)-INDEX(doEff,2)))</f>
        <v>0</v>
      </c>
      <c r="AC143" s="43">
        <f ca="1">(INDEX(teffSumBC_Com,2,25)&lt;INDEX(effGoalBC_Com,25)) * MIN(INDEX(bcEff_Com,2,24)+INDEX(pushBC_Com,1),(INDEX(effGoalBC_Com,25)-INDEX(teffSumBC_Com,2,25))/(INDEX(doEff,3)-INDEX(doEff,2)))</f>
        <v>0</v>
      </c>
      <c r="AD143" s="43">
        <f ca="1">(INDEX(teffSumBC_Com,2,26)&lt;INDEX(effGoalBC_Com,26)) * MIN(INDEX(bcEff_Com,2,25)+INDEX(pushBC_Com,1),(INDEX(effGoalBC_Com,26)-INDEX(teffSumBC_Com,2,26))/(INDEX(doEff,3)-INDEX(doEff,2)))</f>
        <v>0</v>
      </c>
      <c r="AE143" s="43">
        <f ca="1">(INDEX(teffSumBC_Com,2,27)&lt;INDEX(effGoalBC_Com,27)) * MIN(INDEX(bcEff_Com,2,26)+INDEX(pushBC_Com,1),(INDEX(effGoalBC_Com,27)-INDEX(teffSumBC_Com,2,27))/(INDEX(doEff,3)-INDEX(doEff,2)))</f>
        <v>0</v>
      </c>
      <c r="AF143" s="43">
        <f ca="1">(INDEX(teffSumBC_Com,2,28)&lt;INDEX(effGoalBC_Com,28)) * MIN(INDEX(bcEff_Com,2,27)+INDEX(pushBC_Com,1),(INDEX(effGoalBC_Com,28)-INDEX(teffSumBC_Com,2,28))/(INDEX(doEff,3)-INDEX(doEff,2)))</f>
        <v>0</v>
      </c>
      <c r="AG143" s="43">
        <f ca="1">(INDEX(teffSumBC_Com,2,29)&lt;INDEX(effGoalBC_Com,29)) * MIN(INDEX(bcEff_Com,2,28)+INDEX(pushBC_Com,1),(INDEX(effGoalBC_Com,29)-INDEX(teffSumBC_Com,2,29))/(INDEX(doEff,3)-INDEX(doEff,2)))</f>
        <v>0</v>
      </c>
      <c r="AH143" s="43">
        <f ca="1">(INDEX(teffSumBC_Com,2,30)&lt;INDEX(effGoalBC_Com,30)) * MIN(INDEX(bcEff_Com,2,29)+INDEX(pushBC_Com,1),(INDEX(effGoalBC_Com,30)-INDEX(teffSumBC_Com,2,30))/(INDEX(doEff,3)-INDEX(doEff,2)))</f>
        <v>0</v>
      </c>
      <c r="AI143" s="43">
        <f ca="1">(INDEX(teffSumBC_Com,2,31)&lt;INDEX(effGoalBC_Com,31)) * MIN(INDEX(bcEff_Com,2,30)+INDEX(pushBC_Com,1),(INDEX(effGoalBC_Com,31)-INDEX(teffSumBC_Com,2,31))/(INDEX(doEff,3)-INDEX(doEff,2)))</f>
        <v>0</v>
      </c>
      <c r="AJ143" s="43">
        <f ca="1">(INDEX(teffSumBC_Com,2,32)&lt;INDEX(effGoalBC_Com,32)) * MIN(INDEX(bcEff_Com,2,31)+INDEX(pushBC_Com,1),(INDEX(effGoalBC_Com,32)-INDEX(teffSumBC_Com,2,32))/(INDEX(doEff,3)-INDEX(doEff,2)))</f>
        <v>0</v>
      </c>
      <c r="AK143" s="43">
        <f ca="1">(INDEX(teffSumBC_Com,2,33)&lt;INDEX(effGoalBC_Com,33)) * MIN(INDEX(bcEff_Com,2,32)+INDEX(pushBC_Com,1),(INDEX(effGoalBC_Com,33)-INDEX(teffSumBC_Com,2,33))/(INDEX(doEff,3)-INDEX(doEff,2)))</f>
        <v>0</v>
      </c>
      <c r="AL143" s="43">
        <f ca="1">(INDEX(teffSumBC_Com,2,34)&lt;INDEX(effGoalBC_Com,34)) * MIN(INDEX(bcEff_Com,2,33)+INDEX(pushBC_Com,1),(INDEX(effGoalBC_Com,34)-INDEX(teffSumBC_Com,2,34))/(INDEX(doEff,3)-INDEX(doEff,2)))</f>
        <v>0</v>
      </c>
      <c r="AM143" s="43">
        <f ca="1">(INDEX(teffSumBC_Com,2,35)&lt;INDEX(effGoalBC_Com,35)) * MIN(INDEX(bcEff_Com,2,34)+INDEX(pushBC_Com,1),(INDEX(effGoalBC_Com,35)-INDEX(teffSumBC_Com,2,35))/(INDEX(doEff,3)-INDEX(doEff,2)))</f>
        <v>0</v>
      </c>
      <c r="AN143" s="44">
        <f ca="1">(INDEX(teffSumBC_Com,2,36)&lt;INDEX(effGoalBC_Com,36)) * MIN(INDEX(bcEff_Com,2,35)+INDEX(pushBC_Com,1),(INDEX(effGoalBC_Com,36)-INDEX(teffSumBC_Com,2,36))/(INDEX(doEff,3)-INDEX(doEff,2)))</f>
        <v>0</v>
      </c>
      <c r="AO143" s="8"/>
    </row>
    <row r="144" spans="2:41" hidden="1" x14ac:dyDescent="0.35">
      <c r="B144" s="8"/>
      <c r="C144" s="19" t="str">
        <f>"EL 2: " &amp; INDEX(_doName,1,3)</f>
        <v>EL 2: Tier 2</v>
      </c>
      <c r="D144" s="11"/>
      <c r="E144" s="43"/>
      <c r="F144" s="43">
        <f ca="1">(INDEX(teffSumBC_Com,3,2)&lt;INDEX(effGoalBC_Com,2)) * MIN(INDEX(bcEff_Com,3,1)+INDEX(pushBC_Com,2),(INDEX(effGoalBC_Com,2)-INDEX(teffSumBC_Com,3,2))/(INDEX(doEff,4)-INDEX(doEff,3)))</f>
        <v>0</v>
      </c>
      <c r="G144" s="43">
        <f ca="1">(INDEX(teffSumBC_Com,3,3)&lt;INDEX(effGoalBC_Com,3)) * MIN(INDEX(bcEff_Com,3,2)+INDEX(pushBC_Com,2),(INDEX(effGoalBC_Com,3)-INDEX(teffSumBC_Com,3,3))/(INDEX(doEff,4)-INDEX(doEff,3)))</f>
        <v>0</v>
      </c>
      <c r="H144" s="43">
        <f ca="1">(INDEX(teffSumBC_Com,3,4)&lt;INDEX(effGoalBC_Com,4)) * MIN(INDEX(bcEff_Com,3,3)+INDEX(pushBC_Com,2),(INDEX(effGoalBC_Com,4)-INDEX(teffSumBC_Com,3,4))/(INDEX(doEff,4)-INDEX(doEff,3)))</f>
        <v>0</v>
      </c>
      <c r="I144" s="43">
        <f ca="1">(INDEX(teffSumBC_Com,3,5)&lt;INDEX(effGoalBC_Com,5)) * MIN(INDEX(bcEff_Com,3,4)+INDEX(pushBC_Com,2),(INDEX(effGoalBC_Com,5)-INDEX(teffSumBC_Com,3,5))/(INDEX(doEff,4)-INDEX(doEff,3)))</f>
        <v>0</v>
      </c>
      <c r="J144" s="43">
        <f ca="1">(INDEX(teffSumBC_Com,3,6)&lt;INDEX(effGoalBC_Com,6)) * MIN(INDEX(bcEff_Com,3,5)+INDEX(pushBC_Com,2),(INDEX(effGoalBC_Com,6)-INDEX(teffSumBC_Com,3,6))/(INDEX(doEff,4)-INDEX(doEff,3)))</f>
        <v>0</v>
      </c>
      <c r="K144" s="43">
        <f ca="1">(INDEX(teffSumBC_Com,3,7)&lt;INDEX(effGoalBC_Com,7)) * MIN(INDEX(bcEff_Com,3,6)+INDEX(pushBC_Com,2),(INDEX(effGoalBC_Com,7)-INDEX(teffSumBC_Com,3,7))/(INDEX(doEff,4)-INDEX(doEff,3)))</f>
        <v>0</v>
      </c>
      <c r="L144" s="43">
        <f ca="1">(INDEX(teffSumBC_Com,3,8)&lt;INDEX(effGoalBC_Com,8)) * MIN(INDEX(bcEff_Com,3,7)+INDEX(pushBC_Com,2),(INDEX(effGoalBC_Com,8)-INDEX(teffSumBC_Com,3,8))/(INDEX(doEff,4)-INDEX(doEff,3)))</f>
        <v>0</v>
      </c>
      <c r="M144" s="43">
        <f ca="1">(INDEX(teffSumBC_Com,3,9)&lt;INDEX(effGoalBC_Com,9)) * MIN(INDEX(bcEff_Com,3,8)+INDEX(pushBC_Com,2),(INDEX(effGoalBC_Com,9)-INDEX(teffSumBC_Com,3,9))/(INDEX(doEff,4)-INDEX(doEff,3)))</f>
        <v>0</v>
      </c>
      <c r="N144" s="43">
        <f ca="1">(INDEX(teffSumBC_Com,3,10)&lt;INDEX(effGoalBC_Com,10)) * MIN(INDEX(bcEff_Com,3,9)+INDEX(pushBC_Com,2),(INDEX(effGoalBC_Com,10)-INDEX(teffSumBC_Com,3,10))/(INDEX(doEff,4)-INDEX(doEff,3)))</f>
        <v>0</v>
      </c>
      <c r="O144" s="43">
        <f ca="1">(INDEX(teffSumBC_Com,3,11)&lt;INDEX(effGoalBC_Com,11)) * MIN(INDEX(bcEff_Com,3,10)+INDEX(pushBC_Com,2),(INDEX(effGoalBC_Com,11)-INDEX(teffSumBC_Com,3,11))/(INDEX(doEff,4)-INDEX(doEff,3)))</f>
        <v>0</v>
      </c>
      <c r="P144" s="43">
        <f ca="1">(INDEX(teffSumBC_Com,3,12)&lt;INDEX(effGoalBC_Com,12)) * MIN(INDEX(bcEff_Com,3,11)+INDEX(pushBC_Com,2),(INDEX(effGoalBC_Com,12)-INDEX(teffSumBC_Com,3,12))/(INDEX(doEff,4)-INDEX(doEff,3)))</f>
        <v>0</v>
      </c>
      <c r="Q144" s="43">
        <f ca="1">(INDEX(teffSumBC_Com,3,13)&lt;INDEX(effGoalBC_Com,13)) * MIN(INDEX(bcEff_Com,3,12)+INDEX(pushBC_Com,2),(INDEX(effGoalBC_Com,13)-INDEX(teffSumBC_Com,3,13))/(INDEX(doEff,4)-INDEX(doEff,3)))</f>
        <v>0</v>
      </c>
      <c r="R144" s="43">
        <f ca="1">(INDEX(teffSumBC_Com,3,14)&lt;INDEX(effGoalBC_Com,14)) * MIN(INDEX(bcEff_Com,3,13)+INDEX(pushBC_Com,2),(INDEX(effGoalBC_Com,14)-INDEX(teffSumBC_Com,3,14))/(INDEX(doEff,4)-INDEX(doEff,3)))</f>
        <v>0</v>
      </c>
      <c r="S144" s="43">
        <f ca="1">(INDEX(teffSumBC_Com,3,15)&lt;INDEX(effGoalBC_Com,15)) * MIN(INDEX(bcEff_Com,3,14)+INDEX(pushBC_Com,2),(INDEX(effGoalBC_Com,15)-INDEX(teffSumBC_Com,3,15))/(INDEX(doEff,4)-INDEX(doEff,3)))</f>
        <v>0</v>
      </c>
      <c r="T144" s="43">
        <f ca="1">(INDEX(teffSumBC_Com,3,16)&lt;INDEX(effGoalBC_Com,16)) * MIN(INDEX(bcEff_Com,3,15)+INDEX(pushBC_Com,2),(INDEX(effGoalBC_Com,16)-INDEX(teffSumBC_Com,3,16))/(INDEX(doEff,4)-INDEX(doEff,3)))</f>
        <v>0</v>
      </c>
      <c r="U144" s="43">
        <f ca="1">(INDEX(teffSumBC_Com,3,17)&lt;INDEX(effGoalBC_Com,17)) * MIN(INDEX(bcEff_Com,3,16)+INDEX(pushBC_Com,2),(INDEX(effGoalBC_Com,17)-INDEX(teffSumBC_Com,3,17))/(INDEX(doEff,4)-INDEX(doEff,3)))</f>
        <v>0</v>
      </c>
      <c r="V144" s="43">
        <f ca="1">(INDEX(teffSumBC_Com,3,18)&lt;INDEX(effGoalBC_Com,18)) * MIN(INDEX(bcEff_Com,3,17)+INDEX(pushBC_Com,2),(INDEX(effGoalBC_Com,18)-INDEX(teffSumBC_Com,3,18))/(INDEX(doEff,4)-INDEX(doEff,3)))</f>
        <v>0</v>
      </c>
      <c r="W144" s="43">
        <f ca="1">(INDEX(teffSumBC_Com,3,19)&lt;INDEX(effGoalBC_Com,19)) * MIN(INDEX(bcEff_Com,3,18)+INDEX(pushBC_Com,2),(INDEX(effGoalBC_Com,19)-INDEX(teffSumBC_Com,3,19))/(INDEX(doEff,4)-INDEX(doEff,3)))</f>
        <v>0</v>
      </c>
      <c r="X144" s="43">
        <f ca="1">(INDEX(teffSumBC_Com,3,20)&lt;INDEX(effGoalBC_Com,20)) * MIN(INDEX(bcEff_Com,3,19)+INDEX(pushBC_Com,2),(INDEX(effGoalBC_Com,20)-INDEX(teffSumBC_Com,3,20))/(INDEX(doEff,4)-INDEX(doEff,3)))</f>
        <v>0</v>
      </c>
      <c r="Y144" s="43">
        <f ca="1">(INDEX(teffSumBC_Com,3,21)&lt;INDEX(effGoalBC_Com,21)) * MIN(INDEX(bcEff_Com,3,20)+INDEX(pushBC_Com,2),(INDEX(effGoalBC_Com,21)-INDEX(teffSumBC_Com,3,21))/(INDEX(doEff,4)-INDEX(doEff,3)))</f>
        <v>0</v>
      </c>
      <c r="Z144" s="43">
        <f ca="1">(INDEX(teffSumBC_Com,3,22)&lt;INDEX(effGoalBC_Com,22)) * MIN(INDEX(bcEff_Com,3,21)+INDEX(pushBC_Com,2),(INDEX(effGoalBC_Com,22)-INDEX(teffSumBC_Com,3,22))/(INDEX(doEff,4)-INDEX(doEff,3)))</f>
        <v>0</v>
      </c>
      <c r="AA144" s="43">
        <f ca="1">(INDEX(teffSumBC_Com,3,23)&lt;INDEX(effGoalBC_Com,23)) * MIN(INDEX(bcEff_Com,3,22)+INDEX(pushBC_Com,2),(INDEX(effGoalBC_Com,23)-INDEX(teffSumBC_Com,3,23))/(INDEX(doEff,4)-INDEX(doEff,3)))</f>
        <v>0</v>
      </c>
      <c r="AB144" s="43">
        <f ca="1">(INDEX(teffSumBC_Com,3,24)&lt;INDEX(effGoalBC_Com,24)) * MIN(INDEX(bcEff_Com,3,23)+INDEX(pushBC_Com,2),(INDEX(effGoalBC_Com,24)-INDEX(teffSumBC_Com,3,24))/(INDEX(doEff,4)-INDEX(doEff,3)))</f>
        <v>0</v>
      </c>
      <c r="AC144" s="43">
        <f ca="1">(INDEX(teffSumBC_Com,3,25)&lt;INDEX(effGoalBC_Com,25)) * MIN(INDEX(bcEff_Com,3,24)+INDEX(pushBC_Com,2),(INDEX(effGoalBC_Com,25)-INDEX(teffSumBC_Com,3,25))/(INDEX(doEff,4)-INDEX(doEff,3)))</f>
        <v>0</v>
      </c>
      <c r="AD144" s="43">
        <f ca="1">(INDEX(teffSumBC_Com,3,26)&lt;INDEX(effGoalBC_Com,26)) * MIN(INDEX(bcEff_Com,3,25)+INDEX(pushBC_Com,2),(INDEX(effGoalBC_Com,26)-INDEX(teffSumBC_Com,3,26))/(INDEX(doEff,4)-INDEX(doEff,3)))</f>
        <v>0</v>
      </c>
      <c r="AE144" s="43">
        <f ca="1">(INDEX(teffSumBC_Com,3,27)&lt;INDEX(effGoalBC_Com,27)) * MIN(INDEX(bcEff_Com,3,26)+INDEX(pushBC_Com,2),(INDEX(effGoalBC_Com,27)-INDEX(teffSumBC_Com,3,27))/(INDEX(doEff,4)-INDEX(doEff,3)))</f>
        <v>0</v>
      </c>
      <c r="AF144" s="43">
        <f ca="1">(INDEX(teffSumBC_Com,3,28)&lt;INDEX(effGoalBC_Com,28)) * MIN(INDEX(bcEff_Com,3,27)+INDEX(pushBC_Com,2),(INDEX(effGoalBC_Com,28)-INDEX(teffSumBC_Com,3,28))/(INDEX(doEff,4)-INDEX(doEff,3)))</f>
        <v>0</v>
      </c>
      <c r="AG144" s="43">
        <f ca="1">(INDEX(teffSumBC_Com,3,29)&lt;INDEX(effGoalBC_Com,29)) * MIN(INDEX(bcEff_Com,3,28)+INDEX(pushBC_Com,2),(INDEX(effGoalBC_Com,29)-INDEX(teffSumBC_Com,3,29))/(INDEX(doEff,4)-INDEX(doEff,3)))</f>
        <v>0</v>
      </c>
      <c r="AH144" s="43">
        <f ca="1">(INDEX(teffSumBC_Com,3,30)&lt;INDEX(effGoalBC_Com,30)) * MIN(INDEX(bcEff_Com,3,29)+INDEX(pushBC_Com,2),(INDEX(effGoalBC_Com,30)-INDEX(teffSumBC_Com,3,30))/(INDEX(doEff,4)-INDEX(doEff,3)))</f>
        <v>0</v>
      </c>
      <c r="AI144" s="43">
        <f ca="1">(INDEX(teffSumBC_Com,3,31)&lt;INDEX(effGoalBC_Com,31)) * MIN(INDEX(bcEff_Com,3,30)+INDEX(pushBC_Com,2),(INDEX(effGoalBC_Com,31)-INDEX(teffSumBC_Com,3,31))/(INDEX(doEff,4)-INDEX(doEff,3)))</f>
        <v>0</v>
      </c>
      <c r="AJ144" s="43">
        <f ca="1">(INDEX(teffSumBC_Com,3,32)&lt;INDEX(effGoalBC_Com,32)) * MIN(INDEX(bcEff_Com,3,31)+INDEX(pushBC_Com,2),(INDEX(effGoalBC_Com,32)-INDEX(teffSumBC_Com,3,32))/(INDEX(doEff,4)-INDEX(doEff,3)))</f>
        <v>0</v>
      </c>
      <c r="AK144" s="43">
        <f ca="1">(INDEX(teffSumBC_Com,3,33)&lt;INDEX(effGoalBC_Com,33)) * MIN(INDEX(bcEff_Com,3,32)+INDEX(pushBC_Com,2),(INDEX(effGoalBC_Com,33)-INDEX(teffSumBC_Com,3,33))/(INDEX(doEff,4)-INDEX(doEff,3)))</f>
        <v>0</v>
      </c>
      <c r="AL144" s="43">
        <f ca="1">(INDEX(teffSumBC_Com,3,34)&lt;INDEX(effGoalBC_Com,34)) * MIN(INDEX(bcEff_Com,3,33)+INDEX(pushBC_Com,2),(INDEX(effGoalBC_Com,34)-INDEX(teffSumBC_Com,3,34))/(INDEX(doEff,4)-INDEX(doEff,3)))</f>
        <v>0</v>
      </c>
      <c r="AM144" s="43">
        <f ca="1">(INDEX(teffSumBC_Com,3,35)&lt;INDEX(effGoalBC_Com,35)) * MIN(INDEX(bcEff_Com,3,34)+INDEX(pushBC_Com,2),(INDEX(effGoalBC_Com,35)-INDEX(teffSumBC_Com,3,35))/(INDEX(doEff,4)-INDEX(doEff,3)))</f>
        <v>0</v>
      </c>
      <c r="AN144" s="44">
        <f ca="1">(INDEX(teffSumBC_Com,3,36)&lt;INDEX(effGoalBC_Com,36)) * MIN(INDEX(bcEff_Com,3,35)+INDEX(pushBC_Com,2),(INDEX(effGoalBC_Com,36)-INDEX(teffSumBC_Com,3,36))/(INDEX(doEff,4)-INDEX(doEff,3)))</f>
        <v>0</v>
      </c>
      <c r="AO144" s="8"/>
    </row>
    <row r="145" spans="2:41" hidden="1" x14ac:dyDescent="0.35">
      <c r="B145" s="8"/>
      <c r="C145" s="19" t="str">
        <f>"EL 3: " &amp; INDEX(_doName,1,4)</f>
        <v>EL 3: EL 3</v>
      </c>
      <c r="D145" s="11"/>
      <c r="E145" s="43"/>
      <c r="F145" s="43">
        <f ca="1">(INDEX(teffSumBC_Com,4,2)&lt;INDEX(effGoalBC_Com,2)) * MIN(INDEX(bcEff_Com,4,1)+INDEX(pushBC_Com,3),(INDEX(effGoalBC_Com,2)-INDEX(teffSumBC_Com,4,2))/(INDEX(doEff,5)-INDEX(doEff,4)))</f>
        <v>0</v>
      </c>
      <c r="G145" s="43">
        <f ca="1">(INDEX(teffSumBC_Com,4,3)&lt;INDEX(effGoalBC_Com,3)) * MIN(INDEX(bcEff_Com,4,2)+INDEX(pushBC_Com,3),(INDEX(effGoalBC_Com,3)-INDEX(teffSumBC_Com,4,3))/(INDEX(doEff,5)-INDEX(doEff,4)))</f>
        <v>0</v>
      </c>
      <c r="H145" s="43">
        <f ca="1">(INDEX(teffSumBC_Com,4,4)&lt;INDEX(effGoalBC_Com,4)) * MIN(INDEX(bcEff_Com,4,3)+INDEX(pushBC_Com,3),(INDEX(effGoalBC_Com,4)-INDEX(teffSumBC_Com,4,4))/(INDEX(doEff,5)-INDEX(doEff,4)))</f>
        <v>0</v>
      </c>
      <c r="I145" s="43">
        <f ca="1">(INDEX(teffSumBC_Com,4,5)&lt;INDEX(effGoalBC_Com,5)) * MIN(INDEX(bcEff_Com,4,4)+INDEX(pushBC_Com,3),(INDEX(effGoalBC_Com,5)-INDEX(teffSumBC_Com,4,5))/(INDEX(doEff,5)-INDEX(doEff,4)))</f>
        <v>0</v>
      </c>
      <c r="J145" s="43">
        <f ca="1">(INDEX(teffSumBC_Com,4,6)&lt;INDEX(effGoalBC_Com,6)) * MIN(INDEX(bcEff_Com,4,5)+INDEX(pushBC_Com,3),(INDEX(effGoalBC_Com,6)-INDEX(teffSumBC_Com,4,6))/(INDEX(doEff,5)-INDEX(doEff,4)))</f>
        <v>0</v>
      </c>
      <c r="K145" s="43">
        <f ca="1">(INDEX(teffSumBC_Com,4,7)&lt;INDEX(effGoalBC_Com,7)) * MIN(INDEX(bcEff_Com,4,6)+INDEX(pushBC_Com,3),(INDEX(effGoalBC_Com,7)-INDEX(teffSumBC_Com,4,7))/(INDEX(doEff,5)-INDEX(doEff,4)))</f>
        <v>0</v>
      </c>
      <c r="L145" s="43">
        <f ca="1">(INDEX(teffSumBC_Com,4,8)&lt;INDEX(effGoalBC_Com,8)) * MIN(INDEX(bcEff_Com,4,7)+INDEX(pushBC_Com,3),(INDEX(effGoalBC_Com,8)-INDEX(teffSumBC_Com,4,8))/(INDEX(doEff,5)-INDEX(doEff,4)))</f>
        <v>0</v>
      </c>
      <c r="M145" s="43">
        <f ca="1">(INDEX(teffSumBC_Com,4,9)&lt;INDEX(effGoalBC_Com,9)) * MIN(INDEX(bcEff_Com,4,8)+INDEX(pushBC_Com,3),(INDEX(effGoalBC_Com,9)-INDEX(teffSumBC_Com,4,9))/(INDEX(doEff,5)-INDEX(doEff,4)))</f>
        <v>0</v>
      </c>
      <c r="N145" s="43">
        <f ca="1">(INDEX(teffSumBC_Com,4,10)&lt;INDEX(effGoalBC_Com,10)) * MIN(INDEX(bcEff_Com,4,9)+INDEX(pushBC_Com,3),(INDEX(effGoalBC_Com,10)-INDEX(teffSumBC_Com,4,10))/(INDEX(doEff,5)-INDEX(doEff,4)))</f>
        <v>0</v>
      </c>
      <c r="O145" s="43">
        <f ca="1">(INDEX(teffSumBC_Com,4,11)&lt;INDEX(effGoalBC_Com,11)) * MIN(INDEX(bcEff_Com,4,10)+INDEX(pushBC_Com,3),(INDEX(effGoalBC_Com,11)-INDEX(teffSumBC_Com,4,11))/(INDEX(doEff,5)-INDEX(doEff,4)))</f>
        <v>0</v>
      </c>
      <c r="P145" s="43">
        <f ca="1">(INDEX(teffSumBC_Com,4,12)&lt;INDEX(effGoalBC_Com,12)) * MIN(INDEX(bcEff_Com,4,11)+INDEX(pushBC_Com,3),(INDEX(effGoalBC_Com,12)-INDEX(teffSumBC_Com,4,12))/(INDEX(doEff,5)-INDEX(doEff,4)))</f>
        <v>0</v>
      </c>
      <c r="Q145" s="43">
        <f ca="1">(INDEX(teffSumBC_Com,4,13)&lt;INDEX(effGoalBC_Com,13)) * MIN(INDEX(bcEff_Com,4,12)+INDEX(pushBC_Com,3),(INDEX(effGoalBC_Com,13)-INDEX(teffSumBC_Com,4,13))/(INDEX(doEff,5)-INDEX(doEff,4)))</f>
        <v>0</v>
      </c>
      <c r="R145" s="43">
        <f ca="1">(INDEX(teffSumBC_Com,4,14)&lt;INDEX(effGoalBC_Com,14)) * MIN(INDEX(bcEff_Com,4,13)+INDEX(pushBC_Com,3),(INDEX(effGoalBC_Com,14)-INDEX(teffSumBC_Com,4,14))/(INDEX(doEff,5)-INDEX(doEff,4)))</f>
        <v>0</v>
      </c>
      <c r="S145" s="43">
        <f ca="1">(INDEX(teffSumBC_Com,4,15)&lt;INDEX(effGoalBC_Com,15)) * MIN(INDEX(bcEff_Com,4,14)+INDEX(pushBC_Com,3),(INDEX(effGoalBC_Com,15)-INDEX(teffSumBC_Com,4,15))/(INDEX(doEff,5)-INDEX(doEff,4)))</f>
        <v>0</v>
      </c>
      <c r="T145" s="43">
        <f ca="1">(INDEX(teffSumBC_Com,4,16)&lt;INDEX(effGoalBC_Com,16)) * MIN(INDEX(bcEff_Com,4,15)+INDEX(pushBC_Com,3),(INDEX(effGoalBC_Com,16)-INDEX(teffSumBC_Com,4,16))/(INDEX(doEff,5)-INDEX(doEff,4)))</f>
        <v>0</v>
      </c>
      <c r="U145" s="43">
        <f ca="1">(INDEX(teffSumBC_Com,4,17)&lt;INDEX(effGoalBC_Com,17)) * MIN(INDEX(bcEff_Com,4,16)+INDEX(pushBC_Com,3),(INDEX(effGoalBC_Com,17)-INDEX(teffSumBC_Com,4,17))/(INDEX(doEff,5)-INDEX(doEff,4)))</f>
        <v>0</v>
      </c>
      <c r="V145" s="43">
        <f ca="1">(INDEX(teffSumBC_Com,4,18)&lt;INDEX(effGoalBC_Com,18)) * MIN(INDEX(bcEff_Com,4,17)+INDEX(pushBC_Com,3),(INDEX(effGoalBC_Com,18)-INDEX(teffSumBC_Com,4,18))/(INDEX(doEff,5)-INDEX(doEff,4)))</f>
        <v>0</v>
      </c>
      <c r="W145" s="43">
        <f ca="1">(INDEX(teffSumBC_Com,4,19)&lt;INDEX(effGoalBC_Com,19)) * MIN(INDEX(bcEff_Com,4,18)+INDEX(pushBC_Com,3),(INDEX(effGoalBC_Com,19)-INDEX(teffSumBC_Com,4,19))/(INDEX(doEff,5)-INDEX(doEff,4)))</f>
        <v>0</v>
      </c>
      <c r="X145" s="43">
        <f ca="1">(INDEX(teffSumBC_Com,4,20)&lt;INDEX(effGoalBC_Com,20)) * MIN(INDEX(bcEff_Com,4,19)+INDEX(pushBC_Com,3),(INDEX(effGoalBC_Com,20)-INDEX(teffSumBC_Com,4,20))/(INDEX(doEff,5)-INDEX(doEff,4)))</f>
        <v>0</v>
      </c>
      <c r="Y145" s="43">
        <f ca="1">(INDEX(teffSumBC_Com,4,21)&lt;INDEX(effGoalBC_Com,21)) * MIN(INDEX(bcEff_Com,4,20)+INDEX(pushBC_Com,3),(INDEX(effGoalBC_Com,21)-INDEX(teffSumBC_Com,4,21))/(INDEX(doEff,5)-INDEX(doEff,4)))</f>
        <v>0</v>
      </c>
      <c r="Z145" s="43">
        <f ca="1">(INDEX(teffSumBC_Com,4,22)&lt;INDEX(effGoalBC_Com,22)) * MIN(INDEX(bcEff_Com,4,21)+INDEX(pushBC_Com,3),(INDEX(effGoalBC_Com,22)-INDEX(teffSumBC_Com,4,22))/(INDEX(doEff,5)-INDEX(doEff,4)))</f>
        <v>0</v>
      </c>
      <c r="AA145" s="43">
        <f ca="1">(INDEX(teffSumBC_Com,4,23)&lt;INDEX(effGoalBC_Com,23)) * MIN(INDEX(bcEff_Com,4,22)+INDEX(pushBC_Com,3),(INDEX(effGoalBC_Com,23)-INDEX(teffSumBC_Com,4,23))/(INDEX(doEff,5)-INDEX(doEff,4)))</f>
        <v>0</v>
      </c>
      <c r="AB145" s="43">
        <f ca="1">(INDEX(teffSumBC_Com,4,24)&lt;INDEX(effGoalBC_Com,24)) * MIN(INDEX(bcEff_Com,4,23)+INDEX(pushBC_Com,3),(INDEX(effGoalBC_Com,24)-INDEX(teffSumBC_Com,4,24))/(INDEX(doEff,5)-INDEX(doEff,4)))</f>
        <v>0</v>
      </c>
      <c r="AC145" s="43">
        <f ca="1">(INDEX(teffSumBC_Com,4,25)&lt;INDEX(effGoalBC_Com,25)) * MIN(INDEX(bcEff_Com,4,24)+INDEX(pushBC_Com,3),(INDEX(effGoalBC_Com,25)-INDEX(teffSumBC_Com,4,25))/(INDEX(doEff,5)-INDEX(doEff,4)))</f>
        <v>0</v>
      </c>
      <c r="AD145" s="43">
        <f ca="1">(INDEX(teffSumBC_Com,4,26)&lt;INDEX(effGoalBC_Com,26)) * MIN(INDEX(bcEff_Com,4,25)+INDEX(pushBC_Com,3),(INDEX(effGoalBC_Com,26)-INDEX(teffSumBC_Com,4,26))/(INDEX(doEff,5)-INDEX(doEff,4)))</f>
        <v>0</v>
      </c>
      <c r="AE145" s="43">
        <f ca="1">(INDEX(teffSumBC_Com,4,27)&lt;INDEX(effGoalBC_Com,27)) * MIN(INDEX(bcEff_Com,4,26)+INDEX(pushBC_Com,3),(INDEX(effGoalBC_Com,27)-INDEX(teffSumBC_Com,4,27))/(INDEX(doEff,5)-INDEX(doEff,4)))</f>
        <v>0</v>
      </c>
      <c r="AF145" s="43">
        <f ca="1">(INDEX(teffSumBC_Com,4,28)&lt;INDEX(effGoalBC_Com,28)) * MIN(INDEX(bcEff_Com,4,27)+INDEX(pushBC_Com,3),(INDEX(effGoalBC_Com,28)-INDEX(teffSumBC_Com,4,28))/(INDEX(doEff,5)-INDEX(doEff,4)))</f>
        <v>0</v>
      </c>
      <c r="AG145" s="43">
        <f ca="1">(INDEX(teffSumBC_Com,4,29)&lt;INDEX(effGoalBC_Com,29)) * MIN(INDEX(bcEff_Com,4,28)+INDEX(pushBC_Com,3),(INDEX(effGoalBC_Com,29)-INDEX(teffSumBC_Com,4,29))/(INDEX(doEff,5)-INDEX(doEff,4)))</f>
        <v>0</v>
      </c>
      <c r="AH145" s="43">
        <f ca="1">(INDEX(teffSumBC_Com,4,30)&lt;INDEX(effGoalBC_Com,30)) * MIN(INDEX(bcEff_Com,4,29)+INDEX(pushBC_Com,3),(INDEX(effGoalBC_Com,30)-INDEX(teffSumBC_Com,4,30))/(INDEX(doEff,5)-INDEX(doEff,4)))</f>
        <v>0</v>
      </c>
      <c r="AI145" s="43">
        <f ca="1">(INDEX(teffSumBC_Com,4,31)&lt;INDEX(effGoalBC_Com,31)) * MIN(INDEX(bcEff_Com,4,30)+INDEX(pushBC_Com,3),(INDEX(effGoalBC_Com,31)-INDEX(teffSumBC_Com,4,31))/(INDEX(doEff,5)-INDEX(doEff,4)))</f>
        <v>0</v>
      </c>
      <c r="AJ145" s="43">
        <f ca="1">(INDEX(teffSumBC_Com,4,32)&lt;INDEX(effGoalBC_Com,32)) * MIN(INDEX(bcEff_Com,4,31)+INDEX(pushBC_Com,3),(INDEX(effGoalBC_Com,32)-INDEX(teffSumBC_Com,4,32))/(INDEX(doEff,5)-INDEX(doEff,4)))</f>
        <v>0</v>
      </c>
      <c r="AK145" s="43">
        <f ca="1">(INDEX(teffSumBC_Com,4,33)&lt;INDEX(effGoalBC_Com,33)) * MIN(INDEX(bcEff_Com,4,32)+INDEX(pushBC_Com,3),(INDEX(effGoalBC_Com,33)-INDEX(teffSumBC_Com,4,33))/(INDEX(doEff,5)-INDEX(doEff,4)))</f>
        <v>0</v>
      </c>
      <c r="AL145" s="43">
        <f ca="1">(INDEX(teffSumBC_Com,4,34)&lt;INDEX(effGoalBC_Com,34)) * MIN(INDEX(bcEff_Com,4,33)+INDEX(pushBC_Com,3),(INDEX(effGoalBC_Com,34)-INDEX(teffSumBC_Com,4,34))/(INDEX(doEff,5)-INDEX(doEff,4)))</f>
        <v>0</v>
      </c>
      <c r="AM145" s="43">
        <f ca="1">(INDEX(teffSumBC_Com,4,35)&lt;INDEX(effGoalBC_Com,35)) * MIN(INDEX(bcEff_Com,4,34)+INDEX(pushBC_Com,3),(INDEX(effGoalBC_Com,35)-INDEX(teffSumBC_Com,4,35))/(INDEX(doEff,5)-INDEX(doEff,4)))</f>
        <v>0</v>
      </c>
      <c r="AN145" s="44">
        <f ca="1">(INDEX(teffSumBC_Com,4,36)&lt;INDEX(effGoalBC_Com,36)) * MIN(INDEX(bcEff_Com,4,35)+INDEX(pushBC_Com,3),(INDEX(effGoalBC_Com,36)-INDEX(teffSumBC_Com,4,36))/(INDEX(doEff,5)-INDEX(doEff,4)))</f>
        <v>0</v>
      </c>
      <c r="AO145" s="8"/>
    </row>
    <row r="146" spans="2:41" hidden="1" x14ac:dyDescent="0.35">
      <c r="B146" s="8"/>
      <c r="C146" s="35" t="str">
        <f>"EL 4: " &amp; INDEX(_doName,1,5)</f>
        <v>EL 4: EL 4</v>
      </c>
      <c r="D146" s="15"/>
      <c r="E146" s="45"/>
      <c r="F146" s="45">
        <f>0</f>
        <v>0</v>
      </c>
      <c r="G146" s="45">
        <f>0</f>
        <v>0</v>
      </c>
      <c r="H146" s="45">
        <f>0</f>
        <v>0</v>
      </c>
      <c r="I146" s="45">
        <f>0</f>
        <v>0</v>
      </c>
      <c r="J146" s="45">
        <f>0</f>
        <v>0</v>
      </c>
      <c r="K146" s="45">
        <f>0</f>
        <v>0</v>
      </c>
      <c r="L146" s="45">
        <f>0</f>
        <v>0</v>
      </c>
      <c r="M146" s="45">
        <f>0</f>
        <v>0</v>
      </c>
      <c r="N146" s="45">
        <f>0</f>
        <v>0</v>
      </c>
      <c r="O146" s="45">
        <f>0</f>
        <v>0</v>
      </c>
      <c r="P146" s="45">
        <f>0</f>
        <v>0</v>
      </c>
      <c r="Q146" s="45">
        <f>0</f>
        <v>0</v>
      </c>
      <c r="R146" s="45">
        <f>0</f>
        <v>0</v>
      </c>
      <c r="S146" s="45">
        <f>0</f>
        <v>0</v>
      </c>
      <c r="T146" s="45">
        <f>0</f>
        <v>0</v>
      </c>
      <c r="U146" s="45">
        <f>0</f>
        <v>0</v>
      </c>
      <c r="V146" s="45">
        <f>0</f>
        <v>0</v>
      </c>
      <c r="W146" s="45">
        <f>0</f>
        <v>0</v>
      </c>
      <c r="X146" s="45">
        <f>0</f>
        <v>0</v>
      </c>
      <c r="Y146" s="45">
        <f>0</f>
        <v>0</v>
      </c>
      <c r="Z146" s="45">
        <f>0</f>
        <v>0</v>
      </c>
      <c r="AA146" s="45">
        <f>0</f>
        <v>0</v>
      </c>
      <c r="AB146" s="45">
        <f>0</f>
        <v>0</v>
      </c>
      <c r="AC146" s="45">
        <f>0</f>
        <v>0</v>
      </c>
      <c r="AD146" s="45">
        <f>0</f>
        <v>0</v>
      </c>
      <c r="AE146" s="45">
        <f>0</f>
        <v>0</v>
      </c>
      <c r="AF146" s="45">
        <f>0</f>
        <v>0</v>
      </c>
      <c r="AG146" s="45">
        <f>0</f>
        <v>0</v>
      </c>
      <c r="AH146" s="45">
        <f>0</f>
        <v>0</v>
      </c>
      <c r="AI146" s="45">
        <f>0</f>
        <v>0</v>
      </c>
      <c r="AJ146" s="45">
        <f>0</f>
        <v>0</v>
      </c>
      <c r="AK146" s="45">
        <f>0</f>
        <v>0</v>
      </c>
      <c r="AL146" s="45">
        <f>0</f>
        <v>0</v>
      </c>
      <c r="AM146" s="45">
        <f>0</f>
        <v>0</v>
      </c>
      <c r="AN146" s="46">
        <f>0</f>
        <v>0</v>
      </c>
      <c r="AO146" s="8"/>
    </row>
    <row r="147" spans="2:41" hidden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</row>
    <row r="148" spans="2:41" hidden="1" x14ac:dyDescent="0.35">
      <c r="B148" s="8"/>
      <c r="C148" s="23" t="s">
        <v>87</v>
      </c>
      <c r="D148" s="24"/>
      <c r="E148" s="26">
        <f t="array" ref="E148:AN148">_yS</f>
        <v>2024</v>
      </c>
      <c r="F148" s="26">
        <v>2025</v>
      </c>
      <c r="G148" s="26">
        <v>2026</v>
      </c>
      <c r="H148" s="26">
        <v>2027</v>
      </c>
      <c r="I148" s="26">
        <v>2028</v>
      </c>
      <c r="J148" s="26">
        <v>2029</v>
      </c>
      <c r="K148" s="26">
        <v>2030</v>
      </c>
      <c r="L148" s="26">
        <v>2031</v>
      </c>
      <c r="M148" s="26">
        <v>2032</v>
      </c>
      <c r="N148" s="26">
        <v>2033</v>
      </c>
      <c r="O148" s="26">
        <v>2034</v>
      </c>
      <c r="P148" s="26">
        <v>2035</v>
      </c>
      <c r="Q148" s="26">
        <v>2036</v>
      </c>
      <c r="R148" s="26">
        <v>2037</v>
      </c>
      <c r="S148" s="26">
        <v>2038</v>
      </c>
      <c r="T148" s="26">
        <v>2039</v>
      </c>
      <c r="U148" s="26">
        <v>2040</v>
      </c>
      <c r="V148" s="26">
        <v>2041</v>
      </c>
      <c r="W148" s="26">
        <v>2042</v>
      </c>
      <c r="X148" s="26">
        <v>2043</v>
      </c>
      <c r="Y148" s="26">
        <v>2044</v>
      </c>
      <c r="Z148" s="26">
        <v>2045</v>
      </c>
      <c r="AA148" s="26">
        <v>2046</v>
      </c>
      <c r="AB148" s="26">
        <v>2047</v>
      </c>
      <c r="AC148" s="26">
        <v>2048</v>
      </c>
      <c r="AD148" s="26">
        <v>2049</v>
      </c>
      <c r="AE148" s="26">
        <v>2050</v>
      </c>
      <c r="AF148" s="26">
        <v>2051</v>
      </c>
      <c r="AG148" s="26">
        <v>2052</v>
      </c>
      <c r="AH148" s="26">
        <v>2053</v>
      </c>
      <c r="AI148" s="26">
        <v>2054</v>
      </c>
      <c r="AJ148" s="26">
        <v>2055</v>
      </c>
      <c r="AK148" s="26">
        <v>2056</v>
      </c>
      <c r="AL148" s="26">
        <v>2057</v>
      </c>
      <c r="AM148" s="26">
        <v>2058</v>
      </c>
      <c r="AN148" s="27">
        <v>2059</v>
      </c>
      <c r="AO148" s="8"/>
    </row>
    <row r="149" spans="2:41" hidden="1" x14ac:dyDescent="0.35">
      <c r="B149" s="8"/>
      <c r="C149" s="19" t="str">
        <f>"EL 0: " &amp; INDEX(_doName,1,1)</f>
        <v>EL 0: Baseline</v>
      </c>
      <c r="D149" s="11"/>
      <c r="E149" s="33"/>
      <c r="F149" s="33">
        <f>0 + INDEX(doEff,1)*(INDEX(eff0BC_Com,1)+0) + SUMPRODUCT(doEff,INDEX(bcEff_Com,,1),N(_el&gt;0))</f>
        <v>1.9319253112033195</v>
      </c>
      <c r="G149" s="33">
        <f ca="1">0 + INDEX(doEff,1)*(INDEX(eff0BC_Com,1)+0) + SUMPRODUCT(doEff,INDEX(bcEff_Com,,2),N(_el&gt;0))</f>
        <v>1.9319253112033195</v>
      </c>
      <c r="H149" s="33">
        <f ca="1">0 + INDEX(doEff,1)*(INDEX(eff0BC_Com,1)+0) + SUMPRODUCT(doEff,INDEX(bcEff_Com,,3),N(_el&gt;0))</f>
        <v>1.9319253112033195</v>
      </c>
      <c r="I149" s="33">
        <f ca="1">0 + INDEX(doEff,1)*(INDEX(eff0BC_Com,1)+0) + SUMPRODUCT(doEff,INDEX(bcEff_Com,,4),N(_el&gt;0))</f>
        <v>1.9319253112033195</v>
      </c>
      <c r="J149" s="33">
        <f ca="1">0 + INDEX(doEff,1)*(INDEX(eff0BC_Com,1)+0) + SUMPRODUCT(doEff,INDEX(bcEff_Com,,5),N(_el&gt;0))</f>
        <v>1.9319253112033195</v>
      </c>
      <c r="K149" s="33">
        <f ca="1">0 + INDEX(doEff,1)*(INDEX(eff0BC_Com,1)+0) + SUMPRODUCT(doEff,INDEX(bcEff_Com,,6),N(_el&gt;0))</f>
        <v>1.9319253112033195</v>
      </c>
      <c r="L149" s="33">
        <f ca="1">0 + INDEX(doEff,1)*(INDEX(eff0BC_Com,1)+0) + SUMPRODUCT(doEff,INDEX(bcEff_Com,,7),N(_el&gt;0))</f>
        <v>1.9319253112033195</v>
      </c>
      <c r="M149" s="33">
        <f ca="1">0 + INDEX(doEff,1)*(INDEX(eff0BC_Com,1)+0) + SUMPRODUCT(doEff,INDEX(bcEff_Com,,8),N(_el&gt;0))</f>
        <v>1.9319253112033195</v>
      </c>
      <c r="N149" s="33">
        <f ca="1">0 + INDEX(doEff,1)*(INDEX(eff0BC_Com,1)+0) + SUMPRODUCT(doEff,INDEX(bcEff_Com,,9),N(_el&gt;0))</f>
        <v>1.9319253112033195</v>
      </c>
      <c r="O149" s="33">
        <f ca="1">0 + INDEX(doEff,1)*(INDEX(eff0BC_Com,1)+0) + SUMPRODUCT(doEff,INDEX(bcEff_Com,,10),N(_el&gt;0))</f>
        <v>1.9319253112033195</v>
      </c>
      <c r="P149" s="33">
        <f ca="1">0 + INDEX(doEff,1)*(INDEX(eff0BC_Com,1)+0) + SUMPRODUCT(doEff,INDEX(bcEff_Com,,11),N(_el&gt;0))</f>
        <v>1.9319253112033195</v>
      </c>
      <c r="Q149" s="33">
        <f ca="1">0 + INDEX(doEff,1)*(INDEX(eff0BC_Com,1)+0) + SUMPRODUCT(doEff,INDEX(bcEff_Com,,12),N(_el&gt;0))</f>
        <v>1.9319253112033195</v>
      </c>
      <c r="R149" s="33">
        <f ca="1">0 + INDEX(doEff,1)*(INDEX(eff0BC_Com,1)+0) + SUMPRODUCT(doEff,INDEX(bcEff_Com,,13),N(_el&gt;0))</f>
        <v>1.9319253112033195</v>
      </c>
      <c r="S149" s="33">
        <f ca="1">0 + INDEX(doEff,1)*(INDEX(eff0BC_Com,1)+0) + SUMPRODUCT(doEff,INDEX(bcEff_Com,,14),N(_el&gt;0))</f>
        <v>1.9319253112033195</v>
      </c>
      <c r="T149" s="33">
        <f ca="1">0 + INDEX(doEff,1)*(INDEX(eff0BC_Com,1)+0) + SUMPRODUCT(doEff,INDEX(bcEff_Com,,15),N(_el&gt;0))</f>
        <v>1.9319253112033195</v>
      </c>
      <c r="U149" s="33">
        <f ca="1">0 + INDEX(doEff,1)*(INDEX(eff0BC_Com,1)+0) + SUMPRODUCT(doEff,INDEX(bcEff_Com,,16),N(_el&gt;0))</f>
        <v>1.9319253112033195</v>
      </c>
      <c r="V149" s="33">
        <f ca="1">0 + INDEX(doEff,1)*(INDEX(eff0BC_Com,1)+0) + SUMPRODUCT(doEff,INDEX(bcEff_Com,,17),N(_el&gt;0))</f>
        <v>1.9319253112033195</v>
      </c>
      <c r="W149" s="33">
        <f ca="1">0 + INDEX(doEff,1)*(INDEX(eff0BC_Com,1)+0) + SUMPRODUCT(doEff,INDEX(bcEff_Com,,18),N(_el&gt;0))</f>
        <v>1.9319253112033195</v>
      </c>
      <c r="X149" s="33">
        <f ca="1">0 + INDEX(doEff,1)*(INDEX(eff0BC_Com,1)+0) + SUMPRODUCT(doEff,INDEX(bcEff_Com,,19),N(_el&gt;0))</f>
        <v>1.9319253112033195</v>
      </c>
      <c r="Y149" s="33">
        <f ca="1">0 + INDEX(doEff,1)*(INDEX(eff0BC_Com,1)+0) + SUMPRODUCT(doEff,INDEX(bcEff_Com,,20),N(_el&gt;0))</f>
        <v>1.9319253112033195</v>
      </c>
      <c r="Z149" s="33">
        <f ca="1">0 + INDEX(doEff,1)*(INDEX(eff0BC_Com,1)+0) + SUMPRODUCT(doEff,INDEX(bcEff_Com,,21),N(_el&gt;0))</f>
        <v>1.9319253112033195</v>
      </c>
      <c r="AA149" s="33">
        <f ca="1">0 + INDEX(doEff,1)*(INDEX(eff0BC_Com,1)+0) + SUMPRODUCT(doEff,INDEX(bcEff_Com,,22),N(_el&gt;0))</f>
        <v>1.9319253112033195</v>
      </c>
      <c r="AB149" s="33">
        <f ca="1">0 + INDEX(doEff,1)*(INDEX(eff0BC_Com,1)+0) + SUMPRODUCT(doEff,INDEX(bcEff_Com,,23),N(_el&gt;0))</f>
        <v>1.9319253112033195</v>
      </c>
      <c r="AC149" s="33">
        <f ca="1">0 + INDEX(doEff,1)*(INDEX(eff0BC_Com,1)+0) + SUMPRODUCT(doEff,INDEX(bcEff_Com,,24),N(_el&gt;0))</f>
        <v>1.9319253112033195</v>
      </c>
      <c r="AD149" s="33">
        <f ca="1">0 + INDEX(doEff,1)*(INDEX(eff0BC_Com,1)+0) + SUMPRODUCT(doEff,INDEX(bcEff_Com,,25),N(_el&gt;0))</f>
        <v>1.9319253112033195</v>
      </c>
      <c r="AE149" s="33">
        <f ca="1">0 + INDEX(doEff,1)*(INDEX(eff0BC_Com,1)+0) + SUMPRODUCT(doEff,INDEX(bcEff_Com,,26),N(_el&gt;0))</f>
        <v>1.9319253112033195</v>
      </c>
      <c r="AF149" s="33">
        <f ca="1">0 + INDEX(doEff,1)*(INDEX(eff0BC_Com,1)+0) + SUMPRODUCT(doEff,INDEX(bcEff_Com,,27),N(_el&gt;0))</f>
        <v>1.9319253112033195</v>
      </c>
      <c r="AG149" s="33">
        <f ca="1">0 + INDEX(doEff,1)*(INDEX(eff0BC_Com,1)+0) + SUMPRODUCT(doEff,INDEX(bcEff_Com,,28),N(_el&gt;0))</f>
        <v>1.9319253112033195</v>
      </c>
      <c r="AH149" s="33">
        <f ca="1">0 + INDEX(doEff,1)*(INDEX(eff0BC_Com,1)+0) + SUMPRODUCT(doEff,INDEX(bcEff_Com,,29),N(_el&gt;0))</f>
        <v>1.9319253112033195</v>
      </c>
      <c r="AI149" s="33">
        <f ca="1">0 + INDEX(doEff,1)*(INDEX(eff0BC_Com,1)+0) + SUMPRODUCT(doEff,INDEX(bcEff_Com,,30),N(_el&gt;0))</f>
        <v>1.9319253112033195</v>
      </c>
      <c r="AJ149" s="33">
        <f ca="1">0 + INDEX(doEff,1)*(INDEX(eff0BC_Com,1)+0) + SUMPRODUCT(doEff,INDEX(bcEff_Com,,31),N(_el&gt;0))</f>
        <v>1.9319253112033195</v>
      </c>
      <c r="AK149" s="33">
        <f ca="1">0 + INDEX(doEff,1)*(INDEX(eff0BC_Com,1)+0) + SUMPRODUCT(doEff,INDEX(bcEff_Com,,32),N(_el&gt;0))</f>
        <v>1.9319253112033195</v>
      </c>
      <c r="AL149" s="33">
        <f ca="1">0 + INDEX(doEff,1)*(INDEX(eff0BC_Com,1)+0) + SUMPRODUCT(doEff,INDEX(bcEff_Com,,33),N(_el&gt;0))</f>
        <v>1.9319253112033195</v>
      </c>
      <c r="AM149" s="33">
        <f ca="1">0 + INDEX(doEff,1)*(INDEX(eff0BC_Com,1)+0) + SUMPRODUCT(doEff,INDEX(bcEff_Com,,34),N(_el&gt;0))</f>
        <v>1.9319253112033195</v>
      </c>
      <c r="AN149" s="34">
        <f ca="1">0 + INDEX(doEff,1)*(INDEX(eff0BC_Com,1)+0) + SUMPRODUCT(doEff,INDEX(bcEff_Com,,35),N(_el&gt;0))</f>
        <v>1.9319253112033195</v>
      </c>
      <c r="AO149" s="8"/>
    </row>
    <row r="150" spans="2:41" hidden="1" x14ac:dyDescent="0.35">
      <c r="B150" s="8"/>
      <c r="C150" s="19" t="str">
        <f>"EL 1: " &amp; INDEX(_doName,1,2)</f>
        <v>EL 1: Tier 1</v>
      </c>
      <c r="D150" s="11"/>
      <c r="E150" s="33"/>
      <c r="F150" s="33">
        <f ca="1">SUMPRODUCT(OFFSET(doEff,0,0,1,1),OFFSET(INDEX(bcEff_Com,1,2),0,0,1,1)) + INDEX(doEff,2)*(INDEX(eff0BC_Com,2)+INDEX(pushBC_Com,1)) + SUMPRODUCT(doEff,INDEX(bcEff_Com,,1),N(_el&gt;1))</f>
        <v>1.9319253112033197</v>
      </c>
      <c r="G150" s="33">
        <f ca="1">SUMPRODUCT(OFFSET(doEff,0,0,1,1),OFFSET(INDEX(bcEff_Com,1,3),0,0,1,1)) + INDEX(doEff,2)*(INDEX(eff0BC_Com,2)+INDEX(pushBC_Com,1)) + SUMPRODUCT(doEff,INDEX(bcEff_Com,,2),N(_el&gt;1))</f>
        <v>1.9319253112033197</v>
      </c>
      <c r="H150" s="33">
        <f ca="1">SUMPRODUCT(OFFSET(doEff,0,0,1,1),OFFSET(INDEX(bcEff_Com,1,4),0,0,1,1)) + INDEX(doEff,2)*(INDEX(eff0BC_Com,2)+INDEX(pushBC_Com,1)) + SUMPRODUCT(doEff,INDEX(bcEff_Com,,3),N(_el&gt;1))</f>
        <v>1.9319253112033197</v>
      </c>
      <c r="I150" s="33">
        <f ca="1">SUMPRODUCT(OFFSET(doEff,0,0,1,1),OFFSET(INDEX(bcEff_Com,1,5),0,0,1,1)) + INDEX(doEff,2)*(INDEX(eff0BC_Com,2)+INDEX(pushBC_Com,1)) + SUMPRODUCT(doEff,INDEX(bcEff_Com,,4),N(_el&gt;1))</f>
        <v>1.9319253112033197</v>
      </c>
      <c r="J150" s="33">
        <f ca="1">SUMPRODUCT(OFFSET(doEff,0,0,1,1),OFFSET(INDEX(bcEff_Com,1,6),0,0,1,1)) + INDEX(doEff,2)*(INDEX(eff0BC_Com,2)+INDEX(pushBC_Com,1)) + SUMPRODUCT(doEff,INDEX(bcEff_Com,,5),N(_el&gt;1))</f>
        <v>1.9319253112033197</v>
      </c>
      <c r="K150" s="33">
        <f ca="1">SUMPRODUCT(OFFSET(doEff,0,0,1,1),OFFSET(INDEX(bcEff_Com,1,7),0,0,1,1)) + INDEX(doEff,2)*(INDEX(eff0BC_Com,2)+INDEX(pushBC_Com,1)) + SUMPRODUCT(doEff,INDEX(bcEff_Com,,6),N(_el&gt;1))</f>
        <v>1.9319253112033197</v>
      </c>
      <c r="L150" s="33">
        <f ca="1">SUMPRODUCT(OFFSET(doEff,0,0,1,1),OFFSET(INDEX(bcEff_Com,1,8),0,0,1,1)) + INDEX(doEff,2)*(INDEX(eff0BC_Com,2)+INDEX(pushBC_Com,1)) + SUMPRODUCT(doEff,INDEX(bcEff_Com,,7),N(_el&gt;1))</f>
        <v>1.9319253112033197</v>
      </c>
      <c r="M150" s="33">
        <f ca="1">SUMPRODUCT(OFFSET(doEff,0,0,1,1),OFFSET(INDEX(bcEff_Com,1,9),0,0,1,1)) + INDEX(doEff,2)*(INDEX(eff0BC_Com,2)+INDEX(pushBC_Com,1)) + SUMPRODUCT(doEff,INDEX(bcEff_Com,,8),N(_el&gt;1))</f>
        <v>1.9319253112033197</v>
      </c>
      <c r="N150" s="33">
        <f ca="1">SUMPRODUCT(OFFSET(doEff,0,0,1,1),OFFSET(INDEX(bcEff_Com,1,10),0,0,1,1)) + INDEX(doEff,2)*(INDEX(eff0BC_Com,2)+INDEX(pushBC_Com,1)) + SUMPRODUCT(doEff,INDEX(bcEff_Com,,9),N(_el&gt;1))</f>
        <v>1.9319253112033197</v>
      </c>
      <c r="O150" s="33">
        <f ca="1">SUMPRODUCT(OFFSET(doEff,0,0,1,1),OFFSET(INDEX(bcEff_Com,1,11),0,0,1,1)) + INDEX(doEff,2)*(INDEX(eff0BC_Com,2)+INDEX(pushBC_Com,1)) + SUMPRODUCT(doEff,INDEX(bcEff_Com,,10),N(_el&gt;1))</f>
        <v>1.9319253112033197</v>
      </c>
      <c r="P150" s="33">
        <f ca="1">SUMPRODUCT(OFFSET(doEff,0,0,1,1),OFFSET(INDEX(bcEff_Com,1,12),0,0,1,1)) + INDEX(doEff,2)*(INDEX(eff0BC_Com,2)+INDEX(pushBC_Com,1)) + SUMPRODUCT(doEff,INDEX(bcEff_Com,,11),N(_el&gt;1))</f>
        <v>1.9319253112033197</v>
      </c>
      <c r="Q150" s="33">
        <f ca="1">SUMPRODUCT(OFFSET(doEff,0,0,1,1),OFFSET(INDEX(bcEff_Com,1,13),0,0,1,1)) + INDEX(doEff,2)*(INDEX(eff0BC_Com,2)+INDEX(pushBC_Com,1)) + SUMPRODUCT(doEff,INDEX(bcEff_Com,,12),N(_el&gt;1))</f>
        <v>1.9319253112033197</v>
      </c>
      <c r="R150" s="33">
        <f ca="1">SUMPRODUCT(OFFSET(doEff,0,0,1,1),OFFSET(INDEX(bcEff_Com,1,14),0,0,1,1)) + INDEX(doEff,2)*(INDEX(eff0BC_Com,2)+INDEX(pushBC_Com,1)) + SUMPRODUCT(doEff,INDEX(bcEff_Com,,13),N(_el&gt;1))</f>
        <v>1.9319253112033197</v>
      </c>
      <c r="S150" s="33">
        <f ca="1">SUMPRODUCT(OFFSET(doEff,0,0,1,1),OFFSET(INDEX(bcEff_Com,1,15),0,0,1,1)) + INDEX(doEff,2)*(INDEX(eff0BC_Com,2)+INDEX(pushBC_Com,1)) + SUMPRODUCT(doEff,INDEX(bcEff_Com,,14),N(_el&gt;1))</f>
        <v>1.9319253112033197</v>
      </c>
      <c r="T150" s="33">
        <f ca="1">SUMPRODUCT(OFFSET(doEff,0,0,1,1),OFFSET(INDEX(bcEff_Com,1,16),0,0,1,1)) + INDEX(doEff,2)*(INDEX(eff0BC_Com,2)+INDEX(pushBC_Com,1)) + SUMPRODUCT(doEff,INDEX(bcEff_Com,,15),N(_el&gt;1))</f>
        <v>1.9319253112033197</v>
      </c>
      <c r="U150" s="33">
        <f ca="1">SUMPRODUCT(OFFSET(doEff,0,0,1,1),OFFSET(INDEX(bcEff_Com,1,17),0,0,1,1)) + INDEX(doEff,2)*(INDEX(eff0BC_Com,2)+INDEX(pushBC_Com,1)) + SUMPRODUCT(doEff,INDEX(bcEff_Com,,16),N(_el&gt;1))</f>
        <v>1.9319253112033197</v>
      </c>
      <c r="V150" s="33">
        <f ca="1">SUMPRODUCT(OFFSET(doEff,0,0,1,1),OFFSET(INDEX(bcEff_Com,1,18),0,0,1,1)) + INDEX(doEff,2)*(INDEX(eff0BC_Com,2)+INDEX(pushBC_Com,1)) + SUMPRODUCT(doEff,INDEX(bcEff_Com,,17),N(_el&gt;1))</f>
        <v>1.9319253112033197</v>
      </c>
      <c r="W150" s="33">
        <f ca="1">SUMPRODUCT(OFFSET(doEff,0,0,1,1),OFFSET(INDEX(bcEff_Com,1,19),0,0,1,1)) + INDEX(doEff,2)*(INDEX(eff0BC_Com,2)+INDEX(pushBC_Com,1)) + SUMPRODUCT(doEff,INDEX(bcEff_Com,,18),N(_el&gt;1))</f>
        <v>1.9319253112033197</v>
      </c>
      <c r="X150" s="33">
        <f ca="1">SUMPRODUCT(OFFSET(doEff,0,0,1,1),OFFSET(INDEX(bcEff_Com,1,20),0,0,1,1)) + INDEX(doEff,2)*(INDEX(eff0BC_Com,2)+INDEX(pushBC_Com,1)) + SUMPRODUCT(doEff,INDEX(bcEff_Com,,19),N(_el&gt;1))</f>
        <v>1.9319253112033197</v>
      </c>
      <c r="Y150" s="33">
        <f ca="1">SUMPRODUCT(OFFSET(doEff,0,0,1,1),OFFSET(INDEX(bcEff_Com,1,21),0,0,1,1)) + INDEX(doEff,2)*(INDEX(eff0BC_Com,2)+INDEX(pushBC_Com,1)) + SUMPRODUCT(doEff,INDEX(bcEff_Com,,20),N(_el&gt;1))</f>
        <v>1.9319253112033197</v>
      </c>
      <c r="Z150" s="33">
        <f ca="1">SUMPRODUCT(OFFSET(doEff,0,0,1,1),OFFSET(INDEX(bcEff_Com,1,22),0,0,1,1)) + INDEX(doEff,2)*(INDEX(eff0BC_Com,2)+INDEX(pushBC_Com,1)) + SUMPRODUCT(doEff,INDEX(bcEff_Com,,21),N(_el&gt;1))</f>
        <v>1.9319253112033197</v>
      </c>
      <c r="AA150" s="33">
        <f ca="1">SUMPRODUCT(OFFSET(doEff,0,0,1,1),OFFSET(INDEX(bcEff_Com,1,23),0,0,1,1)) + INDEX(doEff,2)*(INDEX(eff0BC_Com,2)+INDEX(pushBC_Com,1)) + SUMPRODUCT(doEff,INDEX(bcEff_Com,,22),N(_el&gt;1))</f>
        <v>1.9319253112033197</v>
      </c>
      <c r="AB150" s="33">
        <f ca="1">SUMPRODUCT(OFFSET(doEff,0,0,1,1),OFFSET(INDEX(bcEff_Com,1,24),0,0,1,1)) + INDEX(doEff,2)*(INDEX(eff0BC_Com,2)+INDEX(pushBC_Com,1)) + SUMPRODUCT(doEff,INDEX(bcEff_Com,,23),N(_el&gt;1))</f>
        <v>1.9319253112033197</v>
      </c>
      <c r="AC150" s="33">
        <f ca="1">SUMPRODUCT(OFFSET(doEff,0,0,1,1),OFFSET(INDEX(bcEff_Com,1,25),0,0,1,1)) + INDEX(doEff,2)*(INDEX(eff0BC_Com,2)+INDEX(pushBC_Com,1)) + SUMPRODUCT(doEff,INDEX(bcEff_Com,,24),N(_el&gt;1))</f>
        <v>1.9319253112033197</v>
      </c>
      <c r="AD150" s="33">
        <f ca="1">SUMPRODUCT(OFFSET(doEff,0,0,1,1),OFFSET(INDEX(bcEff_Com,1,26),0,0,1,1)) + INDEX(doEff,2)*(INDEX(eff0BC_Com,2)+INDEX(pushBC_Com,1)) + SUMPRODUCT(doEff,INDEX(bcEff_Com,,25),N(_el&gt;1))</f>
        <v>1.9319253112033197</v>
      </c>
      <c r="AE150" s="33">
        <f ca="1">SUMPRODUCT(OFFSET(doEff,0,0,1,1),OFFSET(INDEX(bcEff_Com,1,27),0,0,1,1)) + INDEX(doEff,2)*(INDEX(eff0BC_Com,2)+INDEX(pushBC_Com,1)) + SUMPRODUCT(doEff,INDEX(bcEff_Com,,26),N(_el&gt;1))</f>
        <v>1.9319253112033197</v>
      </c>
      <c r="AF150" s="33">
        <f ca="1">SUMPRODUCT(OFFSET(doEff,0,0,1,1),OFFSET(INDEX(bcEff_Com,1,28),0,0,1,1)) + INDEX(doEff,2)*(INDEX(eff0BC_Com,2)+INDEX(pushBC_Com,1)) + SUMPRODUCT(doEff,INDEX(bcEff_Com,,27),N(_el&gt;1))</f>
        <v>1.9319253112033197</v>
      </c>
      <c r="AG150" s="33">
        <f ca="1">SUMPRODUCT(OFFSET(doEff,0,0,1,1),OFFSET(INDEX(bcEff_Com,1,29),0,0,1,1)) + INDEX(doEff,2)*(INDEX(eff0BC_Com,2)+INDEX(pushBC_Com,1)) + SUMPRODUCT(doEff,INDEX(bcEff_Com,,28),N(_el&gt;1))</f>
        <v>1.9319253112033197</v>
      </c>
      <c r="AH150" s="33">
        <f ca="1">SUMPRODUCT(OFFSET(doEff,0,0,1,1),OFFSET(INDEX(bcEff_Com,1,30),0,0,1,1)) + INDEX(doEff,2)*(INDEX(eff0BC_Com,2)+INDEX(pushBC_Com,1)) + SUMPRODUCT(doEff,INDEX(bcEff_Com,,29),N(_el&gt;1))</f>
        <v>1.9319253112033197</v>
      </c>
      <c r="AI150" s="33">
        <f ca="1">SUMPRODUCT(OFFSET(doEff,0,0,1,1),OFFSET(INDEX(bcEff_Com,1,31),0,0,1,1)) + INDEX(doEff,2)*(INDEX(eff0BC_Com,2)+INDEX(pushBC_Com,1)) + SUMPRODUCT(doEff,INDEX(bcEff_Com,,30),N(_el&gt;1))</f>
        <v>1.9319253112033197</v>
      </c>
      <c r="AJ150" s="33">
        <f ca="1">SUMPRODUCT(OFFSET(doEff,0,0,1,1),OFFSET(INDEX(bcEff_Com,1,32),0,0,1,1)) + INDEX(doEff,2)*(INDEX(eff0BC_Com,2)+INDEX(pushBC_Com,1)) + SUMPRODUCT(doEff,INDEX(bcEff_Com,,31),N(_el&gt;1))</f>
        <v>1.9319253112033197</v>
      </c>
      <c r="AK150" s="33">
        <f ca="1">SUMPRODUCT(OFFSET(doEff,0,0,1,1),OFFSET(INDEX(bcEff_Com,1,33),0,0,1,1)) + INDEX(doEff,2)*(INDEX(eff0BC_Com,2)+INDEX(pushBC_Com,1)) + SUMPRODUCT(doEff,INDEX(bcEff_Com,,32),N(_el&gt;1))</f>
        <v>1.9319253112033197</v>
      </c>
      <c r="AL150" s="33">
        <f ca="1">SUMPRODUCT(OFFSET(doEff,0,0,1,1),OFFSET(INDEX(bcEff_Com,1,34),0,0,1,1)) + INDEX(doEff,2)*(INDEX(eff0BC_Com,2)+INDEX(pushBC_Com,1)) + SUMPRODUCT(doEff,INDEX(bcEff_Com,,33),N(_el&gt;1))</f>
        <v>1.9319253112033197</v>
      </c>
      <c r="AM150" s="33">
        <f ca="1">SUMPRODUCT(OFFSET(doEff,0,0,1,1),OFFSET(INDEX(bcEff_Com,1,35),0,0,1,1)) + INDEX(doEff,2)*(INDEX(eff0BC_Com,2)+INDEX(pushBC_Com,1)) + SUMPRODUCT(doEff,INDEX(bcEff_Com,,34),N(_el&gt;1))</f>
        <v>1.9319253112033197</v>
      </c>
      <c r="AN150" s="34">
        <f ca="1">SUMPRODUCT(OFFSET(doEff,0,0,1,1),OFFSET(INDEX(bcEff_Com,1,36),0,0,1,1)) + INDEX(doEff,2)*(INDEX(eff0BC_Com,2)+INDEX(pushBC_Com,1)) + SUMPRODUCT(doEff,INDEX(bcEff_Com,,35),N(_el&gt;1))</f>
        <v>1.9319253112033197</v>
      </c>
      <c r="AO150" s="8"/>
    </row>
    <row r="151" spans="2:41" hidden="1" x14ac:dyDescent="0.35">
      <c r="B151" s="8"/>
      <c r="C151" s="19" t="str">
        <f>"EL 2: " &amp; INDEX(_doName,1,3)</f>
        <v>EL 2: Tier 2</v>
      </c>
      <c r="D151" s="11"/>
      <c r="E151" s="33"/>
      <c r="F151" s="33">
        <f ca="1">SUMPRODUCT(OFFSET(doEff,0,0,2,1),OFFSET(INDEX(bcEff_Com,1,2),0,0,2,1)) + INDEX(doEff,3)*(INDEX(eff0BC_Com,3)+INDEX(pushBC_Com,2)) + SUMPRODUCT(doEff,INDEX(bcEff_Com,,1),N(_el&gt;2))</f>
        <v>1.9319253112033197</v>
      </c>
      <c r="G151" s="33">
        <f ca="1">SUMPRODUCT(OFFSET(doEff,0,0,2,1),OFFSET(INDEX(bcEff_Com,1,3),0,0,2,1)) + INDEX(doEff,3)*(INDEX(eff0BC_Com,3)+INDEX(pushBC_Com,2)) + SUMPRODUCT(doEff,INDEX(bcEff_Com,,2),N(_el&gt;2))</f>
        <v>1.9319253112033197</v>
      </c>
      <c r="H151" s="33">
        <f ca="1">SUMPRODUCT(OFFSET(doEff,0,0,2,1),OFFSET(INDEX(bcEff_Com,1,4),0,0,2,1)) + INDEX(doEff,3)*(INDEX(eff0BC_Com,3)+INDEX(pushBC_Com,2)) + SUMPRODUCT(doEff,INDEX(bcEff_Com,,3),N(_el&gt;2))</f>
        <v>1.9319253112033197</v>
      </c>
      <c r="I151" s="33">
        <f ca="1">SUMPRODUCT(OFFSET(doEff,0,0,2,1),OFFSET(INDEX(bcEff_Com,1,5),0,0,2,1)) + INDEX(doEff,3)*(INDEX(eff0BC_Com,3)+INDEX(pushBC_Com,2)) + SUMPRODUCT(doEff,INDEX(bcEff_Com,,4),N(_el&gt;2))</f>
        <v>1.9319253112033197</v>
      </c>
      <c r="J151" s="33">
        <f ca="1">SUMPRODUCT(OFFSET(doEff,0,0,2,1),OFFSET(INDEX(bcEff_Com,1,6),0,0,2,1)) + INDEX(doEff,3)*(INDEX(eff0BC_Com,3)+INDEX(pushBC_Com,2)) + SUMPRODUCT(doEff,INDEX(bcEff_Com,,5),N(_el&gt;2))</f>
        <v>1.9319253112033197</v>
      </c>
      <c r="K151" s="33">
        <f ca="1">SUMPRODUCT(OFFSET(doEff,0,0,2,1),OFFSET(INDEX(bcEff_Com,1,7),0,0,2,1)) + INDEX(doEff,3)*(INDEX(eff0BC_Com,3)+INDEX(pushBC_Com,2)) + SUMPRODUCT(doEff,INDEX(bcEff_Com,,6),N(_el&gt;2))</f>
        <v>1.9319253112033197</v>
      </c>
      <c r="L151" s="33">
        <f ca="1">SUMPRODUCT(OFFSET(doEff,0,0,2,1),OFFSET(INDEX(bcEff_Com,1,8),0,0,2,1)) + INDEX(doEff,3)*(INDEX(eff0BC_Com,3)+INDEX(pushBC_Com,2)) + SUMPRODUCT(doEff,INDEX(bcEff_Com,,7),N(_el&gt;2))</f>
        <v>1.9319253112033197</v>
      </c>
      <c r="M151" s="33">
        <f ca="1">SUMPRODUCT(OFFSET(doEff,0,0,2,1),OFFSET(INDEX(bcEff_Com,1,9),0,0,2,1)) + INDEX(doEff,3)*(INDEX(eff0BC_Com,3)+INDEX(pushBC_Com,2)) + SUMPRODUCT(doEff,INDEX(bcEff_Com,,8),N(_el&gt;2))</f>
        <v>1.9319253112033197</v>
      </c>
      <c r="N151" s="33">
        <f ca="1">SUMPRODUCT(OFFSET(doEff,0,0,2,1),OFFSET(INDEX(bcEff_Com,1,10),0,0,2,1)) + INDEX(doEff,3)*(INDEX(eff0BC_Com,3)+INDEX(pushBC_Com,2)) + SUMPRODUCT(doEff,INDEX(bcEff_Com,,9),N(_el&gt;2))</f>
        <v>1.9319253112033197</v>
      </c>
      <c r="O151" s="33">
        <f ca="1">SUMPRODUCT(OFFSET(doEff,0,0,2,1),OFFSET(INDEX(bcEff_Com,1,11),0,0,2,1)) + INDEX(doEff,3)*(INDEX(eff0BC_Com,3)+INDEX(pushBC_Com,2)) + SUMPRODUCT(doEff,INDEX(bcEff_Com,,10),N(_el&gt;2))</f>
        <v>1.9319253112033197</v>
      </c>
      <c r="P151" s="33">
        <f ca="1">SUMPRODUCT(OFFSET(doEff,0,0,2,1),OFFSET(INDEX(bcEff_Com,1,12),0,0,2,1)) + INDEX(doEff,3)*(INDEX(eff0BC_Com,3)+INDEX(pushBC_Com,2)) + SUMPRODUCT(doEff,INDEX(bcEff_Com,,11),N(_el&gt;2))</f>
        <v>1.9319253112033197</v>
      </c>
      <c r="Q151" s="33">
        <f ca="1">SUMPRODUCT(OFFSET(doEff,0,0,2,1),OFFSET(INDEX(bcEff_Com,1,13),0,0,2,1)) + INDEX(doEff,3)*(INDEX(eff0BC_Com,3)+INDEX(pushBC_Com,2)) + SUMPRODUCT(doEff,INDEX(bcEff_Com,,12),N(_el&gt;2))</f>
        <v>1.9319253112033197</v>
      </c>
      <c r="R151" s="33">
        <f ca="1">SUMPRODUCT(OFFSET(doEff,0,0,2,1),OFFSET(INDEX(bcEff_Com,1,14),0,0,2,1)) + INDEX(doEff,3)*(INDEX(eff0BC_Com,3)+INDEX(pushBC_Com,2)) + SUMPRODUCT(doEff,INDEX(bcEff_Com,,13),N(_el&gt;2))</f>
        <v>1.9319253112033197</v>
      </c>
      <c r="S151" s="33">
        <f ca="1">SUMPRODUCT(OFFSET(doEff,0,0,2,1),OFFSET(INDEX(bcEff_Com,1,15),0,0,2,1)) + INDEX(doEff,3)*(INDEX(eff0BC_Com,3)+INDEX(pushBC_Com,2)) + SUMPRODUCT(doEff,INDEX(bcEff_Com,,14),N(_el&gt;2))</f>
        <v>1.9319253112033197</v>
      </c>
      <c r="T151" s="33">
        <f ca="1">SUMPRODUCT(OFFSET(doEff,0,0,2,1),OFFSET(INDEX(bcEff_Com,1,16),0,0,2,1)) + INDEX(doEff,3)*(INDEX(eff0BC_Com,3)+INDEX(pushBC_Com,2)) + SUMPRODUCT(doEff,INDEX(bcEff_Com,,15),N(_el&gt;2))</f>
        <v>1.9319253112033197</v>
      </c>
      <c r="U151" s="33">
        <f ca="1">SUMPRODUCT(OFFSET(doEff,0,0,2,1),OFFSET(INDEX(bcEff_Com,1,17),0,0,2,1)) + INDEX(doEff,3)*(INDEX(eff0BC_Com,3)+INDEX(pushBC_Com,2)) + SUMPRODUCT(doEff,INDEX(bcEff_Com,,16),N(_el&gt;2))</f>
        <v>1.9319253112033197</v>
      </c>
      <c r="V151" s="33">
        <f ca="1">SUMPRODUCT(OFFSET(doEff,0,0,2,1),OFFSET(INDEX(bcEff_Com,1,18),0,0,2,1)) + INDEX(doEff,3)*(INDEX(eff0BC_Com,3)+INDEX(pushBC_Com,2)) + SUMPRODUCT(doEff,INDEX(bcEff_Com,,17),N(_el&gt;2))</f>
        <v>1.9319253112033197</v>
      </c>
      <c r="W151" s="33">
        <f ca="1">SUMPRODUCT(OFFSET(doEff,0,0,2,1),OFFSET(INDEX(bcEff_Com,1,19),0,0,2,1)) + INDEX(doEff,3)*(INDEX(eff0BC_Com,3)+INDEX(pushBC_Com,2)) + SUMPRODUCT(doEff,INDEX(bcEff_Com,,18),N(_el&gt;2))</f>
        <v>1.9319253112033197</v>
      </c>
      <c r="X151" s="33">
        <f ca="1">SUMPRODUCT(OFFSET(doEff,0,0,2,1),OFFSET(INDEX(bcEff_Com,1,20),0,0,2,1)) + INDEX(doEff,3)*(INDEX(eff0BC_Com,3)+INDEX(pushBC_Com,2)) + SUMPRODUCT(doEff,INDEX(bcEff_Com,,19),N(_el&gt;2))</f>
        <v>1.9319253112033197</v>
      </c>
      <c r="Y151" s="33">
        <f ca="1">SUMPRODUCT(OFFSET(doEff,0,0,2,1),OFFSET(INDEX(bcEff_Com,1,21),0,0,2,1)) + INDEX(doEff,3)*(INDEX(eff0BC_Com,3)+INDEX(pushBC_Com,2)) + SUMPRODUCT(doEff,INDEX(bcEff_Com,,20),N(_el&gt;2))</f>
        <v>1.9319253112033197</v>
      </c>
      <c r="Z151" s="33">
        <f ca="1">SUMPRODUCT(OFFSET(doEff,0,0,2,1),OFFSET(INDEX(bcEff_Com,1,22),0,0,2,1)) + INDEX(doEff,3)*(INDEX(eff0BC_Com,3)+INDEX(pushBC_Com,2)) + SUMPRODUCT(doEff,INDEX(bcEff_Com,,21),N(_el&gt;2))</f>
        <v>1.9319253112033197</v>
      </c>
      <c r="AA151" s="33">
        <f ca="1">SUMPRODUCT(OFFSET(doEff,0,0,2,1),OFFSET(INDEX(bcEff_Com,1,23),0,0,2,1)) + INDEX(doEff,3)*(INDEX(eff0BC_Com,3)+INDEX(pushBC_Com,2)) + SUMPRODUCT(doEff,INDEX(bcEff_Com,,22),N(_el&gt;2))</f>
        <v>1.9319253112033197</v>
      </c>
      <c r="AB151" s="33">
        <f ca="1">SUMPRODUCT(OFFSET(doEff,0,0,2,1),OFFSET(INDEX(bcEff_Com,1,24),0,0,2,1)) + INDEX(doEff,3)*(INDEX(eff0BC_Com,3)+INDEX(pushBC_Com,2)) + SUMPRODUCT(doEff,INDEX(bcEff_Com,,23),N(_el&gt;2))</f>
        <v>1.9319253112033197</v>
      </c>
      <c r="AC151" s="33">
        <f ca="1">SUMPRODUCT(OFFSET(doEff,0,0,2,1),OFFSET(INDEX(bcEff_Com,1,25),0,0,2,1)) + INDEX(doEff,3)*(INDEX(eff0BC_Com,3)+INDEX(pushBC_Com,2)) + SUMPRODUCT(doEff,INDEX(bcEff_Com,,24),N(_el&gt;2))</f>
        <v>1.9319253112033197</v>
      </c>
      <c r="AD151" s="33">
        <f ca="1">SUMPRODUCT(OFFSET(doEff,0,0,2,1),OFFSET(INDEX(bcEff_Com,1,26),0,0,2,1)) + INDEX(doEff,3)*(INDEX(eff0BC_Com,3)+INDEX(pushBC_Com,2)) + SUMPRODUCT(doEff,INDEX(bcEff_Com,,25),N(_el&gt;2))</f>
        <v>1.9319253112033197</v>
      </c>
      <c r="AE151" s="33">
        <f ca="1">SUMPRODUCT(OFFSET(doEff,0,0,2,1),OFFSET(INDEX(bcEff_Com,1,27),0,0,2,1)) + INDEX(doEff,3)*(INDEX(eff0BC_Com,3)+INDEX(pushBC_Com,2)) + SUMPRODUCT(doEff,INDEX(bcEff_Com,,26),N(_el&gt;2))</f>
        <v>1.9319253112033197</v>
      </c>
      <c r="AF151" s="33">
        <f ca="1">SUMPRODUCT(OFFSET(doEff,0,0,2,1),OFFSET(INDEX(bcEff_Com,1,28),0,0,2,1)) + INDEX(doEff,3)*(INDEX(eff0BC_Com,3)+INDEX(pushBC_Com,2)) + SUMPRODUCT(doEff,INDEX(bcEff_Com,,27),N(_el&gt;2))</f>
        <v>1.9319253112033197</v>
      </c>
      <c r="AG151" s="33">
        <f ca="1">SUMPRODUCT(OFFSET(doEff,0,0,2,1),OFFSET(INDEX(bcEff_Com,1,29),0,0,2,1)) + INDEX(doEff,3)*(INDEX(eff0BC_Com,3)+INDEX(pushBC_Com,2)) + SUMPRODUCT(doEff,INDEX(bcEff_Com,,28),N(_el&gt;2))</f>
        <v>1.9319253112033197</v>
      </c>
      <c r="AH151" s="33">
        <f ca="1">SUMPRODUCT(OFFSET(doEff,0,0,2,1),OFFSET(INDEX(bcEff_Com,1,30),0,0,2,1)) + INDEX(doEff,3)*(INDEX(eff0BC_Com,3)+INDEX(pushBC_Com,2)) + SUMPRODUCT(doEff,INDEX(bcEff_Com,,29),N(_el&gt;2))</f>
        <v>1.9319253112033197</v>
      </c>
      <c r="AI151" s="33">
        <f ca="1">SUMPRODUCT(OFFSET(doEff,0,0,2,1),OFFSET(INDEX(bcEff_Com,1,31),0,0,2,1)) + INDEX(doEff,3)*(INDEX(eff0BC_Com,3)+INDEX(pushBC_Com,2)) + SUMPRODUCT(doEff,INDEX(bcEff_Com,,30),N(_el&gt;2))</f>
        <v>1.9319253112033197</v>
      </c>
      <c r="AJ151" s="33">
        <f ca="1">SUMPRODUCT(OFFSET(doEff,0,0,2,1),OFFSET(INDEX(bcEff_Com,1,32),0,0,2,1)) + INDEX(doEff,3)*(INDEX(eff0BC_Com,3)+INDEX(pushBC_Com,2)) + SUMPRODUCT(doEff,INDEX(bcEff_Com,,31),N(_el&gt;2))</f>
        <v>1.9319253112033197</v>
      </c>
      <c r="AK151" s="33">
        <f ca="1">SUMPRODUCT(OFFSET(doEff,0,0,2,1),OFFSET(INDEX(bcEff_Com,1,33),0,0,2,1)) + INDEX(doEff,3)*(INDEX(eff0BC_Com,3)+INDEX(pushBC_Com,2)) + SUMPRODUCT(doEff,INDEX(bcEff_Com,,32),N(_el&gt;2))</f>
        <v>1.9319253112033197</v>
      </c>
      <c r="AL151" s="33">
        <f ca="1">SUMPRODUCT(OFFSET(doEff,0,0,2,1),OFFSET(INDEX(bcEff_Com,1,34),0,0,2,1)) + INDEX(doEff,3)*(INDEX(eff0BC_Com,3)+INDEX(pushBC_Com,2)) + SUMPRODUCT(doEff,INDEX(bcEff_Com,,33),N(_el&gt;2))</f>
        <v>1.9319253112033197</v>
      </c>
      <c r="AM151" s="33">
        <f ca="1">SUMPRODUCT(OFFSET(doEff,0,0,2,1),OFFSET(INDEX(bcEff_Com,1,35),0,0,2,1)) + INDEX(doEff,3)*(INDEX(eff0BC_Com,3)+INDEX(pushBC_Com,2)) + SUMPRODUCT(doEff,INDEX(bcEff_Com,,34),N(_el&gt;2))</f>
        <v>1.9319253112033197</v>
      </c>
      <c r="AN151" s="34">
        <f ca="1">SUMPRODUCT(OFFSET(doEff,0,0,2,1),OFFSET(INDEX(bcEff_Com,1,36),0,0,2,1)) + INDEX(doEff,3)*(INDEX(eff0BC_Com,3)+INDEX(pushBC_Com,2)) + SUMPRODUCT(doEff,INDEX(bcEff_Com,,35),N(_el&gt;2))</f>
        <v>1.9319253112033197</v>
      </c>
      <c r="AO151" s="8"/>
    </row>
    <row r="152" spans="2:41" hidden="1" x14ac:dyDescent="0.35">
      <c r="B152" s="8"/>
      <c r="C152" s="19" t="str">
        <f>"EL 3: " &amp; INDEX(_doName,1,4)</f>
        <v>EL 3: EL 3</v>
      </c>
      <c r="D152" s="11"/>
      <c r="E152" s="33"/>
      <c r="F152" s="33">
        <f ca="1">SUMPRODUCT(OFFSET(doEff,0,0,3,1),OFFSET(INDEX(bcEff_Com,1,2),0,0,3,1)) + INDEX(doEff,4)*(INDEX(eff0BC_Com,4)+INDEX(pushBC_Com,3)) + SUMPRODUCT(doEff,INDEX(bcEff_Com,,1),N(_el&gt;3))</f>
        <v>1.9319253112033197</v>
      </c>
      <c r="G152" s="33">
        <f ca="1">SUMPRODUCT(OFFSET(doEff,0,0,3,1),OFFSET(INDEX(bcEff_Com,1,3),0,0,3,1)) + INDEX(doEff,4)*(INDEX(eff0BC_Com,4)+INDEX(pushBC_Com,3)) + SUMPRODUCT(doEff,INDEX(bcEff_Com,,2),N(_el&gt;3))</f>
        <v>1.9319253112033197</v>
      </c>
      <c r="H152" s="33">
        <f ca="1">SUMPRODUCT(OFFSET(doEff,0,0,3,1),OFFSET(INDEX(bcEff_Com,1,4),0,0,3,1)) + INDEX(doEff,4)*(INDEX(eff0BC_Com,4)+INDEX(pushBC_Com,3)) + SUMPRODUCT(doEff,INDEX(bcEff_Com,,3),N(_el&gt;3))</f>
        <v>1.9319253112033197</v>
      </c>
      <c r="I152" s="33">
        <f ca="1">SUMPRODUCT(OFFSET(doEff,0,0,3,1),OFFSET(INDEX(bcEff_Com,1,5),0,0,3,1)) + INDEX(doEff,4)*(INDEX(eff0BC_Com,4)+INDEX(pushBC_Com,3)) + SUMPRODUCT(doEff,INDEX(bcEff_Com,,4),N(_el&gt;3))</f>
        <v>1.9319253112033197</v>
      </c>
      <c r="J152" s="33">
        <f ca="1">SUMPRODUCT(OFFSET(doEff,0,0,3,1),OFFSET(INDEX(bcEff_Com,1,6),0,0,3,1)) + INDEX(doEff,4)*(INDEX(eff0BC_Com,4)+INDEX(pushBC_Com,3)) + SUMPRODUCT(doEff,INDEX(bcEff_Com,,5),N(_el&gt;3))</f>
        <v>1.9319253112033197</v>
      </c>
      <c r="K152" s="33">
        <f ca="1">SUMPRODUCT(OFFSET(doEff,0,0,3,1),OFFSET(INDEX(bcEff_Com,1,7),0,0,3,1)) + INDEX(doEff,4)*(INDEX(eff0BC_Com,4)+INDEX(pushBC_Com,3)) + SUMPRODUCT(doEff,INDEX(bcEff_Com,,6),N(_el&gt;3))</f>
        <v>1.9319253112033197</v>
      </c>
      <c r="L152" s="33">
        <f ca="1">SUMPRODUCT(OFFSET(doEff,0,0,3,1),OFFSET(INDEX(bcEff_Com,1,8),0,0,3,1)) + INDEX(doEff,4)*(INDEX(eff0BC_Com,4)+INDEX(pushBC_Com,3)) + SUMPRODUCT(doEff,INDEX(bcEff_Com,,7),N(_el&gt;3))</f>
        <v>1.9319253112033197</v>
      </c>
      <c r="M152" s="33">
        <f ca="1">SUMPRODUCT(OFFSET(doEff,0,0,3,1),OFFSET(INDEX(bcEff_Com,1,9),0,0,3,1)) + INDEX(doEff,4)*(INDEX(eff0BC_Com,4)+INDEX(pushBC_Com,3)) + SUMPRODUCT(doEff,INDEX(bcEff_Com,,8),N(_el&gt;3))</f>
        <v>1.9319253112033197</v>
      </c>
      <c r="N152" s="33">
        <f ca="1">SUMPRODUCT(OFFSET(doEff,0,0,3,1),OFFSET(INDEX(bcEff_Com,1,10),0,0,3,1)) + INDEX(doEff,4)*(INDEX(eff0BC_Com,4)+INDEX(pushBC_Com,3)) + SUMPRODUCT(doEff,INDEX(bcEff_Com,,9),N(_el&gt;3))</f>
        <v>1.9319253112033197</v>
      </c>
      <c r="O152" s="33">
        <f ca="1">SUMPRODUCT(OFFSET(doEff,0,0,3,1),OFFSET(INDEX(bcEff_Com,1,11),0,0,3,1)) + INDEX(doEff,4)*(INDEX(eff0BC_Com,4)+INDEX(pushBC_Com,3)) + SUMPRODUCT(doEff,INDEX(bcEff_Com,,10),N(_el&gt;3))</f>
        <v>1.9319253112033197</v>
      </c>
      <c r="P152" s="33">
        <f ca="1">SUMPRODUCT(OFFSET(doEff,0,0,3,1),OFFSET(INDEX(bcEff_Com,1,12),0,0,3,1)) + INDEX(doEff,4)*(INDEX(eff0BC_Com,4)+INDEX(pushBC_Com,3)) + SUMPRODUCT(doEff,INDEX(bcEff_Com,,11),N(_el&gt;3))</f>
        <v>1.9319253112033197</v>
      </c>
      <c r="Q152" s="33">
        <f ca="1">SUMPRODUCT(OFFSET(doEff,0,0,3,1),OFFSET(INDEX(bcEff_Com,1,13),0,0,3,1)) + INDEX(doEff,4)*(INDEX(eff0BC_Com,4)+INDEX(pushBC_Com,3)) + SUMPRODUCT(doEff,INDEX(bcEff_Com,,12),N(_el&gt;3))</f>
        <v>1.9319253112033197</v>
      </c>
      <c r="R152" s="33">
        <f ca="1">SUMPRODUCT(OFFSET(doEff,0,0,3,1),OFFSET(INDEX(bcEff_Com,1,14),0,0,3,1)) + INDEX(doEff,4)*(INDEX(eff0BC_Com,4)+INDEX(pushBC_Com,3)) + SUMPRODUCT(doEff,INDEX(bcEff_Com,,13),N(_el&gt;3))</f>
        <v>1.9319253112033197</v>
      </c>
      <c r="S152" s="33">
        <f ca="1">SUMPRODUCT(OFFSET(doEff,0,0,3,1),OFFSET(INDEX(bcEff_Com,1,15),0,0,3,1)) + INDEX(doEff,4)*(INDEX(eff0BC_Com,4)+INDEX(pushBC_Com,3)) + SUMPRODUCT(doEff,INDEX(bcEff_Com,,14),N(_el&gt;3))</f>
        <v>1.9319253112033197</v>
      </c>
      <c r="T152" s="33">
        <f ca="1">SUMPRODUCT(OFFSET(doEff,0,0,3,1),OFFSET(INDEX(bcEff_Com,1,16),0,0,3,1)) + INDEX(doEff,4)*(INDEX(eff0BC_Com,4)+INDEX(pushBC_Com,3)) + SUMPRODUCT(doEff,INDEX(bcEff_Com,,15),N(_el&gt;3))</f>
        <v>1.9319253112033197</v>
      </c>
      <c r="U152" s="33">
        <f ca="1">SUMPRODUCT(OFFSET(doEff,0,0,3,1),OFFSET(INDEX(bcEff_Com,1,17),0,0,3,1)) + INDEX(doEff,4)*(INDEX(eff0BC_Com,4)+INDEX(pushBC_Com,3)) + SUMPRODUCT(doEff,INDEX(bcEff_Com,,16),N(_el&gt;3))</f>
        <v>1.9319253112033197</v>
      </c>
      <c r="V152" s="33">
        <f ca="1">SUMPRODUCT(OFFSET(doEff,0,0,3,1),OFFSET(INDEX(bcEff_Com,1,18),0,0,3,1)) + INDEX(doEff,4)*(INDEX(eff0BC_Com,4)+INDEX(pushBC_Com,3)) + SUMPRODUCT(doEff,INDEX(bcEff_Com,,17),N(_el&gt;3))</f>
        <v>1.9319253112033197</v>
      </c>
      <c r="W152" s="33">
        <f ca="1">SUMPRODUCT(OFFSET(doEff,0,0,3,1),OFFSET(INDEX(bcEff_Com,1,19),0,0,3,1)) + INDEX(doEff,4)*(INDEX(eff0BC_Com,4)+INDEX(pushBC_Com,3)) + SUMPRODUCT(doEff,INDEX(bcEff_Com,,18),N(_el&gt;3))</f>
        <v>1.9319253112033197</v>
      </c>
      <c r="X152" s="33">
        <f ca="1">SUMPRODUCT(OFFSET(doEff,0,0,3,1),OFFSET(INDEX(bcEff_Com,1,20),0,0,3,1)) + INDEX(doEff,4)*(INDEX(eff0BC_Com,4)+INDEX(pushBC_Com,3)) + SUMPRODUCT(doEff,INDEX(bcEff_Com,,19),N(_el&gt;3))</f>
        <v>1.9319253112033197</v>
      </c>
      <c r="Y152" s="33">
        <f ca="1">SUMPRODUCT(OFFSET(doEff,0,0,3,1),OFFSET(INDEX(bcEff_Com,1,21),0,0,3,1)) + INDEX(doEff,4)*(INDEX(eff0BC_Com,4)+INDEX(pushBC_Com,3)) + SUMPRODUCT(doEff,INDEX(bcEff_Com,,20),N(_el&gt;3))</f>
        <v>1.9319253112033197</v>
      </c>
      <c r="Z152" s="33">
        <f ca="1">SUMPRODUCT(OFFSET(doEff,0,0,3,1),OFFSET(INDEX(bcEff_Com,1,22),0,0,3,1)) + INDEX(doEff,4)*(INDEX(eff0BC_Com,4)+INDEX(pushBC_Com,3)) + SUMPRODUCT(doEff,INDEX(bcEff_Com,,21),N(_el&gt;3))</f>
        <v>1.9319253112033197</v>
      </c>
      <c r="AA152" s="33">
        <f ca="1">SUMPRODUCT(OFFSET(doEff,0,0,3,1),OFFSET(INDEX(bcEff_Com,1,23),0,0,3,1)) + INDEX(doEff,4)*(INDEX(eff0BC_Com,4)+INDEX(pushBC_Com,3)) + SUMPRODUCT(doEff,INDEX(bcEff_Com,,22),N(_el&gt;3))</f>
        <v>1.9319253112033197</v>
      </c>
      <c r="AB152" s="33">
        <f ca="1">SUMPRODUCT(OFFSET(doEff,0,0,3,1),OFFSET(INDEX(bcEff_Com,1,24),0,0,3,1)) + INDEX(doEff,4)*(INDEX(eff0BC_Com,4)+INDEX(pushBC_Com,3)) + SUMPRODUCT(doEff,INDEX(bcEff_Com,,23),N(_el&gt;3))</f>
        <v>1.9319253112033197</v>
      </c>
      <c r="AC152" s="33">
        <f ca="1">SUMPRODUCT(OFFSET(doEff,0,0,3,1),OFFSET(INDEX(bcEff_Com,1,25),0,0,3,1)) + INDEX(doEff,4)*(INDEX(eff0BC_Com,4)+INDEX(pushBC_Com,3)) + SUMPRODUCT(doEff,INDEX(bcEff_Com,,24),N(_el&gt;3))</f>
        <v>1.9319253112033197</v>
      </c>
      <c r="AD152" s="33">
        <f ca="1">SUMPRODUCT(OFFSET(doEff,0,0,3,1),OFFSET(INDEX(bcEff_Com,1,26),0,0,3,1)) + INDEX(doEff,4)*(INDEX(eff0BC_Com,4)+INDEX(pushBC_Com,3)) + SUMPRODUCT(doEff,INDEX(bcEff_Com,,25),N(_el&gt;3))</f>
        <v>1.9319253112033197</v>
      </c>
      <c r="AE152" s="33">
        <f ca="1">SUMPRODUCT(OFFSET(doEff,0,0,3,1),OFFSET(INDEX(bcEff_Com,1,27),0,0,3,1)) + INDEX(doEff,4)*(INDEX(eff0BC_Com,4)+INDEX(pushBC_Com,3)) + SUMPRODUCT(doEff,INDEX(bcEff_Com,,26),N(_el&gt;3))</f>
        <v>1.9319253112033197</v>
      </c>
      <c r="AF152" s="33">
        <f ca="1">SUMPRODUCT(OFFSET(doEff,0,0,3,1),OFFSET(INDEX(bcEff_Com,1,28),0,0,3,1)) + INDEX(doEff,4)*(INDEX(eff0BC_Com,4)+INDEX(pushBC_Com,3)) + SUMPRODUCT(doEff,INDEX(bcEff_Com,,27),N(_el&gt;3))</f>
        <v>1.9319253112033197</v>
      </c>
      <c r="AG152" s="33">
        <f ca="1">SUMPRODUCT(OFFSET(doEff,0,0,3,1),OFFSET(INDEX(bcEff_Com,1,29),0,0,3,1)) + INDEX(doEff,4)*(INDEX(eff0BC_Com,4)+INDEX(pushBC_Com,3)) + SUMPRODUCT(doEff,INDEX(bcEff_Com,,28),N(_el&gt;3))</f>
        <v>1.9319253112033197</v>
      </c>
      <c r="AH152" s="33">
        <f ca="1">SUMPRODUCT(OFFSET(doEff,0,0,3,1),OFFSET(INDEX(bcEff_Com,1,30),0,0,3,1)) + INDEX(doEff,4)*(INDEX(eff0BC_Com,4)+INDEX(pushBC_Com,3)) + SUMPRODUCT(doEff,INDEX(bcEff_Com,,29),N(_el&gt;3))</f>
        <v>1.9319253112033197</v>
      </c>
      <c r="AI152" s="33">
        <f ca="1">SUMPRODUCT(OFFSET(doEff,0,0,3,1),OFFSET(INDEX(bcEff_Com,1,31),0,0,3,1)) + INDEX(doEff,4)*(INDEX(eff0BC_Com,4)+INDEX(pushBC_Com,3)) + SUMPRODUCT(doEff,INDEX(bcEff_Com,,30),N(_el&gt;3))</f>
        <v>1.9319253112033197</v>
      </c>
      <c r="AJ152" s="33">
        <f ca="1">SUMPRODUCT(OFFSET(doEff,0,0,3,1),OFFSET(INDEX(bcEff_Com,1,32),0,0,3,1)) + INDEX(doEff,4)*(INDEX(eff0BC_Com,4)+INDEX(pushBC_Com,3)) + SUMPRODUCT(doEff,INDEX(bcEff_Com,,31),N(_el&gt;3))</f>
        <v>1.9319253112033197</v>
      </c>
      <c r="AK152" s="33">
        <f ca="1">SUMPRODUCT(OFFSET(doEff,0,0,3,1),OFFSET(INDEX(bcEff_Com,1,33),0,0,3,1)) + INDEX(doEff,4)*(INDEX(eff0BC_Com,4)+INDEX(pushBC_Com,3)) + SUMPRODUCT(doEff,INDEX(bcEff_Com,,32),N(_el&gt;3))</f>
        <v>1.9319253112033197</v>
      </c>
      <c r="AL152" s="33">
        <f ca="1">SUMPRODUCT(OFFSET(doEff,0,0,3,1),OFFSET(INDEX(bcEff_Com,1,34),0,0,3,1)) + INDEX(doEff,4)*(INDEX(eff0BC_Com,4)+INDEX(pushBC_Com,3)) + SUMPRODUCT(doEff,INDEX(bcEff_Com,,33),N(_el&gt;3))</f>
        <v>1.9319253112033197</v>
      </c>
      <c r="AM152" s="33">
        <f ca="1">SUMPRODUCT(OFFSET(doEff,0,0,3,1),OFFSET(INDEX(bcEff_Com,1,35),0,0,3,1)) + INDEX(doEff,4)*(INDEX(eff0BC_Com,4)+INDEX(pushBC_Com,3)) + SUMPRODUCT(doEff,INDEX(bcEff_Com,,34),N(_el&gt;3))</f>
        <v>1.9319253112033197</v>
      </c>
      <c r="AN152" s="34">
        <f ca="1">SUMPRODUCT(OFFSET(doEff,0,0,3,1),OFFSET(INDEX(bcEff_Com,1,36),0,0,3,1)) + INDEX(doEff,4)*(INDEX(eff0BC_Com,4)+INDEX(pushBC_Com,3)) + SUMPRODUCT(doEff,INDEX(bcEff_Com,,35),N(_el&gt;3))</f>
        <v>1.9319253112033197</v>
      </c>
      <c r="AO152" s="8"/>
    </row>
    <row r="153" spans="2:41" hidden="1" x14ac:dyDescent="0.35">
      <c r="B153" s="8"/>
      <c r="C153" s="35" t="str">
        <f>"EL 4: " &amp; INDEX(_doName,1,5)</f>
        <v>EL 4: EL 4</v>
      </c>
      <c r="D153" s="15"/>
      <c r="E153" s="21"/>
      <c r="F153" s="21">
        <f ca="1">SUMPRODUCT(OFFSET(doEff,0,0,4,1),OFFSET(INDEX(bcEff_Com,1,2),0,0,4,1)) + INDEX(doEff,5)*(INDEX(eff0BC_Com,5)+INDEX(pushBC_Com,4)) + 0</f>
        <v>1.9319253112033197</v>
      </c>
      <c r="G153" s="21">
        <f ca="1">SUMPRODUCT(OFFSET(doEff,0,0,4,1),OFFSET(INDEX(bcEff_Com,1,3),0,0,4,1)) + INDEX(doEff,5)*(INDEX(eff0BC_Com,5)+INDEX(pushBC_Com,4)) + 0</f>
        <v>1.9319253112033197</v>
      </c>
      <c r="H153" s="21">
        <f ca="1">SUMPRODUCT(OFFSET(doEff,0,0,4,1),OFFSET(INDEX(bcEff_Com,1,4),0,0,4,1)) + INDEX(doEff,5)*(INDEX(eff0BC_Com,5)+INDEX(pushBC_Com,4)) + 0</f>
        <v>1.9319253112033197</v>
      </c>
      <c r="I153" s="21">
        <f ca="1">SUMPRODUCT(OFFSET(doEff,0,0,4,1),OFFSET(INDEX(bcEff_Com,1,5),0,0,4,1)) + INDEX(doEff,5)*(INDEX(eff0BC_Com,5)+INDEX(pushBC_Com,4)) + 0</f>
        <v>1.9319253112033197</v>
      </c>
      <c r="J153" s="21">
        <f ca="1">SUMPRODUCT(OFFSET(doEff,0,0,4,1),OFFSET(INDEX(bcEff_Com,1,6),0,0,4,1)) + INDEX(doEff,5)*(INDEX(eff0BC_Com,5)+INDEX(pushBC_Com,4)) + 0</f>
        <v>1.9319253112033197</v>
      </c>
      <c r="K153" s="21">
        <f ca="1">SUMPRODUCT(OFFSET(doEff,0,0,4,1),OFFSET(INDEX(bcEff_Com,1,7),0,0,4,1)) + INDEX(doEff,5)*(INDEX(eff0BC_Com,5)+INDEX(pushBC_Com,4)) + 0</f>
        <v>1.9319253112033197</v>
      </c>
      <c r="L153" s="21">
        <f ca="1">SUMPRODUCT(OFFSET(doEff,0,0,4,1),OFFSET(INDEX(bcEff_Com,1,8),0,0,4,1)) + INDEX(doEff,5)*(INDEX(eff0BC_Com,5)+INDEX(pushBC_Com,4)) + 0</f>
        <v>1.9319253112033197</v>
      </c>
      <c r="M153" s="21">
        <f ca="1">SUMPRODUCT(OFFSET(doEff,0,0,4,1),OFFSET(INDEX(bcEff_Com,1,9),0,0,4,1)) + INDEX(doEff,5)*(INDEX(eff0BC_Com,5)+INDEX(pushBC_Com,4)) + 0</f>
        <v>1.9319253112033197</v>
      </c>
      <c r="N153" s="21">
        <f ca="1">SUMPRODUCT(OFFSET(doEff,0,0,4,1),OFFSET(INDEX(bcEff_Com,1,10),0,0,4,1)) + INDEX(doEff,5)*(INDEX(eff0BC_Com,5)+INDEX(pushBC_Com,4)) + 0</f>
        <v>1.9319253112033197</v>
      </c>
      <c r="O153" s="21">
        <f ca="1">SUMPRODUCT(OFFSET(doEff,0,0,4,1),OFFSET(INDEX(bcEff_Com,1,11),0,0,4,1)) + INDEX(doEff,5)*(INDEX(eff0BC_Com,5)+INDEX(pushBC_Com,4)) + 0</f>
        <v>1.9319253112033197</v>
      </c>
      <c r="P153" s="21">
        <f ca="1">SUMPRODUCT(OFFSET(doEff,0,0,4,1),OFFSET(INDEX(bcEff_Com,1,12),0,0,4,1)) + INDEX(doEff,5)*(INDEX(eff0BC_Com,5)+INDEX(pushBC_Com,4)) + 0</f>
        <v>1.9319253112033197</v>
      </c>
      <c r="Q153" s="21">
        <f ca="1">SUMPRODUCT(OFFSET(doEff,0,0,4,1),OFFSET(INDEX(bcEff_Com,1,13),0,0,4,1)) + INDEX(doEff,5)*(INDEX(eff0BC_Com,5)+INDEX(pushBC_Com,4)) + 0</f>
        <v>1.9319253112033197</v>
      </c>
      <c r="R153" s="21">
        <f ca="1">SUMPRODUCT(OFFSET(doEff,0,0,4,1),OFFSET(INDEX(bcEff_Com,1,14),0,0,4,1)) + INDEX(doEff,5)*(INDEX(eff0BC_Com,5)+INDEX(pushBC_Com,4)) + 0</f>
        <v>1.9319253112033197</v>
      </c>
      <c r="S153" s="21">
        <f ca="1">SUMPRODUCT(OFFSET(doEff,0,0,4,1),OFFSET(INDEX(bcEff_Com,1,15),0,0,4,1)) + INDEX(doEff,5)*(INDEX(eff0BC_Com,5)+INDEX(pushBC_Com,4)) + 0</f>
        <v>1.9319253112033197</v>
      </c>
      <c r="T153" s="21">
        <f ca="1">SUMPRODUCT(OFFSET(doEff,0,0,4,1),OFFSET(INDEX(bcEff_Com,1,16),0,0,4,1)) + INDEX(doEff,5)*(INDEX(eff0BC_Com,5)+INDEX(pushBC_Com,4)) + 0</f>
        <v>1.9319253112033197</v>
      </c>
      <c r="U153" s="21">
        <f ca="1">SUMPRODUCT(OFFSET(doEff,0,0,4,1),OFFSET(INDEX(bcEff_Com,1,17),0,0,4,1)) + INDEX(doEff,5)*(INDEX(eff0BC_Com,5)+INDEX(pushBC_Com,4)) + 0</f>
        <v>1.9319253112033197</v>
      </c>
      <c r="V153" s="21">
        <f ca="1">SUMPRODUCT(OFFSET(doEff,0,0,4,1),OFFSET(INDEX(bcEff_Com,1,18),0,0,4,1)) + INDEX(doEff,5)*(INDEX(eff0BC_Com,5)+INDEX(pushBC_Com,4)) + 0</f>
        <v>1.9319253112033197</v>
      </c>
      <c r="W153" s="21">
        <f ca="1">SUMPRODUCT(OFFSET(doEff,0,0,4,1),OFFSET(INDEX(bcEff_Com,1,19),0,0,4,1)) + INDEX(doEff,5)*(INDEX(eff0BC_Com,5)+INDEX(pushBC_Com,4)) + 0</f>
        <v>1.9319253112033197</v>
      </c>
      <c r="X153" s="21">
        <f ca="1">SUMPRODUCT(OFFSET(doEff,0,0,4,1),OFFSET(INDEX(bcEff_Com,1,20),0,0,4,1)) + INDEX(doEff,5)*(INDEX(eff0BC_Com,5)+INDEX(pushBC_Com,4)) + 0</f>
        <v>1.9319253112033197</v>
      </c>
      <c r="Y153" s="21">
        <f ca="1">SUMPRODUCT(OFFSET(doEff,0,0,4,1),OFFSET(INDEX(bcEff_Com,1,21),0,0,4,1)) + INDEX(doEff,5)*(INDEX(eff0BC_Com,5)+INDEX(pushBC_Com,4)) + 0</f>
        <v>1.9319253112033197</v>
      </c>
      <c r="Z153" s="21">
        <f ca="1">SUMPRODUCT(OFFSET(doEff,0,0,4,1),OFFSET(INDEX(bcEff_Com,1,22),0,0,4,1)) + INDEX(doEff,5)*(INDEX(eff0BC_Com,5)+INDEX(pushBC_Com,4)) + 0</f>
        <v>1.9319253112033197</v>
      </c>
      <c r="AA153" s="21">
        <f ca="1">SUMPRODUCT(OFFSET(doEff,0,0,4,1),OFFSET(INDEX(bcEff_Com,1,23),0,0,4,1)) + INDEX(doEff,5)*(INDEX(eff0BC_Com,5)+INDEX(pushBC_Com,4)) + 0</f>
        <v>1.9319253112033197</v>
      </c>
      <c r="AB153" s="21">
        <f ca="1">SUMPRODUCT(OFFSET(doEff,0,0,4,1),OFFSET(INDEX(bcEff_Com,1,24),0,0,4,1)) + INDEX(doEff,5)*(INDEX(eff0BC_Com,5)+INDEX(pushBC_Com,4)) + 0</f>
        <v>1.9319253112033197</v>
      </c>
      <c r="AC153" s="21">
        <f ca="1">SUMPRODUCT(OFFSET(doEff,0,0,4,1),OFFSET(INDEX(bcEff_Com,1,25),0,0,4,1)) + INDEX(doEff,5)*(INDEX(eff0BC_Com,5)+INDEX(pushBC_Com,4)) + 0</f>
        <v>1.9319253112033197</v>
      </c>
      <c r="AD153" s="21">
        <f ca="1">SUMPRODUCT(OFFSET(doEff,0,0,4,1),OFFSET(INDEX(bcEff_Com,1,26),0,0,4,1)) + INDEX(doEff,5)*(INDEX(eff0BC_Com,5)+INDEX(pushBC_Com,4)) + 0</f>
        <v>1.9319253112033197</v>
      </c>
      <c r="AE153" s="21">
        <f ca="1">SUMPRODUCT(OFFSET(doEff,0,0,4,1),OFFSET(INDEX(bcEff_Com,1,27),0,0,4,1)) + INDEX(doEff,5)*(INDEX(eff0BC_Com,5)+INDEX(pushBC_Com,4)) + 0</f>
        <v>1.9319253112033197</v>
      </c>
      <c r="AF153" s="21">
        <f ca="1">SUMPRODUCT(OFFSET(doEff,0,0,4,1),OFFSET(INDEX(bcEff_Com,1,28),0,0,4,1)) + INDEX(doEff,5)*(INDEX(eff0BC_Com,5)+INDEX(pushBC_Com,4)) + 0</f>
        <v>1.9319253112033197</v>
      </c>
      <c r="AG153" s="21">
        <f ca="1">SUMPRODUCT(OFFSET(doEff,0,0,4,1),OFFSET(INDEX(bcEff_Com,1,29),0,0,4,1)) + INDEX(doEff,5)*(INDEX(eff0BC_Com,5)+INDEX(pushBC_Com,4)) + 0</f>
        <v>1.9319253112033197</v>
      </c>
      <c r="AH153" s="21">
        <f ca="1">SUMPRODUCT(OFFSET(doEff,0,0,4,1),OFFSET(INDEX(bcEff_Com,1,30),0,0,4,1)) + INDEX(doEff,5)*(INDEX(eff0BC_Com,5)+INDEX(pushBC_Com,4)) + 0</f>
        <v>1.9319253112033197</v>
      </c>
      <c r="AI153" s="21">
        <f ca="1">SUMPRODUCT(OFFSET(doEff,0,0,4,1),OFFSET(INDEX(bcEff_Com,1,31),0,0,4,1)) + INDEX(doEff,5)*(INDEX(eff0BC_Com,5)+INDEX(pushBC_Com,4)) + 0</f>
        <v>1.9319253112033197</v>
      </c>
      <c r="AJ153" s="21">
        <f ca="1">SUMPRODUCT(OFFSET(doEff,0,0,4,1),OFFSET(INDEX(bcEff_Com,1,32),0,0,4,1)) + INDEX(doEff,5)*(INDEX(eff0BC_Com,5)+INDEX(pushBC_Com,4)) + 0</f>
        <v>1.9319253112033197</v>
      </c>
      <c r="AK153" s="21">
        <f ca="1">SUMPRODUCT(OFFSET(doEff,0,0,4,1),OFFSET(INDEX(bcEff_Com,1,33),0,0,4,1)) + INDEX(doEff,5)*(INDEX(eff0BC_Com,5)+INDEX(pushBC_Com,4)) + 0</f>
        <v>1.9319253112033197</v>
      </c>
      <c r="AL153" s="21">
        <f ca="1">SUMPRODUCT(OFFSET(doEff,0,0,4,1),OFFSET(INDEX(bcEff_Com,1,34),0,0,4,1)) + INDEX(doEff,5)*(INDEX(eff0BC_Com,5)+INDEX(pushBC_Com,4)) + 0</f>
        <v>1.9319253112033197</v>
      </c>
      <c r="AM153" s="21">
        <f ca="1">SUMPRODUCT(OFFSET(doEff,0,0,4,1),OFFSET(INDEX(bcEff_Com,1,35),0,0,4,1)) + INDEX(doEff,5)*(INDEX(eff0BC_Com,5)+INDEX(pushBC_Com,4)) + 0</f>
        <v>1.9319253112033197</v>
      </c>
      <c r="AN153" s="22">
        <f ca="1">SUMPRODUCT(OFFSET(doEff,0,0,4,1),OFFSET(INDEX(bcEff_Com,1,36),0,0,4,1)) + INDEX(doEff,5)*(INDEX(eff0BC_Com,5)+INDEX(pushBC_Com,4)) + 0</f>
        <v>1.9319253112033197</v>
      </c>
      <c r="AO153" s="8"/>
    </row>
    <row r="154" spans="2:41" hidden="1" x14ac:dyDescent="0.3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</row>
    <row r="155" spans="2:41" x14ac:dyDescent="0.35">
      <c r="B155" s="8"/>
      <c r="C155" s="23" t="s">
        <v>73</v>
      </c>
      <c r="D155" s="24"/>
      <c r="E155" s="25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</row>
    <row r="156" spans="2:41" x14ac:dyDescent="0.35">
      <c r="B156" s="8"/>
      <c r="C156" s="19" t="str">
        <f>"EL 0: " &amp; INDEX(_doName,1,1)</f>
        <v>EL 0: Baseline</v>
      </c>
      <c r="D156" s="11" t="s">
        <v>74</v>
      </c>
      <c r="E156" s="41">
        <f t="array" ref="E156:E160">TRANSPOSE(effsml)</f>
        <v>1.53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</row>
    <row r="157" spans="2:41" x14ac:dyDescent="0.35">
      <c r="B157" s="8"/>
      <c r="C157" s="19" t="str">
        <f>"EL 1: " &amp; INDEX(_doName,1,2)</f>
        <v>EL 1: Tier 1</v>
      </c>
      <c r="D157" s="11" t="s">
        <v>74</v>
      </c>
      <c r="E157" s="41">
        <v>1.69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</row>
    <row r="158" spans="2:41" x14ac:dyDescent="0.35">
      <c r="B158" s="8"/>
      <c r="C158" s="19" t="str">
        <f>"EL 2: " &amp; INDEX(_doName,1,3)</f>
        <v>EL 2: Tier 2</v>
      </c>
      <c r="D158" s="11" t="s">
        <v>74</v>
      </c>
      <c r="E158" s="41">
        <v>1.89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</row>
    <row r="159" spans="2:41" x14ac:dyDescent="0.35">
      <c r="B159" s="8"/>
      <c r="C159" s="19" t="str">
        <f>"EL 3: " &amp; INDEX(_doName,1,4)</f>
        <v>EL 3: EL 3</v>
      </c>
      <c r="D159" s="11" t="s">
        <v>74</v>
      </c>
      <c r="E159" s="41">
        <v>3.37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</row>
    <row r="160" spans="2:41" x14ac:dyDescent="0.35">
      <c r="B160" s="8"/>
      <c r="C160" s="35" t="str">
        <f>"EL 4: " &amp; INDEX(_doName,1,5)</f>
        <v>EL 4: EL 4</v>
      </c>
      <c r="D160" s="15" t="s">
        <v>74</v>
      </c>
      <c r="E160" s="49">
        <v>5.4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</row>
    <row r="161" spans="2:41" x14ac:dyDescent="0.3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</row>
    <row r="162" spans="2:41" hidden="1" x14ac:dyDescent="0.35">
      <c r="B162" s="8"/>
      <c r="C162" s="23" t="s">
        <v>86</v>
      </c>
      <c r="D162" s="24"/>
      <c r="E162" s="26">
        <f t="array" ref="E162:AN162">_yS</f>
        <v>2024</v>
      </c>
      <c r="F162" s="26">
        <v>2025</v>
      </c>
      <c r="G162" s="26">
        <v>2026</v>
      </c>
      <c r="H162" s="26">
        <v>2027</v>
      </c>
      <c r="I162" s="26">
        <v>2028</v>
      </c>
      <c r="J162" s="26">
        <v>2029</v>
      </c>
      <c r="K162" s="26">
        <v>2030</v>
      </c>
      <c r="L162" s="26">
        <v>2031</v>
      </c>
      <c r="M162" s="26">
        <v>2032</v>
      </c>
      <c r="N162" s="26">
        <v>2033</v>
      </c>
      <c r="O162" s="26">
        <v>2034</v>
      </c>
      <c r="P162" s="26">
        <v>2035</v>
      </c>
      <c r="Q162" s="26">
        <v>2036</v>
      </c>
      <c r="R162" s="26">
        <v>2037</v>
      </c>
      <c r="S162" s="26">
        <v>2038</v>
      </c>
      <c r="T162" s="26">
        <v>2039</v>
      </c>
      <c r="U162" s="26">
        <v>2040</v>
      </c>
      <c r="V162" s="26">
        <v>2041</v>
      </c>
      <c r="W162" s="26">
        <v>2042</v>
      </c>
      <c r="X162" s="26">
        <v>2043</v>
      </c>
      <c r="Y162" s="26">
        <v>2044</v>
      </c>
      <c r="Z162" s="26">
        <v>2045</v>
      </c>
      <c r="AA162" s="26">
        <v>2046</v>
      </c>
      <c r="AB162" s="26">
        <v>2047</v>
      </c>
      <c r="AC162" s="26">
        <v>2048</v>
      </c>
      <c r="AD162" s="26">
        <v>2049</v>
      </c>
      <c r="AE162" s="26">
        <v>2050</v>
      </c>
      <c r="AF162" s="26">
        <v>2051</v>
      </c>
      <c r="AG162" s="26">
        <v>2052</v>
      </c>
      <c r="AH162" s="26">
        <v>2053</v>
      </c>
      <c r="AI162" s="26">
        <v>2054</v>
      </c>
      <c r="AJ162" s="26">
        <v>2055</v>
      </c>
      <c r="AK162" s="26">
        <v>2056</v>
      </c>
      <c r="AL162" s="26">
        <v>2057</v>
      </c>
      <c r="AM162" s="26">
        <v>2058</v>
      </c>
      <c r="AN162" s="27">
        <v>2059</v>
      </c>
      <c r="AO162" s="8"/>
    </row>
    <row r="163" spans="2:41" hidden="1" x14ac:dyDescent="0.35">
      <c r="B163" s="8"/>
      <c r="C163" s="19" t="str">
        <f>"EL 0: " &amp; INDEX(_doName,1,1)</f>
        <v>EL 0: Baseline</v>
      </c>
      <c r="D163" s="11"/>
      <c r="E163" s="32">
        <f t="array" ref="E163:AN163">tlccQu0_Res</f>
        <v>66.281433214835971</v>
      </c>
      <c r="F163" s="32">
        <v>65.808197181350593</v>
      </c>
      <c r="G163" s="32">
        <v>65.356517554203606</v>
      </c>
      <c r="H163" s="32">
        <v>64.922866667431904</v>
      </c>
      <c r="I163" s="32">
        <v>64.504715024821735</v>
      </c>
      <c r="J163" s="32">
        <v>64.100358063063737</v>
      </c>
      <c r="K163" s="32">
        <v>63.708619329082083</v>
      </c>
      <c r="L163" s="32">
        <v>63.328635484959086</v>
      </c>
      <c r="M163" s="32">
        <v>62.959656657855007</v>
      </c>
      <c r="N163" s="32">
        <v>62.600950890729848</v>
      </c>
      <c r="O163" s="32">
        <v>62.251781412948134</v>
      </c>
      <c r="P163" s="32">
        <v>61.911410164719975</v>
      </c>
      <c r="Q163" s="32">
        <v>61.579131259947182</v>
      </c>
      <c r="R163" s="32">
        <v>61.254305990135954</v>
      </c>
      <c r="S163" s="32">
        <v>60.93635247929727</v>
      </c>
      <c r="T163" s="32">
        <v>60.624816597128635</v>
      </c>
      <c r="U163" s="32">
        <v>60.319277630431799</v>
      </c>
      <c r="V163" s="32">
        <v>60.019369930415273</v>
      </c>
      <c r="W163" s="32">
        <v>59.724767589990748</v>
      </c>
      <c r="X163" s="32">
        <v>59.435172782331065</v>
      </c>
      <c r="Y163" s="32">
        <v>59.150309921956143</v>
      </c>
      <c r="Z163" s="32">
        <v>58.869920944464425</v>
      </c>
      <c r="AA163" s="32">
        <v>58.593765424741918</v>
      </c>
      <c r="AB163" s="32">
        <v>58.32162051479667</v>
      </c>
      <c r="AC163" s="32">
        <v>58.053280752005506</v>
      </c>
      <c r="AD163" s="32">
        <v>57.78855736720373</v>
      </c>
      <c r="AE163" s="32">
        <v>57.527276981692282</v>
      </c>
      <c r="AF163" s="32">
        <v>57.269279985702568</v>
      </c>
      <c r="AG163" s="32">
        <v>57.014418861627775</v>
      </c>
      <c r="AH163" s="32">
        <v>56.762556662907393</v>
      </c>
      <c r="AI163" s="32">
        <v>56.513565787111453</v>
      </c>
      <c r="AJ163" s="32">
        <v>56.267327040561547</v>
      </c>
      <c r="AK163" s="32">
        <v>56.023728912064442</v>
      </c>
      <c r="AL163" s="32">
        <v>55.782667071721114</v>
      </c>
      <c r="AM163" s="32">
        <v>55.544043815385201</v>
      </c>
      <c r="AN163" s="55">
        <v>55.30776765874959</v>
      </c>
      <c r="AO163" s="8"/>
    </row>
    <row r="164" spans="2:41" hidden="1" x14ac:dyDescent="0.35">
      <c r="B164" s="8"/>
      <c r="C164" s="19" t="str">
        <f>"EL 1: " &amp; INDEX(_doName,1,2)</f>
        <v>EL 1: Tier 1</v>
      </c>
      <c r="D164" s="11"/>
      <c r="E164" s="32">
        <f t="array" ref="E164:AN164">tlccQu1_Res</f>
        <v>68.029826326907866</v>
      </c>
      <c r="F164" s="32">
        <v>67.533377022175287</v>
      </c>
      <c r="G164" s="32">
        <v>67.059541513058448</v>
      </c>
      <c r="H164" s="32">
        <v>66.604619093797766</v>
      </c>
      <c r="I164" s="32">
        <v>66.165956190811087</v>
      </c>
      <c r="J164" s="32">
        <v>65.741764628198951</v>
      </c>
      <c r="K164" s="32">
        <v>65.330810245267273</v>
      </c>
      <c r="L164" s="32">
        <v>64.932187355469296</v>
      </c>
      <c r="M164" s="32">
        <v>64.545109303048491</v>
      </c>
      <c r="N164" s="32">
        <v>64.168808226857607</v>
      </c>
      <c r="O164" s="32">
        <v>63.802511216036422</v>
      </c>
      <c r="P164" s="32">
        <v>63.445444007334416</v>
      </c>
      <c r="Q164" s="32">
        <v>63.096866089383347</v>
      </c>
      <c r="R164" s="32">
        <v>62.75610742362899</v>
      </c>
      <c r="S164" s="32">
        <v>62.422557591781668</v>
      </c>
      <c r="T164" s="32">
        <v>62.095740187445848</v>
      </c>
      <c r="U164" s="32">
        <v>61.775213860512963</v>
      </c>
      <c r="V164" s="32">
        <v>61.4605950263118</v>
      </c>
      <c r="W164" s="32">
        <v>61.151541791292523</v>
      </c>
      <c r="X164" s="32">
        <v>60.847741719565185</v>
      </c>
      <c r="Y164" s="32">
        <v>60.548905707574072</v>
      </c>
      <c r="Z164" s="32">
        <v>60.25476303228951</v>
      </c>
      <c r="AA164" s="32">
        <v>59.965061475215371</v>
      </c>
      <c r="AB164" s="32">
        <v>59.67956725717417</v>
      </c>
      <c r="AC164" s="32">
        <v>59.398064837147871</v>
      </c>
      <c r="AD164" s="32">
        <v>59.120356186427891</v>
      </c>
      <c r="AE164" s="32">
        <v>58.846259421707572</v>
      </c>
      <c r="AF164" s="32">
        <v>58.575607104007119</v>
      </c>
      <c r="AG164" s="32">
        <v>58.30824447965572</v>
      </c>
      <c r="AH164" s="32">
        <v>58.044027884562027</v>
      </c>
      <c r="AI164" s="32">
        <v>57.78282345711542</v>
      </c>
      <c r="AJ164" s="32">
        <v>57.524506156924666</v>
      </c>
      <c r="AK164" s="32">
        <v>57.268959002926557</v>
      </c>
      <c r="AL164" s="32">
        <v>57.016072547610378</v>
      </c>
      <c r="AM164" s="32">
        <v>56.765744294225918</v>
      </c>
      <c r="AN164" s="55">
        <v>56.517878270958988</v>
      </c>
      <c r="AO164" s="8"/>
    </row>
    <row r="165" spans="2:41" hidden="1" x14ac:dyDescent="0.35">
      <c r="B165" s="8"/>
      <c r="C165" s="19" t="str">
        <f>"EL 2: " &amp; INDEX(_doName,1,3)</f>
        <v>EL 2: Tier 2</v>
      </c>
      <c r="D165" s="11"/>
      <c r="E165" s="32">
        <f t="array" ref="E165:AN165">tlccQu2_Res</f>
        <v>70.028376080802119</v>
      </c>
      <c r="F165" s="32">
        <v>69.51471659150954</v>
      </c>
      <c r="G165" s="32">
        <v>69.02445484010525</v>
      </c>
      <c r="H165" s="32">
        <v>68.553761830129019</v>
      </c>
      <c r="I165" s="32">
        <v>68.099891997757894</v>
      </c>
      <c r="J165" s="32">
        <v>67.660995177203503</v>
      </c>
      <c r="K165" s="32">
        <v>67.235794423678541</v>
      </c>
      <c r="L165" s="32">
        <v>66.823352653608481</v>
      </c>
      <c r="M165" s="32">
        <v>66.422855940595795</v>
      </c>
      <c r="N165" s="32">
        <v>66.033509804396502</v>
      </c>
      <c r="O165" s="32">
        <v>65.654514539997535</v>
      </c>
      <c r="P165" s="32">
        <v>65.285069043112827</v>
      </c>
      <c r="Q165" s="32">
        <v>64.924407131399875</v>
      </c>
      <c r="R165" s="32">
        <v>64.57183553837956</v>
      </c>
      <c r="S165" s="32">
        <v>64.226722684666086</v>
      </c>
      <c r="T165" s="32">
        <v>63.888575648497941</v>
      </c>
      <c r="U165" s="32">
        <v>63.556937779680986</v>
      </c>
      <c r="V165" s="32">
        <v>63.231412195986913</v>
      </c>
      <c r="W165" s="32">
        <v>62.911645151596076</v>
      </c>
      <c r="X165" s="32">
        <v>62.597313379544204</v>
      </c>
      <c r="Y165" s="32">
        <v>62.288117754052756</v>
      </c>
      <c r="Z165" s="32">
        <v>61.983778167058666</v>
      </c>
      <c r="AA165" s="32">
        <v>61.684033656520732</v>
      </c>
      <c r="AB165" s="32">
        <v>61.38864233894396</v>
      </c>
      <c r="AC165" s="32">
        <v>61.097381201246883</v>
      </c>
      <c r="AD165" s="32">
        <v>60.810045349748826</v>
      </c>
      <c r="AE165" s="32">
        <v>60.526446595876422</v>
      </c>
      <c r="AF165" s="32">
        <v>60.246411696118116</v>
      </c>
      <c r="AG165" s="32">
        <v>59.969780532027279</v>
      </c>
      <c r="AH165" s="32">
        <v>59.696404459174168</v>
      </c>
      <c r="AI165" s="32">
        <v>59.426144975427974</v>
      </c>
      <c r="AJ165" s="32">
        <v>59.158872705678512</v>
      </c>
      <c r="AK165" s="32">
        <v>58.894466613532714</v>
      </c>
      <c r="AL165" s="32">
        <v>58.632813457312281</v>
      </c>
      <c r="AM165" s="32">
        <v>58.373807187058311</v>
      </c>
      <c r="AN165" s="55">
        <v>58.117348503944925</v>
      </c>
      <c r="AO165" s="8"/>
    </row>
    <row r="166" spans="2:41" hidden="1" x14ac:dyDescent="0.35">
      <c r="B166" s="8"/>
      <c r="C166" s="19" t="str">
        <f>"EL 3: " &amp; INDEX(_doName,1,4)</f>
        <v>EL 3: EL 3</v>
      </c>
      <c r="D166" s="11"/>
      <c r="E166" s="32">
        <f t="array" ref="E166:AN166">tlccQu3_Res</f>
        <v>80.629038566389568</v>
      </c>
      <c r="F166" s="32">
        <v>80.099741380324389</v>
      </c>
      <c r="G166" s="32">
        <v>79.59455424592322</v>
      </c>
      <c r="H166" s="32">
        <v>79.10953159789608</v>
      </c>
      <c r="I166" s="32">
        <v>78.641844287291221</v>
      </c>
      <c r="J166" s="32">
        <v>78.189585822423126</v>
      </c>
      <c r="K166" s="32">
        <v>77.751440383577048</v>
      </c>
      <c r="L166" s="32">
        <v>77.326442358884691</v>
      </c>
      <c r="M166" s="32">
        <v>76.913753043015319</v>
      </c>
      <c r="N166" s="32">
        <v>76.512553768804594</v>
      </c>
      <c r="O166" s="32">
        <v>76.122020485257792</v>
      </c>
      <c r="P166" s="32">
        <v>75.741327699508162</v>
      </c>
      <c r="Q166" s="32">
        <v>75.369685903785751</v>
      </c>
      <c r="R166" s="32">
        <v>75.00638072601285</v>
      </c>
      <c r="S166" s="32">
        <v>74.650761359188678</v>
      </c>
      <c r="T166" s="32">
        <v>74.302319875188104</v>
      </c>
      <c r="U166" s="32">
        <v>73.960585721694301</v>
      </c>
      <c r="V166" s="32">
        <v>73.625149933914358</v>
      </c>
      <c r="W166" s="32">
        <v>73.29564799669609</v>
      </c>
      <c r="X166" s="32">
        <v>72.97174680163188</v>
      </c>
      <c r="Y166" s="32">
        <v>72.653138116446925</v>
      </c>
      <c r="Z166" s="32">
        <v>72.339533305551555</v>
      </c>
      <c r="AA166" s="32">
        <v>72.030663462253784</v>
      </c>
      <c r="AB166" s="32">
        <v>71.726279339229407</v>
      </c>
      <c r="AC166" s="32">
        <v>71.426151134053029</v>
      </c>
      <c r="AD166" s="32">
        <v>71.130067715321644</v>
      </c>
      <c r="AE166" s="32">
        <v>70.837835165304909</v>
      </c>
      <c r="AF166" s="32">
        <v>70.54927496631737</v>
      </c>
      <c r="AG166" s="32">
        <v>70.26422212531395</v>
      </c>
      <c r="AH166" s="32">
        <v>69.982523472578109</v>
      </c>
      <c r="AI166" s="32">
        <v>69.704036289461342</v>
      </c>
      <c r="AJ166" s="32">
        <v>69.428627262196073</v>
      </c>
      <c r="AK166" s="32">
        <v>69.156171669593263</v>
      </c>
      <c r="AL166" s="32">
        <v>68.886552822478663</v>
      </c>
      <c r="AM166" s="32">
        <v>68.619661442339904</v>
      </c>
      <c r="AN166" s="55">
        <v>68.355395207327206</v>
      </c>
      <c r="AO166" s="8"/>
    </row>
    <row r="167" spans="2:41" hidden="1" x14ac:dyDescent="0.35">
      <c r="B167" s="8"/>
      <c r="C167" s="35" t="str">
        <f>"EL 4: " &amp; INDEX(_doName,1,5)</f>
        <v>EL 4: EL 4</v>
      </c>
      <c r="D167" s="15"/>
      <c r="E167" s="59">
        <f t="array" ref="E167:AN167">tlccQu4_Res</f>
        <v>89.094959604272404</v>
      </c>
      <c r="F167" s="59">
        <v>88.504207255897953</v>
      </c>
      <c r="G167" s="59">
        <v>87.940364307412437</v>
      </c>
      <c r="H167" s="59">
        <v>87.399027085374854</v>
      </c>
      <c r="I167" s="59">
        <v>86.877037956547795</v>
      </c>
      <c r="J167" s="59">
        <v>86.372269072021425</v>
      </c>
      <c r="K167" s="59">
        <v>85.883251836067302</v>
      </c>
      <c r="L167" s="59">
        <v>85.408908522421569</v>
      </c>
      <c r="M167" s="59">
        <v>84.948303046108165</v>
      </c>
      <c r="N167" s="59">
        <v>84.500521686890934</v>
      </c>
      <c r="O167" s="59">
        <v>84.064644715602327</v>
      </c>
      <c r="P167" s="59">
        <v>83.639750793791222</v>
      </c>
      <c r="Q167" s="59">
        <v>83.22495874622858</v>
      </c>
      <c r="R167" s="59">
        <v>82.819471257165063</v>
      </c>
      <c r="S167" s="59">
        <v>82.422561956285179</v>
      </c>
      <c r="T167" s="59">
        <v>82.033663941401187</v>
      </c>
      <c r="U167" s="59">
        <v>81.652252025730476</v>
      </c>
      <c r="V167" s="59">
        <v>81.277869760763281</v>
      </c>
      <c r="W167" s="59">
        <v>80.910110308549491</v>
      </c>
      <c r="X167" s="59">
        <v>80.548601884429672</v>
      </c>
      <c r="Y167" s="59">
        <v>80.193000468172869</v>
      </c>
      <c r="Z167" s="59">
        <v>79.842983911547606</v>
      </c>
      <c r="AA167" s="59">
        <v>79.498252085885198</v>
      </c>
      <c r="AB167" s="59">
        <v>79.15852680447702</v>
      </c>
      <c r="AC167" s="59">
        <v>78.823551583203994</v>
      </c>
      <c r="AD167" s="59">
        <v>78.493090776807847</v>
      </c>
      <c r="AE167" s="59">
        <v>78.166927952332557</v>
      </c>
      <c r="AF167" s="59">
        <v>77.844863864921535</v>
      </c>
      <c r="AG167" s="59">
        <v>77.526714364665452</v>
      </c>
      <c r="AH167" s="59">
        <v>77.21230849775587</v>
      </c>
      <c r="AI167" s="59">
        <v>76.901486974895619</v>
      </c>
      <c r="AJ167" s="59">
        <v>76.594101003641939</v>
      </c>
      <c r="AK167" s="59">
        <v>76.290011381789967</v>
      </c>
      <c r="AL167" s="59">
        <v>75.989087871723626</v>
      </c>
      <c r="AM167" s="59">
        <v>75.691208506919182</v>
      </c>
      <c r="AN167" s="60">
        <v>75.396259085233396</v>
      </c>
      <c r="AO167" s="8"/>
    </row>
    <row r="168" spans="2:41" hidden="1" x14ac:dyDescent="0.3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</row>
    <row r="169" spans="2:41" hidden="1" x14ac:dyDescent="0.35">
      <c r="B169" s="8"/>
      <c r="C169" s="23" t="s">
        <v>85</v>
      </c>
      <c r="D169" s="24"/>
      <c r="E169" s="26">
        <f t="array" ref="E169:AN169">_yS</f>
        <v>2024</v>
      </c>
      <c r="F169" s="26">
        <v>2025</v>
      </c>
      <c r="G169" s="26">
        <v>2026</v>
      </c>
      <c r="H169" s="26">
        <v>2027</v>
      </c>
      <c r="I169" s="26">
        <v>2028</v>
      </c>
      <c r="J169" s="26">
        <v>2029</v>
      </c>
      <c r="K169" s="26">
        <v>2030</v>
      </c>
      <c r="L169" s="26">
        <v>2031</v>
      </c>
      <c r="M169" s="26">
        <v>2032</v>
      </c>
      <c r="N169" s="26">
        <v>2033</v>
      </c>
      <c r="O169" s="26">
        <v>2034</v>
      </c>
      <c r="P169" s="26">
        <v>2035</v>
      </c>
      <c r="Q169" s="26">
        <v>2036</v>
      </c>
      <c r="R169" s="26">
        <v>2037</v>
      </c>
      <c r="S169" s="26">
        <v>2038</v>
      </c>
      <c r="T169" s="26">
        <v>2039</v>
      </c>
      <c r="U169" s="26">
        <v>2040</v>
      </c>
      <c r="V169" s="26">
        <v>2041</v>
      </c>
      <c r="W169" s="26">
        <v>2042</v>
      </c>
      <c r="X169" s="26">
        <v>2043</v>
      </c>
      <c r="Y169" s="26">
        <v>2044</v>
      </c>
      <c r="Z169" s="26">
        <v>2045</v>
      </c>
      <c r="AA169" s="26">
        <v>2046</v>
      </c>
      <c r="AB169" s="26">
        <v>2047</v>
      </c>
      <c r="AC169" s="26">
        <v>2048</v>
      </c>
      <c r="AD169" s="26">
        <v>2049</v>
      </c>
      <c r="AE169" s="26">
        <v>2050</v>
      </c>
      <c r="AF169" s="26">
        <v>2051</v>
      </c>
      <c r="AG169" s="26">
        <v>2052</v>
      </c>
      <c r="AH169" s="26">
        <v>2053</v>
      </c>
      <c r="AI169" s="26">
        <v>2054</v>
      </c>
      <c r="AJ169" s="26">
        <v>2055</v>
      </c>
      <c r="AK169" s="26">
        <v>2056</v>
      </c>
      <c r="AL169" s="26">
        <v>2057</v>
      </c>
      <c r="AM169" s="26">
        <v>2058</v>
      </c>
      <c r="AN169" s="27">
        <v>2059</v>
      </c>
      <c r="AO169" s="8"/>
    </row>
    <row r="170" spans="2:41" hidden="1" x14ac:dyDescent="0.35">
      <c r="B170" s="8"/>
      <c r="C170" s="19" t="str">
        <f>"EL 0: " &amp; INDEX(_doName,1,1)</f>
        <v>EL 0: Baseline</v>
      </c>
      <c r="D170" s="11"/>
      <c r="E170" s="32">
        <f t="array" ref="E170:AN170">tlccQu0_Com</f>
        <v>64.021956727700001</v>
      </c>
      <c r="F170" s="32">
        <v>63.564852899549713</v>
      </c>
      <c r="G170" s="32">
        <v>63.128570638569343</v>
      </c>
      <c r="H170" s="32">
        <v>62.70970253386438</v>
      </c>
      <c r="I170" s="32">
        <v>62.305805317549925</v>
      </c>
      <c r="J170" s="32">
        <v>61.915232533399269</v>
      </c>
      <c r="K170" s="32">
        <v>61.536847832600067</v>
      </c>
      <c r="L170" s="32">
        <v>61.169817307674393</v>
      </c>
      <c r="M170" s="32">
        <v>60.813416648296261</v>
      </c>
      <c r="N170" s="32">
        <v>60.466938849205413</v>
      </c>
      <c r="O170" s="32">
        <v>60.129672255637381</v>
      </c>
      <c r="P170" s="32">
        <v>59.800903967619455</v>
      </c>
      <c r="Q170" s="32">
        <v>59.479952162097398</v>
      </c>
      <c r="R170" s="32">
        <v>59.166199903595185</v>
      </c>
      <c r="S170" s="32">
        <v>58.85908515177087</v>
      </c>
      <c r="T170" s="32">
        <v>58.558169257229508</v>
      </c>
      <c r="U170" s="32">
        <v>58.263045848520349</v>
      </c>
      <c r="V170" s="32">
        <v>57.973361741501606</v>
      </c>
      <c r="W170" s="32">
        <v>57.688802138974538</v>
      </c>
      <c r="X170" s="32">
        <v>57.409079366769831</v>
      </c>
      <c r="Y170" s="32">
        <v>57.13392723387706</v>
      </c>
      <c r="Z170" s="32">
        <v>56.863096473085953</v>
      </c>
      <c r="AA170" s="32">
        <v>56.596354855165828</v>
      </c>
      <c r="AB170" s="32">
        <v>56.333487128819229</v>
      </c>
      <c r="AC170" s="32">
        <v>56.074294835465317</v>
      </c>
      <c r="AD170" s="32">
        <v>55.818595640916271</v>
      </c>
      <c r="AE170" s="32">
        <v>55.566222076802298</v>
      </c>
      <c r="AF170" s="32">
        <v>55.317019974313169</v>
      </c>
      <c r="AG170" s="32">
        <v>55.070846844589148</v>
      </c>
      <c r="AH170" s="32">
        <v>54.827570409459049</v>
      </c>
      <c r="AI170" s="32">
        <v>54.587067416348873</v>
      </c>
      <c r="AJ170" s="32">
        <v>54.349222734789201</v>
      </c>
      <c r="AK170" s="32">
        <v>54.113928654906523</v>
      </c>
      <c r="AL170" s="32">
        <v>53.881084403317438</v>
      </c>
      <c r="AM170" s="32">
        <v>53.65059560652508</v>
      </c>
      <c r="AN170" s="55">
        <v>53.422373898842899</v>
      </c>
      <c r="AO170" s="8"/>
    </row>
    <row r="171" spans="2:41" hidden="1" x14ac:dyDescent="0.35">
      <c r="B171" s="8"/>
      <c r="C171" s="19" t="str">
        <f>"EL 1: " &amp; INDEX(_doName,1,2)</f>
        <v>EL 1: Tier 1</v>
      </c>
      <c r="D171" s="11"/>
      <c r="E171" s="32">
        <f t="array" ref="E171:AN171">tlccQu1_Com</f>
        <v>65.754548152730081</v>
      </c>
      <c r="F171" s="32">
        <v>65.274702745561726</v>
      </c>
      <c r="G171" s="32">
        <v>64.816714808756231</v>
      </c>
      <c r="H171" s="32">
        <v>64.377007407780539</v>
      </c>
      <c r="I171" s="32">
        <v>63.953015718625721</v>
      </c>
      <c r="J171" s="32">
        <v>63.543011371477633</v>
      </c>
      <c r="K171" s="32">
        <v>63.145801482520902</v>
      </c>
      <c r="L171" s="32">
        <v>62.76051065617002</v>
      </c>
      <c r="M171" s="32">
        <v>62.386378546608817</v>
      </c>
      <c r="N171" s="32">
        <v>62.02266297403898</v>
      </c>
      <c r="O171" s="32">
        <v>61.668616877838438</v>
      </c>
      <c r="P171" s="32">
        <v>61.323491890225903</v>
      </c>
      <c r="Q171" s="32">
        <v>60.986572266460435</v>
      </c>
      <c r="R171" s="32">
        <v>60.65721037763047</v>
      </c>
      <c r="S171" s="32">
        <v>60.334816221071158</v>
      </c>
      <c r="T171" s="32">
        <v>60.018929323943361</v>
      </c>
      <c r="U171" s="32">
        <v>59.709123097226744</v>
      </c>
      <c r="V171" s="32">
        <v>59.405026785355766</v>
      </c>
      <c r="W171" s="32">
        <v>59.10630992951404</v>
      </c>
      <c r="X171" s="32">
        <v>58.812670543324735</v>
      </c>
      <c r="Y171" s="32">
        <v>58.523829192388241</v>
      </c>
      <c r="Z171" s="32">
        <v>58.239524208088703</v>
      </c>
      <c r="AA171" s="32">
        <v>57.959511807454106</v>
      </c>
      <c r="AB171" s="32">
        <v>57.683566030122449</v>
      </c>
      <c r="AC171" s="32">
        <v>57.41147854391042</v>
      </c>
      <c r="AD171" s="32">
        <v>57.143057943239654</v>
      </c>
      <c r="AE171" s="32">
        <v>56.878128427945839</v>
      </c>
      <c r="AF171" s="32">
        <v>56.616528159096653</v>
      </c>
      <c r="AG171" s="32">
        <v>56.35810755880474</v>
      </c>
      <c r="AH171" s="32">
        <v>56.102727767867847</v>
      </c>
      <c r="AI171" s="32">
        <v>55.850259401717537</v>
      </c>
      <c r="AJ171" s="32">
        <v>55.600581601976366</v>
      </c>
      <c r="AK171" s="32">
        <v>55.353581300048276</v>
      </c>
      <c r="AL171" s="32">
        <v>55.109152708927745</v>
      </c>
      <c r="AM171" s="32">
        <v>54.867196759899443</v>
      </c>
      <c r="AN171" s="55">
        <v>54.627620690955624</v>
      </c>
      <c r="AO171" s="8"/>
    </row>
    <row r="172" spans="2:41" hidden="1" x14ac:dyDescent="0.35">
      <c r="B172" s="8"/>
      <c r="C172" s="19" t="str">
        <f>"EL 2: " &amp; INDEX(_doName,1,3)</f>
        <v>EL 2: Tier 2</v>
      </c>
      <c r="D172" s="11"/>
      <c r="E172" s="32">
        <f t="array" ref="E172:AN172">tlccQu2_Com</f>
        <v>67.735972059042894</v>
      </c>
      <c r="F172" s="32">
        <v>67.239127397466874</v>
      </c>
      <c r="G172" s="32">
        <v>66.764914540432727</v>
      </c>
      <c r="H172" s="32">
        <v>66.309629835053471</v>
      </c>
      <c r="I172" s="32">
        <v>65.870617594523139</v>
      </c>
      <c r="J172" s="32">
        <v>65.446088218894431</v>
      </c>
      <c r="K172" s="32">
        <v>65.03480656462591</v>
      </c>
      <c r="L172" s="32">
        <v>64.635866223910128</v>
      </c>
      <c r="M172" s="32">
        <v>64.248479914522292</v>
      </c>
      <c r="N172" s="32">
        <v>63.871879163814299</v>
      </c>
      <c r="O172" s="32">
        <v>63.505290445403674</v>
      </c>
      <c r="P172" s="32">
        <v>63.147938879440659</v>
      </c>
      <c r="Q172" s="32">
        <v>62.799083364836676</v>
      </c>
      <c r="R172" s="32">
        <v>62.458053329439586</v>
      </c>
      <c r="S172" s="32">
        <v>62.124237868841462</v>
      </c>
      <c r="T172" s="32">
        <v>61.797160197251515</v>
      </c>
      <c r="U172" s="32">
        <v>61.476378613083611</v>
      </c>
      <c r="V172" s="32">
        <v>61.16150922619159</v>
      </c>
      <c r="W172" s="32">
        <v>60.852209870752183</v>
      </c>
      <c r="X172" s="32">
        <v>60.548167862061206</v>
      </c>
      <c r="Y172" s="32">
        <v>60.249093866329794</v>
      </c>
      <c r="Z172" s="32">
        <v>59.954716944932869</v>
      </c>
      <c r="AA172" s="32">
        <v>59.664784678515296</v>
      </c>
      <c r="AB172" s="32">
        <v>59.379063101725094</v>
      </c>
      <c r="AC172" s="32">
        <v>59.097336501894056</v>
      </c>
      <c r="AD172" s="32">
        <v>58.819406692609647</v>
      </c>
      <c r="AE172" s="32">
        <v>58.545091645719005</v>
      </c>
      <c r="AF172" s="32">
        <v>58.2742237888991</v>
      </c>
      <c r="AG172" s="32">
        <v>58.006648245238104</v>
      </c>
      <c r="AH172" s="32">
        <v>57.742221236235025</v>
      </c>
      <c r="AI172" s="32">
        <v>57.480808793676019</v>
      </c>
      <c r="AJ172" s="32">
        <v>57.222285777591544</v>
      </c>
      <c r="AK172" s="32">
        <v>56.966535113758312</v>
      </c>
      <c r="AL172" s="32">
        <v>56.713447267504989</v>
      </c>
      <c r="AM172" s="32">
        <v>56.462919660456144</v>
      </c>
      <c r="AN172" s="55">
        <v>56.214856244368598</v>
      </c>
      <c r="AO172" s="8"/>
    </row>
    <row r="173" spans="2:41" hidden="1" x14ac:dyDescent="0.35">
      <c r="B173" s="8"/>
      <c r="C173" s="19" t="str">
        <f>"EL 3: " &amp; INDEX(_doName,1,4)</f>
        <v>EL 3: EL 3</v>
      </c>
      <c r="D173" s="11"/>
      <c r="E173" s="32">
        <f t="array" ref="E173:AN173">tlccQu3_Com</f>
        <v>78.252146113433298</v>
      </c>
      <c r="F173" s="32">
        <v>77.738452269653948</v>
      </c>
      <c r="G173" s="32">
        <v>77.248157728646419</v>
      </c>
      <c r="H173" s="32">
        <v>76.777433237860222</v>
      </c>
      <c r="I173" s="32">
        <v>76.323533049844016</v>
      </c>
      <c r="J173" s="32">
        <v>75.884606875066979</v>
      </c>
      <c r="K173" s="32">
        <v>75.459377683337408</v>
      </c>
      <c r="L173" s="32">
        <v>75.0469083284069</v>
      </c>
      <c r="M173" s="32">
        <v>74.646384829441047</v>
      </c>
      <c r="N173" s="32">
        <v>74.257012653059562</v>
      </c>
      <c r="O173" s="32">
        <v>73.877992040763672</v>
      </c>
      <c r="P173" s="32">
        <v>73.508521834687954</v>
      </c>
      <c r="Q173" s="32">
        <v>73.147835801246259</v>
      </c>
      <c r="R173" s="32">
        <v>72.795240627592506</v>
      </c>
      <c r="S173" s="32">
        <v>72.450104692099757</v>
      </c>
      <c r="T173" s="32">
        <v>72.111935040038929</v>
      </c>
      <c r="U173" s="32">
        <v>71.780274990674343</v>
      </c>
      <c r="V173" s="32">
        <v>71.454727635233439</v>
      </c>
      <c r="W173" s="32">
        <v>71.134939204237426</v>
      </c>
      <c r="X173" s="32">
        <v>70.820586409101338</v>
      </c>
      <c r="Y173" s="32">
        <v>70.511370104040552</v>
      </c>
      <c r="Z173" s="32">
        <v>70.207010162257887</v>
      </c>
      <c r="AA173" s="32">
        <v>69.907245604258478</v>
      </c>
      <c r="AB173" s="32">
        <v>69.611834530369748</v>
      </c>
      <c r="AC173" s="32">
        <v>69.320553912594718</v>
      </c>
      <c r="AD173" s="32">
        <v>69.033198843549016</v>
      </c>
      <c r="AE173" s="32">
        <v>68.749581122072897</v>
      </c>
      <c r="AF173" s="32">
        <v>68.469527493067972</v>
      </c>
      <c r="AG173" s="32">
        <v>68.192877827378581</v>
      </c>
      <c r="AH173" s="32">
        <v>67.919483470633367</v>
      </c>
      <c r="AI173" s="32">
        <v>67.649205911438273</v>
      </c>
      <c r="AJ173" s="32">
        <v>67.381915766030232</v>
      </c>
      <c r="AK173" s="32">
        <v>67.117491989921064</v>
      </c>
      <c r="AL173" s="32">
        <v>66.855821333858657</v>
      </c>
      <c r="AM173" s="32">
        <v>66.596797740791288</v>
      </c>
      <c r="AN173" s="55">
        <v>66.340321905251798</v>
      </c>
      <c r="AO173" s="8"/>
    </row>
    <row r="174" spans="2:41" hidden="1" x14ac:dyDescent="0.35">
      <c r="B174" s="8"/>
      <c r="C174" s="35" t="str">
        <f>"EL 4: " &amp; INDEX(_doName,1,5)</f>
        <v>EL 4: EL 4</v>
      </c>
      <c r="D174" s="15"/>
      <c r="E174" s="59">
        <f t="array" ref="E174:AN174">tlccQu4_Com</f>
        <v>86.646133457023055</v>
      </c>
      <c r="F174" s="59">
        <v>86.07161827631414</v>
      </c>
      <c r="G174" s="59">
        <v>85.523272875179529</v>
      </c>
      <c r="H174" s="59">
        <v>84.996814617672513</v>
      </c>
      <c r="I174" s="59">
        <v>84.489172659919205</v>
      </c>
      <c r="J174" s="59">
        <v>83.998277638159436</v>
      </c>
      <c r="K174" s="59">
        <v>83.522701321862044</v>
      </c>
      <c r="L174" s="59">
        <v>83.061395606688635</v>
      </c>
      <c r="M174" s="59">
        <v>82.613450136496482</v>
      </c>
      <c r="N174" s="59">
        <v>82.177976305175022</v>
      </c>
      <c r="O174" s="59">
        <v>81.754079662841235</v>
      </c>
      <c r="P174" s="59">
        <v>81.340864194560609</v>
      </c>
      <c r="Q174" s="59">
        <v>80.937472944711473</v>
      </c>
      <c r="R174" s="59">
        <v>80.543130512225929</v>
      </c>
      <c r="S174" s="59">
        <v>80.157130491493859</v>
      </c>
      <c r="T174" s="59">
        <v>79.778921561959834</v>
      </c>
      <c r="U174" s="59">
        <v>79.407992971901649</v>
      </c>
      <c r="V174" s="59">
        <v>79.043900818559052</v>
      </c>
      <c r="W174" s="59">
        <v>78.686249446156737</v>
      </c>
      <c r="X174" s="59">
        <v>78.334677288750171</v>
      </c>
      <c r="Y174" s="59">
        <v>77.988849781702115</v>
      </c>
      <c r="Z174" s="59">
        <v>77.648453631210273</v>
      </c>
      <c r="AA174" s="59">
        <v>77.313196957814867</v>
      </c>
      <c r="AB174" s="59">
        <v>76.982809220928715</v>
      </c>
      <c r="AC174" s="59">
        <v>76.657040986046141</v>
      </c>
      <c r="AD174" s="59">
        <v>76.335663084754145</v>
      </c>
      <c r="AE174" s="59">
        <v>76.01846503288084</v>
      </c>
      <c r="AF174" s="59">
        <v>75.705253061928985</v>
      </c>
      <c r="AG174" s="59">
        <v>75.395848083455306</v>
      </c>
      <c r="AH174" s="59">
        <v>75.090083842414984</v>
      </c>
      <c r="AI174" s="59">
        <v>74.787805427668687</v>
      </c>
      <c r="AJ174" s="59">
        <v>74.488868136419427</v>
      </c>
      <c r="AK174" s="59">
        <v>74.193136592514918</v>
      </c>
      <c r="AL174" s="59">
        <v>73.900484137994766</v>
      </c>
      <c r="AM174" s="59">
        <v>73.610792158655215</v>
      </c>
      <c r="AN174" s="60">
        <v>73.323949591264537</v>
      </c>
      <c r="AO174" s="8"/>
    </row>
    <row r="175" spans="2:41" hidden="1" x14ac:dyDescent="0.3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</row>
    <row r="176" spans="2:41" hidden="1" x14ac:dyDescent="0.35">
      <c r="B176" s="8"/>
      <c r="C176" s="23" t="s">
        <v>84</v>
      </c>
      <c r="D176" s="24"/>
      <c r="E176" s="26">
        <f t="array" ref="E176:AN176">_yS</f>
        <v>2024</v>
      </c>
      <c r="F176" s="26">
        <v>2025</v>
      </c>
      <c r="G176" s="26">
        <v>2026</v>
      </c>
      <c r="H176" s="26">
        <v>2027</v>
      </c>
      <c r="I176" s="26">
        <v>2028</v>
      </c>
      <c r="J176" s="26">
        <v>2029</v>
      </c>
      <c r="K176" s="26">
        <v>2030</v>
      </c>
      <c r="L176" s="26">
        <v>2031</v>
      </c>
      <c r="M176" s="26">
        <v>2032</v>
      </c>
      <c r="N176" s="26">
        <v>2033</v>
      </c>
      <c r="O176" s="26">
        <v>2034</v>
      </c>
      <c r="P176" s="26">
        <v>2035</v>
      </c>
      <c r="Q176" s="26">
        <v>2036</v>
      </c>
      <c r="R176" s="26">
        <v>2037</v>
      </c>
      <c r="S176" s="26">
        <v>2038</v>
      </c>
      <c r="T176" s="26">
        <v>2039</v>
      </c>
      <c r="U176" s="26">
        <v>2040</v>
      </c>
      <c r="V176" s="26">
        <v>2041</v>
      </c>
      <c r="W176" s="26">
        <v>2042</v>
      </c>
      <c r="X176" s="26">
        <v>2043</v>
      </c>
      <c r="Y176" s="26">
        <v>2044</v>
      </c>
      <c r="Z176" s="26">
        <v>2045</v>
      </c>
      <c r="AA176" s="26">
        <v>2046</v>
      </c>
      <c r="AB176" s="26">
        <v>2047</v>
      </c>
      <c r="AC176" s="26">
        <v>2048</v>
      </c>
      <c r="AD176" s="26">
        <v>2049</v>
      </c>
      <c r="AE176" s="26">
        <v>2050</v>
      </c>
      <c r="AF176" s="26">
        <v>2051</v>
      </c>
      <c r="AG176" s="26">
        <v>2052</v>
      </c>
      <c r="AH176" s="26">
        <v>2053</v>
      </c>
      <c r="AI176" s="26">
        <v>2054</v>
      </c>
      <c r="AJ176" s="26">
        <v>2055</v>
      </c>
      <c r="AK176" s="26">
        <v>2056</v>
      </c>
      <c r="AL176" s="26">
        <v>2057</v>
      </c>
      <c r="AM176" s="26">
        <v>2058</v>
      </c>
      <c r="AN176" s="27">
        <v>2059</v>
      </c>
      <c r="AO176" s="8"/>
    </row>
    <row r="177" spans="2:41" hidden="1" x14ac:dyDescent="0.35">
      <c r="B177" s="8"/>
      <c r="C177" s="19" t="str">
        <f>"EL 0: " &amp; INDEX(_doName,1,1)</f>
        <v>EL 0: Baseline</v>
      </c>
      <c r="D177" s="11"/>
      <c r="E177" s="32">
        <f t="array" aca="1" ref="E177:AN177" ca="1">tlccEu0_Res</f>
        <v>98.259617243411185</v>
      </c>
      <c r="F177" s="32">
        <f ca="1"/>
        <v>98.331613536018097</v>
      </c>
      <c r="G177" s="32">
        <f ca="1"/>
        <v>98.444807660302786</v>
      </c>
      <c r="H177" s="32">
        <f ca="1"/>
        <v>98.576011287570793</v>
      </c>
      <c r="I177" s="32">
        <f ca="1"/>
        <v>98.699073771163768</v>
      </c>
      <c r="J177" s="32">
        <f ca="1"/>
        <v>98.802302737295534</v>
      </c>
      <c r="K177" s="32">
        <f ca="1"/>
        <v>98.88233514939472</v>
      </c>
      <c r="L177" s="32">
        <f ca="1"/>
        <v>98.946048269844539</v>
      </c>
      <c r="M177" s="32">
        <f ca="1"/>
        <v>98.978789063160747</v>
      </c>
      <c r="N177" s="32">
        <f ca="1"/>
        <v>98.984765818486892</v>
      </c>
      <c r="O177" s="32">
        <f ca="1"/>
        <v>98.942127996689834</v>
      </c>
      <c r="P177" s="32">
        <f ca="1"/>
        <v>98.859400443524493</v>
      </c>
      <c r="Q177" s="32">
        <f ca="1"/>
        <v>98.793574146706419</v>
      </c>
      <c r="R177" s="32">
        <f ca="1"/>
        <v>98.725201760857161</v>
      </c>
      <c r="S177" s="32">
        <f ca="1"/>
        <v>98.673056733203524</v>
      </c>
      <c r="T177" s="32">
        <f ca="1"/>
        <v>98.638560312896914</v>
      </c>
      <c r="U177" s="32">
        <f ca="1"/>
        <v>98.589820567294367</v>
      </c>
      <c r="V177" s="32">
        <f ca="1"/>
        <v>98.529816191277291</v>
      </c>
      <c r="W177" s="32">
        <f ca="1"/>
        <v>98.476541554220759</v>
      </c>
      <c r="X177" s="32">
        <f ca="1"/>
        <v>98.411022565796259</v>
      </c>
      <c r="Y177" s="32">
        <f ca="1"/>
        <v>98.347461071567608</v>
      </c>
      <c r="Z177" s="32">
        <f ca="1"/>
        <v>98.31289387083558</v>
      </c>
      <c r="AA177" s="32">
        <f ca="1"/>
        <v>98.267513787948872</v>
      </c>
      <c r="AB177" s="32">
        <f ca="1"/>
        <v>98.223484200265517</v>
      </c>
      <c r="AC177" s="32">
        <f ca="1"/>
        <v>98.187505680031364</v>
      </c>
      <c r="AD177" s="32">
        <f ca="1"/>
        <v>98.1385450028001</v>
      </c>
      <c r="AE177" s="32">
        <f ca="1"/>
        <v>98.099058216228514</v>
      </c>
      <c r="AF177" s="32">
        <f ca="1"/>
        <v>98.099058216228514</v>
      </c>
      <c r="AG177" s="32">
        <f ca="1"/>
        <v>98.099058216228514</v>
      </c>
      <c r="AH177" s="32">
        <f ca="1"/>
        <v>98.099058216228514</v>
      </c>
      <c r="AI177" s="32">
        <f ca="1"/>
        <v>98.099058216228514</v>
      </c>
      <c r="AJ177" s="32">
        <f ca="1"/>
        <v>98.099058216228514</v>
      </c>
      <c r="AK177" s="32">
        <f ca="1"/>
        <v>98.099058216228514</v>
      </c>
      <c r="AL177" s="32">
        <f ca="1"/>
        <v>98.099058216228514</v>
      </c>
      <c r="AM177" s="32">
        <f ca="1"/>
        <v>98.099058216228514</v>
      </c>
      <c r="AN177" s="55">
        <f ca="1"/>
        <v>98.099058216228514</v>
      </c>
      <c r="AO177" s="8"/>
    </row>
    <row r="178" spans="2:41" hidden="1" x14ac:dyDescent="0.35">
      <c r="B178" s="8"/>
      <c r="C178" s="19" t="str">
        <f>"EL 1: " &amp; INDEX(_doName,1,2)</f>
        <v>EL 1: Tier 1</v>
      </c>
      <c r="D178" s="11"/>
      <c r="E178" s="32">
        <f t="array" aca="1" ref="E178:AN178" ca="1">tlccEu1_Res</f>
        <v>81.710489215058445</v>
      </c>
      <c r="F178" s="32">
        <f ca="1"/>
        <v>81.776748408294182</v>
      </c>
      <c r="G178" s="32">
        <f ca="1"/>
        <v>81.880922541191239</v>
      </c>
      <c r="H178" s="32">
        <f ca="1"/>
        <v>82.001671071116874</v>
      </c>
      <c r="I178" s="32">
        <f ca="1"/>
        <v>82.114927192858801</v>
      </c>
      <c r="J178" s="32">
        <f ca="1"/>
        <v>82.209930251582875</v>
      </c>
      <c r="K178" s="32">
        <f ca="1"/>
        <v>82.283585197780667</v>
      </c>
      <c r="L178" s="32">
        <f ca="1"/>
        <v>82.34222127203779</v>
      </c>
      <c r="M178" s="32">
        <f ca="1"/>
        <v>82.372353081225143</v>
      </c>
      <c r="N178" s="32">
        <f ca="1"/>
        <v>82.377853572594063</v>
      </c>
      <c r="O178" s="32">
        <f ca="1"/>
        <v>82.338613389922074</v>
      </c>
      <c r="P178" s="32">
        <f ca="1"/>
        <v>82.262478067773884</v>
      </c>
      <c r="Q178" s="32">
        <f ca="1"/>
        <v>82.201897207802745</v>
      </c>
      <c r="R178" s="32">
        <f ca="1"/>
        <v>82.138973146549901</v>
      </c>
      <c r="S178" s="32">
        <f ca="1"/>
        <v>82.09098334959674</v>
      </c>
      <c r="T178" s="32">
        <f ca="1"/>
        <v>82.059235812379569</v>
      </c>
      <c r="U178" s="32">
        <f ca="1"/>
        <v>82.014379944039604</v>
      </c>
      <c r="V178" s="32">
        <f ca="1"/>
        <v>81.959157079062223</v>
      </c>
      <c r="W178" s="32">
        <f ca="1"/>
        <v>81.910127686804969</v>
      </c>
      <c r="X178" s="32">
        <f ca="1"/>
        <v>81.849829647038803</v>
      </c>
      <c r="Y178" s="32">
        <f ca="1"/>
        <v>81.79133311650989</v>
      </c>
      <c r="Z178" s="32">
        <f ca="1"/>
        <v>81.75952043907904</v>
      </c>
      <c r="AA178" s="32">
        <f ca="1"/>
        <v>81.717756515241149</v>
      </c>
      <c r="AB178" s="32">
        <f ca="1"/>
        <v>81.677235470993367</v>
      </c>
      <c r="AC178" s="32">
        <f ca="1"/>
        <v>81.644123936521083</v>
      </c>
      <c r="AD178" s="32">
        <f ca="1"/>
        <v>81.599064741718763</v>
      </c>
      <c r="AE178" s="32">
        <f ca="1"/>
        <v>81.562724500756786</v>
      </c>
      <c r="AF178" s="32">
        <f ca="1"/>
        <v>81.562724500756786</v>
      </c>
      <c r="AG178" s="32">
        <f ca="1"/>
        <v>81.562724500756786</v>
      </c>
      <c r="AH178" s="32">
        <f ca="1"/>
        <v>81.562724500756786</v>
      </c>
      <c r="AI178" s="32">
        <f ca="1"/>
        <v>81.562724500756786</v>
      </c>
      <c r="AJ178" s="32">
        <f ca="1"/>
        <v>81.562724500756786</v>
      </c>
      <c r="AK178" s="32">
        <f ca="1"/>
        <v>81.562724500756786</v>
      </c>
      <c r="AL178" s="32">
        <f ca="1"/>
        <v>81.562724500756786</v>
      </c>
      <c r="AM178" s="32">
        <f ca="1"/>
        <v>81.562724500756786</v>
      </c>
      <c r="AN178" s="55">
        <f ca="1"/>
        <v>81.562724500756786</v>
      </c>
      <c r="AO178" s="8"/>
    </row>
    <row r="179" spans="2:41" hidden="1" x14ac:dyDescent="0.35">
      <c r="B179" s="8"/>
      <c r="C179" s="19" t="str">
        <f>"EL 2: " &amp; INDEX(_doName,1,3)</f>
        <v>EL 2: Tier 2</v>
      </c>
      <c r="D179" s="11"/>
      <c r="E179" s="32">
        <f t="array" aca="1" ref="E179:AN179" ca="1">tlccEu2_Res</f>
        <v>76.467221713536219</v>
      </c>
      <c r="F179" s="32">
        <f ca="1"/>
        <v>76.527999031198988</v>
      </c>
      <c r="G179" s="32">
        <f ca="1"/>
        <v>76.623554441069444</v>
      </c>
      <c r="H179" s="32">
        <f ca="1"/>
        <v>76.734312984936537</v>
      </c>
      <c r="I179" s="32">
        <f ca="1"/>
        <v>76.838198996102903</v>
      </c>
      <c r="J179" s="32">
        <f ca="1"/>
        <v>76.925342089718058</v>
      </c>
      <c r="K179" s="32">
        <f ca="1"/>
        <v>76.992903281514785</v>
      </c>
      <c r="L179" s="32">
        <f ca="1"/>
        <v>77.04668816988405</v>
      </c>
      <c r="M179" s="32">
        <f ca="1"/>
        <v>77.074327059663716</v>
      </c>
      <c r="N179" s="32">
        <f ca="1"/>
        <v>77.079372474419102</v>
      </c>
      <c r="O179" s="32">
        <f ca="1"/>
        <v>77.043378781605554</v>
      </c>
      <c r="P179" s="32">
        <f ca="1"/>
        <v>76.973542424813616</v>
      </c>
      <c r="Q179" s="32">
        <f ca="1"/>
        <v>76.917973650264102</v>
      </c>
      <c r="R179" s="32">
        <f ca="1"/>
        <v>76.860255536404992</v>
      </c>
      <c r="S179" s="32">
        <f ca="1"/>
        <v>76.816236118244916</v>
      </c>
      <c r="T179" s="32">
        <f ca="1"/>
        <v>76.787115175772925</v>
      </c>
      <c r="U179" s="32">
        <f ca="1"/>
        <v>76.74597040436835</v>
      </c>
      <c r="V179" s="32">
        <f ca="1"/>
        <v>76.695316337467204</v>
      </c>
      <c r="W179" s="32">
        <f ca="1"/>
        <v>76.650343333684503</v>
      </c>
      <c r="X179" s="32">
        <f ca="1"/>
        <v>76.59503398054656</v>
      </c>
      <c r="Y179" s="32">
        <f ca="1"/>
        <v>76.541377090921074</v>
      </c>
      <c r="Z179" s="32">
        <f ca="1"/>
        <v>76.512196397533529</v>
      </c>
      <c r="AA179" s="32">
        <f ca="1"/>
        <v>76.473887762278835</v>
      </c>
      <c r="AB179" s="32">
        <f ca="1"/>
        <v>76.436719178449096</v>
      </c>
      <c r="AC179" s="32">
        <f ca="1"/>
        <v>76.406347087413153</v>
      </c>
      <c r="AD179" s="32">
        <f ca="1"/>
        <v>76.365015811519328</v>
      </c>
      <c r="AE179" s="32">
        <f ca="1"/>
        <v>76.331682137186334</v>
      </c>
      <c r="AF179" s="32">
        <f ca="1"/>
        <v>76.331682137186334</v>
      </c>
      <c r="AG179" s="32">
        <f ca="1"/>
        <v>76.331682137186334</v>
      </c>
      <c r="AH179" s="32">
        <f ca="1"/>
        <v>76.331682137186334</v>
      </c>
      <c r="AI179" s="32">
        <f ca="1"/>
        <v>76.331682137186334</v>
      </c>
      <c r="AJ179" s="32">
        <f ca="1"/>
        <v>76.331682137186334</v>
      </c>
      <c r="AK179" s="32">
        <f ca="1"/>
        <v>76.331682137186334</v>
      </c>
      <c r="AL179" s="32">
        <f ca="1"/>
        <v>76.331682137186334</v>
      </c>
      <c r="AM179" s="32">
        <f ca="1"/>
        <v>76.331682137186334</v>
      </c>
      <c r="AN179" s="55">
        <f ca="1"/>
        <v>76.331682137186334</v>
      </c>
      <c r="AO179" s="8"/>
    </row>
    <row r="180" spans="2:41" hidden="1" x14ac:dyDescent="0.35">
      <c r="B180" s="8"/>
      <c r="C180" s="19" t="str">
        <f>"EL 3: " &amp; INDEX(_doName,1,4)</f>
        <v>EL 3: EL 3</v>
      </c>
      <c r="D180" s="11"/>
      <c r="E180" s="32">
        <f t="array" aca="1" ref="E180:AN180" ca="1">tlccEu3_Res</f>
        <v>156.37875157100362</v>
      </c>
      <c r="F180" s="32">
        <f ca="1"/>
        <v>156.41329489893559</v>
      </c>
      <c r="G180" s="32">
        <f ca="1"/>
        <v>156.46760466425201</v>
      </c>
      <c r="H180" s="32">
        <f ca="1"/>
        <v>156.53055526571319</v>
      </c>
      <c r="I180" s="32">
        <f ca="1"/>
        <v>156.58959980221567</v>
      </c>
      <c r="J180" s="32">
        <f ca="1"/>
        <v>156.63912835292362</v>
      </c>
      <c r="K180" s="32">
        <f ca="1"/>
        <v>156.67752735593092</v>
      </c>
      <c r="L180" s="32">
        <f ca="1"/>
        <v>156.70809647461155</v>
      </c>
      <c r="M180" s="32">
        <f ca="1"/>
        <v>156.72380528293098</v>
      </c>
      <c r="N180" s="32">
        <f ca="1"/>
        <v>156.72667288918854</v>
      </c>
      <c r="O180" s="32">
        <f ca="1"/>
        <v>156.70621555441048</v>
      </c>
      <c r="P180" s="32">
        <f ca="1"/>
        <v>156.66652344118458</v>
      </c>
      <c r="Q180" s="32">
        <f ca="1"/>
        <v>156.63494043496024</v>
      </c>
      <c r="R180" s="32">
        <f ca="1"/>
        <v>156.60213583266253</v>
      </c>
      <c r="S180" s="32">
        <f ca="1"/>
        <v>156.57711700565022</v>
      </c>
      <c r="T180" s="32">
        <f ca="1"/>
        <v>156.56056585952891</v>
      </c>
      <c r="U180" s="32">
        <f ca="1"/>
        <v>156.53718086351444</v>
      </c>
      <c r="V180" s="32">
        <f ca="1"/>
        <v>156.50839117500331</v>
      </c>
      <c r="W180" s="32">
        <f ca="1"/>
        <v>156.48283036913867</v>
      </c>
      <c r="X180" s="32">
        <f ca="1"/>
        <v>156.45139480737615</v>
      </c>
      <c r="Y180" s="32">
        <f ca="1"/>
        <v>156.42089843791763</v>
      </c>
      <c r="Z180" s="32">
        <f ca="1"/>
        <v>156.40431333183312</v>
      </c>
      <c r="AA180" s="32">
        <f ca="1"/>
        <v>156.38254027897202</v>
      </c>
      <c r="AB180" s="32">
        <f ca="1"/>
        <v>156.36141518445697</v>
      </c>
      <c r="AC180" s="32">
        <f ca="1"/>
        <v>156.34415293694457</v>
      </c>
      <c r="AD180" s="32">
        <f ca="1"/>
        <v>156.32066193944831</v>
      </c>
      <c r="AE180" s="32">
        <f ca="1"/>
        <v>156.30171644978304</v>
      </c>
      <c r="AF180" s="32">
        <f ca="1"/>
        <v>156.30171644978304</v>
      </c>
      <c r="AG180" s="32">
        <f ca="1"/>
        <v>156.30171644978304</v>
      </c>
      <c r="AH180" s="32">
        <f ca="1"/>
        <v>156.30171644978304</v>
      </c>
      <c r="AI180" s="32">
        <f ca="1"/>
        <v>156.30171644978304</v>
      </c>
      <c r="AJ180" s="32">
        <f ca="1"/>
        <v>156.30171644978304</v>
      </c>
      <c r="AK180" s="32">
        <f ca="1"/>
        <v>156.30171644978304</v>
      </c>
      <c r="AL180" s="32">
        <f ca="1"/>
        <v>156.30171644978304</v>
      </c>
      <c r="AM180" s="32">
        <f ca="1"/>
        <v>156.30171644978304</v>
      </c>
      <c r="AN180" s="55">
        <f ca="1"/>
        <v>156.30171644978304</v>
      </c>
      <c r="AO180" s="8"/>
    </row>
    <row r="181" spans="2:41" hidden="1" x14ac:dyDescent="0.35">
      <c r="B181" s="8"/>
      <c r="C181" s="35" t="str">
        <f>"EL 4: " &amp; INDEX(_doName,1,5)</f>
        <v>EL 4: EL 4</v>
      </c>
      <c r="D181" s="15"/>
      <c r="E181" s="59">
        <f t="array" aca="1" ref="E181:AN181" ca="1">tlccEu4_Res</f>
        <v>155.78937936851329</v>
      </c>
      <c r="F181" s="59">
        <f ca="1"/>
        <v>155.81085512911022</v>
      </c>
      <c r="G181" s="59">
        <f ca="1"/>
        <v>155.84461978317916</v>
      </c>
      <c r="H181" s="59">
        <f ca="1"/>
        <v>155.88375648850979</v>
      </c>
      <c r="I181" s="59">
        <f ca="1"/>
        <v>155.92046477362294</v>
      </c>
      <c r="J181" s="59">
        <f ca="1"/>
        <v>155.95125692253842</v>
      </c>
      <c r="K181" s="59">
        <f ca="1"/>
        <v>155.97512977570906</v>
      </c>
      <c r="L181" s="59">
        <f ca="1"/>
        <v>155.99413475043929</v>
      </c>
      <c r="M181" s="59">
        <f ca="1"/>
        <v>156.00390099552709</v>
      </c>
      <c r="N181" s="59">
        <f ca="1"/>
        <v>156.00568380075057</v>
      </c>
      <c r="O181" s="59">
        <f ca="1"/>
        <v>155.99296537289641</v>
      </c>
      <c r="P181" s="59">
        <f ca="1"/>
        <v>155.96828858660342</v>
      </c>
      <c r="Q181" s="59">
        <f ca="1"/>
        <v>155.94865327289128</v>
      </c>
      <c r="R181" s="59">
        <f ca="1"/>
        <v>155.92825848676034</v>
      </c>
      <c r="S181" s="59">
        <f ca="1"/>
        <v>155.91270415625718</v>
      </c>
      <c r="T181" s="59">
        <f ca="1"/>
        <v>155.90241422552421</v>
      </c>
      <c r="U181" s="59">
        <f ca="1"/>
        <v>155.88787565596439</v>
      </c>
      <c r="V181" s="59">
        <f ca="1"/>
        <v>155.86997696191432</v>
      </c>
      <c r="W181" s="59">
        <f ca="1"/>
        <v>155.85408568043459</v>
      </c>
      <c r="X181" s="59">
        <f ca="1"/>
        <v>155.83454203368547</v>
      </c>
      <c r="Y181" s="59">
        <f ca="1"/>
        <v>155.81558228751229</v>
      </c>
      <c r="Z181" s="59">
        <f ca="1"/>
        <v>155.80527124369951</v>
      </c>
      <c r="AA181" s="59">
        <f ca="1"/>
        <v>155.79173482730005</v>
      </c>
      <c r="AB181" s="59">
        <f ca="1"/>
        <v>155.77860124986111</v>
      </c>
      <c r="AC181" s="59">
        <f ca="1"/>
        <v>155.76786922381919</v>
      </c>
      <c r="AD181" s="59">
        <f ca="1"/>
        <v>155.75326475260533</v>
      </c>
      <c r="AE181" s="59">
        <f ca="1"/>
        <v>155.74148624645665</v>
      </c>
      <c r="AF181" s="59">
        <f ca="1"/>
        <v>155.74148624645665</v>
      </c>
      <c r="AG181" s="59">
        <f ca="1"/>
        <v>155.74148624645665</v>
      </c>
      <c r="AH181" s="59">
        <f ca="1"/>
        <v>155.74148624645665</v>
      </c>
      <c r="AI181" s="59">
        <f ca="1"/>
        <v>155.74148624645665</v>
      </c>
      <c r="AJ181" s="59">
        <f ca="1"/>
        <v>155.74148624645665</v>
      </c>
      <c r="AK181" s="59">
        <f ca="1"/>
        <v>155.74148624645665</v>
      </c>
      <c r="AL181" s="59">
        <f ca="1"/>
        <v>155.74148624645665</v>
      </c>
      <c r="AM181" s="59">
        <f ca="1"/>
        <v>155.74148624645665</v>
      </c>
      <c r="AN181" s="60">
        <f ca="1"/>
        <v>155.74148624645665</v>
      </c>
      <c r="AO181" s="8"/>
    </row>
    <row r="182" spans="2:41" hidden="1" x14ac:dyDescent="0.3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</row>
    <row r="183" spans="2:41" hidden="1" x14ac:dyDescent="0.35">
      <c r="B183" s="8"/>
      <c r="C183" s="23" t="s">
        <v>83</v>
      </c>
      <c r="D183" s="24"/>
      <c r="E183" s="26">
        <f t="array" ref="E183:AN183">_yS</f>
        <v>2024</v>
      </c>
      <c r="F183" s="26">
        <v>2025</v>
      </c>
      <c r="G183" s="26">
        <v>2026</v>
      </c>
      <c r="H183" s="26">
        <v>2027</v>
      </c>
      <c r="I183" s="26">
        <v>2028</v>
      </c>
      <c r="J183" s="26">
        <v>2029</v>
      </c>
      <c r="K183" s="26">
        <v>2030</v>
      </c>
      <c r="L183" s="26">
        <v>2031</v>
      </c>
      <c r="M183" s="26">
        <v>2032</v>
      </c>
      <c r="N183" s="26">
        <v>2033</v>
      </c>
      <c r="O183" s="26">
        <v>2034</v>
      </c>
      <c r="P183" s="26">
        <v>2035</v>
      </c>
      <c r="Q183" s="26">
        <v>2036</v>
      </c>
      <c r="R183" s="26">
        <v>2037</v>
      </c>
      <c r="S183" s="26">
        <v>2038</v>
      </c>
      <c r="T183" s="26">
        <v>2039</v>
      </c>
      <c r="U183" s="26">
        <v>2040</v>
      </c>
      <c r="V183" s="26">
        <v>2041</v>
      </c>
      <c r="W183" s="26">
        <v>2042</v>
      </c>
      <c r="X183" s="26">
        <v>2043</v>
      </c>
      <c r="Y183" s="26">
        <v>2044</v>
      </c>
      <c r="Z183" s="26">
        <v>2045</v>
      </c>
      <c r="AA183" s="26">
        <v>2046</v>
      </c>
      <c r="AB183" s="26">
        <v>2047</v>
      </c>
      <c r="AC183" s="26">
        <v>2048</v>
      </c>
      <c r="AD183" s="26">
        <v>2049</v>
      </c>
      <c r="AE183" s="26">
        <v>2050</v>
      </c>
      <c r="AF183" s="26">
        <v>2051</v>
      </c>
      <c r="AG183" s="26">
        <v>2052</v>
      </c>
      <c r="AH183" s="26">
        <v>2053</v>
      </c>
      <c r="AI183" s="26">
        <v>2054</v>
      </c>
      <c r="AJ183" s="26">
        <v>2055</v>
      </c>
      <c r="AK183" s="26">
        <v>2056</v>
      </c>
      <c r="AL183" s="26">
        <v>2057</v>
      </c>
      <c r="AM183" s="26">
        <v>2058</v>
      </c>
      <c r="AN183" s="27">
        <v>2059</v>
      </c>
      <c r="AO183" s="8"/>
    </row>
    <row r="184" spans="2:41" hidden="1" x14ac:dyDescent="0.35">
      <c r="B184" s="8"/>
      <c r="C184" s="19" t="str">
        <f>"EL 0: " &amp; INDEX(_doName,1,1)</f>
        <v>EL 0: Baseline</v>
      </c>
      <c r="D184" s="11"/>
      <c r="E184" s="32">
        <f t="array" aca="1" ref="E184:AN184" ca="1">tlccEu0_Com</f>
        <v>124.08302048282862</v>
      </c>
      <c r="F184" s="32">
        <f ca="1"/>
        <v>124.05881159157585</v>
      </c>
      <c r="G184" s="32">
        <f ca="1"/>
        <v>124.07669351163275</v>
      </c>
      <c r="H184" s="32">
        <f ca="1"/>
        <v>124.1176400845537</v>
      </c>
      <c r="I184" s="32">
        <f ca="1"/>
        <v>124.14420724800394</v>
      </c>
      <c r="J184" s="32">
        <f ca="1"/>
        <v>124.1427448313336</v>
      </c>
      <c r="K184" s="32">
        <f ca="1"/>
        <v>124.10582424174734</v>
      </c>
      <c r="L184" s="32">
        <f ca="1"/>
        <v>124.04787018290526</v>
      </c>
      <c r="M184" s="32">
        <f ca="1"/>
        <v>123.93576317549136</v>
      </c>
      <c r="N184" s="32">
        <f ca="1"/>
        <v>123.79950227859921</v>
      </c>
      <c r="O184" s="32">
        <f ca="1"/>
        <v>123.58101652246657</v>
      </c>
      <c r="P184" s="32">
        <f ca="1"/>
        <v>123.30391394538314</v>
      </c>
      <c r="Q184" s="32">
        <f ca="1"/>
        <v>123.06393999689297</v>
      </c>
      <c r="R184" s="32">
        <f ca="1"/>
        <v>122.82672745013591</v>
      </c>
      <c r="S184" s="32">
        <f ca="1"/>
        <v>122.61813385230565</v>
      </c>
      <c r="T184" s="32">
        <f ca="1"/>
        <v>122.4475142175794</v>
      </c>
      <c r="U184" s="32">
        <f ca="1"/>
        <v>122.24562734414764</v>
      </c>
      <c r="V184" s="32">
        <f ca="1"/>
        <v>122.0304644127196</v>
      </c>
      <c r="W184" s="32">
        <f ca="1"/>
        <v>121.84336458193312</v>
      </c>
      <c r="X184" s="32">
        <f ca="1"/>
        <v>121.64585437503909</v>
      </c>
      <c r="Y184" s="32">
        <f ca="1"/>
        <v>121.44943272933455</v>
      </c>
      <c r="Z184" s="32">
        <f ca="1"/>
        <v>121.32304420702985</v>
      </c>
      <c r="AA184" s="32">
        <f ca="1"/>
        <v>121.18716791083895</v>
      </c>
      <c r="AB184" s="32">
        <f ca="1"/>
        <v>121.06155991240607</v>
      </c>
      <c r="AC184" s="32">
        <f ca="1"/>
        <v>120.97458894252412</v>
      </c>
      <c r="AD184" s="32">
        <f ca="1"/>
        <v>120.87373634603622</v>
      </c>
      <c r="AE184" s="32">
        <f ca="1"/>
        <v>120.79485863207174</v>
      </c>
      <c r="AF184" s="32">
        <f ca="1"/>
        <v>120.79485863207174</v>
      </c>
      <c r="AG184" s="32">
        <f ca="1"/>
        <v>120.79485863207174</v>
      </c>
      <c r="AH184" s="32">
        <f ca="1"/>
        <v>120.79485863207174</v>
      </c>
      <c r="AI184" s="32">
        <f ca="1"/>
        <v>120.79485863207174</v>
      </c>
      <c r="AJ184" s="32">
        <f ca="1"/>
        <v>120.79485863207174</v>
      </c>
      <c r="AK184" s="32">
        <f ca="1"/>
        <v>120.79485863207174</v>
      </c>
      <c r="AL184" s="32">
        <f ca="1"/>
        <v>120.79485863207174</v>
      </c>
      <c r="AM184" s="32">
        <f ca="1"/>
        <v>120.79485863207174</v>
      </c>
      <c r="AN184" s="55">
        <f ca="1"/>
        <v>120.79485863207174</v>
      </c>
      <c r="AO184" s="8"/>
    </row>
    <row r="185" spans="2:41" hidden="1" x14ac:dyDescent="0.35">
      <c r="B185" s="8"/>
      <c r="C185" s="19" t="str">
        <f>"EL 1: " &amp; INDEX(_doName,1,2)</f>
        <v>EL 1: Tier 1</v>
      </c>
      <c r="D185" s="11"/>
      <c r="E185" s="32">
        <f t="array" aca="1" ref="E185:AN185" ca="1">tlccEu1_Com</f>
        <v>103.13595068468103</v>
      </c>
      <c r="F185" s="32">
        <f ca="1"/>
        <v>103.11397029374115</v>
      </c>
      <c r="G185" s="32">
        <f ca="1"/>
        <v>103.13020612996772</v>
      </c>
      <c r="H185" s="32">
        <f ca="1"/>
        <v>103.16738344928615</v>
      </c>
      <c r="I185" s="32">
        <f ca="1"/>
        <v>103.19150502646633</v>
      </c>
      <c r="J185" s="32">
        <f ca="1"/>
        <v>103.19017722959222</v>
      </c>
      <c r="K185" s="32">
        <f ca="1"/>
        <v>103.15665528988987</v>
      </c>
      <c r="L185" s="32">
        <f ca="1"/>
        <v>103.10403607422232</v>
      </c>
      <c r="M185" s="32">
        <f ca="1"/>
        <v>103.00224884967218</v>
      </c>
      <c r="N185" s="32">
        <f ca="1"/>
        <v>102.87853117288003</v>
      </c>
      <c r="O185" s="32">
        <f ca="1"/>
        <v>102.68015767925554</v>
      </c>
      <c r="P185" s="32">
        <f ca="1"/>
        <v>102.42856321707457</v>
      </c>
      <c r="Q185" s="32">
        <f ca="1"/>
        <v>102.21067958299473</v>
      </c>
      <c r="R185" s="32">
        <f ca="1"/>
        <v>101.9953031554202</v>
      </c>
      <c r="S185" s="32">
        <f ca="1"/>
        <v>101.80591121755782</v>
      </c>
      <c r="T185" s="32">
        <f ca="1"/>
        <v>101.65099762675587</v>
      </c>
      <c r="U185" s="32">
        <f ca="1"/>
        <v>101.46769503939969</v>
      </c>
      <c r="V185" s="32">
        <f ca="1"/>
        <v>101.27233849460066</v>
      </c>
      <c r="W185" s="32">
        <f ca="1"/>
        <v>101.10246175871343</v>
      </c>
      <c r="X185" s="32">
        <f ca="1"/>
        <v>100.92313295274641</v>
      </c>
      <c r="Y185" s="32">
        <f ca="1"/>
        <v>100.74479250267959</v>
      </c>
      <c r="Z185" s="32">
        <f ca="1"/>
        <v>100.63003841908431</v>
      </c>
      <c r="AA185" s="32">
        <f ca="1"/>
        <v>100.50666993935705</v>
      </c>
      <c r="AB185" s="32">
        <f ca="1"/>
        <v>100.39262453009391</v>
      </c>
      <c r="AC185" s="32">
        <f ca="1"/>
        <v>100.31365949619521</v>
      </c>
      <c r="AD185" s="32">
        <f ca="1"/>
        <v>100.22209068063243</v>
      </c>
      <c r="AE185" s="32">
        <f ca="1"/>
        <v>100.15047389441617</v>
      </c>
      <c r="AF185" s="32">
        <f ca="1"/>
        <v>100.15047389441617</v>
      </c>
      <c r="AG185" s="32">
        <f ca="1"/>
        <v>100.15047389441617</v>
      </c>
      <c r="AH185" s="32">
        <f ca="1"/>
        <v>100.15047389441617</v>
      </c>
      <c r="AI185" s="32">
        <f ca="1"/>
        <v>100.15047389441617</v>
      </c>
      <c r="AJ185" s="32">
        <f ca="1"/>
        <v>100.15047389441617</v>
      </c>
      <c r="AK185" s="32">
        <f ca="1"/>
        <v>100.15047389441617</v>
      </c>
      <c r="AL185" s="32">
        <f ca="1"/>
        <v>100.15047389441617</v>
      </c>
      <c r="AM185" s="32">
        <f ca="1"/>
        <v>100.15047389441617</v>
      </c>
      <c r="AN185" s="55">
        <f ca="1"/>
        <v>100.15047389441617</v>
      </c>
      <c r="AO185" s="8"/>
    </row>
    <row r="186" spans="2:41" hidden="1" x14ac:dyDescent="0.35">
      <c r="B186" s="8"/>
      <c r="C186" s="19" t="str">
        <f>"EL 2: " &amp; INDEX(_doName,1,3)</f>
        <v>EL 2: Tier 2</v>
      </c>
      <c r="D186" s="11"/>
      <c r="E186" s="32">
        <f t="array" aca="1" ref="E186:AN186" ca="1">tlccEu2_Com</f>
        <v>95.27599534430297</v>
      </c>
      <c r="F186" s="32">
        <f ca="1"/>
        <v>95.256250956234439</v>
      </c>
      <c r="G186" s="32">
        <f ca="1"/>
        <v>95.270835166858859</v>
      </c>
      <c r="H186" s="32">
        <f ca="1"/>
        <v>95.30423054285464</v>
      </c>
      <c r="I186" s="32">
        <f ca="1"/>
        <v>95.325898300355988</v>
      </c>
      <c r="J186" s="32">
        <f ca="1"/>
        <v>95.324705576494523</v>
      </c>
      <c r="K186" s="32">
        <f ca="1"/>
        <v>95.294593728706914</v>
      </c>
      <c r="L186" s="32">
        <f ca="1"/>
        <v>95.24732731671071</v>
      </c>
      <c r="M186" s="32">
        <f ca="1"/>
        <v>95.155894618018777</v>
      </c>
      <c r="N186" s="32">
        <f ca="1"/>
        <v>95.044762389834005</v>
      </c>
      <c r="O186" s="32">
        <f ca="1"/>
        <v>94.86656886946642</v>
      </c>
      <c r="P186" s="32">
        <f ca="1"/>
        <v>94.640568398829544</v>
      </c>
      <c r="Q186" s="32">
        <f ca="1"/>
        <v>94.444849449297607</v>
      </c>
      <c r="R186" s="32">
        <f ca="1"/>
        <v>94.251382655259363</v>
      </c>
      <c r="S186" s="32">
        <f ca="1"/>
        <v>94.0812570224426</v>
      </c>
      <c r="T186" s="32">
        <f ca="1"/>
        <v>93.942102352161726</v>
      </c>
      <c r="U186" s="32">
        <f ca="1"/>
        <v>93.777446617483236</v>
      </c>
      <c r="V186" s="32">
        <f ca="1"/>
        <v>93.601963140288035</v>
      </c>
      <c r="W186" s="32">
        <f ca="1"/>
        <v>93.449367483261398</v>
      </c>
      <c r="X186" s="32">
        <f ca="1"/>
        <v>93.288281288454215</v>
      </c>
      <c r="Y186" s="32">
        <f ca="1"/>
        <v>93.128082906902776</v>
      </c>
      <c r="Z186" s="32">
        <f ca="1"/>
        <v>93.025002430984458</v>
      </c>
      <c r="AA186" s="32">
        <f ca="1"/>
        <v>92.914183877036862</v>
      </c>
      <c r="AB186" s="32">
        <f ca="1"/>
        <v>92.811739984019439</v>
      </c>
      <c r="AC186" s="32">
        <f ca="1"/>
        <v>92.740807839208856</v>
      </c>
      <c r="AD186" s="32">
        <f ca="1"/>
        <v>92.658554059720004</v>
      </c>
      <c r="AE186" s="32">
        <f ca="1"/>
        <v>92.594222646182232</v>
      </c>
      <c r="AF186" s="32">
        <f ca="1"/>
        <v>92.594222646182232</v>
      </c>
      <c r="AG186" s="32">
        <f ca="1"/>
        <v>92.594222646182232</v>
      </c>
      <c r="AH186" s="32">
        <f ca="1"/>
        <v>92.594222646182232</v>
      </c>
      <c r="AI186" s="32">
        <f ca="1"/>
        <v>92.594222646182232</v>
      </c>
      <c r="AJ186" s="32">
        <f ca="1"/>
        <v>92.594222646182232</v>
      </c>
      <c r="AK186" s="32">
        <f ca="1"/>
        <v>92.594222646182232</v>
      </c>
      <c r="AL186" s="32">
        <f ca="1"/>
        <v>92.594222646182232</v>
      </c>
      <c r="AM186" s="32">
        <f ca="1"/>
        <v>92.594222646182232</v>
      </c>
      <c r="AN186" s="55">
        <f ca="1"/>
        <v>92.594222646182232</v>
      </c>
      <c r="AO186" s="8"/>
    </row>
    <row r="187" spans="2:41" hidden="1" x14ac:dyDescent="0.35">
      <c r="B187" s="8"/>
      <c r="C187" s="19" t="str">
        <f>"EL 3: " &amp; INDEX(_doName,1,4)</f>
        <v>EL 3: EL 3</v>
      </c>
      <c r="D187" s="11"/>
      <c r="E187" s="32">
        <f t="array" aca="1" ref="E187:AN187" ca="1">tlccEu3_Com</f>
        <v>185.5513861082301</v>
      </c>
      <c r="F187" s="32">
        <f ca="1"/>
        <v>185.54028593739639</v>
      </c>
      <c r="G187" s="32">
        <f ca="1"/>
        <v>185.54848508891448</v>
      </c>
      <c r="H187" s="32">
        <f ca="1"/>
        <v>185.56725975933333</v>
      </c>
      <c r="I187" s="32">
        <f ca="1"/>
        <v>185.57944123636941</v>
      </c>
      <c r="J187" s="32">
        <f ca="1"/>
        <v>185.57877069451348</v>
      </c>
      <c r="K187" s="32">
        <f ca="1"/>
        <v>185.56184200300879</v>
      </c>
      <c r="L187" s="32">
        <f ca="1"/>
        <v>185.53526912336156</v>
      </c>
      <c r="M187" s="32">
        <f ca="1"/>
        <v>185.48386623501963</v>
      </c>
      <c r="N187" s="32">
        <f ca="1"/>
        <v>185.42138839505319</v>
      </c>
      <c r="O187" s="32">
        <f ca="1"/>
        <v>185.3212091182545</v>
      </c>
      <c r="P187" s="32">
        <f ca="1"/>
        <v>185.19415307458993</v>
      </c>
      <c r="Q187" s="32">
        <f ca="1"/>
        <v>185.08412111170227</v>
      </c>
      <c r="R187" s="32">
        <f ca="1"/>
        <v>184.97535529647323</v>
      </c>
      <c r="S187" s="32">
        <f ca="1"/>
        <v>184.87971173533055</v>
      </c>
      <c r="T187" s="32">
        <f ca="1"/>
        <v>184.80147985460258</v>
      </c>
      <c r="U187" s="32">
        <f ca="1"/>
        <v>184.70891143580246</v>
      </c>
      <c r="V187" s="32">
        <f ca="1"/>
        <v>184.6102557282365</v>
      </c>
      <c r="W187" s="32">
        <f ca="1"/>
        <v>184.52446740926723</v>
      </c>
      <c r="X187" s="32">
        <f ca="1"/>
        <v>184.43390576334011</v>
      </c>
      <c r="Y187" s="32">
        <f ca="1"/>
        <v>184.34384324044345</v>
      </c>
      <c r="Z187" s="32">
        <f ca="1"/>
        <v>184.28589204497763</v>
      </c>
      <c r="AA187" s="32">
        <f ca="1"/>
        <v>184.22359055069518</v>
      </c>
      <c r="AB187" s="32">
        <f ca="1"/>
        <v>184.16599723813388</v>
      </c>
      <c r="AC187" s="32">
        <f ca="1"/>
        <v>184.12611963229139</v>
      </c>
      <c r="AD187" s="32">
        <f ca="1"/>
        <v>184.07987707461504</v>
      </c>
      <c r="AE187" s="32">
        <f ca="1"/>
        <v>184.0437103583935</v>
      </c>
      <c r="AF187" s="32">
        <f ca="1"/>
        <v>184.0437103583935</v>
      </c>
      <c r="AG187" s="32">
        <f ca="1"/>
        <v>184.0437103583935</v>
      </c>
      <c r="AH187" s="32">
        <f ca="1"/>
        <v>184.0437103583935</v>
      </c>
      <c r="AI187" s="32">
        <f ca="1"/>
        <v>184.0437103583935</v>
      </c>
      <c r="AJ187" s="32">
        <f ca="1"/>
        <v>184.0437103583935</v>
      </c>
      <c r="AK187" s="32">
        <f ca="1"/>
        <v>184.0437103583935</v>
      </c>
      <c r="AL187" s="32">
        <f ca="1"/>
        <v>184.0437103583935</v>
      </c>
      <c r="AM187" s="32">
        <f ca="1"/>
        <v>184.0437103583935</v>
      </c>
      <c r="AN187" s="55">
        <f ca="1"/>
        <v>184.0437103583935</v>
      </c>
      <c r="AO187" s="8"/>
    </row>
    <row r="188" spans="2:41" hidden="1" x14ac:dyDescent="0.35">
      <c r="B188" s="8"/>
      <c r="C188" s="35" t="str">
        <f>"EL 4: " &amp; INDEX(_doName,1,5)</f>
        <v>EL 4: EL 4</v>
      </c>
      <c r="D188" s="15"/>
      <c r="E188" s="59">
        <f t="array" aca="1" ref="E188:AN188" ca="1">tlccEu4_Com</f>
        <v>183.42492184152758</v>
      </c>
      <c r="F188" s="59">
        <f ca="1"/>
        <v>183.41799932561017</v>
      </c>
      <c r="G188" s="59">
        <f ca="1"/>
        <v>183.42311264843585</v>
      </c>
      <c r="H188" s="59">
        <f ca="1"/>
        <v>183.43482129299329</v>
      </c>
      <c r="I188" s="59">
        <f ca="1"/>
        <v>183.44241815523469</v>
      </c>
      <c r="J188" s="59">
        <f ca="1"/>
        <v>183.44199997818674</v>
      </c>
      <c r="K188" s="59">
        <f ca="1"/>
        <v>183.43144256081385</v>
      </c>
      <c r="L188" s="59">
        <f ca="1"/>
        <v>183.41487063727453</v>
      </c>
      <c r="M188" s="59">
        <f ca="1"/>
        <v>183.38281371508131</v>
      </c>
      <c r="N188" s="59">
        <f ca="1"/>
        <v>183.34385000469052</v>
      </c>
      <c r="O188" s="59">
        <f ca="1"/>
        <v>183.28137415196514</v>
      </c>
      <c r="P188" s="59">
        <f ca="1"/>
        <v>183.20213685932819</v>
      </c>
      <c r="Q188" s="59">
        <f ca="1"/>
        <v>183.13351647267606</v>
      </c>
      <c r="R188" s="59">
        <f ca="1"/>
        <v>183.06568570696331</v>
      </c>
      <c r="S188" s="59">
        <f ca="1"/>
        <v>183.00603851014748</v>
      </c>
      <c r="T188" s="59">
        <f ca="1"/>
        <v>182.9572499421424</v>
      </c>
      <c r="U188" s="59">
        <f ca="1"/>
        <v>182.89952052858717</v>
      </c>
      <c r="V188" s="59">
        <f ca="1"/>
        <v>182.83799483531635</v>
      </c>
      <c r="W188" s="59">
        <f ca="1"/>
        <v>182.78449376650497</v>
      </c>
      <c r="X188" s="59">
        <f ca="1"/>
        <v>182.72801585775662</v>
      </c>
      <c r="Y188" s="59">
        <f ca="1"/>
        <v>182.67184922233685</v>
      </c>
      <c r="Z188" s="59">
        <f ca="1"/>
        <v>182.63570851071583</v>
      </c>
      <c r="AA188" s="59">
        <f ca="1"/>
        <v>182.59685477663285</v>
      </c>
      <c r="AB188" s="59">
        <f ca="1"/>
        <v>182.56093725527984</v>
      </c>
      <c r="AC188" s="59">
        <f ca="1"/>
        <v>182.53606796584924</v>
      </c>
      <c r="AD188" s="59">
        <f ca="1"/>
        <v>182.50722923477275</v>
      </c>
      <c r="AE188" s="59">
        <f ca="1"/>
        <v>182.4846742063435</v>
      </c>
      <c r="AF188" s="59">
        <f ca="1"/>
        <v>182.4846742063435</v>
      </c>
      <c r="AG188" s="59">
        <f ca="1"/>
        <v>182.4846742063435</v>
      </c>
      <c r="AH188" s="59">
        <f ca="1"/>
        <v>182.4846742063435</v>
      </c>
      <c r="AI188" s="59">
        <f ca="1"/>
        <v>182.4846742063435</v>
      </c>
      <c r="AJ188" s="59">
        <f ca="1"/>
        <v>182.4846742063435</v>
      </c>
      <c r="AK188" s="59">
        <f ca="1"/>
        <v>182.4846742063435</v>
      </c>
      <c r="AL188" s="59">
        <f ca="1"/>
        <v>182.4846742063435</v>
      </c>
      <c r="AM188" s="59">
        <f ca="1"/>
        <v>182.4846742063435</v>
      </c>
      <c r="AN188" s="60">
        <f ca="1"/>
        <v>182.4846742063435</v>
      </c>
      <c r="AO188" s="8"/>
    </row>
    <row r="189" spans="2:41" hidden="1" x14ac:dyDescent="0.3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</row>
    <row r="190" spans="2:41" hidden="1" x14ac:dyDescent="0.35">
      <c r="B190" s="8"/>
      <c r="C190" s="23" t="s">
        <v>82</v>
      </c>
      <c r="D190" s="24"/>
      <c r="E190" s="26">
        <f t="array" ref="E190:AN190">_yS</f>
        <v>2024</v>
      </c>
      <c r="F190" s="26">
        <v>2025</v>
      </c>
      <c r="G190" s="26">
        <v>2026</v>
      </c>
      <c r="H190" s="26">
        <v>2027</v>
      </c>
      <c r="I190" s="26">
        <v>2028</v>
      </c>
      <c r="J190" s="26">
        <v>2029</v>
      </c>
      <c r="K190" s="26">
        <v>2030</v>
      </c>
      <c r="L190" s="26">
        <v>2031</v>
      </c>
      <c r="M190" s="26">
        <v>2032</v>
      </c>
      <c r="N190" s="26">
        <v>2033</v>
      </c>
      <c r="O190" s="26">
        <v>2034</v>
      </c>
      <c r="P190" s="26">
        <v>2035</v>
      </c>
      <c r="Q190" s="26">
        <v>2036</v>
      </c>
      <c r="R190" s="26">
        <v>2037</v>
      </c>
      <c r="S190" s="26">
        <v>2038</v>
      </c>
      <c r="T190" s="26">
        <v>2039</v>
      </c>
      <c r="U190" s="26">
        <v>2040</v>
      </c>
      <c r="V190" s="26">
        <v>2041</v>
      </c>
      <c r="W190" s="26">
        <v>2042</v>
      </c>
      <c r="X190" s="26">
        <v>2043</v>
      </c>
      <c r="Y190" s="26">
        <v>2044</v>
      </c>
      <c r="Z190" s="26">
        <v>2045</v>
      </c>
      <c r="AA190" s="26">
        <v>2046</v>
      </c>
      <c r="AB190" s="26">
        <v>2047</v>
      </c>
      <c r="AC190" s="26">
        <v>2048</v>
      </c>
      <c r="AD190" s="26">
        <v>2049</v>
      </c>
      <c r="AE190" s="26">
        <v>2050</v>
      </c>
      <c r="AF190" s="26">
        <v>2051</v>
      </c>
      <c r="AG190" s="26">
        <v>2052</v>
      </c>
      <c r="AH190" s="26">
        <v>2053</v>
      </c>
      <c r="AI190" s="26">
        <v>2054</v>
      </c>
      <c r="AJ190" s="26">
        <v>2055</v>
      </c>
      <c r="AK190" s="26">
        <v>2056</v>
      </c>
      <c r="AL190" s="26">
        <v>2057</v>
      </c>
      <c r="AM190" s="26">
        <v>2058</v>
      </c>
      <c r="AN190" s="27">
        <v>2059</v>
      </c>
      <c r="AO190" s="8"/>
    </row>
    <row r="191" spans="2:41" hidden="1" x14ac:dyDescent="0.35">
      <c r="B191" s="8"/>
      <c r="C191" s="19" t="str">
        <f>"EL 0: " &amp; INDEX(_doName,1,1)</f>
        <v>EL 0: Baseline</v>
      </c>
      <c r="D191" s="11"/>
      <c r="E191" s="32">
        <f t="array" aca="1" ref="E191:AN191" ca="1">tlccFuElec0_Res</f>
        <v>3.1625474081259317</v>
      </c>
      <c r="F191" s="32">
        <f ca="1"/>
        <v>3.1469172171015436</v>
      </c>
      <c r="G191" s="32">
        <f ca="1"/>
        <v>3.1355798534270996</v>
      </c>
      <c r="H191" s="32">
        <f ca="1"/>
        <v>3.1267124829498067</v>
      </c>
      <c r="I191" s="32">
        <f ca="1"/>
        <v>3.1205411330786927</v>
      </c>
      <c r="J191" s="32">
        <f ca="1"/>
        <v>3.1156736078934122</v>
      </c>
      <c r="K191" s="32">
        <f ca="1"/>
        <v>3.1114566154999896</v>
      </c>
      <c r="L191" s="32">
        <f ca="1"/>
        <v>3.1069070500189797</v>
      </c>
      <c r="M191" s="32">
        <f ca="1"/>
        <v>3.1025284110145646</v>
      </c>
      <c r="N191" s="32">
        <f ca="1"/>
        <v>3.0983810323341179</v>
      </c>
      <c r="O191" s="32">
        <f ca="1"/>
        <v>3.0940498579175175</v>
      </c>
      <c r="P191" s="32">
        <f ca="1"/>
        <v>3.0903900156229449</v>
      </c>
      <c r="Q191" s="32">
        <f ca="1"/>
        <v>3.0866355167431854</v>
      </c>
      <c r="R191" s="32">
        <f ca="1"/>
        <v>3.0833630023204504</v>
      </c>
      <c r="S191" s="32">
        <f ca="1"/>
        <v>3.0806063531117527</v>
      </c>
      <c r="T191" s="32">
        <f ca="1"/>
        <v>3.0780397714182413</v>
      </c>
      <c r="U191" s="32">
        <f ca="1"/>
        <v>3.0754020618327766</v>
      </c>
      <c r="V191" s="32">
        <f ca="1"/>
        <v>3.0730397512139205</v>
      </c>
      <c r="W191" s="32">
        <f ca="1"/>
        <v>3.0711075183644403</v>
      </c>
      <c r="X191" s="32">
        <f ca="1"/>
        <v>3.0694736948789445</v>
      </c>
      <c r="Y191" s="32">
        <f ca="1"/>
        <v>3.0681594408389357</v>
      </c>
      <c r="Z191" s="32">
        <f ca="1"/>
        <v>3.0676498921989275</v>
      </c>
      <c r="AA191" s="32">
        <f ca="1"/>
        <v>3.0676362567034032</v>
      </c>
      <c r="AB191" s="32">
        <f ca="1"/>
        <v>3.0677764846624815</v>
      </c>
      <c r="AC191" s="32">
        <f ca="1"/>
        <v>3.0680767626457244</v>
      </c>
      <c r="AD191" s="32">
        <f ca="1"/>
        <v>3.068328806795968</v>
      </c>
      <c r="AE191" s="32">
        <f ca="1"/>
        <v>3.0683882922101295</v>
      </c>
      <c r="AF191" s="32">
        <f ca="1"/>
        <v>3.0683882922101295</v>
      </c>
      <c r="AG191" s="32">
        <f ca="1"/>
        <v>3.0683882922101295</v>
      </c>
      <c r="AH191" s="32">
        <f ca="1"/>
        <v>3.0683882922101295</v>
      </c>
      <c r="AI191" s="32">
        <f ca="1"/>
        <v>3.0683882922101295</v>
      </c>
      <c r="AJ191" s="32">
        <f ca="1"/>
        <v>3.0683882922101295</v>
      </c>
      <c r="AK191" s="32">
        <f ca="1"/>
        <v>3.0683882922101295</v>
      </c>
      <c r="AL191" s="32">
        <f ca="1"/>
        <v>3.0683882922101295</v>
      </c>
      <c r="AM191" s="32">
        <f ca="1"/>
        <v>3.0683882922101295</v>
      </c>
      <c r="AN191" s="55">
        <f ca="1"/>
        <v>3.0683882922101295</v>
      </c>
      <c r="AO191" s="8"/>
    </row>
    <row r="192" spans="2:41" hidden="1" x14ac:dyDescent="0.35">
      <c r="B192" s="8"/>
      <c r="C192" s="19" t="str">
        <f>"EL 1: " &amp; INDEX(_doName,1,2)</f>
        <v>EL 1: Tier 1</v>
      </c>
      <c r="D192" s="11"/>
      <c r="E192" s="32">
        <f t="array" aca="1" ref="E192:AN192" ca="1">tlccFuElec1_Res</f>
        <v>2.9105365324334573</v>
      </c>
      <c r="F192" s="32">
        <f ca="1"/>
        <v>2.8961518494185858</v>
      </c>
      <c r="G192" s="32">
        <f ca="1"/>
        <v>2.8857179153465888</v>
      </c>
      <c r="H192" s="32">
        <f ca="1"/>
        <v>2.8775571504978248</v>
      </c>
      <c r="I192" s="32">
        <f ca="1"/>
        <v>2.8718775710524227</v>
      </c>
      <c r="J192" s="32">
        <f ca="1"/>
        <v>2.8673979196682566</v>
      </c>
      <c r="K192" s="32">
        <f ca="1"/>
        <v>2.8635169626946113</v>
      </c>
      <c r="L192" s="32">
        <f ca="1"/>
        <v>2.8593299340653631</v>
      </c>
      <c r="M192" s="32">
        <f ca="1"/>
        <v>2.8553002114588515</v>
      </c>
      <c r="N192" s="32">
        <f ca="1"/>
        <v>2.851483320957144</v>
      </c>
      <c r="O192" s="32">
        <f ca="1"/>
        <v>2.847497280673458</v>
      </c>
      <c r="P192" s="32">
        <f ca="1"/>
        <v>2.8441290767142302</v>
      </c>
      <c r="Q192" s="32">
        <f ca="1"/>
        <v>2.8406737589781406</v>
      </c>
      <c r="R192" s="32">
        <f ca="1"/>
        <v>2.8376620182668981</v>
      </c>
      <c r="S192" s="32">
        <f ca="1"/>
        <v>2.8351250355141961</v>
      </c>
      <c r="T192" s="32">
        <f ca="1"/>
        <v>2.8327629745492775</v>
      </c>
      <c r="U192" s="32">
        <f ca="1"/>
        <v>2.8303354535923684</v>
      </c>
      <c r="V192" s="32">
        <f ca="1"/>
        <v>2.82816138614931</v>
      </c>
      <c r="W192" s="32">
        <f ca="1"/>
        <v>2.8263831252817795</v>
      </c>
      <c r="X192" s="32">
        <f ca="1"/>
        <v>2.8248794947180556</v>
      </c>
      <c r="Y192" s="32">
        <f ca="1"/>
        <v>2.823669968376564</v>
      </c>
      <c r="Z192" s="32">
        <f ca="1"/>
        <v>2.8232010236492902</v>
      </c>
      <c r="AA192" s="32">
        <f ca="1"/>
        <v>2.8231884747123925</v>
      </c>
      <c r="AB192" s="32">
        <f ca="1"/>
        <v>2.8233175284608722</v>
      </c>
      <c r="AC192" s="32">
        <f ca="1"/>
        <v>2.8235938784810712</v>
      </c>
      <c r="AD192" s="32">
        <f ca="1"/>
        <v>2.8238258382313615</v>
      </c>
      <c r="AE192" s="32">
        <f ca="1"/>
        <v>2.8238805834884979</v>
      </c>
      <c r="AF192" s="32">
        <f ca="1"/>
        <v>2.8238805834884979</v>
      </c>
      <c r="AG192" s="32">
        <f ca="1"/>
        <v>2.8238805834884979</v>
      </c>
      <c r="AH192" s="32">
        <f ca="1"/>
        <v>2.8238805834884979</v>
      </c>
      <c r="AI192" s="32">
        <f ca="1"/>
        <v>2.8238805834884979</v>
      </c>
      <c r="AJ192" s="32">
        <f ca="1"/>
        <v>2.8238805834884979</v>
      </c>
      <c r="AK192" s="32">
        <f ca="1"/>
        <v>2.8238805834884979</v>
      </c>
      <c r="AL192" s="32">
        <f ca="1"/>
        <v>2.8238805834884979</v>
      </c>
      <c r="AM192" s="32">
        <f ca="1"/>
        <v>2.8238805834884979</v>
      </c>
      <c r="AN192" s="55">
        <f ca="1"/>
        <v>2.8238805834884979</v>
      </c>
      <c r="AO192" s="8"/>
    </row>
    <row r="193" spans="2:41" hidden="1" x14ac:dyDescent="0.35">
      <c r="B193" s="8"/>
      <c r="C193" s="19" t="str">
        <f>"EL 2: " &amp; INDEX(_doName,1,3)</f>
        <v>EL 2: Tier 2</v>
      </c>
      <c r="D193" s="11"/>
      <c r="E193" s="32">
        <f t="array" aca="1" ref="E193:AN193" ca="1">tlccFuElec2_Res</f>
        <v>2.6697367529272218</v>
      </c>
      <c r="F193" s="32">
        <f ca="1"/>
        <v>2.6565421695588056</v>
      </c>
      <c r="G193" s="32">
        <f ca="1"/>
        <v>2.6469714746167501</v>
      </c>
      <c r="H193" s="32">
        <f ca="1"/>
        <v>2.6394858809449451</v>
      </c>
      <c r="I193" s="32">
        <f ca="1"/>
        <v>2.6342761947521778</v>
      </c>
      <c r="J193" s="32">
        <f ca="1"/>
        <v>2.6301671619991653</v>
      </c>
      <c r="K193" s="32">
        <f ca="1"/>
        <v>2.6266072913864407</v>
      </c>
      <c r="L193" s="32">
        <f ca="1"/>
        <v>2.6227666715926343</v>
      </c>
      <c r="M193" s="32">
        <f ca="1"/>
        <v>2.6190703432948035</v>
      </c>
      <c r="N193" s="32">
        <f ca="1"/>
        <v>2.6155692386906342</v>
      </c>
      <c r="O193" s="32">
        <f ca="1"/>
        <v>2.6119129787105861</v>
      </c>
      <c r="P193" s="32">
        <f ca="1"/>
        <v>2.6088234391012723</v>
      </c>
      <c r="Q193" s="32">
        <f ca="1"/>
        <v>2.6056539929698519</v>
      </c>
      <c r="R193" s="32">
        <f ca="1"/>
        <v>2.6028914250455215</v>
      </c>
      <c r="S193" s="32">
        <f ca="1"/>
        <v>2.6005643365444997</v>
      </c>
      <c r="T193" s="32">
        <f ca="1"/>
        <v>2.5983976978851238</v>
      </c>
      <c r="U193" s="32">
        <f ca="1"/>
        <v>2.5961710149883648</v>
      </c>
      <c r="V193" s="32">
        <f ca="1"/>
        <v>2.5941768164303332</v>
      </c>
      <c r="W193" s="32">
        <f ca="1"/>
        <v>2.5925456778614007</v>
      </c>
      <c r="X193" s="32">
        <f ca="1"/>
        <v>2.5911664483846142</v>
      </c>
      <c r="Y193" s="32">
        <f ca="1"/>
        <v>2.59005699076691</v>
      </c>
      <c r="Z193" s="32">
        <f ca="1"/>
        <v>2.5896268436240919</v>
      </c>
      <c r="AA193" s="32">
        <f ca="1"/>
        <v>2.589615332908568</v>
      </c>
      <c r="AB193" s="32">
        <f ca="1"/>
        <v>2.5897337095486073</v>
      </c>
      <c r="AC193" s="32">
        <f ca="1"/>
        <v>2.5899871960784528</v>
      </c>
      <c r="AD193" s="32">
        <f ca="1"/>
        <v>2.5901999649145933</v>
      </c>
      <c r="AE193" s="32">
        <f ca="1"/>
        <v>2.5902501808879701</v>
      </c>
      <c r="AF193" s="32">
        <f ca="1"/>
        <v>2.5902501808879701</v>
      </c>
      <c r="AG193" s="32">
        <f ca="1"/>
        <v>2.5902501808879701</v>
      </c>
      <c r="AH193" s="32">
        <f ca="1"/>
        <v>2.5902501808879701</v>
      </c>
      <c r="AI193" s="32">
        <f ca="1"/>
        <v>2.5902501808879701</v>
      </c>
      <c r="AJ193" s="32">
        <f ca="1"/>
        <v>2.5902501808879701</v>
      </c>
      <c r="AK193" s="32">
        <f ca="1"/>
        <v>2.5902501808879701</v>
      </c>
      <c r="AL193" s="32">
        <f ca="1"/>
        <v>2.5902501808879701</v>
      </c>
      <c r="AM193" s="32">
        <f ca="1"/>
        <v>2.5902501808879701</v>
      </c>
      <c r="AN193" s="55">
        <f ca="1"/>
        <v>2.5902501808879701</v>
      </c>
      <c r="AO193" s="8"/>
    </row>
    <row r="194" spans="2:41" hidden="1" x14ac:dyDescent="0.35">
      <c r="B194" s="8"/>
      <c r="C194" s="19" t="str">
        <f>"EL 3: " &amp; INDEX(_doName,1,4)</f>
        <v>EL 3: EL 3</v>
      </c>
      <c r="D194" s="11"/>
      <c r="E194" s="32">
        <f t="array" aca="1" ref="E194:AN194" ca="1">tlccFuElec3_Res</f>
        <v>1.5173685791806213</v>
      </c>
      <c r="F194" s="32">
        <f ca="1"/>
        <v>1.5098693206126517</v>
      </c>
      <c r="G194" s="32">
        <f ca="1"/>
        <v>1.5044297311961763</v>
      </c>
      <c r="H194" s="32">
        <f ca="1"/>
        <v>1.5001752275932809</v>
      </c>
      <c r="I194" s="32">
        <f ca="1"/>
        <v>1.4972142562062603</v>
      </c>
      <c r="J194" s="32">
        <f ca="1"/>
        <v>1.4948788509707405</v>
      </c>
      <c r="K194" s="32">
        <f ca="1"/>
        <v>1.4928555669118255</v>
      </c>
      <c r="L194" s="32">
        <f ca="1"/>
        <v>1.4906727165640112</v>
      </c>
      <c r="M194" s="32">
        <f ca="1"/>
        <v>1.488571875568615</v>
      </c>
      <c r="N194" s="32">
        <f ca="1"/>
        <v>1.4865819916922491</v>
      </c>
      <c r="O194" s="32">
        <f ca="1"/>
        <v>1.484503923880897</v>
      </c>
      <c r="P194" s="32">
        <f ca="1"/>
        <v>1.4827479566222652</v>
      </c>
      <c r="Q194" s="32">
        <f ca="1"/>
        <v>1.4809465737825711</v>
      </c>
      <c r="R194" s="32">
        <f ca="1"/>
        <v>1.4793764437831873</v>
      </c>
      <c r="S194" s="32">
        <f ca="1"/>
        <v>1.4780538223792032</v>
      </c>
      <c r="T194" s="32">
        <f ca="1"/>
        <v>1.4768223940668159</v>
      </c>
      <c r="U194" s="32">
        <f ca="1"/>
        <v>1.4755568390791802</v>
      </c>
      <c r="V194" s="32">
        <f ca="1"/>
        <v>1.4744234186289107</v>
      </c>
      <c r="W194" s="32">
        <f ca="1"/>
        <v>1.4734963465458399</v>
      </c>
      <c r="X194" s="32">
        <f ca="1"/>
        <v>1.472712449231147</v>
      </c>
      <c r="Y194" s="32">
        <f ca="1"/>
        <v>1.4720818791469652</v>
      </c>
      <c r="Z194" s="32">
        <f ca="1"/>
        <v>1.4718374012005082</v>
      </c>
      <c r="AA194" s="32">
        <f ca="1"/>
        <v>1.471830858983175</v>
      </c>
      <c r="AB194" s="32">
        <f ca="1"/>
        <v>1.471898139397211</v>
      </c>
      <c r="AC194" s="32">
        <f ca="1"/>
        <v>1.4720422107163071</v>
      </c>
      <c r="AD194" s="32">
        <f ca="1"/>
        <v>1.4721631397727897</v>
      </c>
      <c r="AE194" s="32">
        <f ca="1"/>
        <v>1.4721916804669579</v>
      </c>
      <c r="AF194" s="32">
        <f ca="1"/>
        <v>1.4721916804669579</v>
      </c>
      <c r="AG194" s="32">
        <f ca="1"/>
        <v>1.4721916804669579</v>
      </c>
      <c r="AH194" s="32">
        <f ca="1"/>
        <v>1.4721916804669579</v>
      </c>
      <c r="AI194" s="32">
        <f ca="1"/>
        <v>1.4721916804669579</v>
      </c>
      <c r="AJ194" s="32">
        <f ca="1"/>
        <v>1.4721916804669579</v>
      </c>
      <c r="AK194" s="32">
        <f ca="1"/>
        <v>1.4721916804669579</v>
      </c>
      <c r="AL194" s="32">
        <f ca="1"/>
        <v>1.4721916804669579</v>
      </c>
      <c r="AM194" s="32">
        <f ca="1"/>
        <v>1.4721916804669579</v>
      </c>
      <c r="AN194" s="55">
        <f ca="1"/>
        <v>1.4721916804669579</v>
      </c>
      <c r="AO194" s="8"/>
    </row>
    <row r="195" spans="2:41" hidden="1" x14ac:dyDescent="0.35">
      <c r="B195" s="8"/>
      <c r="C195" s="35" t="str">
        <f>"EL 4: " &amp; INDEX(_doName,1,5)</f>
        <v>EL 4: EL 4</v>
      </c>
      <c r="D195" s="15"/>
      <c r="E195" s="59">
        <f t="array" aca="1" ref="E195:AN195" ca="1">tlccFuElec4_Res</f>
        <v>0.94335567227261707</v>
      </c>
      <c r="F195" s="59">
        <f ca="1"/>
        <v>0.93869334552814654</v>
      </c>
      <c r="G195" s="59">
        <f ca="1"/>
        <v>0.93531152544746632</v>
      </c>
      <c r="H195" s="59">
        <f ca="1"/>
        <v>0.93266647917356571</v>
      </c>
      <c r="I195" s="59">
        <f ca="1"/>
        <v>0.93082562837982441</v>
      </c>
      <c r="J195" s="59">
        <f ca="1"/>
        <v>0.92937369520669089</v>
      </c>
      <c r="K195" s="59">
        <f ca="1"/>
        <v>0.92811580933783611</v>
      </c>
      <c r="L195" s="59">
        <f ca="1"/>
        <v>0.92675872030515971</v>
      </c>
      <c r="M195" s="59">
        <f ca="1"/>
        <v>0.92545261689907776</v>
      </c>
      <c r="N195" s="59">
        <f ca="1"/>
        <v>0.92421549609158904</v>
      </c>
      <c r="O195" s="59">
        <f ca="1"/>
        <v>0.92292355088848987</v>
      </c>
      <c r="P195" s="59">
        <f ca="1"/>
        <v>0.92183185721795835</v>
      </c>
      <c r="Q195" s="59">
        <f ca="1"/>
        <v>0.92071192845241212</v>
      </c>
      <c r="R195" s="59">
        <f ca="1"/>
        <v>0.91973577074000956</v>
      </c>
      <c r="S195" s="59">
        <f ca="1"/>
        <v>0.91891349036539494</v>
      </c>
      <c r="T195" s="59">
        <f ca="1"/>
        <v>0.91814790519418044</v>
      </c>
      <c r="U195" s="59">
        <f ca="1"/>
        <v>0.91736110329743625</v>
      </c>
      <c r="V195" s="59">
        <f ca="1"/>
        <v>0.91665645010670727</v>
      </c>
      <c r="W195" s="59">
        <f ca="1"/>
        <v>0.9160800847330135</v>
      </c>
      <c r="X195" s="59">
        <f ca="1"/>
        <v>0.91559273183244538</v>
      </c>
      <c r="Y195" s="59">
        <f ca="1"/>
        <v>0.91520070324173897</v>
      </c>
      <c r="Z195" s="59">
        <f ca="1"/>
        <v>0.91504871007363187</v>
      </c>
      <c r="AA195" s="59">
        <f ca="1"/>
        <v>0.91504464274423336</v>
      </c>
      <c r="AB195" s="59">
        <f ca="1"/>
        <v>0.91508647131580434</v>
      </c>
      <c r="AC195" s="59">
        <f ca="1"/>
        <v>0.91517604117901752</v>
      </c>
      <c r="AD195" s="59">
        <f ca="1"/>
        <v>0.9152512233812462</v>
      </c>
      <c r="AE195" s="59">
        <f ca="1"/>
        <v>0.91526896727426177</v>
      </c>
      <c r="AF195" s="59">
        <f ca="1"/>
        <v>0.91526896727426177</v>
      </c>
      <c r="AG195" s="59">
        <f ca="1"/>
        <v>0.91526896727426177</v>
      </c>
      <c r="AH195" s="59">
        <f ca="1"/>
        <v>0.91526896727426177</v>
      </c>
      <c r="AI195" s="59">
        <f ca="1"/>
        <v>0.91526896727426177</v>
      </c>
      <c r="AJ195" s="59">
        <f ca="1"/>
        <v>0.91526896727426177</v>
      </c>
      <c r="AK195" s="59">
        <f ca="1"/>
        <v>0.91526896727426177</v>
      </c>
      <c r="AL195" s="59">
        <f ca="1"/>
        <v>0.91526896727426177</v>
      </c>
      <c r="AM195" s="59">
        <f ca="1"/>
        <v>0.91526896727426177</v>
      </c>
      <c r="AN195" s="60">
        <f ca="1"/>
        <v>0.91526896727426177</v>
      </c>
      <c r="AO195" s="8"/>
    </row>
    <row r="196" spans="2:41" hidden="1" x14ac:dyDescent="0.3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</row>
    <row r="197" spans="2:41" hidden="1" x14ac:dyDescent="0.35">
      <c r="B197" s="8"/>
      <c r="C197" s="23" t="s">
        <v>81</v>
      </c>
      <c r="D197" s="24"/>
      <c r="E197" s="26">
        <f t="array" ref="E197:AN197">_yS</f>
        <v>2024</v>
      </c>
      <c r="F197" s="26">
        <v>2025</v>
      </c>
      <c r="G197" s="26">
        <v>2026</v>
      </c>
      <c r="H197" s="26">
        <v>2027</v>
      </c>
      <c r="I197" s="26">
        <v>2028</v>
      </c>
      <c r="J197" s="26">
        <v>2029</v>
      </c>
      <c r="K197" s="26">
        <v>2030</v>
      </c>
      <c r="L197" s="26">
        <v>2031</v>
      </c>
      <c r="M197" s="26">
        <v>2032</v>
      </c>
      <c r="N197" s="26">
        <v>2033</v>
      </c>
      <c r="O197" s="26">
        <v>2034</v>
      </c>
      <c r="P197" s="26">
        <v>2035</v>
      </c>
      <c r="Q197" s="26">
        <v>2036</v>
      </c>
      <c r="R197" s="26">
        <v>2037</v>
      </c>
      <c r="S197" s="26">
        <v>2038</v>
      </c>
      <c r="T197" s="26">
        <v>2039</v>
      </c>
      <c r="U197" s="26">
        <v>2040</v>
      </c>
      <c r="V197" s="26">
        <v>2041</v>
      </c>
      <c r="W197" s="26">
        <v>2042</v>
      </c>
      <c r="X197" s="26">
        <v>2043</v>
      </c>
      <c r="Y197" s="26">
        <v>2044</v>
      </c>
      <c r="Z197" s="26">
        <v>2045</v>
      </c>
      <c r="AA197" s="26">
        <v>2046</v>
      </c>
      <c r="AB197" s="26">
        <v>2047</v>
      </c>
      <c r="AC197" s="26">
        <v>2048</v>
      </c>
      <c r="AD197" s="26">
        <v>2049</v>
      </c>
      <c r="AE197" s="26">
        <v>2050</v>
      </c>
      <c r="AF197" s="26">
        <v>2051</v>
      </c>
      <c r="AG197" s="26">
        <v>2052</v>
      </c>
      <c r="AH197" s="26">
        <v>2053</v>
      </c>
      <c r="AI197" s="26">
        <v>2054</v>
      </c>
      <c r="AJ197" s="26">
        <v>2055</v>
      </c>
      <c r="AK197" s="26">
        <v>2056</v>
      </c>
      <c r="AL197" s="26">
        <v>2057</v>
      </c>
      <c r="AM197" s="26">
        <v>2058</v>
      </c>
      <c r="AN197" s="27">
        <v>2059</v>
      </c>
      <c r="AO197" s="8"/>
    </row>
    <row r="198" spans="2:41" hidden="1" x14ac:dyDescent="0.35">
      <c r="B198" s="8"/>
      <c r="C198" s="19" t="str">
        <f>"EL 0: " &amp; INDEX(_doName,1,1)</f>
        <v>EL 0: Baseline</v>
      </c>
      <c r="D198" s="11"/>
      <c r="E198" s="32">
        <f t="array" aca="1" ref="E198:AN198" ca="1">tlccFuElec0_Com</f>
        <v>6.4922723804210554</v>
      </c>
      <c r="F198" s="32">
        <f ca="1"/>
        <v>6.4589494273717536</v>
      </c>
      <c r="G198" s="32">
        <f ca="1"/>
        <v>6.4351192460130688</v>
      </c>
      <c r="H198" s="32">
        <f ca="1"/>
        <v>6.4167998259152528</v>
      </c>
      <c r="I198" s="32">
        <f ca="1"/>
        <v>6.4045819190049489</v>
      </c>
      <c r="J198" s="32">
        <f ca="1"/>
        <v>6.3952911159474883</v>
      </c>
      <c r="K198" s="32">
        <f ca="1"/>
        <v>6.3873621358892239</v>
      </c>
      <c r="L198" s="32">
        <f ca="1"/>
        <v>6.3788711397481128</v>
      </c>
      <c r="M198" s="32">
        <f ca="1"/>
        <v>6.3708472887365346</v>
      </c>
      <c r="N198" s="32">
        <f ca="1"/>
        <v>6.3632848386715057</v>
      </c>
      <c r="O198" s="32">
        <f ca="1"/>
        <v>6.3554674370480324</v>
      </c>
      <c r="P198" s="32">
        <f ca="1"/>
        <v>6.3487612750732607</v>
      </c>
      <c r="Q198" s="32">
        <f ca="1"/>
        <v>6.3417761439159612</v>
      </c>
      <c r="R198" s="32">
        <f ca="1"/>
        <v>6.335685741686139</v>
      </c>
      <c r="S198" s="32">
        <f ca="1"/>
        <v>6.3306267766405311</v>
      </c>
      <c r="T198" s="32">
        <f ca="1"/>
        <v>6.3259901771063269</v>
      </c>
      <c r="U198" s="32">
        <f ca="1"/>
        <v>6.3212120182065545</v>
      </c>
      <c r="V198" s="32">
        <f ca="1"/>
        <v>6.3169111485911671</v>
      </c>
      <c r="W198" s="32">
        <f ca="1"/>
        <v>6.3134358300037752</v>
      </c>
      <c r="X198" s="32">
        <f ca="1"/>
        <v>6.3105305795796047</v>
      </c>
      <c r="Y198" s="32">
        <f ca="1"/>
        <v>6.3082014554205141</v>
      </c>
      <c r="Z198" s="32">
        <f ca="1"/>
        <v>6.3074245423954753</v>
      </c>
      <c r="AA198" s="32">
        <f ca="1"/>
        <v>6.3075876198338943</v>
      </c>
      <c r="AB198" s="32">
        <f ca="1"/>
        <v>6.3080279874836211</v>
      </c>
      <c r="AC198" s="32">
        <f ca="1"/>
        <v>6.3087259970904999</v>
      </c>
      <c r="AD198" s="32">
        <f ca="1"/>
        <v>6.3092842332857799</v>
      </c>
      <c r="AE198" s="32">
        <f ca="1"/>
        <v>6.3094296505781067</v>
      </c>
      <c r="AF198" s="32">
        <f ca="1"/>
        <v>6.3094296505781067</v>
      </c>
      <c r="AG198" s="32">
        <f ca="1"/>
        <v>6.3094296505781067</v>
      </c>
      <c r="AH198" s="32">
        <f ca="1"/>
        <v>6.3094296505781067</v>
      </c>
      <c r="AI198" s="32">
        <f ca="1"/>
        <v>6.3094296505781067</v>
      </c>
      <c r="AJ198" s="32">
        <f ca="1"/>
        <v>6.3094296505781067</v>
      </c>
      <c r="AK198" s="32">
        <f ca="1"/>
        <v>6.3094296505781067</v>
      </c>
      <c r="AL198" s="32">
        <f ca="1"/>
        <v>6.3094296505781067</v>
      </c>
      <c r="AM198" s="32">
        <f ca="1"/>
        <v>6.3094296505781067</v>
      </c>
      <c r="AN198" s="55">
        <f ca="1"/>
        <v>6.3094296505781067</v>
      </c>
      <c r="AO198" s="8"/>
    </row>
    <row r="199" spans="2:41" hidden="1" x14ac:dyDescent="0.35">
      <c r="B199" s="8"/>
      <c r="C199" s="19" t="str">
        <f>"EL 1: " &amp; INDEX(_doName,1,2)</f>
        <v>EL 1: Tier 1</v>
      </c>
      <c r="D199" s="11"/>
      <c r="E199" s="32">
        <f t="array" aca="1" ref="E199:AN199" ca="1">tlccFuElec1_Com</f>
        <v>5.8946394330811538</v>
      </c>
      <c r="F199" s="32">
        <f ca="1"/>
        <v>5.8643839567916025</v>
      </c>
      <c r="G199" s="32">
        <f ca="1"/>
        <v>5.8427474143757339</v>
      </c>
      <c r="H199" s="32">
        <f ca="1"/>
        <v>5.8261143512859217</v>
      </c>
      <c r="I199" s="32">
        <f ca="1"/>
        <v>5.8150211389801072</v>
      </c>
      <c r="J199" s="32">
        <f ca="1"/>
        <v>5.806585581927286</v>
      </c>
      <c r="K199" s="32">
        <f ca="1"/>
        <v>5.799386488023508</v>
      </c>
      <c r="L199" s="32">
        <f ca="1"/>
        <v>5.7916771132858615</v>
      </c>
      <c r="M199" s="32">
        <f ca="1"/>
        <v>5.7843918815816826</v>
      </c>
      <c r="N199" s="32">
        <f ca="1"/>
        <v>5.7775255774970802</v>
      </c>
      <c r="O199" s="32">
        <f ca="1"/>
        <v>5.7704277909019108</v>
      </c>
      <c r="P199" s="32">
        <f ca="1"/>
        <v>5.7643389510466472</v>
      </c>
      <c r="Q199" s="32">
        <f ca="1"/>
        <v>5.7579968219503357</v>
      </c>
      <c r="R199" s="32">
        <f ca="1"/>
        <v>5.7524670593273877</v>
      </c>
      <c r="S199" s="32">
        <f ca="1"/>
        <v>5.7478737870336474</v>
      </c>
      <c r="T199" s="32">
        <f ca="1"/>
        <v>5.7436640002520347</v>
      </c>
      <c r="U199" s="32">
        <f ca="1"/>
        <v>5.7393256850647241</v>
      </c>
      <c r="V199" s="32">
        <f ca="1"/>
        <v>5.7354207232661638</v>
      </c>
      <c r="W199" s="32">
        <f ca="1"/>
        <v>5.7322653180725132</v>
      </c>
      <c r="X199" s="32">
        <f ca="1"/>
        <v>5.7296275045752028</v>
      </c>
      <c r="Y199" s="32">
        <f ca="1"/>
        <v>5.7275127832098276</v>
      </c>
      <c r="Z199" s="32">
        <f ca="1"/>
        <v>5.7268073873352998</v>
      </c>
      <c r="AA199" s="32">
        <f ca="1"/>
        <v>5.7269554530113558</v>
      </c>
      <c r="AB199" s="32">
        <f ca="1"/>
        <v>5.7273552835115291</v>
      </c>
      <c r="AC199" s="32">
        <f ca="1"/>
        <v>5.7279890392617938</v>
      </c>
      <c r="AD199" s="32">
        <f ca="1"/>
        <v>5.7284958881579682</v>
      </c>
      <c r="AE199" s="32">
        <f ca="1"/>
        <v>5.7286279193568097</v>
      </c>
      <c r="AF199" s="32">
        <f ca="1"/>
        <v>5.7286279193568097</v>
      </c>
      <c r="AG199" s="32">
        <f ca="1"/>
        <v>5.7286279193568097</v>
      </c>
      <c r="AH199" s="32">
        <f ca="1"/>
        <v>5.7286279193568097</v>
      </c>
      <c r="AI199" s="32">
        <f ca="1"/>
        <v>5.7286279193568097</v>
      </c>
      <c r="AJ199" s="32">
        <f ca="1"/>
        <v>5.7286279193568097</v>
      </c>
      <c r="AK199" s="32">
        <f ca="1"/>
        <v>5.7286279193568097</v>
      </c>
      <c r="AL199" s="32">
        <f ca="1"/>
        <v>5.7286279193568097</v>
      </c>
      <c r="AM199" s="32">
        <f ca="1"/>
        <v>5.7286279193568097</v>
      </c>
      <c r="AN199" s="55">
        <f ca="1"/>
        <v>5.7286279193568097</v>
      </c>
      <c r="AO199" s="8"/>
    </row>
    <row r="200" spans="2:41" hidden="1" x14ac:dyDescent="0.35">
      <c r="B200" s="8"/>
      <c r="C200" s="19" t="str">
        <f>"EL 2: " &amp; INDEX(_doName,1,3)</f>
        <v>EL 2: Tier 2</v>
      </c>
      <c r="D200" s="11"/>
      <c r="E200" s="32">
        <f t="array" aca="1" ref="E200:AN200" ca="1">tlccFuElec2_Com</f>
        <v>5.2949944707158414</v>
      </c>
      <c r="F200" s="32">
        <f ca="1"/>
        <v>5.267816798276205</v>
      </c>
      <c r="G200" s="32">
        <f ca="1"/>
        <v>5.2483812799959004</v>
      </c>
      <c r="H200" s="32">
        <f ca="1"/>
        <v>5.2334402512711691</v>
      </c>
      <c r="I200" s="32">
        <f ca="1"/>
        <v>5.2234755200117586</v>
      </c>
      <c r="J200" s="32">
        <f ca="1"/>
        <v>5.215898088269042</v>
      </c>
      <c r="K200" s="32">
        <f ca="1"/>
        <v>5.209431337783724</v>
      </c>
      <c r="L200" s="32">
        <f ca="1"/>
        <v>5.2025062158874746</v>
      </c>
      <c r="M200" s="32">
        <f ca="1"/>
        <v>5.1959620901560495</v>
      </c>
      <c r="N200" s="32">
        <f ca="1"/>
        <v>5.1897942757248234</v>
      </c>
      <c r="O200" s="32">
        <f ca="1"/>
        <v>5.1834185268427397</v>
      </c>
      <c r="P200" s="32">
        <f ca="1"/>
        <v>5.1779490874083685</v>
      </c>
      <c r="Q200" s="32">
        <f ca="1"/>
        <v>5.1722521251295435</v>
      </c>
      <c r="R200" s="32">
        <f ca="1"/>
        <v>5.167284889585237</v>
      </c>
      <c r="S200" s="32">
        <f ca="1"/>
        <v>5.1631588778632365</v>
      </c>
      <c r="T200" s="32">
        <f ca="1"/>
        <v>5.1593773407591295</v>
      </c>
      <c r="U200" s="32">
        <f ca="1"/>
        <v>5.155480350079749</v>
      </c>
      <c r="V200" s="32">
        <f ca="1"/>
        <v>5.1519726289771306</v>
      </c>
      <c r="W200" s="32">
        <f ca="1"/>
        <v>5.149138214210474</v>
      </c>
      <c r="X200" s="32">
        <f ca="1"/>
        <v>5.1467687380038978</v>
      </c>
      <c r="Y200" s="32">
        <f ca="1"/>
        <v>5.1448691412492709</v>
      </c>
      <c r="Z200" s="32">
        <f ca="1"/>
        <v>5.1442355032977574</v>
      </c>
      <c r="AA200" s="32">
        <f ca="1"/>
        <v>5.14436850667225</v>
      </c>
      <c r="AB200" s="32">
        <f ca="1"/>
        <v>5.1447276635488803</v>
      </c>
      <c r="AC200" s="32">
        <f ca="1"/>
        <v>5.1452969491229226</v>
      </c>
      <c r="AD200" s="32">
        <f ca="1"/>
        <v>5.1457522377174492</v>
      </c>
      <c r="AE200" s="32">
        <f ca="1"/>
        <v>5.1458708377566484</v>
      </c>
      <c r="AF200" s="32">
        <f ca="1"/>
        <v>5.1458708377566484</v>
      </c>
      <c r="AG200" s="32">
        <f ca="1"/>
        <v>5.1458708377566484</v>
      </c>
      <c r="AH200" s="32">
        <f ca="1"/>
        <v>5.1458708377566484</v>
      </c>
      <c r="AI200" s="32">
        <f ca="1"/>
        <v>5.1458708377566484</v>
      </c>
      <c r="AJ200" s="32">
        <f ca="1"/>
        <v>5.1458708377566484</v>
      </c>
      <c r="AK200" s="32">
        <f ca="1"/>
        <v>5.1458708377566484</v>
      </c>
      <c r="AL200" s="32">
        <f ca="1"/>
        <v>5.1458708377566484</v>
      </c>
      <c r="AM200" s="32">
        <f ca="1"/>
        <v>5.1458708377566484</v>
      </c>
      <c r="AN200" s="55">
        <f ca="1"/>
        <v>5.1458708377566484</v>
      </c>
      <c r="AO200" s="8"/>
    </row>
    <row r="201" spans="2:41" hidden="1" x14ac:dyDescent="0.35">
      <c r="B201" s="8"/>
      <c r="C201" s="19" t="str">
        <f>"EL 3: " &amp; INDEX(_doName,1,4)</f>
        <v>EL 3: EL 3</v>
      </c>
      <c r="D201" s="11"/>
      <c r="E201" s="32">
        <f t="array" aca="1" ref="E201:AN201" ca="1">tlccFuElec3_Com</f>
        <v>2.9768126003413191</v>
      </c>
      <c r="F201" s="32">
        <f ca="1"/>
        <v>2.9615334837693021</v>
      </c>
      <c r="G201" s="32">
        <f ca="1"/>
        <v>2.9506069575885956</v>
      </c>
      <c r="H201" s="32">
        <f ca="1"/>
        <v>2.9422072051779309</v>
      </c>
      <c r="I201" s="32">
        <f ca="1"/>
        <v>2.9366050959149144</v>
      </c>
      <c r="J201" s="32">
        <f ca="1"/>
        <v>2.932345111430569</v>
      </c>
      <c r="K201" s="32">
        <f ca="1"/>
        <v>2.9287095449659701</v>
      </c>
      <c r="L201" s="32">
        <f ca="1"/>
        <v>2.9248162849760577</v>
      </c>
      <c r="M201" s="32">
        <f ca="1"/>
        <v>2.9211372186345783</v>
      </c>
      <c r="N201" s="32">
        <f ca="1"/>
        <v>2.9176697121400998</v>
      </c>
      <c r="O201" s="32">
        <f ca="1"/>
        <v>2.9140853062046892</v>
      </c>
      <c r="P201" s="32">
        <f ca="1"/>
        <v>2.9110104217425654</v>
      </c>
      <c r="Q201" s="32">
        <f ca="1"/>
        <v>2.9078076253677869</v>
      </c>
      <c r="R201" s="32">
        <f ca="1"/>
        <v>2.9050150767751615</v>
      </c>
      <c r="S201" s="32">
        <f ca="1"/>
        <v>2.9026954589264311</v>
      </c>
      <c r="T201" s="32">
        <f ca="1"/>
        <v>2.9005695025420715</v>
      </c>
      <c r="U201" s="32">
        <f ca="1"/>
        <v>2.8983786388835817</v>
      </c>
      <c r="V201" s="32">
        <f ca="1"/>
        <v>2.8964066201337038</v>
      </c>
      <c r="W201" s="32">
        <f ca="1"/>
        <v>2.8948131299726385</v>
      </c>
      <c r="X201" s="32">
        <f ca="1"/>
        <v>2.8934810253468539</v>
      </c>
      <c r="Y201" s="32">
        <f ca="1"/>
        <v>2.8924130839946938</v>
      </c>
      <c r="Z201" s="32">
        <f ca="1"/>
        <v>2.8920568567222094</v>
      </c>
      <c r="AA201" s="32">
        <f ca="1"/>
        <v>2.8921316303831204</v>
      </c>
      <c r="AB201" s="32">
        <f ca="1"/>
        <v>2.8923335461210429</v>
      </c>
      <c r="AC201" s="32">
        <f ca="1"/>
        <v>2.892653594891514</v>
      </c>
      <c r="AD201" s="32">
        <f ca="1"/>
        <v>2.8929095552768311</v>
      </c>
      <c r="AE201" s="32">
        <f ca="1"/>
        <v>2.8929762314731979</v>
      </c>
      <c r="AF201" s="32">
        <f ca="1"/>
        <v>2.8929762314731979</v>
      </c>
      <c r="AG201" s="32">
        <f ca="1"/>
        <v>2.8929762314731979</v>
      </c>
      <c r="AH201" s="32">
        <f ca="1"/>
        <v>2.8929762314731979</v>
      </c>
      <c r="AI201" s="32">
        <f ca="1"/>
        <v>2.8929762314731979</v>
      </c>
      <c r="AJ201" s="32">
        <f ca="1"/>
        <v>2.8929762314731979</v>
      </c>
      <c r="AK201" s="32">
        <f ca="1"/>
        <v>2.8929762314731979</v>
      </c>
      <c r="AL201" s="32">
        <f ca="1"/>
        <v>2.8929762314731979</v>
      </c>
      <c r="AM201" s="32">
        <f ca="1"/>
        <v>2.8929762314731979</v>
      </c>
      <c r="AN201" s="55">
        <f ca="1"/>
        <v>2.8929762314731979</v>
      </c>
      <c r="AO201" s="8"/>
    </row>
    <row r="202" spans="2:41" hidden="1" x14ac:dyDescent="0.35">
      <c r="B202" s="8"/>
      <c r="C202" s="35" t="str">
        <f>"EL 4: " &amp; INDEX(_doName,1,5)</f>
        <v>EL 4: EL 4</v>
      </c>
      <c r="D202" s="15"/>
      <c r="E202" s="59">
        <f t="array" aca="1" ref="E202:AN202" ca="1">tlccFuElec4_Com</f>
        <v>1.8564608525144946</v>
      </c>
      <c r="F202" s="59">
        <f ca="1"/>
        <v>1.8469321768519069</v>
      </c>
      <c r="G202" s="59">
        <f ca="1"/>
        <v>1.840117952770038</v>
      </c>
      <c r="H202" s="59">
        <f ca="1"/>
        <v>1.8348795271064866</v>
      </c>
      <c r="I202" s="59">
        <f ca="1"/>
        <v>1.8313858249711532</v>
      </c>
      <c r="J202" s="59">
        <f ca="1"/>
        <v>1.8287291261831269</v>
      </c>
      <c r="K202" s="59">
        <f ca="1"/>
        <v>1.8264618397515036</v>
      </c>
      <c r="L202" s="59">
        <f ca="1"/>
        <v>1.824033845204885</v>
      </c>
      <c r="M202" s="59">
        <f ca="1"/>
        <v>1.8217394304889643</v>
      </c>
      <c r="N202" s="59">
        <f ca="1"/>
        <v>1.8195769530585402</v>
      </c>
      <c r="O202" s="59">
        <f ca="1"/>
        <v>1.8173415724041286</v>
      </c>
      <c r="P202" s="59">
        <f ca="1"/>
        <v>1.8154239499682112</v>
      </c>
      <c r="Q202" s="59">
        <f ca="1"/>
        <v>1.8134265564851049</v>
      </c>
      <c r="R202" s="59">
        <f ca="1"/>
        <v>1.8116850101276487</v>
      </c>
      <c r="S202" s="59">
        <f ca="1"/>
        <v>1.8102384025284775</v>
      </c>
      <c r="T202" s="59">
        <f ca="1"/>
        <v>1.8089125700587871</v>
      </c>
      <c r="U202" s="59">
        <f ca="1"/>
        <v>1.8075462587852071</v>
      </c>
      <c r="V202" s="59">
        <f ca="1"/>
        <v>1.8063164280564756</v>
      </c>
      <c r="W202" s="59">
        <f ca="1"/>
        <v>1.8053226630802914</v>
      </c>
      <c r="X202" s="59">
        <f ca="1"/>
        <v>1.8044919087059852</v>
      </c>
      <c r="Y202" s="59">
        <f ca="1"/>
        <v>1.8038258972436445</v>
      </c>
      <c r="Z202" s="59">
        <f ca="1"/>
        <v>1.8036037394948199</v>
      </c>
      <c r="AA202" s="59">
        <f ca="1"/>
        <v>1.8036503713769427</v>
      </c>
      <c r="AB202" s="59">
        <f ca="1"/>
        <v>1.8037762942055808</v>
      </c>
      <c r="AC202" s="59">
        <f ca="1"/>
        <v>1.8039758895758791</v>
      </c>
      <c r="AD202" s="59">
        <f ca="1"/>
        <v>1.8041355168346058</v>
      </c>
      <c r="AE202" s="59">
        <f ca="1"/>
        <v>1.8041770988100168</v>
      </c>
      <c r="AF202" s="59">
        <f ca="1"/>
        <v>1.8041770988100168</v>
      </c>
      <c r="AG202" s="59">
        <f ca="1"/>
        <v>1.8041770988100168</v>
      </c>
      <c r="AH202" s="59">
        <f ca="1"/>
        <v>1.8041770988100168</v>
      </c>
      <c r="AI202" s="59">
        <f ca="1"/>
        <v>1.8041770988100168</v>
      </c>
      <c r="AJ202" s="59">
        <f ca="1"/>
        <v>1.8041770988100168</v>
      </c>
      <c r="AK202" s="59">
        <f ca="1"/>
        <v>1.8041770988100168</v>
      </c>
      <c r="AL202" s="59">
        <f ca="1"/>
        <v>1.8041770988100168</v>
      </c>
      <c r="AM202" s="59">
        <f ca="1"/>
        <v>1.8041770988100168</v>
      </c>
      <c r="AN202" s="60">
        <f ca="1"/>
        <v>1.8041770988100168</v>
      </c>
      <c r="AO202" s="8"/>
    </row>
    <row r="203" spans="2:41" hidden="1" x14ac:dyDescent="0.3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</row>
    <row r="204" spans="2:41" x14ac:dyDescent="0.35">
      <c r="B204" s="8"/>
      <c r="C204" s="23" t="s">
        <v>79</v>
      </c>
      <c r="D204" s="24"/>
      <c r="E204" s="26">
        <f t="array" ref="E204:AN204">_yS</f>
        <v>2024</v>
      </c>
      <c r="F204" s="26">
        <v>2025</v>
      </c>
      <c r="G204" s="26">
        <v>2026</v>
      </c>
      <c r="H204" s="26">
        <v>2027</v>
      </c>
      <c r="I204" s="26">
        <v>2028</v>
      </c>
      <c r="J204" s="26">
        <v>2029</v>
      </c>
      <c r="K204" s="26">
        <v>2030</v>
      </c>
      <c r="L204" s="26">
        <v>2031</v>
      </c>
      <c r="M204" s="26">
        <v>2032</v>
      </c>
      <c r="N204" s="26">
        <v>2033</v>
      </c>
      <c r="O204" s="26">
        <v>2034</v>
      </c>
      <c r="P204" s="26">
        <v>2035</v>
      </c>
      <c r="Q204" s="26">
        <v>2036</v>
      </c>
      <c r="R204" s="26">
        <v>2037</v>
      </c>
      <c r="S204" s="26">
        <v>2038</v>
      </c>
      <c r="T204" s="26">
        <v>2039</v>
      </c>
      <c r="U204" s="26">
        <v>2040</v>
      </c>
      <c r="V204" s="26">
        <v>2041</v>
      </c>
      <c r="W204" s="26">
        <v>2042</v>
      </c>
      <c r="X204" s="26">
        <v>2043</v>
      </c>
      <c r="Y204" s="26">
        <v>2044</v>
      </c>
      <c r="Z204" s="26">
        <v>2045</v>
      </c>
      <c r="AA204" s="26">
        <v>2046</v>
      </c>
      <c r="AB204" s="26">
        <v>2047</v>
      </c>
      <c r="AC204" s="26">
        <v>2048</v>
      </c>
      <c r="AD204" s="26">
        <v>2049</v>
      </c>
      <c r="AE204" s="26">
        <v>2050</v>
      </c>
      <c r="AF204" s="26">
        <v>2051</v>
      </c>
      <c r="AG204" s="26">
        <v>2052</v>
      </c>
      <c r="AH204" s="26">
        <v>2053</v>
      </c>
      <c r="AI204" s="26">
        <v>2054</v>
      </c>
      <c r="AJ204" s="26">
        <v>2055</v>
      </c>
      <c r="AK204" s="26">
        <v>2056</v>
      </c>
      <c r="AL204" s="26">
        <v>2057</v>
      </c>
      <c r="AM204" s="26">
        <v>2058</v>
      </c>
      <c r="AN204" s="27">
        <v>2059</v>
      </c>
      <c r="AO204" s="8"/>
    </row>
    <row r="205" spans="2:41" x14ac:dyDescent="0.35">
      <c r="B205" s="8"/>
      <c r="C205" s="19" t="str">
        <f>"EL 0: " &amp; INDEX(_doName,1,1)</f>
        <v>EL 0: Baseline</v>
      </c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18"/>
      <c r="AO205" s="8"/>
    </row>
    <row r="206" spans="2:41" x14ac:dyDescent="0.35">
      <c r="B206" s="8"/>
      <c r="C206" s="10" t="s">
        <v>70</v>
      </c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18"/>
      <c r="AO206" s="8"/>
    </row>
    <row r="207" spans="2:41" x14ac:dyDescent="0.35">
      <c r="B207" s="8"/>
      <c r="C207" s="20" t="str">
        <f>INDEX(_Sector,2,1)</f>
        <v>Residential</v>
      </c>
      <c r="D207" s="11" t="str">
        <f>_yearDol &amp; "$"</f>
        <v>2021$</v>
      </c>
      <c r="E207" s="32">
        <f t="array" ref="E207:AN207">tMSP0_Res*tPIdxsml0 + tInst0</f>
        <v>66.281433214835971</v>
      </c>
      <c r="F207" s="32">
        <v>65.808197181350593</v>
      </c>
      <c r="G207" s="32">
        <v>65.356517554203606</v>
      </c>
      <c r="H207" s="32">
        <v>64.922866667431904</v>
      </c>
      <c r="I207" s="32">
        <v>64.504715024821735</v>
      </c>
      <c r="J207" s="32">
        <v>64.100358063063737</v>
      </c>
      <c r="K207" s="32">
        <v>63.708619329082083</v>
      </c>
      <c r="L207" s="32">
        <v>63.328635484959086</v>
      </c>
      <c r="M207" s="32">
        <v>62.959656657855007</v>
      </c>
      <c r="N207" s="32">
        <v>62.600950890729848</v>
      </c>
      <c r="O207" s="32">
        <v>62.251781412948134</v>
      </c>
      <c r="P207" s="32">
        <v>61.911410164719975</v>
      </c>
      <c r="Q207" s="32">
        <v>61.579131259947182</v>
      </c>
      <c r="R207" s="32">
        <v>61.254305990135954</v>
      </c>
      <c r="S207" s="32">
        <v>60.93635247929727</v>
      </c>
      <c r="T207" s="32">
        <v>60.624816597128635</v>
      </c>
      <c r="U207" s="32">
        <v>60.319277630431799</v>
      </c>
      <c r="V207" s="32">
        <v>60.019369930415273</v>
      </c>
      <c r="W207" s="32">
        <v>59.724767589990748</v>
      </c>
      <c r="X207" s="32">
        <v>59.435172782331065</v>
      </c>
      <c r="Y207" s="32">
        <v>59.150309921956143</v>
      </c>
      <c r="Z207" s="32">
        <v>58.869920944464425</v>
      </c>
      <c r="AA207" s="32">
        <v>58.593765424741918</v>
      </c>
      <c r="AB207" s="32">
        <v>58.32162051479667</v>
      </c>
      <c r="AC207" s="32">
        <v>58.053280752005506</v>
      </c>
      <c r="AD207" s="32">
        <v>57.78855736720373</v>
      </c>
      <c r="AE207" s="32">
        <v>57.527276981692282</v>
      </c>
      <c r="AF207" s="32">
        <v>57.269279985702568</v>
      </c>
      <c r="AG207" s="32">
        <v>57.014418861627775</v>
      </c>
      <c r="AH207" s="32">
        <v>56.762556662907393</v>
      </c>
      <c r="AI207" s="32">
        <v>56.513565787111453</v>
      </c>
      <c r="AJ207" s="32">
        <v>56.267327040561547</v>
      </c>
      <c r="AK207" s="32">
        <v>56.023728912064442</v>
      </c>
      <c r="AL207" s="32">
        <v>55.782667071721114</v>
      </c>
      <c r="AM207" s="32">
        <v>55.544043815385201</v>
      </c>
      <c r="AN207" s="55">
        <v>55.30776765874959</v>
      </c>
      <c r="AO207" s="8"/>
    </row>
    <row r="208" spans="2:41" x14ac:dyDescent="0.35">
      <c r="B208" s="8"/>
      <c r="C208" s="20" t="str">
        <f>INDEX(_Sector,2,2)</f>
        <v>Commercial</v>
      </c>
      <c r="D208" s="11" t="str">
        <f>_yearDol &amp; "$"</f>
        <v>2021$</v>
      </c>
      <c r="E208" s="32">
        <f t="array" ref="E208:AN208">tMSP0_Com*tPIdxsml0 + tInst0</f>
        <v>64.021956727700001</v>
      </c>
      <c r="F208" s="32">
        <v>63.564852899549713</v>
      </c>
      <c r="G208" s="32">
        <v>63.128570638569343</v>
      </c>
      <c r="H208" s="32">
        <v>62.70970253386438</v>
      </c>
      <c r="I208" s="32">
        <v>62.305805317549925</v>
      </c>
      <c r="J208" s="32">
        <v>61.915232533399269</v>
      </c>
      <c r="K208" s="32">
        <v>61.536847832600067</v>
      </c>
      <c r="L208" s="32">
        <v>61.169817307674393</v>
      </c>
      <c r="M208" s="32">
        <v>60.813416648296261</v>
      </c>
      <c r="N208" s="32">
        <v>60.466938849205413</v>
      </c>
      <c r="O208" s="32">
        <v>60.129672255637381</v>
      </c>
      <c r="P208" s="32">
        <v>59.800903967619455</v>
      </c>
      <c r="Q208" s="32">
        <v>59.479952162097398</v>
      </c>
      <c r="R208" s="32">
        <v>59.166199903595185</v>
      </c>
      <c r="S208" s="32">
        <v>58.85908515177087</v>
      </c>
      <c r="T208" s="32">
        <v>58.558169257229508</v>
      </c>
      <c r="U208" s="32">
        <v>58.263045848520349</v>
      </c>
      <c r="V208" s="32">
        <v>57.973361741501606</v>
      </c>
      <c r="W208" s="32">
        <v>57.688802138974538</v>
      </c>
      <c r="X208" s="32">
        <v>57.409079366769831</v>
      </c>
      <c r="Y208" s="32">
        <v>57.13392723387706</v>
      </c>
      <c r="Z208" s="32">
        <v>56.863096473085953</v>
      </c>
      <c r="AA208" s="32">
        <v>56.596354855165828</v>
      </c>
      <c r="AB208" s="32">
        <v>56.333487128819229</v>
      </c>
      <c r="AC208" s="32">
        <v>56.074294835465317</v>
      </c>
      <c r="AD208" s="32">
        <v>55.818595640916271</v>
      </c>
      <c r="AE208" s="32">
        <v>55.566222076802298</v>
      </c>
      <c r="AF208" s="32">
        <v>55.317019974313169</v>
      </c>
      <c r="AG208" s="32">
        <v>55.070846844589148</v>
      </c>
      <c r="AH208" s="32">
        <v>54.827570409459049</v>
      </c>
      <c r="AI208" s="32">
        <v>54.587067416348873</v>
      </c>
      <c r="AJ208" s="32">
        <v>54.349222734789201</v>
      </c>
      <c r="AK208" s="32">
        <v>54.113928654906523</v>
      </c>
      <c r="AL208" s="32">
        <v>53.881084403317438</v>
      </c>
      <c r="AM208" s="32">
        <v>53.65059560652508</v>
      </c>
      <c r="AN208" s="55">
        <v>53.422373898842899</v>
      </c>
      <c r="AO208" s="8"/>
    </row>
    <row r="209" spans="2:41" x14ac:dyDescent="0.35">
      <c r="B209" s="8"/>
      <c r="C209" s="10" t="str">
        <f>zEO&amp;" Costs"</f>
        <v>Operating Costs</v>
      </c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18"/>
      <c r="AO209" s="8"/>
    </row>
    <row r="210" spans="2:41" x14ac:dyDescent="0.35">
      <c r="B210" s="8"/>
      <c r="C210" s="20" t="str">
        <f>INDEX(_Sector,2,1)</f>
        <v>Residential</v>
      </c>
      <c r="D210" s="11" t="str">
        <f>_yearDol &amp; "$"</f>
        <v>2021$</v>
      </c>
      <c r="E210" s="32">
        <f t="array" aca="1" ref="E210:AN210" ca="1">(tlccEFuElec0_Res) + SUMPRODUCT(dFactor,tpSurvAll_Com,tMnR0_Res)</f>
        <v>98.259617243411185</v>
      </c>
      <c r="F210" s="32">
        <f ca="1"/>
        <v>98.331613536018097</v>
      </c>
      <c r="G210" s="32">
        <f ca="1"/>
        <v>98.444807660302786</v>
      </c>
      <c r="H210" s="32">
        <f ca="1"/>
        <v>98.576011287570793</v>
      </c>
      <c r="I210" s="32">
        <f ca="1"/>
        <v>98.699073771163768</v>
      </c>
      <c r="J210" s="32">
        <f ca="1"/>
        <v>98.802302737295534</v>
      </c>
      <c r="K210" s="32">
        <f ca="1"/>
        <v>98.88233514939472</v>
      </c>
      <c r="L210" s="32">
        <f ca="1"/>
        <v>98.946048269844539</v>
      </c>
      <c r="M210" s="32">
        <f ca="1"/>
        <v>98.978789063160747</v>
      </c>
      <c r="N210" s="32">
        <f ca="1"/>
        <v>98.984765818486892</v>
      </c>
      <c r="O210" s="32">
        <f ca="1"/>
        <v>98.942127996689834</v>
      </c>
      <c r="P210" s="32">
        <f ca="1"/>
        <v>98.859400443524493</v>
      </c>
      <c r="Q210" s="32">
        <f ca="1"/>
        <v>98.793574146706419</v>
      </c>
      <c r="R210" s="32">
        <f ca="1"/>
        <v>98.725201760857161</v>
      </c>
      <c r="S210" s="32">
        <f ca="1"/>
        <v>98.673056733203524</v>
      </c>
      <c r="T210" s="32">
        <f ca="1"/>
        <v>98.638560312896914</v>
      </c>
      <c r="U210" s="32">
        <f ca="1"/>
        <v>98.589820567294367</v>
      </c>
      <c r="V210" s="32">
        <f ca="1"/>
        <v>98.529816191277291</v>
      </c>
      <c r="W210" s="32">
        <f ca="1"/>
        <v>98.476541554220759</v>
      </c>
      <c r="X210" s="32">
        <f ca="1"/>
        <v>98.411022565796259</v>
      </c>
      <c r="Y210" s="32">
        <f ca="1"/>
        <v>98.347461071567608</v>
      </c>
      <c r="Z210" s="32">
        <f ca="1"/>
        <v>98.31289387083558</v>
      </c>
      <c r="AA210" s="32">
        <f ca="1"/>
        <v>98.267513787948872</v>
      </c>
      <c r="AB210" s="32">
        <f ca="1"/>
        <v>98.223484200265517</v>
      </c>
      <c r="AC210" s="32">
        <f ca="1"/>
        <v>98.187505680031364</v>
      </c>
      <c r="AD210" s="32">
        <f ca="1"/>
        <v>98.1385450028001</v>
      </c>
      <c r="AE210" s="32">
        <f ca="1"/>
        <v>98.099058216228514</v>
      </c>
      <c r="AF210" s="32">
        <f ca="1"/>
        <v>98.099058216228514</v>
      </c>
      <c r="AG210" s="32">
        <f ca="1"/>
        <v>98.099058216228514</v>
      </c>
      <c r="AH210" s="32">
        <f ca="1"/>
        <v>98.099058216228514</v>
      </c>
      <c r="AI210" s="32">
        <f ca="1"/>
        <v>98.099058216228514</v>
      </c>
      <c r="AJ210" s="32">
        <f ca="1"/>
        <v>98.099058216228514</v>
      </c>
      <c r="AK210" s="32">
        <f ca="1"/>
        <v>98.099058216228514</v>
      </c>
      <c r="AL210" s="32">
        <f ca="1"/>
        <v>98.099058216228514</v>
      </c>
      <c r="AM210" s="32">
        <f ca="1"/>
        <v>98.099058216228514</v>
      </c>
      <c r="AN210" s="55">
        <f ca="1"/>
        <v>98.099058216228514</v>
      </c>
      <c r="AO210" s="8"/>
    </row>
    <row r="211" spans="2:41" x14ac:dyDescent="0.35">
      <c r="B211" s="8"/>
      <c r="C211" s="50" t="str">
        <f>INDEX(_fuel,1)</f>
        <v>Electricity</v>
      </c>
      <c r="D211" s="11" t="str">
        <f>_yearDol &amp; "$"</f>
        <v>2021$</v>
      </c>
      <c r="E211" s="32">
        <f ca="1">SUMPRODUCT(dFactor,tpSurvAll_Res,tElec0_Res,OFFSET(tPrcElec_Res,0,0,1,_maxLT))</f>
        <v>38.184451109121731</v>
      </c>
      <c r="F211" s="32">
        <f ca="1">SUMPRODUCT(dFactor,tpSurvAll_Res,tElec0_Res,OFFSET(tPrcElec_Res,0,1,1,_maxLT))</f>
        <v>38.256447401728657</v>
      </c>
      <c r="G211" s="32">
        <f ca="1">SUMPRODUCT(dFactor,tpSurvAll_Res,tElec0_Res,OFFSET(tPrcElec_Res,0,2,1,_maxLT))</f>
        <v>38.369641526013339</v>
      </c>
      <c r="H211" s="32">
        <f ca="1">SUMPRODUCT(dFactor,tpSurvAll_Res,tElec0_Res,OFFSET(tPrcElec_Res,0,3,1,_maxLT))</f>
        <v>38.50084515328134</v>
      </c>
      <c r="I211" s="32">
        <f ca="1">SUMPRODUCT(dFactor,tpSurvAll_Res,tElec0_Res,OFFSET(tPrcElec_Res,0,4,1,_maxLT))</f>
        <v>38.623907636874314</v>
      </c>
      <c r="J211" s="32">
        <f ca="1">SUMPRODUCT(dFactor,tpSurvAll_Res,tElec0_Res,OFFSET(tPrcElec_Res,0,5,1,_maxLT))</f>
        <v>38.727136603006088</v>
      </c>
      <c r="K211" s="32">
        <f ca="1">SUMPRODUCT(dFactor,tpSurvAll_Res,tElec0_Res,OFFSET(tPrcElec_Res,0,6,1,_maxLT))</f>
        <v>38.807169015105274</v>
      </c>
      <c r="L211" s="32">
        <f ca="1">SUMPRODUCT(dFactor,tpSurvAll_Res,tElec0_Res,OFFSET(tPrcElec_Res,0,7,1,_maxLT))</f>
        <v>38.8708821355551</v>
      </c>
      <c r="M211" s="32">
        <f ca="1">SUMPRODUCT(dFactor,tpSurvAll_Res,tElec0_Res,OFFSET(tPrcElec_Res,0,8,1,_maxLT))</f>
        <v>38.903622928871293</v>
      </c>
      <c r="N211" s="32">
        <f ca="1">SUMPRODUCT(dFactor,tpSurvAll_Res,tElec0_Res,OFFSET(tPrcElec_Res,0,9,1,_maxLT))</f>
        <v>38.909599684197445</v>
      </c>
      <c r="O211" s="32">
        <f ca="1">SUMPRODUCT(dFactor,tpSurvAll_Res,tElec0_Res,OFFSET(tPrcElec_Res,0,10,1,_maxLT))</f>
        <v>38.866961862400387</v>
      </c>
      <c r="P211" s="32">
        <f ca="1">SUMPRODUCT(dFactor,tpSurvAll_Res,tElec0_Res,OFFSET(tPrcElec_Res,0,11,1,_maxLT))</f>
        <v>38.784234309235046</v>
      </c>
      <c r="Q211" s="32">
        <f ca="1">SUMPRODUCT(dFactor,tpSurvAll_Res,tElec0_Res,OFFSET(tPrcElec_Res,0,12,1,_maxLT))</f>
        <v>38.71840801241698</v>
      </c>
      <c r="R211" s="32">
        <f ca="1">SUMPRODUCT(dFactor,tpSurvAll_Res,tElec0_Res,OFFSET(tPrcElec_Res,0,13,1,_maxLT))</f>
        <v>38.650035626567714</v>
      </c>
      <c r="S211" s="32">
        <f ca="1">SUMPRODUCT(dFactor,tpSurvAll_Res,tElec0_Res,OFFSET(tPrcElec_Res,0,14,1,_maxLT))</f>
        <v>38.597890598914077</v>
      </c>
      <c r="T211" s="32">
        <f ca="1">SUMPRODUCT(dFactor,tpSurvAll_Res,tElec0_Res,OFFSET(tPrcElec_Res,0,15,1,_maxLT))</f>
        <v>38.563394178607467</v>
      </c>
      <c r="U211" s="32">
        <f ca="1">SUMPRODUCT(dFactor,tpSurvAll_Res,tElec0_Res,OFFSET(tPrcElec_Res,0,16,1,_maxLT))</f>
        <v>38.514654433004914</v>
      </c>
      <c r="V211" s="32">
        <f ca="1">SUMPRODUCT(dFactor,tpSurvAll_Res,tElec0_Res,OFFSET(tPrcElec_Res,0,17,1,_maxLT))</f>
        <v>38.454650056987838</v>
      </c>
      <c r="W211" s="32">
        <f ca="1">SUMPRODUCT(dFactor,tpSurvAll_Res,tElec0_Res,OFFSET(tPrcElec_Res,0,18,1,_maxLT))</f>
        <v>38.401375419931313</v>
      </c>
      <c r="X211" s="32">
        <f ca="1">SUMPRODUCT(dFactor,tpSurvAll_Res,tElec0_Res,OFFSET(tPrcElec_Res,0,19,1,_maxLT))</f>
        <v>38.335856431506819</v>
      </c>
      <c r="Y211" s="32">
        <f ca="1">SUMPRODUCT(dFactor,tpSurvAll_Res,tElec0_Res,OFFSET(tPrcElec_Res,0,20,1,_maxLT))</f>
        <v>38.272294937278168</v>
      </c>
      <c r="Z211" s="32">
        <f ca="1">SUMPRODUCT(dFactor,tpSurvAll_Res,tElec0_Res,OFFSET(tPrcElec_Res,0,21,1,_maxLT))</f>
        <v>38.237727736546141</v>
      </c>
      <c r="AA211" s="32">
        <f ca="1">SUMPRODUCT(dFactor,tpSurvAll_Res,tElec0_Res,OFFSET(tPrcElec_Res,0,22,1,_maxLT))</f>
        <v>38.192347653659418</v>
      </c>
      <c r="AB211" s="32">
        <f ca="1">SUMPRODUCT(dFactor,tpSurvAll_Res,tElec0_Res,OFFSET(tPrcElec_Res,0,23,1,_maxLT))</f>
        <v>38.148318065976063</v>
      </c>
      <c r="AC211" s="32">
        <f ca="1">SUMPRODUCT(dFactor,tpSurvAll_Res,tElec0_Res,OFFSET(tPrcElec_Res,0,24,1,_maxLT))</f>
        <v>38.112339545741911</v>
      </c>
      <c r="AD211" s="32">
        <f ca="1">SUMPRODUCT(dFactor,tpSurvAll_Res,tElec0_Res,OFFSET(tPrcElec_Res,0,25,1,_maxLT))</f>
        <v>38.063378868510647</v>
      </c>
      <c r="AE211" s="32">
        <f ca="1">SUMPRODUCT(dFactor,tpSurvAll_Res,tElec0_Res,OFFSET(tPrcElec_Res,0,26,1,_maxLT))</f>
        <v>38.023892081939074</v>
      </c>
      <c r="AF211" s="32">
        <f ca="1">SUMPRODUCT(dFactor,tpSurvAll_Res,tElec0_Res,OFFSET(tPrcElec_Res,0,27,1,_maxLT))</f>
        <v>38.023892081939074</v>
      </c>
      <c r="AG211" s="32">
        <f ca="1">SUMPRODUCT(dFactor,tpSurvAll_Res,tElec0_Res,OFFSET(tPrcElec_Res,0,28,1,_maxLT))</f>
        <v>38.023892081939074</v>
      </c>
      <c r="AH211" s="32">
        <f ca="1">SUMPRODUCT(dFactor,tpSurvAll_Res,tElec0_Res,OFFSET(tPrcElec_Res,0,29,1,_maxLT))</f>
        <v>38.023892081939074</v>
      </c>
      <c r="AI211" s="32">
        <f ca="1">SUMPRODUCT(dFactor,tpSurvAll_Res,tElec0_Res,OFFSET(tPrcElec_Res,0,30,1,_maxLT))</f>
        <v>38.023892081939074</v>
      </c>
      <c r="AJ211" s="32">
        <f ca="1">SUMPRODUCT(dFactor,tpSurvAll_Res,tElec0_Res,OFFSET(tPrcElec_Res,0,31,1,_maxLT))</f>
        <v>38.023892081939074</v>
      </c>
      <c r="AK211" s="32">
        <f ca="1">SUMPRODUCT(dFactor,tpSurvAll_Res,tElec0_Res,OFFSET(tPrcElec_Res,0,32,1,_maxLT))</f>
        <v>38.023892081939074</v>
      </c>
      <c r="AL211" s="32">
        <f ca="1">SUMPRODUCT(dFactor,tpSurvAll_Res,tElec0_Res,OFFSET(tPrcElec_Res,0,33,1,_maxLT))</f>
        <v>38.023892081939074</v>
      </c>
      <c r="AM211" s="32">
        <f ca="1">SUMPRODUCT(dFactor,tpSurvAll_Res,tElec0_Res,OFFSET(tPrcElec_Res,0,34,1,_maxLT))</f>
        <v>38.023892081939074</v>
      </c>
      <c r="AN211" s="55">
        <f ca="1">SUMPRODUCT(dFactor,tpSurvAll_Res,tElec0_Res,OFFSET(tPrcElec_Res,0,35,1,_maxLT))</f>
        <v>38.023892081939074</v>
      </c>
      <c r="AO211" s="8"/>
    </row>
    <row r="212" spans="2:41" x14ac:dyDescent="0.35">
      <c r="B212" s="8"/>
      <c r="C212" s="20" t="str">
        <f>INDEX(_Sector,2,2)</f>
        <v>Commercial</v>
      </c>
      <c r="D212" s="11" t="str">
        <f>_yearDol &amp; "$"</f>
        <v>2021$</v>
      </c>
      <c r="E212" s="32">
        <f t="array" aca="1" ref="E212:AN212" ca="1">(tlccEFuElec0_Com) + SUMPRODUCT(dFactor,tpSurvAll_Com,tMnR0_Com)</f>
        <v>124.08302048282862</v>
      </c>
      <c r="F212" s="32">
        <f ca="1"/>
        <v>124.05881159157585</v>
      </c>
      <c r="G212" s="32">
        <f ca="1"/>
        <v>124.07669351163275</v>
      </c>
      <c r="H212" s="32">
        <f ca="1"/>
        <v>124.1176400845537</v>
      </c>
      <c r="I212" s="32">
        <f ca="1"/>
        <v>124.14420724800394</v>
      </c>
      <c r="J212" s="32">
        <f ca="1"/>
        <v>124.1427448313336</v>
      </c>
      <c r="K212" s="32">
        <f ca="1"/>
        <v>124.10582424174734</v>
      </c>
      <c r="L212" s="32">
        <f ca="1"/>
        <v>124.04787018290526</v>
      </c>
      <c r="M212" s="32">
        <f ca="1"/>
        <v>123.93576317549136</v>
      </c>
      <c r="N212" s="32">
        <f ca="1"/>
        <v>123.79950227859921</v>
      </c>
      <c r="O212" s="32">
        <f ca="1"/>
        <v>123.58101652246657</v>
      </c>
      <c r="P212" s="32">
        <f ca="1"/>
        <v>123.30391394538314</v>
      </c>
      <c r="Q212" s="32">
        <f ca="1"/>
        <v>123.06393999689297</v>
      </c>
      <c r="R212" s="32">
        <f ca="1"/>
        <v>122.82672745013591</v>
      </c>
      <c r="S212" s="32">
        <f ca="1"/>
        <v>122.61813385230565</v>
      </c>
      <c r="T212" s="32">
        <f ca="1"/>
        <v>122.4475142175794</v>
      </c>
      <c r="U212" s="32">
        <f ca="1"/>
        <v>122.24562734414764</v>
      </c>
      <c r="V212" s="32">
        <f ca="1"/>
        <v>122.0304644127196</v>
      </c>
      <c r="W212" s="32">
        <f ca="1"/>
        <v>121.84336458193312</v>
      </c>
      <c r="X212" s="32">
        <f ca="1"/>
        <v>121.64585437503909</v>
      </c>
      <c r="Y212" s="32">
        <f ca="1"/>
        <v>121.44943272933455</v>
      </c>
      <c r="Z212" s="32">
        <f ca="1"/>
        <v>121.32304420702985</v>
      </c>
      <c r="AA212" s="32">
        <f ca="1"/>
        <v>121.18716791083895</v>
      </c>
      <c r="AB212" s="32">
        <f ca="1"/>
        <v>121.06155991240607</v>
      </c>
      <c r="AC212" s="32">
        <f ca="1"/>
        <v>120.97458894252412</v>
      </c>
      <c r="AD212" s="32">
        <f ca="1"/>
        <v>120.87373634603622</v>
      </c>
      <c r="AE212" s="32">
        <f ca="1"/>
        <v>120.79485863207174</v>
      </c>
      <c r="AF212" s="32">
        <f ca="1"/>
        <v>120.79485863207174</v>
      </c>
      <c r="AG212" s="32">
        <f ca="1"/>
        <v>120.79485863207174</v>
      </c>
      <c r="AH212" s="32">
        <f ca="1"/>
        <v>120.79485863207174</v>
      </c>
      <c r="AI212" s="32">
        <f ca="1"/>
        <v>120.79485863207174</v>
      </c>
      <c r="AJ212" s="32">
        <f ca="1"/>
        <v>120.79485863207174</v>
      </c>
      <c r="AK212" s="32">
        <f ca="1"/>
        <v>120.79485863207174</v>
      </c>
      <c r="AL212" s="32">
        <f ca="1"/>
        <v>120.79485863207174</v>
      </c>
      <c r="AM212" s="32">
        <f ca="1"/>
        <v>120.79485863207174</v>
      </c>
      <c r="AN212" s="55">
        <f ca="1"/>
        <v>120.79485863207174</v>
      </c>
      <c r="AO212" s="8"/>
    </row>
    <row r="213" spans="2:41" x14ac:dyDescent="0.35">
      <c r="B213" s="8"/>
      <c r="C213" s="50" t="str">
        <f>INDEX(_fuel,1)</f>
        <v>Electricity</v>
      </c>
      <c r="D213" s="11" t="str">
        <f>_yearDol &amp; "$"</f>
        <v>2021$</v>
      </c>
      <c r="E213" s="32">
        <f ca="1">SUMPRODUCT(dFactor,tpSurvAll_Com,tElec0_Com,OFFSET(tPrcElec_Com,0,0,1,_maxLT))</f>
        <v>55.430468295350991</v>
      </c>
      <c r="F213" s="32">
        <f ca="1">SUMPRODUCT(dFactor,tpSurvAll_Com,tElec0_Com,OFFSET(tPrcElec_Com,0,1,1,_maxLT))</f>
        <v>55.406259404098222</v>
      </c>
      <c r="G213" s="32">
        <f ca="1">SUMPRODUCT(dFactor,tpSurvAll_Com,tElec0_Com,OFFSET(tPrcElec_Com,0,2,1,_maxLT))</f>
        <v>55.424141324155123</v>
      </c>
      <c r="H213" s="32">
        <f ca="1">SUMPRODUCT(dFactor,tpSurvAll_Com,tElec0_Com,OFFSET(tPrcElec_Com,0,3,1,_maxLT))</f>
        <v>55.465087897076074</v>
      </c>
      <c r="I213" s="32">
        <f ca="1">SUMPRODUCT(dFactor,tpSurvAll_Com,tElec0_Com,OFFSET(tPrcElec_Com,0,4,1,_maxLT))</f>
        <v>55.491655060526305</v>
      </c>
      <c r="J213" s="32">
        <f ca="1">SUMPRODUCT(dFactor,tpSurvAll_Com,tElec0_Com,OFFSET(tPrcElec_Com,0,5,1,_maxLT))</f>
        <v>55.490192643855984</v>
      </c>
      <c r="K213" s="32">
        <f ca="1">SUMPRODUCT(dFactor,tpSurvAll_Com,tElec0_Com,OFFSET(tPrcElec_Com,0,6,1,_maxLT))</f>
        <v>55.453272054269725</v>
      </c>
      <c r="L213" s="32">
        <f ca="1">SUMPRODUCT(dFactor,tpSurvAll_Com,tElec0_Com,OFFSET(tPrcElec_Com,0,7,1,_maxLT))</f>
        <v>55.395317995427625</v>
      </c>
      <c r="M213" s="32">
        <f ca="1">SUMPRODUCT(dFactor,tpSurvAll_Com,tElec0_Com,OFFSET(tPrcElec_Com,0,8,1,_maxLT))</f>
        <v>55.283210988013728</v>
      </c>
      <c r="N213" s="32">
        <f ca="1">SUMPRODUCT(dFactor,tpSurvAll_Com,tElec0_Com,OFFSET(tPrcElec_Com,0,9,1,_maxLT))</f>
        <v>55.146950091121582</v>
      </c>
      <c r="O213" s="32">
        <f ca="1">SUMPRODUCT(dFactor,tpSurvAll_Com,tElec0_Com,OFFSET(tPrcElec_Com,0,10,1,_maxLT))</f>
        <v>54.928464334988938</v>
      </c>
      <c r="P213" s="32">
        <f ca="1">SUMPRODUCT(dFactor,tpSurvAll_Com,tElec0_Com,OFFSET(tPrcElec_Com,0,11,1,_maxLT))</f>
        <v>54.651361757905519</v>
      </c>
      <c r="Q213" s="32">
        <f ca="1">SUMPRODUCT(dFactor,tpSurvAll_Com,tElec0_Com,OFFSET(tPrcElec_Com,0,12,1,_maxLT))</f>
        <v>54.411387809415345</v>
      </c>
      <c r="R213" s="32">
        <f ca="1">SUMPRODUCT(dFactor,tpSurvAll_Com,tElec0_Com,OFFSET(tPrcElec_Com,0,13,1,_maxLT))</f>
        <v>54.174175262658274</v>
      </c>
      <c r="S213" s="32">
        <f ca="1">SUMPRODUCT(dFactor,tpSurvAll_Com,tElec0_Com,OFFSET(tPrcElec_Com,0,14,1,_maxLT))</f>
        <v>53.965581664828022</v>
      </c>
      <c r="T213" s="32">
        <f ca="1">SUMPRODUCT(dFactor,tpSurvAll_Com,tElec0_Com,OFFSET(tPrcElec_Com,0,15,1,_maxLT))</f>
        <v>53.794962030101779</v>
      </c>
      <c r="U213" s="32">
        <f ca="1">SUMPRODUCT(dFactor,tpSurvAll_Com,tElec0_Com,OFFSET(tPrcElec_Com,0,16,1,_maxLT))</f>
        <v>53.593075156670018</v>
      </c>
      <c r="V213" s="32">
        <f ca="1">SUMPRODUCT(dFactor,tpSurvAll_Com,tElec0_Com,OFFSET(tPrcElec_Com,0,17,1,_maxLT))</f>
        <v>53.377912225241978</v>
      </c>
      <c r="W213" s="32">
        <f ca="1">SUMPRODUCT(dFactor,tpSurvAll_Com,tElec0_Com,OFFSET(tPrcElec_Com,0,18,1,_maxLT))</f>
        <v>53.190812394455492</v>
      </c>
      <c r="X213" s="32">
        <f ca="1">SUMPRODUCT(dFactor,tpSurvAll_Com,tElec0_Com,OFFSET(tPrcElec_Com,0,19,1,_maxLT))</f>
        <v>52.993302187561468</v>
      </c>
      <c r="Y213" s="32">
        <f ca="1">SUMPRODUCT(dFactor,tpSurvAll_Com,tElec0_Com,OFFSET(tPrcElec_Com,0,20,1,_maxLT))</f>
        <v>52.796880541856915</v>
      </c>
      <c r="Z213" s="32">
        <f ca="1">SUMPRODUCT(dFactor,tpSurvAll_Com,tElec0_Com,OFFSET(tPrcElec_Com,0,21,1,_maxLT))</f>
        <v>52.670492019552235</v>
      </c>
      <c r="AA213" s="32">
        <f ca="1">SUMPRODUCT(dFactor,tpSurvAll_Com,tElec0_Com,OFFSET(tPrcElec_Com,0,22,1,_maxLT))</f>
        <v>52.534615723361334</v>
      </c>
      <c r="AB213" s="32">
        <f ca="1">SUMPRODUCT(dFactor,tpSurvAll_Com,tElec0_Com,OFFSET(tPrcElec_Com,0,23,1,_maxLT))</f>
        <v>52.409007724928451</v>
      </c>
      <c r="AC213" s="32">
        <f ca="1">SUMPRODUCT(dFactor,tpSurvAll_Com,tElec0_Com,OFFSET(tPrcElec_Com,0,24,1,_maxLT))</f>
        <v>52.322036755046497</v>
      </c>
      <c r="AD213" s="32">
        <f ca="1">SUMPRODUCT(dFactor,tpSurvAll_Com,tElec0_Com,OFFSET(tPrcElec_Com,0,25,1,_maxLT))</f>
        <v>52.221184158558607</v>
      </c>
      <c r="AE213" s="32">
        <f ca="1">SUMPRODUCT(dFactor,tpSurvAll_Com,tElec0_Com,OFFSET(tPrcElec_Com,0,26,1,_maxLT))</f>
        <v>52.142306444594112</v>
      </c>
      <c r="AF213" s="32">
        <f ca="1">SUMPRODUCT(dFactor,tpSurvAll_Com,tElec0_Com,OFFSET(tPrcElec_Com,0,27,1,_maxLT))</f>
        <v>52.142306444594112</v>
      </c>
      <c r="AG213" s="32">
        <f ca="1">SUMPRODUCT(dFactor,tpSurvAll_Com,tElec0_Com,OFFSET(tPrcElec_Com,0,28,1,_maxLT))</f>
        <v>52.142306444594112</v>
      </c>
      <c r="AH213" s="32">
        <f ca="1">SUMPRODUCT(dFactor,tpSurvAll_Com,tElec0_Com,OFFSET(tPrcElec_Com,0,29,1,_maxLT))</f>
        <v>52.142306444594112</v>
      </c>
      <c r="AI213" s="32">
        <f ca="1">SUMPRODUCT(dFactor,tpSurvAll_Com,tElec0_Com,OFFSET(tPrcElec_Com,0,30,1,_maxLT))</f>
        <v>52.142306444594112</v>
      </c>
      <c r="AJ213" s="32">
        <f ca="1">SUMPRODUCT(dFactor,tpSurvAll_Com,tElec0_Com,OFFSET(tPrcElec_Com,0,31,1,_maxLT))</f>
        <v>52.142306444594112</v>
      </c>
      <c r="AK213" s="32">
        <f ca="1">SUMPRODUCT(dFactor,tpSurvAll_Com,tElec0_Com,OFFSET(tPrcElec_Com,0,32,1,_maxLT))</f>
        <v>52.142306444594112</v>
      </c>
      <c r="AL213" s="32">
        <f ca="1">SUMPRODUCT(dFactor,tpSurvAll_Com,tElec0_Com,OFFSET(tPrcElec_Com,0,33,1,_maxLT))</f>
        <v>52.142306444594112</v>
      </c>
      <c r="AM213" s="32">
        <f ca="1">SUMPRODUCT(dFactor,tpSurvAll_Com,tElec0_Com,OFFSET(tPrcElec_Com,0,34,1,_maxLT))</f>
        <v>52.142306444594112</v>
      </c>
      <c r="AN213" s="55">
        <f ca="1">SUMPRODUCT(dFactor,tpSurvAll_Com,tElec0_Com,OFFSET(tPrcElec_Com,0,35,1,_maxLT))</f>
        <v>52.142306444594112</v>
      </c>
      <c r="AO213" s="8"/>
    </row>
    <row r="214" spans="2:41" x14ac:dyDescent="0.35">
      <c r="B214" s="8"/>
      <c r="C214" s="10" t="s">
        <v>78</v>
      </c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18"/>
      <c r="AO214" s="8"/>
    </row>
    <row r="215" spans="2:41" x14ac:dyDescent="0.35">
      <c r="B215" s="8"/>
      <c r="C215" s="20" t="str">
        <f>INDEX(_Sector,2,1)</f>
        <v>Residential</v>
      </c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18"/>
      <c r="AO215" s="8"/>
    </row>
    <row r="216" spans="2:41" x14ac:dyDescent="0.35">
      <c r="B216" s="8"/>
      <c r="C216" s="50" t="str">
        <f>INDEX(_fuel,1)</f>
        <v>Electricity</v>
      </c>
      <c r="D216" s="11" t="s">
        <v>80</v>
      </c>
      <c r="E216" s="40">
        <f ca="1">SUMPRODUCT(OFFSET(tConvElec_Res,0,0,1,_maxLT),tElec0_Res,tpSurvAll_Res)</f>
        <v>3.1625474081259317</v>
      </c>
      <c r="F216" s="40">
        <f ca="1">SUMPRODUCT(OFFSET(tConvElec_Res,0,1,1,_maxLT),tElec0_Res,tpSurvAll_Res)</f>
        <v>3.1469172171015436</v>
      </c>
      <c r="G216" s="40">
        <f ca="1">SUMPRODUCT(OFFSET(tConvElec_Res,0,2,1,_maxLT),tElec0_Res,tpSurvAll_Res)</f>
        <v>3.1355798534270996</v>
      </c>
      <c r="H216" s="40">
        <f ca="1">SUMPRODUCT(OFFSET(tConvElec_Res,0,3,1,_maxLT),tElec0_Res,tpSurvAll_Res)</f>
        <v>3.1267124829498067</v>
      </c>
      <c r="I216" s="40">
        <f ca="1">SUMPRODUCT(OFFSET(tConvElec_Res,0,4,1,_maxLT),tElec0_Res,tpSurvAll_Res)</f>
        <v>3.1205411330786927</v>
      </c>
      <c r="J216" s="40">
        <f ca="1">SUMPRODUCT(OFFSET(tConvElec_Res,0,5,1,_maxLT),tElec0_Res,tpSurvAll_Res)</f>
        <v>3.1156736078934122</v>
      </c>
      <c r="K216" s="40">
        <f ca="1">SUMPRODUCT(OFFSET(tConvElec_Res,0,6,1,_maxLT),tElec0_Res,tpSurvAll_Res)</f>
        <v>3.1114566154999896</v>
      </c>
      <c r="L216" s="40">
        <f ca="1">SUMPRODUCT(OFFSET(tConvElec_Res,0,7,1,_maxLT),tElec0_Res,tpSurvAll_Res)</f>
        <v>3.1069070500189797</v>
      </c>
      <c r="M216" s="40">
        <f ca="1">SUMPRODUCT(OFFSET(tConvElec_Res,0,8,1,_maxLT),tElec0_Res,tpSurvAll_Res)</f>
        <v>3.1025284110145646</v>
      </c>
      <c r="N216" s="40">
        <f ca="1">SUMPRODUCT(OFFSET(tConvElec_Res,0,9,1,_maxLT),tElec0_Res,tpSurvAll_Res)</f>
        <v>3.0983810323341179</v>
      </c>
      <c r="O216" s="40">
        <f ca="1">SUMPRODUCT(OFFSET(tConvElec_Res,0,10,1,_maxLT),tElec0_Res,tpSurvAll_Res)</f>
        <v>3.0940498579175175</v>
      </c>
      <c r="P216" s="40">
        <f ca="1">SUMPRODUCT(OFFSET(tConvElec_Res,0,11,1,_maxLT),tElec0_Res,tpSurvAll_Res)</f>
        <v>3.0903900156229449</v>
      </c>
      <c r="Q216" s="40">
        <f ca="1">SUMPRODUCT(OFFSET(tConvElec_Res,0,12,1,_maxLT),tElec0_Res,tpSurvAll_Res)</f>
        <v>3.0866355167431854</v>
      </c>
      <c r="R216" s="40">
        <f ca="1">SUMPRODUCT(OFFSET(tConvElec_Res,0,13,1,_maxLT),tElec0_Res,tpSurvAll_Res)</f>
        <v>3.0833630023204504</v>
      </c>
      <c r="S216" s="40">
        <f ca="1">SUMPRODUCT(OFFSET(tConvElec_Res,0,14,1,_maxLT),tElec0_Res,tpSurvAll_Res)</f>
        <v>3.0806063531117527</v>
      </c>
      <c r="T216" s="40">
        <f ca="1">SUMPRODUCT(OFFSET(tConvElec_Res,0,15,1,_maxLT),tElec0_Res,tpSurvAll_Res)</f>
        <v>3.0780397714182413</v>
      </c>
      <c r="U216" s="40">
        <f ca="1">SUMPRODUCT(OFFSET(tConvElec_Res,0,16,1,_maxLT),tElec0_Res,tpSurvAll_Res)</f>
        <v>3.0754020618327766</v>
      </c>
      <c r="V216" s="40">
        <f ca="1">SUMPRODUCT(OFFSET(tConvElec_Res,0,17,1,_maxLT),tElec0_Res,tpSurvAll_Res)</f>
        <v>3.0730397512139205</v>
      </c>
      <c r="W216" s="40">
        <f ca="1">SUMPRODUCT(OFFSET(tConvElec_Res,0,18,1,_maxLT),tElec0_Res,tpSurvAll_Res)</f>
        <v>3.0711075183644403</v>
      </c>
      <c r="X216" s="40">
        <f ca="1">SUMPRODUCT(OFFSET(tConvElec_Res,0,19,1,_maxLT),tElec0_Res,tpSurvAll_Res)</f>
        <v>3.0694736948789445</v>
      </c>
      <c r="Y216" s="40">
        <f ca="1">SUMPRODUCT(OFFSET(tConvElec_Res,0,20,1,_maxLT),tElec0_Res,tpSurvAll_Res)</f>
        <v>3.0681594408389357</v>
      </c>
      <c r="Z216" s="40">
        <f ca="1">SUMPRODUCT(OFFSET(tConvElec_Res,0,21,1,_maxLT),tElec0_Res,tpSurvAll_Res)</f>
        <v>3.0676498921989275</v>
      </c>
      <c r="AA216" s="40">
        <f ca="1">SUMPRODUCT(OFFSET(tConvElec_Res,0,22,1,_maxLT),tElec0_Res,tpSurvAll_Res)</f>
        <v>3.0676362567034032</v>
      </c>
      <c r="AB216" s="40">
        <f ca="1">SUMPRODUCT(OFFSET(tConvElec_Res,0,23,1,_maxLT),tElec0_Res,tpSurvAll_Res)</f>
        <v>3.0677764846624815</v>
      </c>
      <c r="AC216" s="40">
        <f ca="1">SUMPRODUCT(OFFSET(tConvElec_Res,0,24,1,_maxLT),tElec0_Res,tpSurvAll_Res)</f>
        <v>3.0680767626457244</v>
      </c>
      <c r="AD216" s="40">
        <f ca="1">SUMPRODUCT(OFFSET(tConvElec_Res,0,25,1,_maxLT),tElec0_Res,tpSurvAll_Res)</f>
        <v>3.068328806795968</v>
      </c>
      <c r="AE216" s="40">
        <f ca="1">SUMPRODUCT(OFFSET(tConvElec_Res,0,26,1,_maxLT),tElec0_Res,tpSurvAll_Res)</f>
        <v>3.0683882922101295</v>
      </c>
      <c r="AF216" s="40">
        <f ca="1">SUMPRODUCT(OFFSET(tConvElec_Res,0,27,1,_maxLT),tElec0_Res,tpSurvAll_Res)</f>
        <v>3.0683882922101295</v>
      </c>
      <c r="AG216" s="40">
        <f ca="1">SUMPRODUCT(OFFSET(tConvElec_Res,0,28,1,_maxLT),tElec0_Res,tpSurvAll_Res)</f>
        <v>3.0683882922101295</v>
      </c>
      <c r="AH216" s="40">
        <f ca="1">SUMPRODUCT(OFFSET(tConvElec_Res,0,29,1,_maxLT),tElec0_Res,tpSurvAll_Res)</f>
        <v>3.0683882922101295</v>
      </c>
      <c r="AI216" s="40">
        <f ca="1">SUMPRODUCT(OFFSET(tConvElec_Res,0,30,1,_maxLT),tElec0_Res,tpSurvAll_Res)</f>
        <v>3.0683882922101295</v>
      </c>
      <c r="AJ216" s="40">
        <f ca="1">SUMPRODUCT(OFFSET(tConvElec_Res,0,31,1,_maxLT),tElec0_Res,tpSurvAll_Res)</f>
        <v>3.0683882922101295</v>
      </c>
      <c r="AK216" s="40">
        <f ca="1">SUMPRODUCT(OFFSET(tConvElec_Res,0,32,1,_maxLT),tElec0_Res,tpSurvAll_Res)</f>
        <v>3.0683882922101295</v>
      </c>
      <c r="AL216" s="40">
        <f ca="1">SUMPRODUCT(OFFSET(tConvElec_Res,0,33,1,_maxLT),tElec0_Res,tpSurvAll_Res)</f>
        <v>3.0683882922101295</v>
      </c>
      <c r="AM216" s="40">
        <f ca="1">SUMPRODUCT(OFFSET(tConvElec_Res,0,34,1,_maxLT),tElec0_Res,tpSurvAll_Res)</f>
        <v>3.0683882922101295</v>
      </c>
      <c r="AN216" s="41">
        <f ca="1">SUMPRODUCT(OFFSET(tConvElec_Res,0,35,1,_maxLT),tElec0_Res,tpSurvAll_Res)</f>
        <v>3.0683882922101295</v>
      </c>
      <c r="AO216" s="8"/>
    </row>
    <row r="217" spans="2:41" x14ac:dyDescent="0.35">
      <c r="B217" s="8"/>
      <c r="C217" s="20" t="str">
        <f>INDEX(_Sector,2,2)</f>
        <v>Commercial</v>
      </c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18"/>
      <c r="AO217" s="8"/>
    </row>
    <row r="218" spans="2:41" x14ac:dyDescent="0.35">
      <c r="B218" s="8"/>
      <c r="C218" s="50" t="str">
        <f>INDEX(_fuel,1)</f>
        <v>Electricity</v>
      </c>
      <c r="D218" s="11" t="s">
        <v>80</v>
      </c>
      <c r="E218" s="40">
        <f ca="1">SUMPRODUCT(OFFSET(tConvElec_Com,0,0,1,_maxLT),tElec0_Com,tpSurvAll_Com)</f>
        <v>6.4922723804210554</v>
      </c>
      <c r="F218" s="40">
        <f ca="1">SUMPRODUCT(OFFSET(tConvElec_Com,0,1,1,_maxLT),tElec0_Com,tpSurvAll_Com)</f>
        <v>6.4589494273717536</v>
      </c>
      <c r="G218" s="40">
        <f ca="1">SUMPRODUCT(OFFSET(tConvElec_Com,0,2,1,_maxLT),tElec0_Com,tpSurvAll_Com)</f>
        <v>6.4351192460130688</v>
      </c>
      <c r="H218" s="40">
        <f ca="1">SUMPRODUCT(OFFSET(tConvElec_Com,0,3,1,_maxLT),tElec0_Com,tpSurvAll_Com)</f>
        <v>6.4167998259152528</v>
      </c>
      <c r="I218" s="40">
        <f ca="1">SUMPRODUCT(OFFSET(tConvElec_Com,0,4,1,_maxLT),tElec0_Com,tpSurvAll_Com)</f>
        <v>6.4045819190049489</v>
      </c>
      <c r="J218" s="40">
        <f ca="1">SUMPRODUCT(OFFSET(tConvElec_Com,0,5,1,_maxLT),tElec0_Com,tpSurvAll_Com)</f>
        <v>6.3952911159474883</v>
      </c>
      <c r="K218" s="40">
        <f ca="1">SUMPRODUCT(OFFSET(tConvElec_Com,0,6,1,_maxLT),tElec0_Com,tpSurvAll_Com)</f>
        <v>6.3873621358892239</v>
      </c>
      <c r="L218" s="40">
        <f ca="1">SUMPRODUCT(OFFSET(tConvElec_Com,0,7,1,_maxLT),tElec0_Com,tpSurvAll_Com)</f>
        <v>6.3788711397481128</v>
      </c>
      <c r="M218" s="40">
        <f ca="1">SUMPRODUCT(OFFSET(tConvElec_Com,0,8,1,_maxLT),tElec0_Com,tpSurvAll_Com)</f>
        <v>6.3708472887365346</v>
      </c>
      <c r="N218" s="40">
        <f ca="1">SUMPRODUCT(OFFSET(tConvElec_Com,0,9,1,_maxLT),tElec0_Com,tpSurvAll_Com)</f>
        <v>6.3632848386715057</v>
      </c>
      <c r="O218" s="40">
        <f ca="1">SUMPRODUCT(OFFSET(tConvElec_Com,0,10,1,_maxLT),tElec0_Com,tpSurvAll_Com)</f>
        <v>6.3554674370480324</v>
      </c>
      <c r="P218" s="40">
        <f ca="1">SUMPRODUCT(OFFSET(tConvElec_Com,0,11,1,_maxLT),tElec0_Com,tpSurvAll_Com)</f>
        <v>6.3487612750732607</v>
      </c>
      <c r="Q218" s="40">
        <f ca="1">SUMPRODUCT(OFFSET(tConvElec_Com,0,12,1,_maxLT),tElec0_Com,tpSurvAll_Com)</f>
        <v>6.3417761439159612</v>
      </c>
      <c r="R218" s="40">
        <f ca="1">SUMPRODUCT(OFFSET(tConvElec_Com,0,13,1,_maxLT),tElec0_Com,tpSurvAll_Com)</f>
        <v>6.335685741686139</v>
      </c>
      <c r="S218" s="40">
        <f ca="1">SUMPRODUCT(OFFSET(tConvElec_Com,0,14,1,_maxLT),tElec0_Com,tpSurvAll_Com)</f>
        <v>6.3306267766405311</v>
      </c>
      <c r="T218" s="40">
        <f ca="1">SUMPRODUCT(OFFSET(tConvElec_Com,0,15,1,_maxLT),tElec0_Com,tpSurvAll_Com)</f>
        <v>6.3259901771063269</v>
      </c>
      <c r="U218" s="40">
        <f ca="1">SUMPRODUCT(OFFSET(tConvElec_Com,0,16,1,_maxLT),tElec0_Com,tpSurvAll_Com)</f>
        <v>6.3212120182065545</v>
      </c>
      <c r="V218" s="40">
        <f ca="1">SUMPRODUCT(OFFSET(tConvElec_Com,0,17,1,_maxLT),tElec0_Com,tpSurvAll_Com)</f>
        <v>6.3169111485911671</v>
      </c>
      <c r="W218" s="40">
        <f ca="1">SUMPRODUCT(OFFSET(tConvElec_Com,0,18,1,_maxLT),tElec0_Com,tpSurvAll_Com)</f>
        <v>6.3134358300037752</v>
      </c>
      <c r="X218" s="40">
        <f ca="1">SUMPRODUCT(OFFSET(tConvElec_Com,0,19,1,_maxLT),tElec0_Com,tpSurvAll_Com)</f>
        <v>6.3105305795796047</v>
      </c>
      <c r="Y218" s="40">
        <f ca="1">SUMPRODUCT(OFFSET(tConvElec_Com,0,20,1,_maxLT),tElec0_Com,tpSurvAll_Com)</f>
        <v>6.3082014554205141</v>
      </c>
      <c r="Z218" s="40">
        <f ca="1">SUMPRODUCT(OFFSET(tConvElec_Com,0,21,1,_maxLT),tElec0_Com,tpSurvAll_Com)</f>
        <v>6.3074245423954753</v>
      </c>
      <c r="AA218" s="40">
        <f ca="1">SUMPRODUCT(OFFSET(tConvElec_Com,0,22,1,_maxLT),tElec0_Com,tpSurvAll_Com)</f>
        <v>6.3075876198338943</v>
      </c>
      <c r="AB218" s="40">
        <f ca="1">SUMPRODUCT(OFFSET(tConvElec_Com,0,23,1,_maxLT),tElec0_Com,tpSurvAll_Com)</f>
        <v>6.3080279874836211</v>
      </c>
      <c r="AC218" s="40">
        <f ca="1">SUMPRODUCT(OFFSET(tConvElec_Com,0,24,1,_maxLT),tElec0_Com,tpSurvAll_Com)</f>
        <v>6.3087259970904999</v>
      </c>
      <c r="AD218" s="40">
        <f ca="1">SUMPRODUCT(OFFSET(tConvElec_Com,0,25,1,_maxLT),tElec0_Com,tpSurvAll_Com)</f>
        <v>6.3092842332857799</v>
      </c>
      <c r="AE218" s="40">
        <f ca="1">SUMPRODUCT(OFFSET(tConvElec_Com,0,26,1,_maxLT),tElec0_Com,tpSurvAll_Com)</f>
        <v>6.3094296505781067</v>
      </c>
      <c r="AF218" s="40">
        <f ca="1">SUMPRODUCT(OFFSET(tConvElec_Com,0,27,1,_maxLT),tElec0_Com,tpSurvAll_Com)</f>
        <v>6.3094296505781067</v>
      </c>
      <c r="AG218" s="40">
        <f ca="1">SUMPRODUCT(OFFSET(tConvElec_Com,0,28,1,_maxLT),tElec0_Com,tpSurvAll_Com)</f>
        <v>6.3094296505781067</v>
      </c>
      <c r="AH218" s="40">
        <f ca="1">SUMPRODUCT(OFFSET(tConvElec_Com,0,29,1,_maxLT),tElec0_Com,tpSurvAll_Com)</f>
        <v>6.3094296505781067</v>
      </c>
      <c r="AI218" s="40">
        <f ca="1">SUMPRODUCT(OFFSET(tConvElec_Com,0,30,1,_maxLT),tElec0_Com,tpSurvAll_Com)</f>
        <v>6.3094296505781067</v>
      </c>
      <c r="AJ218" s="40">
        <f ca="1">SUMPRODUCT(OFFSET(tConvElec_Com,0,31,1,_maxLT),tElec0_Com,tpSurvAll_Com)</f>
        <v>6.3094296505781067</v>
      </c>
      <c r="AK218" s="40">
        <f ca="1">SUMPRODUCT(OFFSET(tConvElec_Com,0,32,1,_maxLT),tElec0_Com,tpSurvAll_Com)</f>
        <v>6.3094296505781067</v>
      </c>
      <c r="AL218" s="40">
        <f ca="1">SUMPRODUCT(OFFSET(tConvElec_Com,0,33,1,_maxLT),tElec0_Com,tpSurvAll_Com)</f>
        <v>6.3094296505781067</v>
      </c>
      <c r="AM218" s="40">
        <f ca="1">SUMPRODUCT(OFFSET(tConvElec_Com,0,34,1,_maxLT),tElec0_Com,tpSurvAll_Com)</f>
        <v>6.3094296505781067</v>
      </c>
      <c r="AN218" s="41">
        <f ca="1">SUMPRODUCT(OFFSET(tConvElec_Com,0,35,1,_maxLT),tElec0_Com,tpSurvAll_Com)</f>
        <v>6.3094296505781067</v>
      </c>
      <c r="AO218" s="8"/>
    </row>
    <row r="219" spans="2:41" x14ac:dyDescent="0.35">
      <c r="B219" s="8"/>
      <c r="C219" s="57" t="str">
        <f>"EL 1: " &amp; INDEX(_doName,1,2)</f>
        <v>EL 1: Tier 1</v>
      </c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8"/>
      <c r="AO219" s="8"/>
    </row>
    <row r="220" spans="2:41" x14ac:dyDescent="0.35">
      <c r="B220" s="8"/>
      <c r="C220" s="10" t="s">
        <v>70</v>
      </c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18"/>
      <c r="AO220" s="8"/>
    </row>
    <row r="221" spans="2:41" x14ac:dyDescent="0.35">
      <c r="B221" s="8"/>
      <c r="C221" s="20" t="str">
        <f>INDEX(_Sector,2,1)</f>
        <v>Residential</v>
      </c>
      <c r="D221" s="11" t="str">
        <f>_yearDol &amp; "$"</f>
        <v>2021$</v>
      </c>
      <c r="E221" s="32">
        <f t="array" ref="E221:AN221">tMSP1_Res*tPIdxsml1 + tInst1</f>
        <v>68.029826326907866</v>
      </c>
      <c r="F221" s="32">
        <v>67.533377022175287</v>
      </c>
      <c r="G221" s="32">
        <v>67.059541513058448</v>
      </c>
      <c r="H221" s="32">
        <v>66.604619093797766</v>
      </c>
      <c r="I221" s="32">
        <v>66.165956190811087</v>
      </c>
      <c r="J221" s="32">
        <v>65.741764628198951</v>
      </c>
      <c r="K221" s="32">
        <v>65.330810245267273</v>
      </c>
      <c r="L221" s="32">
        <v>64.932187355469296</v>
      </c>
      <c r="M221" s="32">
        <v>64.545109303048491</v>
      </c>
      <c r="N221" s="32">
        <v>64.168808226857607</v>
      </c>
      <c r="O221" s="32">
        <v>63.802511216036422</v>
      </c>
      <c r="P221" s="32">
        <v>63.445444007334416</v>
      </c>
      <c r="Q221" s="32">
        <v>63.096866089383347</v>
      </c>
      <c r="R221" s="32">
        <v>62.75610742362899</v>
      </c>
      <c r="S221" s="32">
        <v>62.422557591781668</v>
      </c>
      <c r="T221" s="32">
        <v>62.095740187445848</v>
      </c>
      <c r="U221" s="32">
        <v>61.775213860512963</v>
      </c>
      <c r="V221" s="32">
        <v>61.4605950263118</v>
      </c>
      <c r="W221" s="32">
        <v>61.151541791292523</v>
      </c>
      <c r="X221" s="32">
        <v>60.847741719565185</v>
      </c>
      <c r="Y221" s="32">
        <v>60.548905707574072</v>
      </c>
      <c r="Z221" s="32">
        <v>60.25476303228951</v>
      </c>
      <c r="AA221" s="32">
        <v>59.965061475215371</v>
      </c>
      <c r="AB221" s="32">
        <v>59.67956725717417</v>
      </c>
      <c r="AC221" s="32">
        <v>59.398064837147871</v>
      </c>
      <c r="AD221" s="32">
        <v>59.120356186427891</v>
      </c>
      <c r="AE221" s="32">
        <v>58.846259421707572</v>
      </c>
      <c r="AF221" s="32">
        <v>58.575607104007119</v>
      </c>
      <c r="AG221" s="32">
        <v>58.30824447965572</v>
      </c>
      <c r="AH221" s="32">
        <v>58.044027884562027</v>
      </c>
      <c r="AI221" s="32">
        <v>57.78282345711542</v>
      </c>
      <c r="AJ221" s="32">
        <v>57.524506156924666</v>
      </c>
      <c r="AK221" s="32">
        <v>57.268959002926557</v>
      </c>
      <c r="AL221" s="32">
        <v>57.016072547610378</v>
      </c>
      <c r="AM221" s="32">
        <v>56.765744294225918</v>
      </c>
      <c r="AN221" s="55">
        <v>56.517878270958988</v>
      </c>
      <c r="AO221" s="8"/>
    </row>
    <row r="222" spans="2:41" x14ac:dyDescent="0.35">
      <c r="B222" s="8"/>
      <c r="C222" s="20" t="str">
        <f>INDEX(_Sector,2,2)</f>
        <v>Commercial</v>
      </c>
      <c r="D222" s="11" t="str">
        <f>_yearDol &amp; "$"</f>
        <v>2021$</v>
      </c>
      <c r="E222" s="32">
        <f t="array" ref="E222:AN222">tMSP1_Com*tPIdxsml1 + tInst1</f>
        <v>65.754548152730081</v>
      </c>
      <c r="F222" s="32">
        <v>65.274702745561726</v>
      </c>
      <c r="G222" s="32">
        <v>64.816714808756231</v>
      </c>
      <c r="H222" s="32">
        <v>64.377007407780539</v>
      </c>
      <c r="I222" s="32">
        <v>63.953015718625721</v>
      </c>
      <c r="J222" s="32">
        <v>63.543011371477633</v>
      </c>
      <c r="K222" s="32">
        <v>63.145801482520902</v>
      </c>
      <c r="L222" s="32">
        <v>62.76051065617002</v>
      </c>
      <c r="M222" s="32">
        <v>62.386378546608817</v>
      </c>
      <c r="N222" s="32">
        <v>62.02266297403898</v>
      </c>
      <c r="O222" s="32">
        <v>61.668616877838438</v>
      </c>
      <c r="P222" s="32">
        <v>61.323491890225903</v>
      </c>
      <c r="Q222" s="32">
        <v>60.986572266460435</v>
      </c>
      <c r="R222" s="32">
        <v>60.65721037763047</v>
      </c>
      <c r="S222" s="32">
        <v>60.334816221071158</v>
      </c>
      <c r="T222" s="32">
        <v>60.018929323943361</v>
      </c>
      <c r="U222" s="32">
        <v>59.709123097226744</v>
      </c>
      <c r="V222" s="32">
        <v>59.405026785355766</v>
      </c>
      <c r="W222" s="32">
        <v>59.10630992951404</v>
      </c>
      <c r="X222" s="32">
        <v>58.812670543324735</v>
      </c>
      <c r="Y222" s="32">
        <v>58.523829192388241</v>
      </c>
      <c r="Z222" s="32">
        <v>58.239524208088703</v>
      </c>
      <c r="AA222" s="32">
        <v>57.959511807454106</v>
      </c>
      <c r="AB222" s="32">
        <v>57.683566030122449</v>
      </c>
      <c r="AC222" s="32">
        <v>57.41147854391042</v>
      </c>
      <c r="AD222" s="32">
        <v>57.143057943239654</v>
      </c>
      <c r="AE222" s="32">
        <v>56.878128427945839</v>
      </c>
      <c r="AF222" s="32">
        <v>56.616528159096653</v>
      </c>
      <c r="AG222" s="32">
        <v>56.35810755880474</v>
      </c>
      <c r="AH222" s="32">
        <v>56.102727767867847</v>
      </c>
      <c r="AI222" s="32">
        <v>55.850259401717537</v>
      </c>
      <c r="AJ222" s="32">
        <v>55.600581601976366</v>
      </c>
      <c r="AK222" s="32">
        <v>55.353581300048276</v>
      </c>
      <c r="AL222" s="32">
        <v>55.109152708927745</v>
      </c>
      <c r="AM222" s="32">
        <v>54.867196759899443</v>
      </c>
      <c r="AN222" s="55">
        <v>54.627620690955624</v>
      </c>
      <c r="AO222" s="8"/>
    </row>
    <row r="223" spans="2:41" x14ac:dyDescent="0.35">
      <c r="B223" s="8"/>
      <c r="C223" s="10" t="str">
        <f>zEO&amp;" Costs"</f>
        <v>Operating Costs</v>
      </c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18"/>
      <c r="AO223" s="8"/>
    </row>
    <row r="224" spans="2:41" x14ac:dyDescent="0.35">
      <c r="B224" s="8"/>
      <c r="C224" s="20" t="str">
        <f>INDEX(_Sector,2,1)</f>
        <v>Residential</v>
      </c>
      <c r="D224" s="11" t="str">
        <f>_yearDol &amp; "$"</f>
        <v>2021$</v>
      </c>
      <c r="E224" s="32">
        <f t="array" aca="1" ref="E224:AN224" ca="1">(tlccEFuElec1_Res) + SUMPRODUCT(dFactor,tpSurvAll_Com,tMnR1_Res)</f>
        <v>81.710489215058445</v>
      </c>
      <c r="F224" s="32">
        <f ca="1"/>
        <v>81.776748408294182</v>
      </c>
      <c r="G224" s="32">
        <f ca="1"/>
        <v>81.880922541191239</v>
      </c>
      <c r="H224" s="32">
        <f ca="1"/>
        <v>82.001671071116874</v>
      </c>
      <c r="I224" s="32">
        <f ca="1"/>
        <v>82.114927192858801</v>
      </c>
      <c r="J224" s="32">
        <f ca="1"/>
        <v>82.209930251582875</v>
      </c>
      <c r="K224" s="32">
        <f ca="1"/>
        <v>82.283585197780667</v>
      </c>
      <c r="L224" s="32">
        <f ca="1"/>
        <v>82.34222127203779</v>
      </c>
      <c r="M224" s="32">
        <f ca="1"/>
        <v>82.372353081225143</v>
      </c>
      <c r="N224" s="32">
        <f ca="1"/>
        <v>82.377853572594063</v>
      </c>
      <c r="O224" s="32">
        <f ca="1"/>
        <v>82.338613389922074</v>
      </c>
      <c r="P224" s="32">
        <f ca="1"/>
        <v>82.262478067773884</v>
      </c>
      <c r="Q224" s="32">
        <f ca="1"/>
        <v>82.201897207802745</v>
      </c>
      <c r="R224" s="32">
        <f ca="1"/>
        <v>82.138973146549901</v>
      </c>
      <c r="S224" s="32">
        <f ca="1"/>
        <v>82.09098334959674</v>
      </c>
      <c r="T224" s="32">
        <f ca="1"/>
        <v>82.059235812379569</v>
      </c>
      <c r="U224" s="32">
        <f ca="1"/>
        <v>82.014379944039604</v>
      </c>
      <c r="V224" s="32">
        <f ca="1"/>
        <v>81.959157079062223</v>
      </c>
      <c r="W224" s="32">
        <f ca="1"/>
        <v>81.910127686804969</v>
      </c>
      <c r="X224" s="32">
        <f ca="1"/>
        <v>81.849829647038803</v>
      </c>
      <c r="Y224" s="32">
        <f ca="1"/>
        <v>81.79133311650989</v>
      </c>
      <c r="Z224" s="32">
        <f ca="1"/>
        <v>81.75952043907904</v>
      </c>
      <c r="AA224" s="32">
        <f ca="1"/>
        <v>81.717756515241149</v>
      </c>
      <c r="AB224" s="32">
        <f ca="1"/>
        <v>81.677235470993367</v>
      </c>
      <c r="AC224" s="32">
        <f ca="1"/>
        <v>81.644123936521083</v>
      </c>
      <c r="AD224" s="32">
        <f ca="1"/>
        <v>81.599064741718763</v>
      </c>
      <c r="AE224" s="32">
        <f ca="1"/>
        <v>81.562724500756786</v>
      </c>
      <c r="AF224" s="32">
        <f ca="1"/>
        <v>81.562724500756786</v>
      </c>
      <c r="AG224" s="32">
        <f ca="1"/>
        <v>81.562724500756786</v>
      </c>
      <c r="AH224" s="32">
        <f ca="1"/>
        <v>81.562724500756786</v>
      </c>
      <c r="AI224" s="32">
        <f ca="1"/>
        <v>81.562724500756786</v>
      </c>
      <c r="AJ224" s="32">
        <f ca="1"/>
        <v>81.562724500756786</v>
      </c>
      <c r="AK224" s="32">
        <f ca="1"/>
        <v>81.562724500756786</v>
      </c>
      <c r="AL224" s="32">
        <f ca="1"/>
        <v>81.562724500756786</v>
      </c>
      <c r="AM224" s="32">
        <f ca="1"/>
        <v>81.562724500756786</v>
      </c>
      <c r="AN224" s="55">
        <f ca="1"/>
        <v>81.562724500756786</v>
      </c>
      <c r="AO224" s="8"/>
    </row>
    <row r="225" spans="2:41" x14ac:dyDescent="0.35">
      <c r="B225" s="8"/>
      <c r="C225" s="50" t="str">
        <f>INDEX(_fuel,1)</f>
        <v>Electricity</v>
      </c>
      <c r="D225" s="11" t="str">
        <f>_yearDol &amp; "$"</f>
        <v>2021$</v>
      </c>
      <c r="E225" s="32">
        <f ca="1">SUMPRODUCT(dFactor,tpSurvAll_Res,tElec1_Res,OFFSET(tPrcElec_Res,0,0,1,_maxLT))</f>
        <v>35.141683453806635</v>
      </c>
      <c r="F225" s="32">
        <f ca="1">SUMPRODUCT(dFactor,tpSurvAll_Res,tElec1_Res,OFFSET(tPrcElec_Res,0,1,1,_maxLT))</f>
        <v>35.207942647042373</v>
      </c>
      <c r="G225" s="32">
        <f ca="1">SUMPRODUCT(dFactor,tpSurvAll_Res,tElec1_Res,OFFSET(tPrcElec_Res,0,2,1,_maxLT))</f>
        <v>35.31211677993943</v>
      </c>
      <c r="H225" s="32">
        <f ca="1">SUMPRODUCT(dFactor,tpSurvAll_Res,tElec1_Res,OFFSET(tPrcElec_Res,0,3,1,_maxLT))</f>
        <v>35.432865309865065</v>
      </c>
      <c r="I225" s="32">
        <f ca="1">SUMPRODUCT(dFactor,tpSurvAll_Res,tElec1_Res,OFFSET(tPrcElec_Res,0,4,1,_maxLT))</f>
        <v>35.546121431606998</v>
      </c>
      <c r="J225" s="32">
        <f ca="1">SUMPRODUCT(dFactor,tpSurvAll_Res,tElec1_Res,OFFSET(tPrcElec_Res,0,5,1,_maxLT))</f>
        <v>35.641124490331073</v>
      </c>
      <c r="K225" s="32">
        <f ca="1">SUMPRODUCT(dFactor,tpSurvAll_Res,tElec1_Res,OFFSET(tPrcElec_Res,0,6,1,_maxLT))</f>
        <v>35.714779436528858</v>
      </c>
      <c r="L225" s="32">
        <f ca="1">SUMPRODUCT(dFactor,tpSurvAll_Res,tElec1_Res,OFFSET(tPrcElec_Res,0,7,1,_maxLT))</f>
        <v>35.773415510785973</v>
      </c>
      <c r="M225" s="32">
        <f ca="1">SUMPRODUCT(dFactor,tpSurvAll_Res,tElec1_Res,OFFSET(tPrcElec_Res,0,8,1,_maxLT))</f>
        <v>35.803547319973333</v>
      </c>
      <c r="N225" s="32">
        <f ca="1">SUMPRODUCT(dFactor,tpSurvAll_Res,tElec1_Res,OFFSET(tPrcElec_Res,0,9,1,_maxLT))</f>
        <v>35.809047811342253</v>
      </c>
      <c r="O225" s="32">
        <f ca="1">SUMPRODUCT(dFactor,tpSurvAll_Res,tElec1_Res,OFFSET(tPrcElec_Res,0,10,1,_maxLT))</f>
        <v>35.769807628670257</v>
      </c>
      <c r="P225" s="32">
        <f ca="1">SUMPRODUCT(dFactor,tpSurvAll_Res,tElec1_Res,OFFSET(tPrcElec_Res,0,11,1,_maxLT))</f>
        <v>35.693672306522068</v>
      </c>
      <c r="Q225" s="32">
        <f ca="1">SUMPRODUCT(dFactor,tpSurvAll_Res,tElec1_Res,OFFSET(tPrcElec_Res,0,12,1,_maxLT))</f>
        <v>35.633091446550928</v>
      </c>
      <c r="R225" s="32">
        <f ca="1">SUMPRODUCT(dFactor,tpSurvAll_Res,tElec1_Res,OFFSET(tPrcElec_Res,0,13,1,_maxLT))</f>
        <v>35.570167385298092</v>
      </c>
      <c r="S225" s="32">
        <f ca="1">SUMPRODUCT(dFactor,tpSurvAll_Res,tElec1_Res,OFFSET(tPrcElec_Res,0,14,1,_maxLT))</f>
        <v>35.522177588344931</v>
      </c>
      <c r="T225" s="32">
        <f ca="1">SUMPRODUCT(dFactor,tpSurvAll_Res,tElec1_Res,OFFSET(tPrcElec_Res,0,15,1,_maxLT))</f>
        <v>35.490430051127753</v>
      </c>
      <c r="U225" s="32">
        <f ca="1">SUMPRODUCT(dFactor,tpSurvAll_Res,tElec1_Res,OFFSET(tPrcElec_Res,0,16,1,_maxLT))</f>
        <v>35.445574182787801</v>
      </c>
      <c r="V225" s="32">
        <f ca="1">SUMPRODUCT(dFactor,tpSurvAll_Res,tElec1_Res,OFFSET(tPrcElec_Res,0,17,1,_maxLT))</f>
        <v>35.390351317810413</v>
      </c>
      <c r="W225" s="32">
        <f ca="1">SUMPRODUCT(dFactor,tpSurvAll_Res,tElec1_Res,OFFSET(tPrcElec_Res,0,18,1,_maxLT))</f>
        <v>35.34132192555316</v>
      </c>
      <c r="X225" s="32">
        <f ca="1">SUMPRODUCT(dFactor,tpSurvAll_Res,tElec1_Res,OFFSET(tPrcElec_Res,0,19,1,_maxLT))</f>
        <v>35.281023885786993</v>
      </c>
      <c r="Y225" s="32">
        <f ca="1">SUMPRODUCT(dFactor,tpSurvAll_Res,tElec1_Res,OFFSET(tPrcElec_Res,0,20,1,_maxLT))</f>
        <v>35.22252735525808</v>
      </c>
      <c r="Z225" s="32">
        <f ca="1">SUMPRODUCT(dFactor,tpSurvAll_Res,tElec1_Res,OFFSET(tPrcElec_Res,0,21,1,_maxLT))</f>
        <v>35.190714677827224</v>
      </c>
      <c r="AA225" s="32">
        <f ca="1">SUMPRODUCT(dFactor,tpSurvAll_Res,tElec1_Res,OFFSET(tPrcElec_Res,0,22,1,_maxLT))</f>
        <v>35.148950753989332</v>
      </c>
      <c r="AB225" s="32">
        <f ca="1">SUMPRODUCT(dFactor,tpSurvAll_Res,tElec1_Res,OFFSET(tPrcElec_Res,0,23,1,_maxLT))</f>
        <v>35.108429709741557</v>
      </c>
      <c r="AC225" s="32">
        <f ca="1">SUMPRODUCT(dFactor,tpSurvAll_Res,tElec1_Res,OFFSET(tPrcElec_Res,0,24,1,_maxLT))</f>
        <v>35.075318175269274</v>
      </c>
      <c r="AD225" s="32">
        <f ca="1">SUMPRODUCT(dFactor,tpSurvAll_Res,tElec1_Res,OFFSET(tPrcElec_Res,0,25,1,_maxLT))</f>
        <v>35.030258980466961</v>
      </c>
      <c r="AE225" s="32">
        <f ca="1">SUMPRODUCT(dFactor,tpSurvAll_Res,tElec1_Res,OFFSET(tPrcElec_Res,0,26,1,_maxLT))</f>
        <v>34.993918739504984</v>
      </c>
      <c r="AF225" s="32">
        <f ca="1">SUMPRODUCT(dFactor,tpSurvAll_Res,tElec1_Res,OFFSET(tPrcElec_Res,0,27,1,_maxLT))</f>
        <v>34.993918739504984</v>
      </c>
      <c r="AG225" s="32">
        <f ca="1">SUMPRODUCT(dFactor,tpSurvAll_Res,tElec1_Res,OFFSET(tPrcElec_Res,0,28,1,_maxLT))</f>
        <v>34.993918739504984</v>
      </c>
      <c r="AH225" s="32">
        <f ca="1">SUMPRODUCT(dFactor,tpSurvAll_Res,tElec1_Res,OFFSET(tPrcElec_Res,0,29,1,_maxLT))</f>
        <v>34.993918739504984</v>
      </c>
      <c r="AI225" s="32">
        <f ca="1">SUMPRODUCT(dFactor,tpSurvAll_Res,tElec1_Res,OFFSET(tPrcElec_Res,0,30,1,_maxLT))</f>
        <v>34.993918739504984</v>
      </c>
      <c r="AJ225" s="32">
        <f ca="1">SUMPRODUCT(dFactor,tpSurvAll_Res,tElec1_Res,OFFSET(tPrcElec_Res,0,31,1,_maxLT))</f>
        <v>34.993918739504984</v>
      </c>
      <c r="AK225" s="32">
        <f ca="1">SUMPRODUCT(dFactor,tpSurvAll_Res,tElec1_Res,OFFSET(tPrcElec_Res,0,32,1,_maxLT))</f>
        <v>34.993918739504984</v>
      </c>
      <c r="AL225" s="32">
        <f ca="1">SUMPRODUCT(dFactor,tpSurvAll_Res,tElec1_Res,OFFSET(tPrcElec_Res,0,33,1,_maxLT))</f>
        <v>34.993918739504984</v>
      </c>
      <c r="AM225" s="32">
        <f ca="1">SUMPRODUCT(dFactor,tpSurvAll_Res,tElec1_Res,OFFSET(tPrcElec_Res,0,34,1,_maxLT))</f>
        <v>34.993918739504984</v>
      </c>
      <c r="AN225" s="55">
        <f ca="1">SUMPRODUCT(dFactor,tpSurvAll_Res,tElec1_Res,OFFSET(tPrcElec_Res,0,35,1,_maxLT))</f>
        <v>34.993918739504984</v>
      </c>
      <c r="AO225" s="8"/>
    </row>
    <row r="226" spans="2:41" x14ac:dyDescent="0.35">
      <c r="B226" s="8"/>
      <c r="C226" s="20" t="str">
        <f>INDEX(_Sector,2,2)</f>
        <v>Commercial</v>
      </c>
      <c r="D226" s="11" t="str">
        <f>_yearDol &amp; "$"</f>
        <v>2021$</v>
      </c>
      <c r="E226" s="32">
        <f t="array" aca="1" ref="E226:AN226" ca="1">(tlccEFuElec1_Com) + SUMPRODUCT(dFactor,tpSurvAll_Com,tMnR1_Com)</f>
        <v>103.13595068468103</v>
      </c>
      <c r="F226" s="32">
        <f ca="1"/>
        <v>103.11397029374115</v>
      </c>
      <c r="G226" s="32">
        <f ca="1"/>
        <v>103.13020612996772</v>
      </c>
      <c r="H226" s="32">
        <f ca="1"/>
        <v>103.16738344928615</v>
      </c>
      <c r="I226" s="32">
        <f ca="1"/>
        <v>103.19150502646633</v>
      </c>
      <c r="J226" s="32">
        <f ca="1"/>
        <v>103.19017722959222</v>
      </c>
      <c r="K226" s="32">
        <f ca="1"/>
        <v>103.15665528988987</v>
      </c>
      <c r="L226" s="32">
        <f ca="1"/>
        <v>103.10403607422232</v>
      </c>
      <c r="M226" s="32">
        <f ca="1"/>
        <v>103.00224884967218</v>
      </c>
      <c r="N226" s="32">
        <f ca="1"/>
        <v>102.87853117288003</v>
      </c>
      <c r="O226" s="32">
        <f ca="1"/>
        <v>102.68015767925554</v>
      </c>
      <c r="P226" s="32">
        <f ca="1"/>
        <v>102.42856321707457</v>
      </c>
      <c r="Q226" s="32">
        <f ca="1"/>
        <v>102.21067958299473</v>
      </c>
      <c r="R226" s="32">
        <f ca="1"/>
        <v>101.9953031554202</v>
      </c>
      <c r="S226" s="32">
        <f ca="1"/>
        <v>101.80591121755782</v>
      </c>
      <c r="T226" s="32">
        <f ca="1"/>
        <v>101.65099762675587</v>
      </c>
      <c r="U226" s="32">
        <f ca="1"/>
        <v>101.46769503939969</v>
      </c>
      <c r="V226" s="32">
        <f ca="1"/>
        <v>101.27233849460066</v>
      </c>
      <c r="W226" s="32">
        <f ca="1"/>
        <v>101.10246175871343</v>
      </c>
      <c r="X226" s="32">
        <f ca="1"/>
        <v>100.92313295274641</v>
      </c>
      <c r="Y226" s="32">
        <f ca="1"/>
        <v>100.74479250267959</v>
      </c>
      <c r="Z226" s="32">
        <f ca="1"/>
        <v>100.63003841908431</v>
      </c>
      <c r="AA226" s="32">
        <f ca="1"/>
        <v>100.50666993935705</v>
      </c>
      <c r="AB226" s="32">
        <f ca="1"/>
        <v>100.39262453009391</v>
      </c>
      <c r="AC226" s="32">
        <f ca="1"/>
        <v>100.31365949619521</v>
      </c>
      <c r="AD226" s="32">
        <f ca="1"/>
        <v>100.22209068063243</v>
      </c>
      <c r="AE226" s="32">
        <f ca="1"/>
        <v>100.15047389441617</v>
      </c>
      <c r="AF226" s="32">
        <f ca="1"/>
        <v>100.15047389441617</v>
      </c>
      <c r="AG226" s="32">
        <f ca="1"/>
        <v>100.15047389441617</v>
      </c>
      <c r="AH226" s="32">
        <f ca="1"/>
        <v>100.15047389441617</v>
      </c>
      <c r="AI226" s="32">
        <f ca="1"/>
        <v>100.15047389441617</v>
      </c>
      <c r="AJ226" s="32">
        <f ca="1"/>
        <v>100.15047389441617</v>
      </c>
      <c r="AK226" s="32">
        <f ca="1"/>
        <v>100.15047389441617</v>
      </c>
      <c r="AL226" s="32">
        <f ca="1"/>
        <v>100.15047389441617</v>
      </c>
      <c r="AM226" s="32">
        <f ca="1"/>
        <v>100.15047389441617</v>
      </c>
      <c r="AN226" s="55">
        <f ca="1"/>
        <v>100.15047389441617</v>
      </c>
      <c r="AO226" s="8"/>
    </row>
    <row r="227" spans="2:41" x14ac:dyDescent="0.35">
      <c r="B227" s="8"/>
      <c r="C227" s="50" t="str">
        <f>INDEX(_fuel,1)</f>
        <v>Electricity</v>
      </c>
      <c r="D227" s="11" t="str">
        <f>_yearDol &amp; "$"</f>
        <v>2021$</v>
      </c>
      <c r="E227" s="32">
        <f ca="1">SUMPRODUCT(dFactor,tpSurvAll_Com,tElec1_Com,OFFSET(tPrcElec_Com,0,0,1,_maxLT))</f>
        <v>50.32792912282892</v>
      </c>
      <c r="F227" s="32">
        <f ca="1">SUMPRODUCT(dFactor,tpSurvAll_Com,tElec1_Com,OFFSET(tPrcElec_Com,0,1,1,_maxLT))</f>
        <v>50.305948731889025</v>
      </c>
      <c r="G227" s="32">
        <f ca="1">SUMPRODUCT(dFactor,tpSurvAll_Com,tElec1_Com,OFFSET(tPrcElec_Com,0,2,1,_maxLT))</f>
        <v>50.322184568115595</v>
      </c>
      <c r="H227" s="32">
        <f ca="1">SUMPRODUCT(dFactor,tpSurvAll_Com,tElec1_Com,OFFSET(tPrcElec_Com,0,3,1,_maxLT))</f>
        <v>50.359361887434027</v>
      </c>
      <c r="I227" s="32">
        <f ca="1">SUMPRODUCT(dFactor,tpSurvAll_Com,tElec1_Com,OFFSET(tPrcElec_Com,0,4,1,_maxLT))</f>
        <v>50.383483464614208</v>
      </c>
      <c r="J227" s="32">
        <f ca="1">SUMPRODUCT(dFactor,tpSurvAll_Com,tElec1_Com,OFFSET(tPrcElec_Com,0,5,1,_maxLT))</f>
        <v>50.382155667740115</v>
      </c>
      <c r="K227" s="32">
        <f ca="1">SUMPRODUCT(dFactor,tpSurvAll_Com,tElec1_Com,OFFSET(tPrcElec_Com,0,6,1,_maxLT))</f>
        <v>50.348633728037754</v>
      </c>
      <c r="L227" s="32">
        <f ca="1">SUMPRODUCT(dFactor,tpSurvAll_Com,tElec1_Com,OFFSET(tPrcElec_Com,0,7,1,_maxLT))</f>
        <v>50.296014512370206</v>
      </c>
      <c r="M227" s="32">
        <f ca="1">SUMPRODUCT(dFactor,tpSurvAll_Com,tElec1_Com,OFFSET(tPrcElec_Com,0,8,1,_maxLT))</f>
        <v>50.19422728782007</v>
      </c>
      <c r="N227" s="32">
        <f ca="1">SUMPRODUCT(dFactor,tpSurvAll_Com,tElec1_Com,OFFSET(tPrcElec_Com,0,9,1,_maxLT))</f>
        <v>50.070509611027916</v>
      </c>
      <c r="O227" s="32">
        <f ca="1">SUMPRODUCT(dFactor,tpSurvAll_Com,tElec1_Com,OFFSET(tPrcElec_Com,0,10,1,_maxLT))</f>
        <v>49.872136117403429</v>
      </c>
      <c r="P227" s="32">
        <f ca="1">SUMPRODUCT(dFactor,tpSurvAll_Com,tElec1_Com,OFFSET(tPrcElec_Com,0,11,1,_maxLT))</f>
        <v>49.620541655222453</v>
      </c>
      <c r="Q227" s="32">
        <f ca="1">SUMPRODUCT(dFactor,tpSurvAll_Com,tElec1_Com,OFFSET(tPrcElec_Com,0,12,1,_maxLT))</f>
        <v>49.402658021142614</v>
      </c>
      <c r="R227" s="32">
        <f ca="1">SUMPRODUCT(dFactor,tpSurvAll_Com,tElec1_Com,OFFSET(tPrcElec_Com,0,13,1,_maxLT))</f>
        <v>49.18728159356808</v>
      </c>
      <c r="S227" s="32">
        <f ca="1">SUMPRODUCT(dFactor,tpSurvAll_Com,tElec1_Com,OFFSET(tPrcElec_Com,0,14,1,_maxLT))</f>
        <v>48.997889655705698</v>
      </c>
      <c r="T227" s="32">
        <f ca="1">SUMPRODUCT(dFactor,tpSurvAll_Com,tElec1_Com,OFFSET(tPrcElec_Com,0,15,1,_maxLT))</f>
        <v>48.842976064903759</v>
      </c>
      <c r="U227" s="32">
        <f ca="1">SUMPRODUCT(dFactor,tpSurvAll_Com,tElec1_Com,OFFSET(tPrcElec_Com,0,16,1,_maxLT))</f>
        <v>48.659673477547571</v>
      </c>
      <c r="V227" s="32">
        <f ca="1">SUMPRODUCT(dFactor,tpSurvAll_Com,tElec1_Com,OFFSET(tPrcElec_Com,0,17,1,_maxLT))</f>
        <v>48.464316932748552</v>
      </c>
      <c r="W227" s="32">
        <f ca="1">SUMPRODUCT(dFactor,tpSurvAll_Com,tElec1_Com,OFFSET(tPrcElec_Com,0,18,1,_maxLT))</f>
        <v>48.294440196861316</v>
      </c>
      <c r="X227" s="32">
        <f ca="1">SUMPRODUCT(dFactor,tpSurvAll_Com,tElec1_Com,OFFSET(tPrcElec_Com,0,19,1,_maxLT))</f>
        <v>48.115111390894306</v>
      </c>
      <c r="Y227" s="32">
        <f ca="1">SUMPRODUCT(dFactor,tpSurvAll_Com,tElec1_Com,OFFSET(tPrcElec_Com,0,20,1,_maxLT))</f>
        <v>47.936770940827472</v>
      </c>
      <c r="Z227" s="32">
        <f ca="1">SUMPRODUCT(dFactor,tpSurvAll_Com,tElec1_Com,OFFSET(tPrcElec_Com,0,21,1,_maxLT))</f>
        <v>47.822016857232207</v>
      </c>
      <c r="AA227" s="32">
        <f ca="1">SUMPRODUCT(dFactor,tpSurvAll_Com,tElec1_Com,OFFSET(tPrcElec_Com,0,22,1,_maxLT))</f>
        <v>47.698648377504938</v>
      </c>
      <c r="AB227" s="32">
        <f ca="1">SUMPRODUCT(dFactor,tpSurvAll_Com,tElec1_Com,OFFSET(tPrcElec_Com,0,23,1,_maxLT))</f>
        <v>47.584602968241803</v>
      </c>
      <c r="AC227" s="32">
        <f ca="1">SUMPRODUCT(dFactor,tpSurvAll_Com,tElec1_Com,OFFSET(tPrcElec_Com,0,24,1,_maxLT))</f>
        <v>47.505637934343106</v>
      </c>
      <c r="AD227" s="32">
        <f ca="1">SUMPRODUCT(dFactor,tpSurvAll_Com,tElec1_Com,OFFSET(tPrcElec_Com,0,25,1,_maxLT))</f>
        <v>47.414069118780318</v>
      </c>
      <c r="AE227" s="32">
        <f ca="1">SUMPRODUCT(dFactor,tpSurvAll_Com,tElec1_Com,OFFSET(tPrcElec_Com,0,26,1,_maxLT))</f>
        <v>47.342452332564051</v>
      </c>
      <c r="AF227" s="32">
        <f ca="1">SUMPRODUCT(dFactor,tpSurvAll_Com,tElec1_Com,OFFSET(tPrcElec_Com,0,27,1,_maxLT))</f>
        <v>47.342452332564051</v>
      </c>
      <c r="AG227" s="32">
        <f ca="1">SUMPRODUCT(dFactor,tpSurvAll_Com,tElec1_Com,OFFSET(tPrcElec_Com,0,28,1,_maxLT))</f>
        <v>47.342452332564051</v>
      </c>
      <c r="AH227" s="32">
        <f ca="1">SUMPRODUCT(dFactor,tpSurvAll_Com,tElec1_Com,OFFSET(tPrcElec_Com,0,29,1,_maxLT))</f>
        <v>47.342452332564051</v>
      </c>
      <c r="AI227" s="32">
        <f ca="1">SUMPRODUCT(dFactor,tpSurvAll_Com,tElec1_Com,OFFSET(tPrcElec_Com,0,30,1,_maxLT))</f>
        <v>47.342452332564051</v>
      </c>
      <c r="AJ227" s="32">
        <f ca="1">SUMPRODUCT(dFactor,tpSurvAll_Com,tElec1_Com,OFFSET(tPrcElec_Com,0,31,1,_maxLT))</f>
        <v>47.342452332564051</v>
      </c>
      <c r="AK227" s="32">
        <f ca="1">SUMPRODUCT(dFactor,tpSurvAll_Com,tElec1_Com,OFFSET(tPrcElec_Com,0,32,1,_maxLT))</f>
        <v>47.342452332564051</v>
      </c>
      <c r="AL227" s="32">
        <f ca="1">SUMPRODUCT(dFactor,tpSurvAll_Com,tElec1_Com,OFFSET(tPrcElec_Com,0,33,1,_maxLT))</f>
        <v>47.342452332564051</v>
      </c>
      <c r="AM227" s="32">
        <f ca="1">SUMPRODUCT(dFactor,tpSurvAll_Com,tElec1_Com,OFFSET(tPrcElec_Com,0,34,1,_maxLT))</f>
        <v>47.342452332564051</v>
      </c>
      <c r="AN227" s="55">
        <f ca="1">SUMPRODUCT(dFactor,tpSurvAll_Com,tElec1_Com,OFFSET(tPrcElec_Com,0,35,1,_maxLT))</f>
        <v>47.342452332564051</v>
      </c>
      <c r="AO227" s="8"/>
    </row>
    <row r="228" spans="2:41" x14ac:dyDescent="0.35">
      <c r="B228" s="8"/>
      <c r="C228" s="10" t="s">
        <v>78</v>
      </c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18"/>
      <c r="AO228" s="8"/>
    </row>
    <row r="229" spans="2:41" x14ac:dyDescent="0.35">
      <c r="B229" s="8"/>
      <c r="C229" s="20" t="str">
        <f>INDEX(_Sector,2,1)</f>
        <v>Residential</v>
      </c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18"/>
      <c r="AO229" s="8"/>
    </row>
    <row r="230" spans="2:41" x14ac:dyDescent="0.35">
      <c r="B230" s="8"/>
      <c r="C230" s="50" t="str">
        <f>INDEX(_fuel,1)</f>
        <v>Electricity</v>
      </c>
      <c r="D230" s="11" t="s">
        <v>80</v>
      </c>
      <c r="E230" s="40">
        <f ca="1">SUMPRODUCT(OFFSET(tConvElec_Res,0,0,1,_maxLT),tElec1_Res,tpSurvAll_Res)</f>
        <v>2.9105365324334573</v>
      </c>
      <c r="F230" s="40">
        <f ca="1">SUMPRODUCT(OFFSET(tConvElec_Res,0,1,1,_maxLT),tElec1_Res,tpSurvAll_Res)</f>
        <v>2.8961518494185858</v>
      </c>
      <c r="G230" s="40">
        <f ca="1">SUMPRODUCT(OFFSET(tConvElec_Res,0,2,1,_maxLT),tElec1_Res,tpSurvAll_Res)</f>
        <v>2.8857179153465888</v>
      </c>
      <c r="H230" s="40">
        <f ca="1">SUMPRODUCT(OFFSET(tConvElec_Res,0,3,1,_maxLT),tElec1_Res,tpSurvAll_Res)</f>
        <v>2.8775571504978248</v>
      </c>
      <c r="I230" s="40">
        <f ca="1">SUMPRODUCT(OFFSET(tConvElec_Res,0,4,1,_maxLT),tElec1_Res,tpSurvAll_Res)</f>
        <v>2.8718775710524227</v>
      </c>
      <c r="J230" s="40">
        <f ca="1">SUMPRODUCT(OFFSET(tConvElec_Res,0,5,1,_maxLT),tElec1_Res,tpSurvAll_Res)</f>
        <v>2.8673979196682566</v>
      </c>
      <c r="K230" s="40">
        <f ca="1">SUMPRODUCT(OFFSET(tConvElec_Res,0,6,1,_maxLT),tElec1_Res,tpSurvAll_Res)</f>
        <v>2.8635169626946113</v>
      </c>
      <c r="L230" s="40">
        <f ca="1">SUMPRODUCT(OFFSET(tConvElec_Res,0,7,1,_maxLT),tElec1_Res,tpSurvAll_Res)</f>
        <v>2.8593299340653631</v>
      </c>
      <c r="M230" s="40">
        <f ca="1">SUMPRODUCT(OFFSET(tConvElec_Res,0,8,1,_maxLT),tElec1_Res,tpSurvAll_Res)</f>
        <v>2.8553002114588515</v>
      </c>
      <c r="N230" s="40">
        <f ca="1">SUMPRODUCT(OFFSET(tConvElec_Res,0,9,1,_maxLT),tElec1_Res,tpSurvAll_Res)</f>
        <v>2.851483320957144</v>
      </c>
      <c r="O230" s="40">
        <f ca="1">SUMPRODUCT(OFFSET(tConvElec_Res,0,10,1,_maxLT),tElec1_Res,tpSurvAll_Res)</f>
        <v>2.847497280673458</v>
      </c>
      <c r="P230" s="40">
        <f ca="1">SUMPRODUCT(OFFSET(tConvElec_Res,0,11,1,_maxLT),tElec1_Res,tpSurvAll_Res)</f>
        <v>2.8441290767142302</v>
      </c>
      <c r="Q230" s="40">
        <f ca="1">SUMPRODUCT(OFFSET(tConvElec_Res,0,12,1,_maxLT),tElec1_Res,tpSurvAll_Res)</f>
        <v>2.8406737589781406</v>
      </c>
      <c r="R230" s="40">
        <f ca="1">SUMPRODUCT(OFFSET(tConvElec_Res,0,13,1,_maxLT),tElec1_Res,tpSurvAll_Res)</f>
        <v>2.8376620182668981</v>
      </c>
      <c r="S230" s="40">
        <f ca="1">SUMPRODUCT(OFFSET(tConvElec_Res,0,14,1,_maxLT),tElec1_Res,tpSurvAll_Res)</f>
        <v>2.8351250355141961</v>
      </c>
      <c r="T230" s="40">
        <f ca="1">SUMPRODUCT(OFFSET(tConvElec_Res,0,15,1,_maxLT),tElec1_Res,tpSurvAll_Res)</f>
        <v>2.8327629745492775</v>
      </c>
      <c r="U230" s="40">
        <f ca="1">SUMPRODUCT(OFFSET(tConvElec_Res,0,16,1,_maxLT),tElec1_Res,tpSurvAll_Res)</f>
        <v>2.8303354535923684</v>
      </c>
      <c r="V230" s="40">
        <f ca="1">SUMPRODUCT(OFFSET(tConvElec_Res,0,17,1,_maxLT),tElec1_Res,tpSurvAll_Res)</f>
        <v>2.82816138614931</v>
      </c>
      <c r="W230" s="40">
        <f ca="1">SUMPRODUCT(OFFSET(tConvElec_Res,0,18,1,_maxLT),tElec1_Res,tpSurvAll_Res)</f>
        <v>2.8263831252817795</v>
      </c>
      <c r="X230" s="40">
        <f ca="1">SUMPRODUCT(OFFSET(tConvElec_Res,0,19,1,_maxLT),tElec1_Res,tpSurvAll_Res)</f>
        <v>2.8248794947180556</v>
      </c>
      <c r="Y230" s="40">
        <f ca="1">SUMPRODUCT(OFFSET(tConvElec_Res,0,20,1,_maxLT),tElec1_Res,tpSurvAll_Res)</f>
        <v>2.823669968376564</v>
      </c>
      <c r="Z230" s="40">
        <f ca="1">SUMPRODUCT(OFFSET(tConvElec_Res,0,21,1,_maxLT),tElec1_Res,tpSurvAll_Res)</f>
        <v>2.8232010236492902</v>
      </c>
      <c r="AA230" s="40">
        <f ca="1">SUMPRODUCT(OFFSET(tConvElec_Res,0,22,1,_maxLT),tElec1_Res,tpSurvAll_Res)</f>
        <v>2.8231884747123925</v>
      </c>
      <c r="AB230" s="40">
        <f ca="1">SUMPRODUCT(OFFSET(tConvElec_Res,0,23,1,_maxLT),tElec1_Res,tpSurvAll_Res)</f>
        <v>2.8233175284608722</v>
      </c>
      <c r="AC230" s="40">
        <f ca="1">SUMPRODUCT(OFFSET(tConvElec_Res,0,24,1,_maxLT),tElec1_Res,tpSurvAll_Res)</f>
        <v>2.8235938784810712</v>
      </c>
      <c r="AD230" s="40">
        <f ca="1">SUMPRODUCT(OFFSET(tConvElec_Res,0,25,1,_maxLT),tElec1_Res,tpSurvAll_Res)</f>
        <v>2.8238258382313615</v>
      </c>
      <c r="AE230" s="40">
        <f ca="1">SUMPRODUCT(OFFSET(tConvElec_Res,0,26,1,_maxLT),tElec1_Res,tpSurvAll_Res)</f>
        <v>2.8238805834884979</v>
      </c>
      <c r="AF230" s="40">
        <f ca="1">SUMPRODUCT(OFFSET(tConvElec_Res,0,27,1,_maxLT),tElec1_Res,tpSurvAll_Res)</f>
        <v>2.8238805834884979</v>
      </c>
      <c r="AG230" s="40">
        <f ca="1">SUMPRODUCT(OFFSET(tConvElec_Res,0,28,1,_maxLT),tElec1_Res,tpSurvAll_Res)</f>
        <v>2.8238805834884979</v>
      </c>
      <c r="AH230" s="40">
        <f ca="1">SUMPRODUCT(OFFSET(tConvElec_Res,0,29,1,_maxLT),tElec1_Res,tpSurvAll_Res)</f>
        <v>2.8238805834884979</v>
      </c>
      <c r="AI230" s="40">
        <f ca="1">SUMPRODUCT(OFFSET(tConvElec_Res,0,30,1,_maxLT),tElec1_Res,tpSurvAll_Res)</f>
        <v>2.8238805834884979</v>
      </c>
      <c r="AJ230" s="40">
        <f ca="1">SUMPRODUCT(OFFSET(tConvElec_Res,0,31,1,_maxLT),tElec1_Res,tpSurvAll_Res)</f>
        <v>2.8238805834884979</v>
      </c>
      <c r="AK230" s="40">
        <f ca="1">SUMPRODUCT(OFFSET(tConvElec_Res,0,32,1,_maxLT),tElec1_Res,tpSurvAll_Res)</f>
        <v>2.8238805834884979</v>
      </c>
      <c r="AL230" s="40">
        <f ca="1">SUMPRODUCT(OFFSET(tConvElec_Res,0,33,1,_maxLT),tElec1_Res,tpSurvAll_Res)</f>
        <v>2.8238805834884979</v>
      </c>
      <c r="AM230" s="40">
        <f ca="1">SUMPRODUCT(OFFSET(tConvElec_Res,0,34,1,_maxLT),tElec1_Res,tpSurvAll_Res)</f>
        <v>2.8238805834884979</v>
      </c>
      <c r="AN230" s="41">
        <f ca="1">SUMPRODUCT(OFFSET(tConvElec_Res,0,35,1,_maxLT),tElec1_Res,tpSurvAll_Res)</f>
        <v>2.8238805834884979</v>
      </c>
      <c r="AO230" s="8"/>
    </row>
    <row r="231" spans="2:41" x14ac:dyDescent="0.35">
      <c r="B231" s="8"/>
      <c r="C231" s="20" t="str">
        <f>INDEX(_Sector,2,2)</f>
        <v>Commercial</v>
      </c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18"/>
      <c r="AO231" s="8"/>
    </row>
    <row r="232" spans="2:41" x14ac:dyDescent="0.35">
      <c r="B232" s="8"/>
      <c r="C232" s="50" t="str">
        <f>INDEX(_fuel,1)</f>
        <v>Electricity</v>
      </c>
      <c r="D232" s="11" t="s">
        <v>80</v>
      </c>
      <c r="E232" s="40">
        <f ca="1">SUMPRODUCT(OFFSET(tConvElec_Com,0,0,1,_maxLT),tElec1_Com,tpSurvAll_Com)</f>
        <v>5.8946394330811538</v>
      </c>
      <c r="F232" s="40">
        <f ca="1">SUMPRODUCT(OFFSET(tConvElec_Com,0,1,1,_maxLT),tElec1_Com,tpSurvAll_Com)</f>
        <v>5.8643839567916025</v>
      </c>
      <c r="G232" s="40">
        <f ca="1">SUMPRODUCT(OFFSET(tConvElec_Com,0,2,1,_maxLT),tElec1_Com,tpSurvAll_Com)</f>
        <v>5.8427474143757339</v>
      </c>
      <c r="H232" s="40">
        <f ca="1">SUMPRODUCT(OFFSET(tConvElec_Com,0,3,1,_maxLT),tElec1_Com,tpSurvAll_Com)</f>
        <v>5.8261143512859217</v>
      </c>
      <c r="I232" s="40">
        <f ca="1">SUMPRODUCT(OFFSET(tConvElec_Com,0,4,1,_maxLT),tElec1_Com,tpSurvAll_Com)</f>
        <v>5.8150211389801072</v>
      </c>
      <c r="J232" s="40">
        <f ca="1">SUMPRODUCT(OFFSET(tConvElec_Com,0,5,1,_maxLT),tElec1_Com,tpSurvAll_Com)</f>
        <v>5.806585581927286</v>
      </c>
      <c r="K232" s="40">
        <f ca="1">SUMPRODUCT(OFFSET(tConvElec_Com,0,6,1,_maxLT),tElec1_Com,tpSurvAll_Com)</f>
        <v>5.799386488023508</v>
      </c>
      <c r="L232" s="40">
        <f ca="1">SUMPRODUCT(OFFSET(tConvElec_Com,0,7,1,_maxLT),tElec1_Com,tpSurvAll_Com)</f>
        <v>5.7916771132858615</v>
      </c>
      <c r="M232" s="40">
        <f ca="1">SUMPRODUCT(OFFSET(tConvElec_Com,0,8,1,_maxLT),tElec1_Com,tpSurvAll_Com)</f>
        <v>5.7843918815816826</v>
      </c>
      <c r="N232" s="40">
        <f ca="1">SUMPRODUCT(OFFSET(tConvElec_Com,0,9,1,_maxLT),tElec1_Com,tpSurvAll_Com)</f>
        <v>5.7775255774970802</v>
      </c>
      <c r="O232" s="40">
        <f ca="1">SUMPRODUCT(OFFSET(tConvElec_Com,0,10,1,_maxLT),tElec1_Com,tpSurvAll_Com)</f>
        <v>5.7704277909019108</v>
      </c>
      <c r="P232" s="40">
        <f ca="1">SUMPRODUCT(OFFSET(tConvElec_Com,0,11,1,_maxLT),tElec1_Com,tpSurvAll_Com)</f>
        <v>5.7643389510466472</v>
      </c>
      <c r="Q232" s="40">
        <f ca="1">SUMPRODUCT(OFFSET(tConvElec_Com,0,12,1,_maxLT),tElec1_Com,tpSurvAll_Com)</f>
        <v>5.7579968219503357</v>
      </c>
      <c r="R232" s="40">
        <f ca="1">SUMPRODUCT(OFFSET(tConvElec_Com,0,13,1,_maxLT),tElec1_Com,tpSurvAll_Com)</f>
        <v>5.7524670593273877</v>
      </c>
      <c r="S232" s="40">
        <f ca="1">SUMPRODUCT(OFFSET(tConvElec_Com,0,14,1,_maxLT),tElec1_Com,tpSurvAll_Com)</f>
        <v>5.7478737870336474</v>
      </c>
      <c r="T232" s="40">
        <f ca="1">SUMPRODUCT(OFFSET(tConvElec_Com,0,15,1,_maxLT),tElec1_Com,tpSurvAll_Com)</f>
        <v>5.7436640002520347</v>
      </c>
      <c r="U232" s="40">
        <f ca="1">SUMPRODUCT(OFFSET(tConvElec_Com,0,16,1,_maxLT),tElec1_Com,tpSurvAll_Com)</f>
        <v>5.7393256850647241</v>
      </c>
      <c r="V232" s="40">
        <f ca="1">SUMPRODUCT(OFFSET(tConvElec_Com,0,17,1,_maxLT),tElec1_Com,tpSurvAll_Com)</f>
        <v>5.7354207232661638</v>
      </c>
      <c r="W232" s="40">
        <f ca="1">SUMPRODUCT(OFFSET(tConvElec_Com,0,18,1,_maxLT),tElec1_Com,tpSurvAll_Com)</f>
        <v>5.7322653180725132</v>
      </c>
      <c r="X232" s="40">
        <f ca="1">SUMPRODUCT(OFFSET(tConvElec_Com,0,19,1,_maxLT),tElec1_Com,tpSurvAll_Com)</f>
        <v>5.7296275045752028</v>
      </c>
      <c r="Y232" s="40">
        <f ca="1">SUMPRODUCT(OFFSET(tConvElec_Com,0,20,1,_maxLT),tElec1_Com,tpSurvAll_Com)</f>
        <v>5.7275127832098276</v>
      </c>
      <c r="Z232" s="40">
        <f ca="1">SUMPRODUCT(OFFSET(tConvElec_Com,0,21,1,_maxLT),tElec1_Com,tpSurvAll_Com)</f>
        <v>5.7268073873352998</v>
      </c>
      <c r="AA232" s="40">
        <f ca="1">SUMPRODUCT(OFFSET(tConvElec_Com,0,22,1,_maxLT),tElec1_Com,tpSurvAll_Com)</f>
        <v>5.7269554530113558</v>
      </c>
      <c r="AB232" s="40">
        <f ca="1">SUMPRODUCT(OFFSET(tConvElec_Com,0,23,1,_maxLT),tElec1_Com,tpSurvAll_Com)</f>
        <v>5.7273552835115291</v>
      </c>
      <c r="AC232" s="40">
        <f ca="1">SUMPRODUCT(OFFSET(tConvElec_Com,0,24,1,_maxLT),tElec1_Com,tpSurvAll_Com)</f>
        <v>5.7279890392617938</v>
      </c>
      <c r="AD232" s="40">
        <f ca="1">SUMPRODUCT(OFFSET(tConvElec_Com,0,25,1,_maxLT),tElec1_Com,tpSurvAll_Com)</f>
        <v>5.7284958881579682</v>
      </c>
      <c r="AE232" s="40">
        <f ca="1">SUMPRODUCT(OFFSET(tConvElec_Com,0,26,1,_maxLT),tElec1_Com,tpSurvAll_Com)</f>
        <v>5.7286279193568097</v>
      </c>
      <c r="AF232" s="40">
        <f ca="1">SUMPRODUCT(OFFSET(tConvElec_Com,0,27,1,_maxLT),tElec1_Com,tpSurvAll_Com)</f>
        <v>5.7286279193568097</v>
      </c>
      <c r="AG232" s="40">
        <f ca="1">SUMPRODUCT(OFFSET(tConvElec_Com,0,28,1,_maxLT),tElec1_Com,tpSurvAll_Com)</f>
        <v>5.7286279193568097</v>
      </c>
      <c r="AH232" s="40">
        <f ca="1">SUMPRODUCT(OFFSET(tConvElec_Com,0,29,1,_maxLT),tElec1_Com,tpSurvAll_Com)</f>
        <v>5.7286279193568097</v>
      </c>
      <c r="AI232" s="40">
        <f ca="1">SUMPRODUCT(OFFSET(tConvElec_Com,0,30,1,_maxLT),tElec1_Com,tpSurvAll_Com)</f>
        <v>5.7286279193568097</v>
      </c>
      <c r="AJ232" s="40">
        <f ca="1">SUMPRODUCT(OFFSET(tConvElec_Com,0,31,1,_maxLT),tElec1_Com,tpSurvAll_Com)</f>
        <v>5.7286279193568097</v>
      </c>
      <c r="AK232" s="40">
        <f ca="1">SUMPRODUCT(OFFSET(tConvElec_Com,0,32,1,_maxLT),tElec1_Com,tpSurvAll_Com)</f>
        <v>5.7286279193568097</v>
      </c>
      <c r="AL232" s="40">
        <f ca="1">SUMPRODUCT(OFFSET(tConvElec_Com,0,33,1,_maxLT),tElec1_Com,tpSurvAll_Com)</f>
        <v>5.7286279193568097</v>
      </c>
      <c r="AM232" s="40">
        <f ca="1">SUMPRODUCT(OFFSET(tConvElec_Com,0,34,1,_maxLT),tElec1_Com,tpSurvAll_Com)</f>
        <v>5.7286279193568097</v>
      </c>
      <c r="AN232" s="41">
        <f ca="1">SUMPRODUCT(OFFSET(tConvElec_Com,0,35,1,_maxLT),tElec1_Com,tpSurvAll_Com)</f>
        <v>5.7286279193568097</v>
      </c>
      <c r="AO232" s="8"/>
    </row>
    <row r="233" spans="2:41" x14ac:dyDescent="0.35">
      <c r="B233" s="8"/>
      <c r="C233" s="57" t="str">
        <f>"EL 2: " &amp; INDEX(_doName,1,3)</f>
        <v>EL 2: Tier 2</v>
      </c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8"/>
      <c r="AO233" s="8"/>
    </row>
    <row r="234" spans="2:41" x14ac:dyDescent="0.35">
      <c r="B234" s="8"/>
      <c r="C234" s="10" t="s">
        <v>70</v>
      </c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18"/>
      <c r="AO234" s="8"/>
    </row>
    <row r="235" spans="2:41" x14ac:dyDescent="0.35">
      <c r="B235" s="8"/>
      <c r="C235" s="20" t="str">
        <f>INDEX(_Sector,2,1)</f>
        <v>Residential</v>
      </c>
      <c r="D235" s="11" t="str">
        <f>_yearDol &amp; "$"</f>
        <v>2021$</v>
      </c>
      <c r="E235" s="32">
        <f t="array" ref="E235:AN235">tMSP2_Res*tPIdxsml2 + tInst2</f>
        <v>70.028376080802119</v>
      </c>
      <c r="F235" s="32">
        <v>69.51471659150954</v>
      </c>
      <c r="G235" s="32">
        <v>69.02445484010525</v>
      </c>
      <c r="H235" s="32">
        <v>68.553761830129019</v>
      </c>
      <c r="I235" s="32">
        <v>68.099891997757894</v>
      </c>
      <c r="J235" s="32">
        <v>67.660995177203503</v>
      </c>
      <c r="K235" s="32">
        <v>67.235794423678541</v>
      </c>
      <c r="L235" s="32">
        <v>66.823352653608481</v>
      </c>
      <c r="M235" s="32">
        <v>66.422855940595795</v>
      </c>
      <c r="N235" s="32">
        <v>66.033509804396502</v>
      </c>
      <c r="O235" s="32">
        <v>65.654514539997535</v>
      </c>
      <c r="P235" s="32">
        <v>65.285069043112827</v>
      </c>
      <c r="Q235" s="32">
        <v>64.924407131399875</v>
      </c>
      <c r="R235" s="32">
        <v>64.57183553837956</v>
      </c>
      <c r="S235" s="32">
        <v>64.226722684666086</v>
      </c>
      <c r="T235" s="32">
        <v>63.888575648497941</v>
      </c>
      <c r="U235" s="32">
        <v>63.556937779680986</v>
      </c>
      <c r="V235" s="32">
        <v>63.231412195986913</v>
      </c>
      <c r="W235" s="32">
        <v>62.911645151596076</v>
      </c>
      <c r="X235" s="32">
        <v>62.597313379544204</v>
      </c>
      <c r="Y235" s="32">
        <v>62.288117754052756</v>
      </c>
      <c r="Z235" s="32">
        <v>61.983778167058666</v>
      </c>
      <c r="AA235" s="32">
        <v>61.684033656520732</v>
      </c>
      <c r="AB235" s="32">
        <v>61.38864233894396</v>
      </c>
      <c r="AC235" s="32">
        <v>61.097381201246883</v>
      </c>
      <c r="AD235" s="32">
        <v>60.810045349748826</v>
      </c>
      <c r="AE235" s="32">
        <v>60.526446595876422</v>
      </c>
      <c r="AF235" s="32">
        <v>60.246411696118116</v>
      </c>
      <c r="AG235" s="32">
        <v>59.969780532027279</v>
      </c>
      <c r="AH235" s="32">
        <v>59.696404459174168</v>
      </c>
      <c r="AI235" s="32">
        <v>59.426144975427974</v>
      </c>
      <c r="AJ235" s="32">
        <v>59.158872705678512</v>
      </c>
      <c r="AK235" s="32">
        <v>58.894466613532714</v>
      </c>
      <c r="AL235" s="32">
        <v>58.632813457312281</v>
      </c>
      <c r="AM235" s="32">
        <v>58.373807187058311</v>
      </c>
      <c r="AN235" s="55">
        <v>58.117348503944925</v>
      </c>
      <c r="AO235" s="8"/>
    </row>
    <row r="236" spans="2:41" x14ac:dyDescent="0.35">
      <c r="B236" s="8"/>
      <c r="C236" s="20" t="str">
        <f>INDEX(_Sector,2,2)</f>
        <v>Commercial</v>
      </c>
      <c r="D236" s="11" t="str">
        <f>_yearDol &amp; "$"</f>
        <v>2021$</v>
      </c>
      <c r="E236" s="32">
        <f t="array" ref="E236:AN236">tMSP2_Com*tPIdxsml2 + tInst2</f>
        <v>67.735972059042894</v>
      </c>
      <c r="F236" s="32">
        <v>67.239127397466874</v>
      </c>
      <c r="G236" s="32">
        <v>66.764914540432727</v>
      </c>
      <c r="H236" s="32">
        <v>66.309629835053471</v>
      </c>
      <c r="I236" s="32">
        <v>65.870617594523139</v>
      </c>
      <c r="J236" s="32">
        <v>65.446088218894431</v>
      </c>
      <c r="K236" s="32">
        <v>65.03480656462591</v>
      </c>
      <c r="L236" s="32">
        <v>64.635866223910128</v>
      </c>
      <c r="M236" s="32">
        <v>64.248479914522292</v>
      </c>
      <c r="N236" s="32">
        <v>63.871879163814299</v>
      </c>
      <c r="O236" s="32">
        <v>63.505290445403674</v>
      </c>
      <c r="P236" s="32">
        <v>63.147938879440659</v>
      </c>
      <c r="Q236" s="32">
        <v>62.799083364836676</v>
      </c>
      <c r="R236" s="32">
        <v>62.458053329439586</v>
      </c>
      <c r="S236" s="32">
        <v>62.124237868841462</v>
      </c>
      <c r="T236" s="32">
        <v>61.797160197251515</v>
      </c>
      <c r="U236" s="32">
        <v>61.476378613083611</v>
      </c>
      <c r="V236" s="32">
        <v>61.16150922619159</v>
      </c>
      <c r="W236" s="32">
        <v>60.852209870752183</v>
      </c>
      <c r="X236" s="32">
        <v>60.548167862061206</v>
      </c>
      <c r="Y236" s="32">
        <v>60.249093866329794</v>
      </c>
      <c r="Z236" s="32">
        <v>59.954716944932869</v>
      </c>
      <c r="AA236" s="32">
        <v>59.664784678515296</v>
      </c>
      <c r="AB236" s="32">
        <v>59.379063101725094</v>
      </c>
      <c r="AC236" s="32">
        <v>59.097336501894056</v>
      </c>
      <c r="AD236" s="32">
        <v>58.819406692609647</v>
      </c>
      <c r="AE236" s="32">
        <v>58.545091645719005</v>
      </c>
      <c r="AF236" s="32">
        <v>58.2742237888991</v>
      </c>
      <c r="AG236" s="32">
        <v>58.006648245238104</v>
      </c>
      <c r="AH236" s="32">
        <v>57.742221236235025</v>
      </c>
      <c r="AI236" s="32">
        <v>57.480808793676019</v>
      </c>
      <c r="AJ236" s="32">
        <v>57.222285777591544</v>
      </c>
      <c r="AK236" s="32">
        <v>56.966535113758312</v>
      </c>
      <c r="AL236" s="32">
        <v>56.713447267504989</v>
      </c>
      <c r="AM236" s="32">
        <v>56.462919660456144</v>
      </c>
      <c r="AN236" s="55">
        <v>56.214856244368598</v>
      </c>
      <c r="AO236" s="8"/>
    </row>
    <row r="237" spans="2:41" x14ac:dyDescent="0.35">
      <c r="B237" s="8"/>
      <c r="C237" s="10" t="str">
        <f>zEO&amp;" Costs"</f>
        <v>Operating Costs</v>
      </c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18"/>
      <c r="AO237" s="8"/>
    </row>
    <row r="238" spans="2:41" x14ac:dyDescent="0.35">
      <c r="B238" s="8"/>
      <c r="C238" s="20" t="str">
        <f>INDEX(_Sector,2,1)</f>
        <v>Residential</v>
      </c>
      <c r="D238" s="11" t="str">
        <f>_yearDol &amp; "$"</f>
        <v>2021$</v>
      </c>
      <c r="E238" s="32">
        <f t="array" aca="1" ref="E238:AN238" ca="1">(tlccEFuElec2_Res) + SUMPRODUCT(dFactor,tpSurvAll_Com,tMnR2_Res)</f>
        <v>76.467221713536219</v>
      </c>
      <c r="F238" s="32">
        <f ca="1"/>
        <v>76.527999031198988</v>
      </c>
      <c r="G238" s="32">
        <f ca="1"/>
        <v>76.623554441069444</v>
      </c>
      <c r="H238" s="32">
        <f ca="1"/>
        <v>76.734312984936537</v>
      </c>
      <c r="I238" s="32">
        <f ca="1"/>
        <v>76.838198996102903</v>
      </c>
      <c r="J238" s="32">
        <f ca="1"/>
        <v>76.925342089718058</v>
      </c>
      <c r="K238" s="32">
        <f ca="1"/>
        <v>76.992903281514785</v>
      </c>
      <c r="L238" s="32">
        <f ca="1"/>
        <v>77.04668816988405</v>
      </c>
      <c r="M238" s="32">
        <f ca="1"/>
        <v>77.074327059663716</v>
      </c>
      <c r="N238" s="32">
        <f ca="1"/>
        <v>77.079372474419102</v>
      </c>
      <c r="O238" s="32">
        <f ca="1"/>
        <v>77.043378781605554</v>
      </c>
      <c r="P238" s="32">
        <f ca="1"/>
        <v>76.973542424813616</v>
      </c>
      <c r="Q238" s="32">
        <f ca="1"/>
        <v>76.917973650264102</v>
      </c>
      <c r="R238" s="32">
        <f ca="1"/>
        <v>76.860255536404992</v>
      </c>
      <c r="S238" s="32">
        <f ca="1"/>
        <v>76.816236118244916</v>
      </c>
      <c r="T238" s="32">
        <f ca="1"/>
        <v>76.787115175772925</v>
      </c>
      <c r="U238" s="32">
        <f ca="1"/>
        <v>76.74597040436835</v>
      </c>
      <c r="V238" s="32">
        <f ca="1"/>
        <v>76.695316337467204</v>
      </c>
      <c r="W238" s="32">
        <f ca="1"/>
        <v>76.650343333684503</v>
      </c>
      <c r="X238" s="32">
        <f ca="1"/>
        <v>76.59503398054656</v>
      </c>
      <c r="Y238" s="32">
        <f ca="1"/>
        <v>76.541377090921074</v>
      </c>
      <c r="Z238" s="32">
        <f ca="1"/>
        <v>76.512196397533529</v>
      </c>
      <c r="AA238" s="32">
        <f ca="1"/>
        <v>76.473887762278835</v>
      </c>
      <c r="AB238" s="32">
        <f ca="1"/>
        <v>76.436719178449096</v>
      </c>
      <c r="AC238" s="32">
        <f ca="1"/>
        <v>76.406347087413153</v>
      </c>
      <c r="AD238" s="32">
        <f ca="1"/>
        <v>76.365015811519328</v>
      </c>
      <c r="AE238" s="32">
        <f ca="1"/>
        <v>76.331682137186334</v>
      </c>
      <c r="AF238" s="32">
        <f ca="1"/>
        <v>76.331682137186334</v>
      </c>
      <c r="AG238" s="32">
        <f ca="1"/>
        <v>76.331682137186334</v>
      </c>
      <c r="AH238" s="32">
        <f ca="1"/>
        <v>76.331682137186334</v>
      </c>
      <c r="AI238" s="32">
        <f ca="1"/>
        <v>76.331682137186334</v>
      </c>
      <c r="AJ238" s="32">
        <f ca="1"/>
        <v>76.331682137186334</v>
      </c>
      <c r="AK238" s="32">
        <f ca="1"/>
        <v>76.331682137186334</v>
      </c>
      <c r="AL238" s="32">
        <f ca="1"/>
        <v>76.331682137186334</v>
      </c>
      <c r="AM238" s="32">
        <f ca="1"/>
        <v>76.331682137186334</v>
      </c>
      <c r="AN238" s="55">
        <f ca="1"/>
        <v>76.331682137186334</v>
      </c>
      <c r="AO238" s="8"/>
    </row>
    <row r="239" spans="2:41" x14ac:dyDescent="0.35">
      <c r="B239" s="8"/>
      <c r="C239" s="50" t="str">
        <f>INDEX(_fuel,1)</f>
        <v>Electricity</v>
      </c>
      <c r="D239" s="11" t="str">
        <f>_yearDol &amp; "$"</f>
        <v>2021$</v>
      </c>
      <c r="E239" s="32">
        <f ca="1">SUMPRODUCT(dFactor,tpSurvAll_Res,tElec2_Res,OFFSET(tPrcElec_Res,0,0,1,_maxLT))</f>
        <v>32.234278055228948</v>
      </c>
      <c r="F239" s="32">
        <f ca="1">SUMPRODUCT(dFactor,tpSurvAll_Res,tElec2_Res,OFFSET(tPrcElec_Res,0,1,1,_maxLT))</f>
        <v>32.295055372891703</v>
      </c>
      <c r="G239" s="32">
        <f ca="1">SUMPRODUCT(dFactor,tpSurvAll_Res,tElec2_Res,OFFSET(tPrcElec_Res,0,2,1,_maxLT))</f>
        <v>32.390610782762167</v>
      </c>
      <c r="H239" s="32">
        <f ca="1">SUMPRODUCT(dFactor,tpSurvAll_Res,tElec2_Res,OFFSET(tPrcElec_Res,0,3,1,_maxLT))</f>
        <v>32.501369326629266</v>
      </c>
      <c r="I239" s="32">
        <f ca="1">SUMPRODUCT(dFactor,tpSurvAll_Res,tElec2_Res,OFFSET(tPrcElec_Res,0,4,1,_maxLT))</f>
        <v>32.605255337795619</v>
      </c>
      <c r="J239" s="32">
        <f ca="1">SUMPRODUCT(dFactor,tpSurvAll_Res,tElec2_Res,OFFSET(tPrcElec_Res,0,5,1,_maxLT))</f>
        <v>32.69239843141078</v>
      </c>
      <c r="K239" s="32">
        <f ca="1">SUMPRODUCT(dFactor,tpSurvAll_Res,tElec2_Res,OFFSET(tPrcElec_Res,0,6,1,_maxLT))</f>
        <v>32.759959623207507</v>
      </c>
      <c r="L239" s="32">
        <f ca="1">SUMPRODUCT(dFactor,tpSurvAll_Res,tElec2_Res,OFFSET(tPrcElec_Res,0,7,1,_maxLT))</f>
        <v>32.813744511576772</v>
      </c>
      <c r="M239" s="32">
        <f ca="1">SUMPRODUCT(dFactor,tpSurvAll_Res,tElec2_Res,OFFSET(tPrcElec_Res,0,8,1,_maxLT))</f>
        <v>32.841383401356438</v>
      </c>
      <c r="N239" s="32">
        <f ca="1">SUMPRODUCT(dFactor,tpSurvAll_Res,tElec2_Res,OFFSET(tPrcElec_Res,0,9,1,_maxLT))</f>
        <v>32.846428816111825</v>
      </c>
      <c r="O239" s="32">
        <f ca="1">SUMPRODUCT(dFactor,tpSurvAll_Res,tElec2_Res,OFFSET(tPrcElec_Res,0,10,1,_maxLT))</f>
        <v>32.810435123298276</v>
      </c>
      <c r="P239" s="32">
        <f ca="1">SUMPRODUCT(dFactor,tpSurvAll_Res,tElec2_Res,OFFSET(tPrcElec_Res,0,11,1,_maxLT))</f>
        <v>32.740598766506338</v>
      </c>
      <c r="Q239" s="32">
        <f ca="1">SUMPRODUCT(dFactor,tpSurvAll_Res,tElec2_Res,OFFSET(tPrcElec_Res,0,12,1,_maxLT))</f>
        <v>32.685029991956824</v>
      </c>
      <c r="R239" s="32">
        <f ca="1">SUMPRODUCT(dFactor,tpSurvAll_Res,tElec2_Res,OFFSET(tPrcElec_Res,0,13,1,_maxLT))</f>
        <v>32.627311878097707</v>
      </c>
      <c r="S239" s="32">
        <f ca="1">SUMPRODUCT(dFactor,tpSurvAll_Res,tElec2_Res,OFFSET(tPrcElec_Res,0,14,1,_maxLT))</f>
        <v>32.583292459937638</v>
      </c>
      <c r="T239" s="32">
        <f ca="1">SUMPRODUCT(dFactor,tpSurvAll_Res,tElec2_Res,OFFSET(tPrcElec_Res,0,15,1,_maxLT))</f>
        <v>32.55417151746564</v>
      </c>
      <c r="U239" s="32">
        <f ca="1">SUMPRODUCT(dFactor,tpSurvAll_Res,tElec2_Res,OFFSET(tPrcElec_Res,0,16,1,_maxLT))</f>
        <v>32.513026746061072</v>
      </c>
      <c r="V239" s="32">
        <f ca="1">SUMPRODUCT(dFactor,tpSurvAll_Res,tElec2_Res,OFFSET(tPrcElec_Res,0,17,1,_maxLT))</f>
        <v>32.462372679159934</v>
      </c>
      <c r="W239" s="32">
        <f ca="1">SUMPRODUCT(dFactor,tpSurvAll_Res,tElec2_Res,OFFSET(tPrcElec_Res,0,18,1,_maxLT))</f>
        <v>32.417399675377226</v>
      </c>
      <c r="X239" s="32">
        <f ca="1">SUMPRODUCT(dFactor,tpSurvAll_Res,tElec2_Res,OFFSET(tPrcElec_Res,0,19,1,_maxLT))</f>
        <v>32.36209032223929</v>
      </c>
      <c r="Y239" s="32">
        <f ca="1">SUMPRODUCT(dFactor,tpSurvAll_Res,tElec2_Res,OFFSET(tPrcElec_Res,0,20,1,_maxLT))</f>
        <v>32.308433432613796</v>
      </c>
      <c r="Z239" s="32">
        <f ca="1">SUMPRODUCT(dFactor,tpSurvAll_Res,tElec2_Res,OFFSET(tPrcElec_Res,0,21,1,_maxLT))</f>
        <v>32.279252739226251</v>
      </c>
      <c r="AA239" s="32">
        <f ca="1">SUMPRODUCT(dFactor,tpSurvAll_Res,tElec2_Res,OFFSET(tPrcElec_Res,0,22,1,_maxLT))</f>
        <v>32.240944103971557</v>
      </c>
      <c r="AB239" s="32">
        <f ca="1">SUMPRODUCT(dFactor,tpSurvAll_Res,tElec2_Res,OFFSET(tPrcElec_Res,0,23,1,_maxLT))</f>
        <v>32.203775520141811</v>
      </c>
      <c r="AC239" s="32">
        <f ca="1">SUMPRODUCT(dFactor,tpSurvAll_Res,tElec2_Res,OFFSET(tPrcElec_Res,0,24,1,_maxLT))</f>
        <v>32.173403429105875</v>
      </c>
      <c r="AD239" s="32">
        <f ca="1">SUMPRODUCT(dFactor,tpSurvAll_Res,tElec2_Res,OFFSET(tPrcElec_Res,0,25,1,_maxLT))</f>
        <v>32.132072153212057</v>
      </c>
      <c r="AE239" s="32">
        <f ca="1">SUMPRODUCT(dFactor,tpSurvAll_Res,tElec2_Res,OFFSET(tPrcElec_Res,0,26,1,_maxLT))</f>
        <v>32.098738478879064</v>
      </c>
      <c r="AF239" s="32">
        <f ca="1">SUMPRODUCT(dFactor,tpSurvAll_Res,tElec2_Res,OFFSET(tPrcElec_Res,0,27,1,_maxLT))</f>
        <v>32.098738478879064</v>
      </c>
      <c r="AG239" s="32">
        <f ca="1">SUMPRODUCT(dFactor,tpSurvAll_Res,tElec2_Res,OFFSET(tPrcElec_Res,0,28,1,_maxLT))</f>
        <v>32.098738478879064</v>
      </c>
      <c r="AH239" s="32">
        <f ca="1">SUMPRODUCT(dFactor,tpSurvAll_Res,tElec2_Res,OFFSET(tPrcElec_Res,0,29,1,_maxLT))</f>
        <v>32.098738478879064</v>
      </c>
      <c r="AI239" s="32">
        <f ca="1">SUMPRODUCT(dFactor,tpSurvAll_Res,tElec2_Res,OFFSET(tPrcElec_Res,0,30,1,_maxLT))</f>
        <v>32.098738478879064</v>
      </c>
      <c r="AJ239" s="32">
        <f ca="1">SUMPRODUCT(dFactor,tpSurvAll_Res,tElec2_Res,OFFSET(tPrcElec_Res,0,31,1,_maxLT))</f>
        <v>32.098738478879064</v>
      </c>
      <c r="AK239" s="32">
        <f ca="1">SUMPRODUCT(dFactor,tpSurvAll_Res,tElec2_Res,OFFSET(tPrcElec_Res,0,32,1,_maxLT))</f>
        <v>32.098738478879064</v>
      </c>
      <c r="AL239" s="32">
        <f ca="1">SUMPRODUCT(dFactor,tpSurvAll_Res,tElec2_Res,OFFSET(tPrcElec_Res,0,33,1,_maxLT))</f>
        <v>32.098738478879064</v>
      </c>
      <c r="AM239" s="32">
        <f ca="1">SUMPRODUCT(dFactor,tpSurvAll_Res,tElec2_Res,OFFSET(tPrcElec_Res,0,34,1,_maxLT))</f>
        <v>32.098738478879064</v>
      </c>
      <c r="AN239" s="55">
        <f ca="1">SUMPRODUCT(dFactor,tpSurvAll_Res,tElec2_Res,OFFSET(tPrcElec_Res,0,35,1,_maxLT))</f>
        <v>32.098738478879064</v>
      </c>
      <c r="AO239" s="8"/>
    </row>
    <row r="240" spans="2:41" x14ac:dyDescent="0.35">
      <c r="B240" s="8"/>
      <c r="C240" s="20" t="str">
        <f>INDEX(_Sector,2,2)</f>
        <v>Commercial</v>
      </c>
      <c r="D240" s="11" t="str">
        <f>_yearDol &amp; "$"</f>
        <v>2021$</v>
      </c>
      <c r="E240" s="32">
        <f t="array" aca="1" ref="E240:AN240" ca="1">(tlccEFuElec2_Com) + SUMPRODUCT(dFactor,tpSurvAll_Com,tMnR2_Com)</f>
        <v>95.27599534430297</v>
      </c>
      <c r="F240" s="32">
        <f ca="1"/>
        <v>95.256250956234439</v>
      </c>
      <c r="G240" s="32">
        <f ca="1"/>
        <v>95.270835166858859</v>
      </c>
      <c r="H240" s="32">
        <f ca="1"/>
        <v>95.30423054285464</v>
      </c>
      <c r="I240" s="32">
        <f ca="1"/>
        <v>95.325898300355988</v>
      </c>
      <c r="J240" s="32">
        <f ca="1"/>
        <v>95.324705576494523</v>
      </c>
      <c r="K240" s="32">
        <f ca="1"/>
        <v>95.294593728706914</v>
      </c>
      <c r="L240" s="32">
        <f ca="1"/>
        <v>95.24732731671071</v>
      </c>
      <c r="M240" s="32">
        <f ca="1"/>
        <v>95.155894618018777</v>
      </c>
      <c r="N240" s="32">
        <f ca="1"/>
        <v>95.044762389834005</v>
      </c>
      <c r="O240" s="32">
        <f ca="1"/>
        <v>94.86656886946642</v>
      </c>
      <c r="P240" s="32">
        <f ca="1"/>
        <v>94.640568398829544</v>
      </c>
      <c r="Q240" s="32">
        <f ca="1"/>
        <v>94.444849449297607</v>
      </c>
      <c r="R240" s="32">
        <f ca="1"/>
        <v>94.251382655259363</v>
      </c>
      <c r="S240" s="32">
        <f ca="1"/>
        <v>94.0812570224426</v>
      </c>
      <c r="T240" s="32">
        <f ca="1"/>
        <v>93.942102352161726</v>
      </c>
      <c r="U240" s="32">
        <f ca="1"/>
        <v>93.777446617483236</v>
      </c>
      <c r="V240" s="32">
        <f ca="1"/>
        <v>93.601963140288035</v>
      </c>
      <c r="W240" s="32">
        <f ca="1"/>
        <v>93.449367483261398</v>
      </c>
      <c r="X240" s="32">
        <f ca="1"/>
        <v>93.288281288454215</v>
      </c>
      <c r="Y240" s="32">
        <f ca="1"/>
        <v>93.128082906902776</v>
      </c>
      <c r="Z240" s="32">
        <f ca="1"/>
        <v>93.025002430984458</v>
      </c>
      <c r="AA240" s="32">
        <f ca="1"/>
        <v>92.914183877036862</v>
      </c>
      <c r="AB240" s="32">
        <f ca="1"/>
        <v>92.811739984019439</v>
      </c>
      <c r="AC240" s="32">
        <f ca="1"/>
        <v>92.740807839208856</v>
      </c>
      <c r="AD240" s="32">
        <f ca="1"/>
        <v>92.658554059720004</v>
      </c>
      <c r="AE240" s="32">
        <f ca="1"/>
        <v>92.594222646182232</v>
      </c>
      <c r="AF240" s="32">
        <f ca="1"/>
        <v>92.594222646182232</v>
      </c>
      <c r="AG240" s="32">
        <f ca="1"/>
        <v>92.594222646182232</v>
      </c>
      <c r="AH240" s="32">
        <f ca="1"/>
        <v>92.594222646182232</v>
      </c>
      <c r="AI240" s="32">
        <f ca="1"/>
        <v>92.594222646182232</v>
      </c>
      <c r="AJ240" s="32">
        <f ca="1"/>
        <v>92.594222646182232</v>
      </c>
      <c r="AK240" s="32">
        <f ca="1"/>
        <v>92.594222646182232</v>
      </c>
      <c r="AL240" s="32">
        <f ca="1"/>
        <v>92.594222646182232</v>
      </c>
      <c r="AM240" s="32">
        <f ca="1"/>
        <v>92.594222646182232</v>
      </c>
      <c r="AN240" s="55">
        <f ca="1"/>
        <v>92.594222646182232</v>
      </c>
      <c r="AO240" s="8"/>
    </row>
    <row r="241" spans="2:41" x14ac:dyDescent="0.35">
      <c r="B241" s="8"/>
      <c r="C241" s="50" t="str">
        <f>INDEX(_fuel,1)</f>
        <v>Electricity</v>
      </c>
      <c r="D241" s="11" t="str">
        <f>_yearDol &amp; "$"</f>
        <v>2021$</v>
      </c>
      <c r="E241" s="32">
        <f ca="1">SUMPRODUCT(dFactor,tpSurvAll_Com,tElec2_Com,OFFSET(tPrcElec_Com,0,0,1,_maxLT))</f>
        <v>45.208211537489142</v>
      </c>
      <c r="F241" s="32">
        <f ca="1">SUMPRODUCT(dFactor,tpSurvAll_Com,tElec2_Com,OFFSET(tPrcElec_Com,0,1,1,_maxLT))</f>
        <v>45.18846714942061</v>
      </c>
      <c r="G241" s="32">
        <f ca="1">SUMPRODUCT(dFactor,tpSurvAll_Com,tElec2_Com,OFFSET(tPrcElec_Com,0,2,1,_maxLT))</f>
        <v>45.203051360045023</v>
      </c>
      <c r="H241" s="32">
        <f ca="1">SUMPRODUCT(dFactor,tpSurvAll_Com,tElec2_Com,OFFSET(tPrcElec_Com,0,3,1,_maxLT))</f>
        <v>45.236446736040804</v>
      </c>
      <c r="I241" s="32">
        <f ca="1">SUMPRODUCT(dFactor,tpSurvAll_Com,tElec2_Com,OFFSET(tPrcElec_Com,0,4,1,_maxLT))</f>
        <v>45.258114493542152</v>
      </c>
      <c r="J241" s="32">
        <f ca="1">SUMPRODUCT(dFactor,tpSurvAll_Com,tElec2_Com,OFFSET(tPrcElec_Com,0,5,1,_maxLT))</f>
        <v>45.256921769680687</v>
      </c>
      <c r="K241" s="32">
        <f ca="1">SUMPRODUCT(dFactor,tpSurvAll_Com,tElec2_Com,OFFSET(tPrcElec_Com,0,6,1,_maxLT))</f>
        <v>45.226809921893086</v>
      </c>
      <c r="L241" s="32">
        <f ca="1">SUMPRODUCT(dFactor,tpSurvAll_Com,tElec2_Com,OFFSET(tPrcElec_Com,0,7,1,_maxLT))</f>
        <v>45.179543509896888</v>
      </c>
      <c r="M241" s="32">
        <f ca="1">SUMPRODUCT(dFactor,tpSurvAll_Com,tElec2_Com,OFFSET(tPrcElec_Com,0,8,1,_maxLT))</f>
        <v>45.088110811204949</v>
      </c>
      <c r="N241" s="32">
        <f ca="1">SUMPRODUCT(dFactor,tpSurvAll_Com,tElec2_Com,OFFSET(tPrcElec_Com,0,9,1,_maxLT))</f>
        <v>44.976978583020177</v>
      </c>
      <c r="O241" s="32">
        <f ca="1">SUMPRODUCT(dFactor,tpSurvAll_Com,tElec2_Com,OFFSET(tPrcElec_Com,0,10,1,_maxLT))</f>
        <v>44.798785062652598</v>
      </c>
      <c r="P241" s="32">
        <f ca="1">SUMPRODUCT(dFactor,tpSurvAll_Com,tElec2_Com,OFFSET(tPrcElec_Com,0,11,1,_maxLT))</f>
        <v>44.572784592015715</v>
      </c>
      <c r="Q241" s="32">
        <f ca="1">SUMPRODUCT(dFactor,tpSurvAll_Com,tElec2_Com,OFFSET(tPrcElec_Com,0,12,1,_maxLT))</f>
        <v>44.377065642483778</v>
      </c>
      <c r="R241" s="32">
        <f ca="1">SUMPRODUCT(dFactor,tpSurvAll_Com,tElec2_Com,OFFSET(tPrcElec_Com,0,13,1,_maxLT))</f>
        <v>44.183598848445534</v>
      </c>
      <c r="S241" s="32">
        <f ca="1">SUMPRODUCT(dFactor,tpSurvAll_Com,tElec2_Com,OFFSET(tPrcElec_Com,0,14,1,_maxLT))</f>
        <v>44.013473215628771</v>
      </c>
      <c r="T241" s="32">
        <f ca="1">SUMPRODUCT(dFactor,tpSurvAll_Com,tElec2_Com,OFFSET(tPrcElec_Com,0,15,1,_maxLT))</f>
        <v>43.874318545347904</v>
      </c>
      <c r="U241" s="32">
        <f ca="1">SUMPRODUCT(dFactor,tpSurvAll_Com,tElec2_Com,OFFSET(tPrcElec_Com,0,16,1,_maxLT))</f>
        <v>43.709662810669407</v>
      </c>
      <c r="V241" s="32">
        <f ca="1">SUMPRODUCT(dFactor,tpSurvAll_Com,tElec2_Com,OFFSET(tPrcElec_Com,0,17,1,_maxLT))</f>
        <v>43.534179333474214</v>
      </c>
      <c r="W241" s="32">
        <f ca="1">SUMPRODUCT(dFactor,tpSurvAll_Com,tElec2_Com,OFFSET(tPrcElec_Com,0,18,1,_maxLT))</f>
        <v>43.381583676447576</v>
      </c>
      <c r="X241" s="32">
        <f ca="1">SUMPRODUCT(dFactor,tpSurvAll_Com,tElec2_Com,OFFSET(tPrcElec_Com,0,19,1,_maxLT))</f>
        <v>43.220497481640386</v>
      </c>
      <c r="Y241" s="32">
        <f ca="1">SUMPRODUCT(dFactor,tpSurvAll_Com,tElec2_Com,OFFSET(tPrcElec_Com,0,20,1,_maxLT))</f>
        <v>43.060299100088947</v>
      </c>
      <c r="Z241" s="32">
        <f ca="1">SUMPRODUCT(dFactor,tpSurvAll_Com,tElec2_Com,OFFSET(tPrcElec_Com,0,21,1,_maxLT))</f>
        <v>42.957218624170629</v>
      </c>
      <c r="AA241" s="32">
        <f ca="1">SUMPRODUCT(dFactor,tpSurvAll_Com,tElec2_Com,OFFSET(tPrcElec_Com,0,22,1,_maxLT))</f>
        <v>42.846400070223034</v>
      </c>
      <c r="AB241" s="32">
        <f ca="1">SUMPRODUCT(dFactor,tpSurvAll_Com,tElec2_Com,OFFSET(tPrcElec_Com,0,23,1,_maxLT))</f>
        <v>42.743956177205611</v>
      </c>
      <c r="AC241" s="32">
        <f ca="1">SUMPRODUCT(dFactor,tpSurvAll_Com,tElec2_Com,OFFSET(tPrcElec_Com,0,24,1,_maxLT))</f>
        <v>42.673024032395027</v>
      </c>
      <c r="AD241" s="32">
        <f ca="1">SUMPRODUCT(dFactor,tpSurvAll_Com,tElec2_Com,OFFSET(tPrcElec_Com,0,25,1,_maxLT))</f>
        <v>42.590770252906175</v>
      </c>
      <c r="AE241" s="32">
        <f ca="1">SUMPRODUCT(dFactor,tpSurvAll_Com,tElec2_Com,OFFSET(tPrcElec_Com,0,26,1,_maxLT))</f>
        <v>42.526438839368403</v>
      </c>
      <c r="AF241" s="32">
        <f ca="1">SUMPRODUCT(dFactor,tpSurvAll_Com,tElec2_Com,OFFSET(tPrcElec_Com,0,27,1,_maxLT))</f>
        <v>42.526438839368403</v>
      </c>
      <c r="AG241" s="32">
        <f ca="1">SUMPRODUCT(dFactor,tpSurvAll_Com,tElec2_Com,OFFSET(tPrcElec_Com,0,28,1,_maxLT))</f>
        <v>42.526438839368403</v>
      </c>
      <c r="AH241" s="32">
        <f ca="1">SUMPRODUCT(dFactor,tpSurvAll_Com,tElec2_Com,OFFSET(tPrcElec_Com,0,29,1,_maxLT))</f>
        <v>42.526438839368403</v>
      </c>
      <c r="AI241" s="32">
        <f ca="1">SUMPRODUCT(dFactor,tpSurvAll_Com,tElec2_Com,OFFSET(tPrcElec_Com,0,30,1,_maxLT))</f>
        <v>42.526438839368403</v>
      </c>
      <c r="AJ241" s="32">
        <f ca="1">SUMPRODUCT(dFactor,tpSurvAll_Com,tElec2_Com,OFFSET(tPrcElec_Com,0,31,1,_maxLT))</f>
        <v>42.526438839368403</v>
      </c>
      <c r="AK241" s="32">
        <f ca="1">SUMPRODUCT(dFactor,tpSurvAll_Com,tElec2_Com,OFFSET(tPrcElec_Com,0,32,1,_maxLT))</f>
        <v>42.526438839368403</v>
      </c>
      <c r="AL241" s="32">
        <f ca="1">SUMPRODUCT(dFactor,tpSurvAll_Com,tElec2_Com,OFFSET(tPrcElec_Com,0,33,1,_maxLT))</f>
        <v>42.526438839368403</v>
      </c>
      <c r="AM241" s="32">
        <f ca="1">SUMPRODUCT(dFactor,tpSurvAll_Com,tElec2_Com,OFFSET(tPrcElec_Com,0,34,1,_maxLT))</f>
        <v>42.526438839368403</v>
      </c>
      <c r="AN241" s="55">
        <f ca="1">SUMPRODUCT(dFactor,tpSurvAll_Com,tElec2_Com,OFFSET(tPrcElec_Com,0,35,1,_maxLT))</f>
        <v>42.526438839368403</v>
      </c>
      <c r="AO241" s="8"/>
    </row>
    <row r="242" spans="2:41" x14ac:dyDescent="0.35">
      <c r="B242" s="8"/>
      <c r="C242" s="10" t="s">
        <v>78</v>
      </c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18"/>
      <c r="AO242" s="8"/>
    </row>
    <row r="243" spans="2:41" x14ac:dyDescent="0.35">
      <c r="B243" s="8"/>
      <c r="C243" s="20" t="str">
        <f>INDEX(_Sector,2,1)</f>
        <v>Residential</v>
      </c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18"/>
      <c r="AO243" s="8"/>
    </row>
    <row r="244" spans="2:41" x14ac:dyDescent="0.35">
      <c r="B244" s="8"/>
      <c r="C244" s="50" t="str">
        <f>INDEX(_fuel,1)</f>
        <v>Electricity</v>
      </c>
      <c r="D244" s="11" t="s">
        <v>80</v>
      </c>
      <c r="E244" s="40">
        <f ca="1">SUMPRODUCT(OFFSET(tConvElec_Res,0,0,1,_maxLT),tElec2_Res,tpSurvAll_Res)</f>
        <v>2.6697367529272218</v>
      </c>
      <c r="F244" s="40">
        <f ca="1">SUMPRODUCT(OFFSET(tConvElec_Res,0,1,1,_maxLT),tElec2_Res,tpSurvAll_Res)</f>
        <v>2.6565421695588056</v>
      </c>
      <c r="G244" s="40">
        <f ca="1">SUMPRODUCT(OFFSET(tConvElec_Res,0,2,1,_maxLT),tElec2_Res,tpSurvAll_Res)</f>
        <v>2.6469714746167501</v>
      </c>
      <c r="H244" s="40">
        <f ca="1">SUMPRODUCT(OFFSET(tConvElec_Res,0,3,1,_maxLT),tElec2_Res,tpSurvAll_Res)</f>
        <v>2.6394858809449451</v>
      </c>
      <c r="I244" s="40">
        <f ca="1">SUMPRODUCT(OFFSET(tConvElec_Res,0,4,1,_maxLT),tElec2_Res,tpSurvAll_Res)</f>
        <v>2.6342761947521778</v>
      </c>
      <c r="J244" s="40">
        <f ca="1">SUMPRODUCT(OFFSET(tConvElec_Res,0,5,1,_maxLT),tElec2_Res,tpSurvAll_Res)</f>
        <v>2.6301671619991653</v>
      </c>
      <c r="K244" s="40">
        <f ca="1">SUMPRODUCT(OFFSET(tConvElec_Res,0,6,1,_maxLT),tElec2_Res,tpSurvAll_Res)</f>
        <v>2.6266072913864407</v>
      </c>
      <c r="L244" s="40">
        <f ca="1">SUMPRODUCT(OFFSET(tConvElec_Res,0,7,1,_maxLT),tElec2_Res,tpSurvAll_Res)</f>
        <v>2.6227666715926343</v>
      </c>
      <c r="M244" s="40">
        <f ca="1">SUMPRODUCT(OFFSET(tConvElec_Res,0,8,1,_maxLT),tElec2_Res,tpSurvAll_Res)</f>
        <v>2.6190703432948035</v>
      </c>
      <c r="N244" s="40">
        <f ca="1">SUMPRODUCT(OFFSET(tConvElec_Res,0,9,1,_maxLT),tElec2_Res,tpSurvAll_Res)</f>
        <v>2.6155692386906342</v>
      </c>
      <c r="O244" s="40">
        <f ca="1">SUMPRODUCT(OFFSET(tConvElec_Res,0,10,1,_maxLT),tElec2_Res,tpSurvAll_Res)</f>
        <v>2.6119129787105861</v>
      </c>
      <c r="P244" s="40">
        <f ca="1">SUMPRODUCT(OFFSET(tConvElec_Res,0,11,1,_maxLT),tElec2_Res,tpSurvAll_Res)</f>
        <v>2.6088234391012723</v>
      </c>
      <c r="Q244" s="40">
        <f ca="1">SUMPRODUCT(OFFSET(tConvElec_Res,0,12,1,_maxLT),tElec2_Res,tpSurvAll_Res)</f>
        <v>2.6056539929698519</v>
      </c>
      <c r="R244" s="40">
        <f ca="1">SUMPRODUCT(OFFSET(tConvElec_Res,0,13,1,_maxLT),tElec2_Res,tpSurvAll_Res)</f>
        <v>2.6028914250455215</v>
      </c>
      <c r="S244" s="40">
        <f ca="1">SUMPRODUCT(OFFSET(tConvElec_Res,0,14,1,_maxLT),tElec2_Res,tpSurvAll_Res)</f>
        <v>2.6005643365444997</v>
      </c>
      <c r="T244" s="40">
        <f ca="1">SUMPRODUCT(OFFSET(tConvElec_Res,0,15,1,_maxLT),tElec2_Res,tpSurvAll_Res)</f>
        <v>2.5983976978851238</v>
      </c>
      <c r="U244" s="40">
        <f ca="1">SUMPRODUCT(OFFSET(tConvElec_Res,0,16,1,_maxLT),tElec2_Res,tpSurvAll_Res)</f>
        <v>2.5961710149883648</v>
      </c>
      <c r="V244" s="40">
        <f ca="1">SUMPRODUCT(OFFSET(tConvElec_Res,0,17,1,_maxLT),tElec2_Res,tpSurvAll_Res)</f>
        <v>2.5941768164303332</v>
      </c>
      <c r="W244" s="40">
        <f ca="1">SUMPRODUCT(OFFSET(tConvElec_Res,0,18,1,_maxLT),tElec2_Res,tpSurvAll_Res)</f>
        <v>2.5925456778614007</v>
      </c>
      <c r="X244" s="40">
        <f ca="1">SUMPRODUCT(OFFSET(tConvElec_Res,0,19,1,_maxLT),tElec2_Res,tpSurvAll_Res)</f>
        <v>2.5911664483846142</v>
      </c>
      <c r="Y244" s="40">
        <f ca="1">SUMPRODUCT(OFFSET(tConvElec_Res,0,20,1,_maxLT),tElec2_Res,tpSurvAll_Res)</f>
        <v>2.59005699076691</v>
      </c>
      <c r="Z244" s="40">
        <f ca="1">SUMPRODUCT(OFFSET(tConvElec_Res,0,21,1,_maxLT),tElec2_Res,tpSurvAll_Res)</f>
        <v>2.5896268436240919</v>
      </c>
      <c r="AA244" s="40">
        <f ca="1">SUMPRODUCT(OFFSET(tConvElec_Res,0,22,1,_maxLT),tElec2_Res,tpSurvAll_Res)</f>
        <v>2.589615332908568</v>
      </c>
      <c r="AB244" s="40">
        <f ca="1">SUMPRODUCT(OFFSET(tConvElec_Res,0,23,1,_maxLT),tElec2_Res,tpSurvAll_Res)</f>
        <v>2.5897337095486073</v>
      </c>
      <c r="AC244" s="40">
        <f ca="1">SUMPRODUCT(OFFSET(tConvElec_Res,0,24,1,_maxLT),tElec2_Res,tpSurvAll_Res)</f>
        <v>2.5899871960784528</v>
      </c>
      <c r="AD244" s="40">
        <f ca="1">SUMPRODUCT(OFFSET(tConvElec_Res,0,25,1,_maxLT),tElec2_Res,tpSurvAll_Res)</f>
        <v>2.5901999649145933</v>
      </c>
      <c r="AE244" s="40">
        <f ca="1">SUMPRODUCT(OFFSET(tConvElec_Res,0,26,1,_maxLT),tElec2_Res,tpSurvAll_Res)</f>
        <v>2.5902501808879701</v>
      </c>
      <c r="AF244" s="40">
        <f ca="1">SUMPRODUCT(OFFSET(tConvElec_Res,0,27,1,_maxLT),tElec2_Res,tpSurvAll_Res)</f>
        <v>2.5902501808879701</v>
      </c>
      <c r="AG244" s="40">
        <f ca="1">SUMPRODUCT(OFFSET(tConvElec_Res,0,28,1,_maxLT),tElec2_Res,tpSurvAll_Res)</f>
        <v>2.5902501808879701</v>
      </c>
      <c r="AH244" s="40">
        <f ca="1">SUMPRODUCT(OFFSET(tConvElec_Res,0,29,1,_maxLT),tElec2_Res,tpSurvAll_Res)</f>
        <v>2.5902501808879701</v>
      </c>
      <c r="AI244" s="40">
        <f ca="1">SUMPRODUCT(OFFSET(tConvElec_Res,0,30,1,_maxLT),tElec2_Res,tpSurvAll_Res)</f>
        <v>2.5902501808879701</v>
      </c>
      <c r="AJ244" s="40">
        <f ca="1">SUMPRODUCT(OFFSET(tConvElec_Res,0,31,1,_maxLT),tElec2_Res,tpSurvAll_Res)</f>
        <v>2.5902501808879701</v>
      </c>
      <c r="AK244" s="40">
        <f ca="1">SUMPRODUCT(OFFSET(tConvElec_Res,0,32,1,_maxLT),tElec2_Res,tpSurvAll_Res)</f>
        <v>2.5902501808879701</v>
      </c>
      <c r="AL244" s="40">
        <f ca="1">SUMPRODUCT(OFFSET(tConvElec_Res,0,33,1,_maxLT),tElec2_Res,tpSurvAll_Res)</f>
        <v>2.5902501808879701</v>
      </c>
      <c r="AM244" s="40">
        <f ca="1">SUMPRODUCT(OFFSET(tConvElec_Res,0,34,1,_maxLT),tElec2_Res,tpSurvAll_Res)</f>
        <v>2.5902501808879701</v>
      </c>
      <c r="AN244" s="41">
        <f ca="1">SUMPRODUCT(OFFSET(tConvElec_Res,0,35,1,_maxLT),tElec2_Res,tpSurvAll_Res)</f>
        <v>2.5902501808879701</v>
      </c>
      <c r="AO244" s="8"/>
    </row>
    <row r="245" spans="2:41" x14ac:dyDescent="0.35">
      <c r="B245" s="8"/>
      <c r="C245" s="20" t="str">
        <f>INDEX(_Sector,2,2)</f>
        <v>Commercial</v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18"/>
      <c r="AO245" s="8"/>
    </row>
    <row r="246" spans="2:41" x14ac:dyDescent="0.35">
      <c r="B246" s="8"/>
      <c r="C246" s="50" t="str">
        <f>INDEX(_fuel,1)</f>
        <v>Electricity</v>
      </c>
      <c r="D246" s="11" t="s">
        <v>80</v>
      </c>
      <c r="E246" s="40">
        <f ca="1">SUMPRODUCT(OFFSET(tConvElec_Com,0,0,1,_maxLT),tElec2_Com,tpSurvAll_Com)</f>
        <v>5.2949944707158414</v>
      </c>
      <c r="F246" s="40">
        <f ca="1">SUMPRODUCT(OFFSET(tConvElec_Com,0,1,1,_maxLT),tElec2_Com,tpSurvAll_Com)</f>
        <v>5.267816798276205</v>
      </c>
      <c r="G246" s="40">
        <f ca="1">SUMPRODUCT(OFFSET(tConvElec_Com,0,2,1,_maxLT),tElec2_Com,tpSurvAll_Com)</f>
        <v>5.2483812799959004</v>
      </c>
      <c r="H246" s="40">
        <f ca="1">SUMPRODUCT(OFFSET(tConvElec_Com,0,3,1,_maxLT),tElec2_Com,tpSurvAll_Com)</f>
        <v>5.2334402512711691</v>
      </c>
      <c r="I246" s="40">
        <f ca="1">SUMPRODUCT(OFFSET(tConvElec_Com,0,4,1,_maxLT),tElec2_Com,tpSurvAll_Com)</f>
        <v>5.2234755200117586</v>
      </c>
      <c r="J246" s="40">
        <f ca="1">SUMPRODUCT(OFFSET(tConvElec_Com,0,5,1,_maxLT),tElec2_Com,tpSurvAll_Com)</f>
        <v>5.215898088269042</v>
      </c>
      <c r="K246" s="40">
        <f ca="1">SUMPRODUCT(OFFSET(tConvElec_Com,0,6,1,_maxLT),tElec2_Com,tpSurvAll_Com)</f>
        <v>5.209431337783724</v>
      </c>
      <c r="L246" s="40">
        <f ca="1">SUMPRODUCT(OFFSET(tConvElec_Com,0,7,1,_maxLT),tElec2_Com,tpSurvAll_Com)</f>
        <v>5.2025062158874746</v>
      </c>
      <c r="M246" s="40">
        <f ca="1">SUMPRODUCT(OFFSET(tConvElec_Com,0,8,1,_maxLT),tElec2_Com,tpSurvAll_Com)</f>
        <v>5.1959620901560495</v>
      </c>
      <c r="N246" s="40">
        <f ca="1">SUMPRODUCT(OFFSET(tConvElec_Com,0,9,1,_maxLT),tElec2_Com,tpSurvAll_Com)</f>
        <v>5.1897942757248234</v>
      </c>
      <c r="O246" s="40">
        <f ca="1">SUMPRODUCT(OFFSET(tConvElec_Com,0,10,1,_maxLT),tElec2_Com,tpSurvAll_Com)</f>
        <v>5.1834185268427397</v>
      </c>
      <c r="P246" s="40">
        <f ca="1">SUMPRODUCT(OFFSET(tConvElec_Com,0,11,1,_maxLT),tElec2_Com,tpSurvAll_Com)</f>
        <v>5.1779490874083685</v>
      </c>
      <c r="Q246" s="40">
        <f ca="1">SUMPRODUCT(OFFSET(tConvElec_Com,0,12,1,_maxLT),tElec2_Com,tpSurvAll_Com)</f>
        <v>5.1722521251295435</v>
      </c>
      <c r="R246" s="40">
        <f ca="1">SUMPRODUCT(OFFSET(tConvElec_Com,0,13,1,_maxLT),tElec2_Com,tpSurvAll_Com)</f>
        <v>5.167284889585237</v>
      </c>
      <c r="S246" s="40">
        <f ca="1">SUMPRODUCT(OFFSET(tConvElec_Com,0,14,1,_maxLT),tElec2_Com,tpSurvAll_Com)</f>
        <v>5.1631588778632365</v>
      </c>
      <c r="T246" s="40">
        <f ca="1">SUMPRODUCT(OFFSET(tConvElec_Com,0,15,1,_maxLT),tElec2_Com,tpSurvAll_Com)</f>
        <v>5.1593773407591295</v>
      </c>
      <c r="U246" s="40">
        <f ca="1">SUMPRODUCT(OFFSET(tConvElec_Com,0,16,1,_maxLT),tElec2_Com,tpSurvAll_Com)</f>
        <v>5.155480350079749</v>
      </c>
      <c r="V246" s="40">
        <f ca="1">SUMPRODUCT(OFFSET(tConvElec_Com,0,17,1,_maxLT),tElec2_Com,tpSurvAll_Com)</f>
        <v>5.1519726289771306</v>
      </c>
      <c r="W246" s="40">
        <f ca="1">SUMPRODUCT(OFFSET(tConvElec_Com,0,18,1,_maxLT),tElec2_Com,tpSurvAll_Com)</f>
        <v>5.149138214210474</v>
      </c>
      <c r="X246" s="40">
        <f ca="1">SUMPRODUCT(OFFSET(tConvElec_Com,0,19,1,_maxLT),tElec2_Com,tpSurvAll_Com)</f>
        <v>5.1467687380038978</v>
      </c>
      <c r="Y246" s="40">
        <f ca="1">SUMPRODUCT(OFFSET(tConvElec_Com,0,20,1,_maxLT),tElec2_Com,tpSurvAll_Com)</f>
        <v>5.1448691412492709</v>
      </c>
      <c r="Z246" s="40">
        <f ca="1">SUMPRODUCT(OFFSET(tConvElec_Com,0,21,1,_maxLT),tElec2_Com,tpSurvAll_Com)</f>
        <v>5.1442355032977574</v>
      </c>
      <c r="AA246" s="40">
        <f ca="1">SUMPRODUCT(OFFSET(tConvElec_Com,0,22,1,_maxLT),tElec2_Com,tpSurvAll_Com)</f>
        <v>5.14436850667225</v>
      </c>
      <c r="AB246" s="40">
        <f ca="1">SUMPRODUCT(OFFSET(tConvElec_Com,0,23,1,_maxLT),tElec2_Com,tpSurvAll_Com)</f>
        <v>5.1447276635488803</v>
      </c>
      <c r="AC246" s="40">
        <f ca="1">SUMPRODUCT(OFFSET(tConvElec_Com,0,24,1,_maxLT),tElec2_Com,tpSurvAll_Com)</f>
        <v>5.1452969491229226</v>
      </c>
      <c r="AD246" s="40">
        <f ca="1">SUMPRODUCT(OFFSET(tConvElec_Com,0,25,1,_maxLT),tElec2_Com,tpSurvAll_Com)</f>
        <v>5.1457522377174492</v>
      </c>
      <c r="AE246" s="40">
        <f ca="1">SUMPRODUCT(OFFSET(tConvElec_Com,0,26,1,_maxLT),tElec2_Com,tpSurvAll_Com)</f>
        <v>5.1458708377566484</v>
      </c>
      <c r="AF246" s="40">
        <f ca="1">SUMPRODUCT(OFFSET(tConvElec_Com,0,27,1,_maxLT),tElec2_Com,tpSurvAll_Com)</f>
        <v>5.1458708377566484</v>
      </c>
      <c r="AG246" s="40">
        <f ca="1">SUMPRODUCT(OFFSET(tConvElec_Com,0,28,1,_maxLT),tElec2_Com,tpSurvAll_Com)</f>
        <v>5.1458708377566484</v>
      </c>
      <c r="AH246" s="40">
        <f ca="1">SUMPRODUCT(OFFSET(tConvElec_Com,0,29,1,_maxLT),tElec2_Com,tpSurvAll_Com)</f>
        <v>5.1458708377566484</v>
      </c>
      <c r="AI246" s="40">
        <f ca="1">SUMPRODUCT(OFFSET(tConvElec_Com,0,30,1,_maxLT),tElec2_Com,tpSurvAll_Com)</f>
        <v>5.1458708377566484</v>
      </c>
      <c r="AJ246" s="40">
        <f ca="1">SUMPRODUCT(OFFSET(tConvElec_Com,0,31,1,_maxLT),tElec2_Com,tpSurvAll_Com)</f>
        <v>5.1458708377566484</v>
      </c>
      <c r="AK246" s="40">
        <f ca="1">SUMPRODUCT(OFFSET(tConvElec_Com,0,32,1,_maxLT),tElec2_Com,tpSurvAll_Com)</f>
        <v>5.1458708377566484</v>
      </c>
      <c r="AL246" s="40">
        <f ca="1">SUMPRODUCT(OFFSET(tConvElec_Com,0,33,1,_maxLT),tElec2_Com,tpSurvAll_Com)</f>
        <v>5.1458708377566484</v>
      </c>
      <c r="AM246" s="40">
        <f ca="1">SUMPRODUCT(OFFSET(tConvElec_Com,0,34,1,_maxLT),tElec2_Com,tpSurvAll_Com)</f>
        <v>5.1458708377566484</v>
      </c>
      <c r="AN246" s="41">
        <f ca="1">SUMPRODUCT(OFFSET(tConvElec_Com,0,35,1,_maxLT),tElec2_Com,tpSurvAll_Com)</f>
        <v>5.1458708377566484</v>
      </c>
      <c r="AO246" s="8"/>
    </row>
    <row r="247" spans="2:41" x14ac:dyDescent="0.35">
      <c r="B247" s="8"/>
      <c r="C247" s="57" t="str">
        <f>"EL 3: " &amp; INDEX(_doName,1,4)</f>
        <v>EL 3: EL 3</v>
      </c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8"/>
      <c r="AO247" s="8"/>
    </row>
    <row r="248" spans="2:41" x14ac:dyDescent="0.35">
      <c r="B248" s="8"/>
      <c r="C248" s="10" t="s">
        <v>70</v>
      </c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18"/>
      <c r="AO248" s="8"/>
    </row>
    <row r="249" spans="2:41" x14ac:dyDescent="0.35">
      <c r="B249" s="8"/>
      <c r="C249" s="20" t="str">
        <f>INDEX(_Sector,2,1)</f>
        <v>Residential</v>
      </c>
      <c r="D249" s="11" t="str">
        <f>_yearDol &amp; "$"</f>
        <v>2021$</v>
      </c>
      <c r="E249" s="32">
        <f t="array" ref="E249:AN249">tMSP3_Res*tPIdxsml3 + tInst3</f>
        <v>80.629038566389568</v>
      </c>
      <c r="F249" s="32">
        <v>80.099741380324389</v>
      </c>
      <c r="G249" s="32">
        <v>79.59455424592322</v>
      </c>
      <c r="H249" s="32">
        <v>79.10953159789608</v>
      </c>
      <c r="I249" s="32">
        <v>78.641844287291221</v>
      </c>
      <c r="J249" s="32">
        <v>78.189585822423126</v>
      </c>
      <c r="K249" s="32">
        <v>77.751440383577048</v>
      </c>
      <c r="L249" s="32">
        <v>77.326442358884691</v>
      </c>
      <c r="M249" s="32">
        <v>76.913753043015319</v>
      </c>
      <c r="N249" s="32">
        <v>76.512553768804594</v>
      </c>
      <c r="O249" s="32">
        <v>76.122020485257792</v>
      </c>
      <c r="P249" s="32">
        <v>75.741327699508162</v>
      </c>
      <c r="Q249" s="32">
        <v>75.369685903785751</v>
      </c>
      <c r="R249" s="32">
        <v>75.00638072601285</v>
      </c>
      <c r="S249" s="32">
        <v>74.650761359188678</v>
      </c>
      <c r="T249" s="32">
        <v>74.302319875188104</v>
      </c>
      <c r="U249" s="32">
        <v>73.960585721694301</v>
      </c>
      <c r="V249" s="32">
        <v>73.625149933914358</v>
      </c>
      <c r="W249" s="32">
        <v>73.29564799669609</v>
      </c>
      <c r="X249" s="32">
        <v>72.97174680163188</v>
      </c>
      <c r="Y249" s="32">
        <v>72.653138116446925</v>
      </c>
      <c r="Z249" s="32">
        <v>72.339533305551555</v>
      </c>
      <c r="AA249" s="32">
        <v>72.030663462253784</v>
      </c>
      <c r="AB249" s="32">
        <v>71.726279339229407</v>
      </c>
      <c r="AC249" s="32">
        <v>71.426151134053029</v>
      </c>
      <c r="AD249" s="32">
        <v>71.130067715321644</v>
      </c>
      <c r="AE249" s="32">
        <v>70.837835165304909</v>
      </c>
      <c r="AF249" s="32">
        <v>70.54927496631737</v>
      </c>
      <c r="AG249" s="32">
        <v>70.26422212531395</v>
      </c>
      <c r="AH249" s="32">
        <v>69.982523472578109</v>
      </c>
      <c r="AI249" s="32">
        <v>69.704036289461342</v>
      </c>
      <c r="AJ249" s="32">
        <v>69.428627262196073</v>
      </c>
      <c r="AK249" s="32">
        <v>69.156171669593263</v>
      </c>
      <c r="AL249" s="32">
        <v>68.886552822478663</v>
      </c>
      <c r="AM249" s="32">
        <v>68.619661442339904</v>
      </c>
      <c r="AN249" s="55">
        <v>68.355395207327206</v>
      </c>
      <c r="AO249" s="8"/>
    </row>
    <row r="250" spans="2:41" x14ac:dyDescent="0.35">
      <c r="B250" s="8"/>
      <c r="C250" s="20" t="str">
        <f>INDEX(_Sector,2,2)</f>
        <v>Commercial</v>
      </c>
      <c r="D250" s="11" t="str">
        <f>_yearDol &amp; "$"</f>
        <v>2021$</v>
      </c>
      <c r="E250" s="32">
        <f t="array" ref="E250:AN250">tMSP3_Com*tPIdxsml3 + tInst3</f>
        <v>78.252146113433298</v>
      </c>
      <c r="F250" s="32">
        <v>77.738452269653948</v>
      </c>
      <c r="G250" s="32">
        <v>77.248157728646419</v>
      </c>
      <c r="H250" s="32">
        <v>76.777433237860222</v>
      </c>
      <c r="I250" s="32">
        <v>76.323533049844016</v>
      </c>
      <c r="J250" s="32">
        <v>75.884606875066979</v>
      </c>
      <c r="K250" s="32">
        <v>75.459377683337408</v>
      </c>
      <c r="L250" s="32">
        <v>75.0469083284069</v>
      </c>
      <c r="M250" s="32">
        <v>74.646384829441047</v>
      </c>
      <c r="N250" s="32">
        <v>74.257012653059562</v>
      </c>
      <c r="O250" s="32">
        <v>73.877992040763672</v>
      </c>
      <c r="P250" s="32">
        <v>73.508521834687954</v>
      </c>
      <c r="Q250" s="32">
        <v>73.147835801246259</v>
      </c>
      <c r="R250" s="32">
        <v>72.795240627592506</v>
      </c>
      <c r="S250" s="32">
        <v>72.450104692099757</v>
      </c>
      <c r="T250" s="32">
        <v>72.111935040038929</v>
      </c>
      <c r="U250" s="32">
        <v>71.780274990674343</v>
      </c>
      <c r="V250" s="32">
        <v>71.454727635233439</v>
      </c>
      <c r="W250" s="32">
        <v>71.134939204237426</v>
      </c>
      <c r="X250" s="32">
        <v>70.820586409101338</v>
      </c>
      <c r="Y250" s="32">
        <v>70.511370104040552</v>
      </c>
      <c r="Z250" s="32">
        <v>70.207010162257887</v>
      </c>
      <c r="AA250" s="32">
        <v>69.907245604258478</v>
      </c>
      <c r="AB250" s="32">
        <v>69.611834530369748</v>
      </c>
      <c r="AC250" s="32">
        <v>69.320553912594718</v>
      </c>
      <c r="AD250" s="32">
        <v>69.033198843549016</v>
      </c>
      <c r="AE250" s="32">
        <v>68.749581122072897</v>
      </c>
      <c r="AF250" s="32">
        <v>68.469527493067972</v>
      </c>
      <c r="AG250" s="32">
        <v>68.192877827378581</v>
      </c>
      <c r="AH250" s="32">
        <v>67.919483470633367</v>
      </c>
      <c r="AI250" s="32">
        <v>67.649205911438273</v>
      </c>
      <c r="AJ250" s="32">
        <v>67.381915766030232</v>
      </c>
      <c r="AK250" s="32">
        <v>67.117491989921064</v>
      </c>
      <c r="AL250" s="32">
        <v>66.855821333858657</v>
      </c>
      <c r="AM250" s="32">
        <v>66.596797740791288</v>
      </c>
      <c r="AN250" s="55">
        <v>66.340321905251798</v>
      </c>
      <c r="AO250" s="8"/>
    </row>
    <row r="251" spans="2:41" x14ac:dyDescent="0.35">
      <c r="B251" s="8"/>
      <c r="C251" s="10" t="str">
        <f>zEO&amp;" Costs"</f>
        <v>Operating Costs</v>
      </c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18"/>
      <c r="AO251" s="8"/>
    </row>
    <row r="252" spans="2:41" x14ac:dyDescent="0.35">
      <c r="B252" s="8"/>
      <c r="C252" s="20" t="str">
        <f>INDEX(_Sector,2,1)</f>
        <v>Residential</v>
      </c>
      <c r="D252" s="11" t="str">
        <f>_yearDol &amp; "$"</f>
        <v>2021$</v>
      </c>
      <c r="E252" s="32">
        <f t="array" aca="1" ref="E252:AN252" ca="1">(tlccEFuElec3_Res) + SUMPRODUCT(dFactor,tpSurvAll_Com,tMnR3_Res)</f>
        <v>156.37875157100362</v>
      </c>
      <c r="F252" s="32">
        <f ca="1"/>
        <v>156.41329489893559</v>
      </c>
      <c r="G252" s="32">
        <f ca="1"/>
        <v>156.46760466425201</v>
      </c>
      <c r="H252" s="32">
        <f ca="1"/>
        <v>156.53055526571319</v>
      </c>
      <c r="I252" s="32">
        <f ca="1"/>
        <v>156.58959980221567</v>
      </c>
      <c r="J252" s="32">
        <f ca="1"/>
        <v>156.63912835292362</v>
      </c>
      <c r="K252" s="32">
        <f ca="1"/>
        <v>156.67752735593092</v>
      </c>
      <c r="L252" s="32">
        <f ca="1"/>
        <v>156.70809647461155</v>
      </c>
      <c r="M252" s="32">
        <f ca="1"/>
        <v>156.72380528293098</v>
      </c>
      <c r="N252" s="32">
        <f ca="1"/>
        <v>156.72667288918854</v>
      </c>
      <c r="O252" s="32">
        <f ca="1"/>
        <v>156.70621555441048</v>
      </c>
      <c r="P252" s="32">
        <f ca="1"/>
        <v>156.66652344118458</v>
      </c>
      <c r="Q252" s="32">
        <f ca="1"/>
        <v>156.63494043496024</v>
      </c>
      <c r="R252" s="32">
        <f ca="1"/>
        <v>156.60213583266253</v>
      </c>
      <c r="S252" s="32">
        <f ca="1"/>
        <v>156.57711700565022</v>
      </c>
      <c r="T252" s="32">
        <f ca="1"/>
        <v>156.56056585952891</v>
      </c>
      <c r="U252" s="32">
        <f ca="1"/>
        <v>156.53718086351444</v>
      </c>
      <c r="V252" s="32">
        <f ca="1"/>
        <v>156.50839117500331</v>
      </c>
      <c r="W252" s="32">
        <f ca="1"/>
        <v>156.48283036913867</v>
      </c>
      <c r="X252" s="32">
        <f ca="1"/>
        <v>156.45139480737615</v>
      </c>
      <c r="Y252" s="32">
        <f ca="1"/>
        <v>156.42089843791763</v>
      </c>
      <c r="Z252" s="32">
        <f ca="1"/>
        <v>156.40431333183312</v>
      </c>
      <c r="AA252" s="32">
        <f ca="1"/>
        <v>156.38254027897202</v>
      </c>
      <c r="AB252" s="32">
        <f ca="1"/>
        <v>156.36141518445697</v>
      </c>
      <c r="AC252" s="32">
        <f ca="1"/>
        <v>156.34415293694457</v>
      </c>
      <c r="AD252" s="32">
        <f ca="1"/>
        <v>156.32066193944831</v>
      </c>
      <c r="AE252" s="32">
        <f ca="1"/>
        <v>156.30171644978304</v>
      </c>
      <c r="AF252" s="32">
        <f ca="1"/>
        <v>156.30171644978304</v>
      </c>
      <c r="AG252" s="32">
        <f ca="1"/>
        <v>156.30171644978304</v>
      </c>
      <c r="AH252" s="32">
        <f ca="1"/>
        <v>156.30171644978304</v>
      </c>
      <c r="AI252" s="32">
        <f ca="1"/>
        <v>156.30171644978304</v>
      </c>
      <c r="AJ252" s="32">
        <f ca="1"/>
        <v>156.30171644978304</v>
      </c>
      <c r="AK252" s="32">
        <f ca="1"/>
        <v>156.30171644978304</v>
      </c>
      <c r="AL252" s="32">
        <f ca="1"/>
        <v>156.30171644978304</v>
      </c>
      <c r="AM252" s="32">
        <f ca="1"/>
        <v>156.30171644978304</v>
      </c>
      <c r="AN252" s="55">
        <f ca="1"/>
        <v>156.30171644978304</v>
      </c>
      <c r="AO252" s="8"/>
    </row>
    <row r="253" spans="2:41" x14ac:dyDescent="0.35">
      <c r="B253" s="8"/>
      <c r="C253" s="50" t="str">
        <f>INDEX(_fuel,1)</f>
        <v>Electricity</v>
      </c>
      <c r="D253" s="11" t="str">
        <f>_yearDol &amp; "$"</f>
        <v>2021$</v>
      </c>
      <c r="E253" s="32">
        <f ca="1">SUMPRODUCT(dFactor,tpSurvAll_Res,tElec3_Res,OFFSET(tPrcElec_Res,0,0,1,_maxLT))</f>
        <v>18.320638032924879</v>
      </c>
      <c r="F253" s="32">
        <f ca="1">SUMPRODUCT(dFactor,tpSurvAll_Res,tElec3_Res,OFFSET(tPrcElec_Res,0,1,1,_maxLT))</f>
        <v>18.355181360856836</v>
      </c>
      <c r="G253" s="32">
        <f ca="1">SUMPRODUCT(dFactor,tpSurvAll_Res,tElec3_Res,OFFSET(tPrcElec_Res,0,2,1,_maxLT))</f>
        <v>18.409491126173272</v>
      </c>
      <c r="H253" s="32">
        <f ca="1">SUMPRODUCT(dFactor,tpSurvAll_Res,tElec3_Res,OFFSET(tPrcElec_Res,0,3,1,_maxLT))</f>
        <v>18.472441727634447</v>
      </c>
      <c r="I253" s="32">
        <f ca="1">SUMPRODUCT(dFactor,tpSurvAll_Res,tElec3_Res,OFFSET(tPrcElec_Res,0,4,1,_maxLT))</f>
        <v>18.53148626413692</v>
      </c>
      <c r="J253" s="32">
        <f ca="1">SUMPRODUCT(dFactor,tpSurvAll_Res,tElec3_Res,OFFSET(tPrcElec_Res,0,5,1,_maxLT))</f>
        <v>18.581014814844874</v>
      </c>
      <c r="K253" s="32">
        <f ca="1">SUMPRODUCT(dFactor,tpSurvAll_Res,tElec3_Res,OFFSET(tPrcElec_Res,0,6,1,_maxLT))</f>
        <v>18.619413817852177</v>
      </c>
      <c r="L253" s="32">
        <f ca="1">SUMPRODUCT(dFactor,tpSurvAll_Res,tElec3_Res,OFFSET(tPrcElec_Res,0,7,1,_maxLT))</f>
        <v>18.649982936532798</v>
      </c>
      <c r="M253" s="32">
        <f ca="1">SUMPRODUCT(dFactor,tpSurvAll_Res,tElec3_Res,OFFSET(tPrcElec_Res,0,8,1,_maxLT))</f>
        <v>18.665691744852236</v>
      </c>
      <c r="N253" s="32">
        <f ca="1">SUMPRODUCT(dFactor,tpSurvAll_Res,tElec3_Res,OFFSET(tPrcElec_Res,0,9,1,_maxLT))</f>
        <v>18.668559351109806</v>
      </c>
      <c r="O253" s="32">
        <f ca="1">SUMPRODUCT(dFactor,tpSurvAll_Res,tElec3_Res,OFFSET(tPrcElec_Res,0,10,1,_maxLT))</f>
        <v>18.64810201633173</v>
      </c>
      <c r="P253" s="32">
        <f ca="1">SUMPRODUCT(dFactor,tpSurvAll_Res,tElec3_Res,OFFSET(tPrcElec_Res,0,11,1,_maxLT))</f>
        <v>18.608409903105834</v>
      </c>
      <c r="Q253" s="32">
        <f ca="1">SUMPRODUCT(dFactor,tpSurvAll_Res,tElec3_Res,OFFSET(tPrcElec_Res,0,12,1,_maxLT))</f>
        <v>18.576826896881514</v>
      </c>
      <c r="R253" s="32">
        <f ca="1">SUMPRODUCT(dFactor,tpSurvAll_Res,tElec3_Res,OFFSET(tPrcElec_Res,0,13,1,_maxLT))</f>
        <v>18.544022294583783</v>
      </c>
      <c r="S253" s="32">
        <f ca="1">SUMPRODUCT(dFactor,tpSurvAll_Res,tElec3_Res,OFFSET(tPrcElec_Res,0,14,1,_maxLT))</f>
        <v>18.519003467571476</v>
      </c>
      <c r="T253" s="32">
        <f ca="1">SUMPRODUCT(dFactor,tpSurvAll_Res,tElec3_Res,OFFSET(tPrcElec_Res,0,15,1,_maxLT))</f>
        <v>18.502452321450157</v>
      </c>
      <c r="U253" s="32">
        <f ca="1">SUMPRODUCT(dFactor,tpSurvAll_Res,tElec3_Res,OFFSET(tPrcElec_Res,0,16,1,_maxLT))</f>
        <v>18.4790673254357</v>
      </c>
      <c r="V253" s="32">
        <f ca="1">SUMPRODUCT(dFactor,tpSurvAll_Res,tElec3_Res,OFFSET(tPrcElec_Res,0,17,1,_maxLT))</f>
        <v>18.450277636924568</v>
      </c>
      <c r="W253" s="32">
        <f ca="1">SUMPRODUCT(dFactor,tpSurvAll_Res,tElec3_Res,OFFSET(tPrcElec_Res,0,18,1,_maxLT))</f>
        <v>18.424716831059925</v>
      </c>
      <c r="X253" s="32">
        <f ca="1">SUMPRODUCT(dFactor,tpSurvAll_Res,tElec3_Res,OFFSET(tPrcElec_Res,0,19,1,_maxLT))</f>
        <v>18.393281269297411</v>
      </c>
      <c r="Y253" s="32">
        <f ca="1">SUMPRODUCT(dFactor,tpSurvAll_Res,tElec3_Res,OFFSET(tPrcElec_Res,0,20,1,_maxLT))</f>
        <v>18.362784899838879</v>
      </c>
      <c r="Z253" s="32">
        <f ca="1">SUMPRODUCT(dFactor,tpSurvAll_Res,tElec3_Res,OFFSET(tPrcElec_Res,0,21,1,_maxLT))</f>
        <v>18.346199793754391</v>
      </c>
      <c r="AA253" s="32">
        <f ca="1">SUMPRODUCT(dFactor,tpSurvAll_Res,tElec3_Res,OFFSET(tPrcElec_Res,0,22,1,_maxLT))</f>
        <v>18.324426740893266</v>
      </c>
      <c r="AB253" s="32">
        <f ca="1">SUMPRODUCT(dFactor,tpSurvAll_Res,tElec3_Res,OFFSET(tPrcElec_Res,0,23,1,_maxLT))</f>
        <v>18.303301646378216</v>
      </c>
      <c r="AC253" s="32">
        <f ca="1">SUMPRODUCT(dFactor,tpSurvAll_Res,tElec3_Res,OFFSET(tPrcElec_Res,0,24,1,_maxLT))</f>
        <v>18.286039398865832</v>
      </c>
      <c r="AD253" s="32">
        <f ca="1">SUMPRODUCT(dFactor,tpSurvAll_Res,tElec3_Res,OFFSET(tPrcElec_Res,0,25,1,_maxLT))</f>
        <v>18.262548401369557</v>
      </c>
      <c r="AE253" s="32">
        <f ca="1">SUMPRODUCT(dFactor,tpSurvAll_Res,tElec3_Res,OFFSET(tPrcElec_Res,0,26,1,_maxLT))</f>
        <v>18.243602911704308</v>
      </c>
      <c r="AF253" s="32">
        <f ca="1">SUMPRODUCT(dFactor,tpSurvAll_Res,tElec3_Res,OFFSET(tPrcElec_Res,0,27,1,_maxLT))</f>
        <v>18.243602911704308</v>
      </c>
      <c r="AG253" s="32">
        <f ca="1">SUMPRODUCT(dFactor,tpSurvAll_Res,tElec3_Res,OFFSET(tPrcElec_Res,0,28,1,_maxLT))</f>
        <v>18.243602911704308</v>
      </c>
      <c r="AH253" s="32">
        <f ca="1">SUMPRODUCT(dFactor,tpSurvAll_Res,tElec3_Res,OFFSET(tPrcElec_Res,0,29,1,_maxLT))</f>
        <v>18.243602911704308</v>
      </c>
      <c r="AI253" s="32">
        <f ca="1">SUMPRODUCT(dFactor,tpSurvAll_Res,tElec3_Res,OFFSET(tPrcElec_Res,0,30,1,_maxLT))</f>
        <v>18.243602911704308</v>
      </c>
      <c r="AJ253" s="32">
        <f ca="1">SUMPRODUCT(dFactor,tpSurvAll_Res,tElec3_Res,OFFSET(tPrcElec_Res,0,31,1,_maxLT))</f>
        <v>18.243602911704308</v>
      </c>
      <c r="AK253" s="32">
        <f ca="1">SUMPRODUCT(dFactor,tpSurvAll_Res,tElec3_Res,OFFSET(tPrcElec_Res,0,32,1,_maxLT))</f>
        <v>18.243602911704308</v>
      </c>
      <c r="AL253" s="32">
        <f ca="1">SUMPRODUCT(dFactor,tpSurvAll_Res,tElec3_Res,OFFSET(tPrcElec_Res,0,33,1,_maxLT))</f>
        <v>18.243602911704308</v>
      </c>
      <c r="AM253" s="32">
        <f ca="1">SUMPRODUCT(dFactor,tpSurvAll_Res,tElec3_Res,OFFSET(tPrcElec_Res,0,34,1,_maxLT))</f>
        <v>18.243602911704308</v>
      </c>
      <c r="AN253" s="55">
        <f ca="1">SUMPRODUCT(dFactor,tpSurvAll_Res,tElec3_Res,OFFSET(tPrcElec_Res,0,35,1,_maxLT))</f>
        <v>18.243602911704308</v>
      </c>
      <c r="AO253" s="8"/>
    </row>
    <row r="254" spans="2:41" x14ac:dyDescent="0.35">
      <c r="B254" s="8"/>
      <c r="C254" s="20" t="str">
        <f>INDEX(_Sector,2,2)</f>
        <v>Commercial</v>
      </c>
      <c r="D254" s="11" t="str">
        <f>_yearDol &amp; "$"</f>
        <v>2021$</v>
      </c>
      <c r="E254" s="32">
        <f t="array" aca="1" ref="E254:AN254" ca="1">(tlccEFuElec3_Com) + SUMPRODUCT(dFactor,tpSurvAll_Com,tMnR3_Com)</f>
        <v>185.5513861082301</v>
      </c>
      <c r="F254" s="32">
        <f ca="1"/>
        <v>185.54028593739639</v>
      </c>
      <c r="G254" s="32">
        <f ca="1"/>
        <v>185.54848508891448</v>
      </c>
      <c r="H254" s="32">
        <f ca="1"/>
        <v>185.56725975933333</v>
      </c>
      <c r="I254" s="32">
        <f ca="1"/>
        <v>185.57944123636941</v>
      </c>
      <c r="J254" s="32">
        <f ca="1"/>
        <v>185.57877069451348</v>
      </c>
      <c r="K254" s="32">
        <f ca="1"/>
        <v>185.56184200300879</v>
      </c>
      <c r="L254" s="32">
        <f ca="1"/>
        <v>185.53526912336156</v>
      </c>
      <c r="M254" s="32">
        <f ca="1"/>
        <v>185.48386623501963</v>
      </c>
      <c r="N254" s="32">
        <f ca="1"/>
        <v>185.42138839505319</v>
      </c>
      <c r="O254" s="32">
        <f ca="1"/>
        <v>185.3212091182545</v>
      </c>
      <c r="P254" s="32">
        <f ca="1"/>
        <v>185.19415307458993</v>
      </c>
      <c r="Q254" s="32">
        <f ca="1"/>
        <v>185.08412111170227</v>
      </c>
      <c r="R254" s="32">
        <f ca="1"/>
        <v>184.97535529647323</v>
      </c>
      <c r="S254" s="32">
        <f ca="1"/>
        <v>184.87971173533055</v>
      </c>
      <c r="T254" s="32">
        <f ca="1"/>
        <v>184.80147985460258</v>
      </c>
      <c r="U254" s="32">
        <f ca="1"/>
        <v>184.70891143580246</v>
      </c>
      <c r="V254" s="32">
        <f ca="1"/>
        <v>184.6102557282365</v>
      </c>
      <c r="W254" s="32">
        <f ca="1"/>
        <v>184.52446740926723</v>
      </c>
      <c r="X254" s="32">
        <f ca="1"/>
        <v>184.43390576334011</v>
      </c>
      <c r="Y254" s="32">
        <f ca="1"/>
        <v>184.34384324044345</v>
      </c>
      <c r="Z254" s="32">
        <f ca="1"/>
        <v>184.28589204497763</v>
      </c>
      <c r="AA254" s="32">
        <f ca="1"/>
        <v>184.22359055069518</v>
      </c>
      <c r="AB254" s="32">
        <f ca="1"/>
        <v>184.16599723813388</v>
      </c>
      <c r="AC254" s="32">
        <f ca="1"/>
        <v>184.12611963229139</v>
      </c>
      <c r="AD254" s="32">
        <f ca="1"/>
        <v>184.07987707461504</v>
      </c>
      <c r="AE254" s="32">
        <f ca="1"/>
        <v>184.0437103583935</v>
      </c>
      <c r="AF254" s="32">
        <f ca="1"/>
        <v>184.0437103583935</v>
      </c>
      <c r="AG254" s="32">
        <f ca="1"/>
        <v>184.0437103583935</v>
      </c>
      <c r="AH254" s="32">
        <f ca="1"/>
        <v>184.0437103583935</v>
      </c>
      <c r="AI254" s="32">
        <f ca="1"/>
        <v>184.0437103583935</v>
      </c>
      <c r="AJ254" s="32">
        <f ca="1"/>
        <v>184.0437103583935</v>
      </c>
      <c r="AK254" s="32">
        <f ca="1"/>
        <v>184.0437103583935</v>
      </c>
      <c r="AL254" s="32">
        <f ca="1"/>
        <v>184.0437103583935</v>
      </c>
      <c r="AM254" s="32">
        <f ca="1"/>
        <v>184.0437103583935</v>
      </c>
      <c r="AN254" s="55">
        <f ca="1"/>
        <v>184.0437103583935</v>
      </c>
      <c r="AO254" s="8"/>
    </row>
    <row r="255" spans="2:41" x14ac:dyDescent="0.35">
      <c r="B255" s="8"/>
      <c r="C255" s="50" t="str">
        <f>INDEX(_fuel,1)</f>
        <v>Electricity</v>
      </c>
      <c r="D255" s="11" t="str">
        <f>_yearDol &amp; "$"</f>
        <v>2021$</v>
      </c>
      <c r="E255" s="32">
        <f ca="1">SUMPRODUCT(dFactor,tpSurvAll_Com,tElec3_Com,OFFSET(tPrcElec_Com,0,0,1,_maxLT))</f>
        <v>25.415772289843364</v>
      </c>
      <c r="F255" s="32">
        <f ca="1">SUMPRODUCT(dFactor,tpSurvAll_Com,tElec3_Com,OFFSET(tPrcElec_Com,0,1,1,_maxLT))</f>
        <v>25.40467211900966</v>
      </c>
      <c r="G255" s="32">
        <f ca="1">SUMPRODUCT(dFactor,tpSurvAll_Com,tElec3_Com,OFFSET(tPrcElec_Com,0,2,1,_maxLT))</f>
        <v>25.412871270527745</v>
      </c>
      <c r="H255" s="32">
        <f ca="1">SUMPRODUCT(dFactor,tpSurvAll_Com,tElec3_Com,OFFSET(tPrcElec_Com,0,3,1,_maxLT))</f>
        <v>25.431645940946598</v>
      </c>
      <c r="I255" s="32">
        <f ca="1">SUMPRODUCT(dFactor,tpSurvAll_Com,tElec3_Com,OFFSET(tPrcElec_Com,0,4,1,_maxLT))</f>
        <v>25.443827417982671</v>
      </c>
      <c r="J255" s="32">
        <f ca="1">SUMPRODUCT(dFactor,tpSurvAll_Com,tElec3_Com,OFFSET(tPrcElec_Com,0,5,1,_maxLT))</f>
        <v>25.443156876126746</v>
      </c>
      <c r="K255" s="32">
        <f ca="1">SUMPRODUCT(dFactor,tpSurvAll_Com,tElec3_Com,OFFSET(tPrcElec_Com,0,6,1,_maxLT))</f>
        <v>25.426228184622076</v>
      </c>
      <c r="L255" s="32">
        <f ca="1">SUMPRODUCT(dFactor,tpSurvAll_Com,tElec3_Com,OFFSET(tPrcElec_Com,0,7,1,_maxLT))</f>
        <v>25.399655304974821</v>
      </c>
      <c r="M255" s="32">
        <f ca="1">SUMPRODUCT(dFactor,tpSurvAll_Com,tElec3_Com,OFFSET(tPrcElec_Com,0,8,1,_maxLT))</f>
        <v>25.348252416632892</v>
      </c>
      <c r="N255" s="32">
        <f ca="1">SUMPRODUCT(dFactor,tpSurvAll_Com,tElec3_Com,OFFSET(tPrcElec_Com,0,9,1,_maxLT))</f>
        <v>25.285774576666466</v>
      </c>
      <c r="O255" s="32">
        <f ca="1">SUMPRODUCT(dFactor,tpSurvAll_Com,tElec3_Com,OFFSET(tPrcElec_Com,0,10,1,_maxLT))</f>
        <v>25.185595299867774</v>
      </c>
      <c r="P255" s="32">
        <f ca="1">SUMPRODUCT(dFactor,tpSurvAll_Com,tElec3_Com,OFFSET(tPrcElec_Com,0,11,1,_maxLT))</f>
        <v>25.058539256203208</v>
      </c>
      <c r="Q255" s="32">
        <f ca="1">SUMPRODUCT(dFactor,tpSurvAll_Com,tElec3_Com,OFFSET(tPrcElec_Com,0,12,1,_maxLT))</f>
        <v>24.948507293315537</v>
      </c>
      <c r="R255" s="32">
        <f ca="1">SUMPRODUCT(dFactor,tpSurvAll_Com,tElec3_Com,OFFSET(tPrcElec_Com,0,13,1,_maxLT))</f>
        <v>24.839741478086491</v>
      </c>
      <c r="S255" s="32">
        <f ca="1">SUMPRODUCT(dFactor,tpSurvAll_Com,tElec3_Com,OFFSET(tPrcElec_Com,0,14,1,_maxLT))</f>
        <v>24.744097916943829</v>
      </c>
      <c r="T255" s="32">
        <f ca="1">SUMPRODUCT(dFactor,tpSurvAll_Com,tElec3_Com,OFFSET(tPrcElec_Com,0,15,1,_maxLT))</f>
        <v>24.665866036215835</v>
      </c>
      <c r="U255" s="32">
        <f ca="1">SUMPRODUCT(dFactor,tpSurvAll_Com,tElec3_Com,OFFSET(tPrcElec_Com,0,16,1,_maxLT))</f>
        <v>24.573297617415733</v>
      </c>
      <c r="V255" s="32">
        <f ca="1">SUMPRODUCT(dFactor,tpSurvAll_Com,tElec3_Com,OFFSET(tPrcElec_Com,0,17,1,_maxLT))</f>
        <v>24.474641909849773</v>
      </c>
      <c r="W255" s="32">
        <f ca="1">SUMPRODUCT(dFactor,tpSurvAll_Com,tElec3_Com,OFFSET(tPrcElec_Com,0,18,1,_maxLT))</f>
        <v>24.388853590880505</v>
      </c>
      <c r="X255" s="32">
        <f ca="1">SUMPRODUCT(dFactor,tpSurvAll_Com,tElec3_Com,OFFSET(tPrcElec_Com,0,19,1,_maxLT))</f>
        <v>24.29829194495338</v>
      </c>
      <c r="Y255" s="32">
        <f ca="1">SUMPRODUCT(dFactor,tpSurvAll_Com,tElec3_Com,OFFSET(tPrcElec_Com,0,20,1,_maxLT))</f>
        <v>24.208229422056704</v>
      </c>
      <c r="Z255" s="32">
        <f ca="1">SUMPRODUCT(dFactor,tpSurvAll_Com,tElec3_Com,OFFSET(tPrcElec_Com,0,21,1,_maxLT))</f>
        <v>24.150278226590892</v>
      </c>
      <c r="AA255" s="32">
        <f ca="1">SUMPRODUCT(dFactor,tpSurvAll_Com,tElec3_Com,OFFSET(tPrcElec_Com,0,22,1,_maxLT))</f>
        <v>24.087976732308459</v>
      </c>
      <c r="AB255" s="32">
        <f ca="1">SUMPRODUCT(dFactor,tpSurvAll_Com,tElec3_Com,OFFSET(tPrcElec_Com,0,23,1,_maxLT))</f>
        <v>24.030383419747164</v>
      </c>
      <c r="AC255" s="32">
        <f ca="1">SUMPRODUCT(dFactor,tpSurvAll_Com,tElec3_Com,OFFSET(tPrcElec_Com,0,24,1,_maxLT))</f>
        <v>23.990505813904672</v>
      </c>
      <c r="AD255" s="32">
        <f ca="1">SUMPRODUCT(dFactor,tpSurvAll_Com,tElec3_Com,OFFSET(tPrcElec_Com,0,25,1,_maxLT))</f>
        <v>23.944263256228307</v>
      </c>
      <c r="AE255" s="32">
        <f ca="1">SUMPRODUCT(dFactor,tpSurvAll_Com,tElec3_Com,OFFSET(tPrcElec_Com,0,26,1,_maxLT))</f>
        <v>23.90809654000677</v>
      </c>
      <c r="AF255" s="32">
        <f ca="1">SUMPRODUCT(dFactor,tpSurvAll_Com,tElec3_Com,OFFSET(tPrcElec_Com,0,27,1,_maxLT))</f>
        <v>23.90809654000677</v>
      </c>
      <c r="AG255" s="32">
        <f ca="1">SUMPRODUCT(dFactor,tpSurvAll_Com,tElec3_Com,OFFSET(tPrcElec_Com,0,28,1,_maxLT))</f>
        <v>23.90809654000677</v>
      </c>
      <c r="AH255" s="32">
        <f ca="1">SUMPRODUCT(dFactor,tpSurvAll_Com,tElec3_Com,OFFSET(tPrcElec_Com,0,29,1,_maxLT))</f>
        <v>23.90809654000677</v>
      </c>
      <c r="AI255" s="32">
        <f ca="1">SUMPRODUCT(dFactor,tpSurvAll_Com,tElec3_Com,OFFSET(tPrcElec_Com,0,30,1,_maxLT))</f>
        <v>23.90809654000677</v>
      </c>
      <c r="AJ255" s="32">
        <f ca="1">SUMPRODUCT(dFactor,tpSurvAll_Com,tElec3_Com,OFFSET(tPrcElec_Com,0,31,1,_maxLT))</f>
        <v>23.90809654000677</v>
      </c>
      <c r="AK255" s="32">
        <f ca="1">SUMPRODUCT(dFactor,tpSurvAll_Com,tElec3_Com,OFFSET(tPrcElec_Com,0,32,1,_maxLT))</f>
        <v>23.90809654000677</v>
      </c>
      <c r="AL255" s="32">
        <f ca="1">SUMPRODUCT(dFactor,tpSurvAll_Com,tElec3_Com,OFFSET(tPrcElec_Com,0,33,1,_maxLT))</f>
        <v>23.90809654000677</v>
      </c>
      <c r="AM255" s="32">
        <f ca="1">SUMPRODUCT(dFactor,tpSurvAll_Com,tElec3_Com,OFFSET(tPrcElec_Com,0,34,1,_maxLT))</f>
        <v>23.90809654000677</v>
      </c>
      <c r="AN255" s="55">
        <f ca="1">SUMPRODUCT(dFactor,tpSurvAll_Com,tElec3_Com,OFFSET(tPrcElec_Com,0,35,1,_maxLT))</f>
        <v>23.90809654000677</v>
      </c>
      <c r="AO255" s="8"/>
    </row>
    <row r="256" spans="2:41" x14ac:dyDescent="0.35">
      <c r="B256" s="8"/>
      <c r="C256" s="10" t="s">
        <v>78</v>
      </c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18"/>
      <c r="AO256" s="8"/>
    </row>
    <row r="257" spans="2:41" x14ac:dyDescent="0.35">
      <c r="B257" s="8"/>
      <c r="C257" s="20" t="str">
        <f>INDEX(_Sector,2,1)</f>
        <v>Residential</v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18"/>
      <c r="AO257" s="8"/>
    </row>
    <row r="258" spans="2:41" x14ac:dyDescent="0.35">
      <c r="B258" s="8"/>
      <c r="C258" s="50" t="str">
        <f>INDEX(_fuel,1)</f>
        <v>Electricity</v>
      </c>
      <c r="D258" s="11" t="s">
        <v>80</v>
      </c>
      <c r="E258" s="40">
        <f ca="1">SUMPRODUCT(OFFSET(tConvElec_Res,0,0,1,_maxLT),tElec3_Res,tpSurvAll_Res)</f>
        <v>1.5173685791806213</v>
      </c>
      <c r="F258" s="40">
        <f ca="1">SUMPRODUCT(OFFSET(tConvElec_Res,0,1,1,_maxLT),tElec3_Res,tpSurvAll_Res)</f>
        <v>1.5098693206126517</v>
      </c>
      <c r="G258" s="40">
        <f ca="1">SUMPRODUCT(OFFSET(tConvElec_Res,0,2,1,_maxLT),tElec3_Res,tpSurvAll_Res)</f>
        <v>1.5044297311961763</v>
      </c>
      <c r="H258" s="40">
        <f ca="1">SUMPRODUCT(OFFSET(tConvElec_Res,0,3,1,_maxLT),tElec3_Res,tpSurvAll_Res)</f>
        <v>1.5001752275932809</v>
      </c>
      <c r="I258" s="40">
        <f ca="1">SUMPRODUCT(OFFSET(tConvElec_Res,0,4,1,_maxLT),tElec3_Res,tpSurvAll_Res)</f>
        <v>1.4972142562062603</v>
      </c>
      <c r="J258" s="40">
        <f ca="1">SUMPRODUCT(OFFSET(tConvElec_Res,0,5,1,_maxLT),tElec3_Res,tpSurvAll_Res)</f>
        <v>1.4948788509707405</v>
      </c>
      <c r="K258" s="40">
        <f ca="1">SUMPRODUCT(OFFSET(tConvElec_Res,0,6,1,_maxLT),tElec3_Res,tpSurvAll_Res)</f>
        <v>1.4928555669118255</v>
      </c>
      <c r="L258" s="40">
        <f ca="1">SUMPRODUCT(OFFSET(tConvElec_Res,0,7,1,_maxLT),tElec3_Res,tpSurvAll_Res)</f>
        <v>1.4906727165640112</v>
      </c>
      <c r="M258" s="40">
        <f ca="1">SUMPRODUCT(OFFSET(tConvElec_Res,0,8,1,_maxLT),tElec3_Res,tpSurvAll_Res)</f>
        <v>1.488571875568615</v>
      </c>
      <c r="N258" s="40">
        <f ca="1">SUMPRODUCT(OFFSET(tConvElec_Res,0,9,1,_maxLT),tElec3_Res,tpSurvAll_Res)</f>
        <v>1.4865819916922491</v>
      </c>
      <c r="O258" s="40">
        <f ca="1">SUMPRODUCT(OFFSET(tConvElec_Res,0,10,1,_maxLT),tElec3_Res,tpSurvAll_Res)</f>
        <v>1.484503923880897</v>
      </c>
      <c r="P258" s="40">
        <f ca="1">SUMPRODUCT(OFFSET(tConvElec_Res,0,11,1,_maxLT),tElec3_Res,tpSurvAll_Res)</f>
        <v>1.4827479566222652</v>
      </c>
      <c r="Q258" s="40">
        <f ca="1">SUMPRODUCT(OFFSET(tConvElec_Res,0,12,1,_maxLT),tElec3_Res,tpSurvAll_Res)</f>
        <v>1.4809465737825711</v>
      </c>
      <c r="R258" s="40">
        <f ca="1">SUMPRODUCT(OFFSET(tConvElec_Res,0,13,1,_maxLT),tElec3_Res,tpSurvAll_Res)</f>
        <v>1.4793764437831873</v>
      </c>
      <c r="S258" s="40">
        <f ca="1">SUMPRODUCT(OFFSET(tConvElec_Res,0,14,1,_maxLT),tElec3_Res,tpSurvAll_Res)</f>
        <v>1.4780538223792032</v>
      </c>
      <c r="T258" s="40">
        <f ca="1">SUMPRODUCT(OFFSET(tConvElec_Res,0,15,1,_maxLT),tElec3_Res,tpSurvAll_Res)</f>
        <v>1.4768223940668159</v>
      </c>
      <c r="U258" s="40">
        <f ca="1">SUMPRODUCT(OFFSET(tConvElec_Res,0,16,1,_maxLT),tElec3_Res,tpSurvAll_Res)</f>
        <v>1.4755568390791802</v>
      </c>
      <c r="V258" s="40">
        <f ca="1">SUMPRODUCT(OFFSET(tConvElec_Res,0,17,1,_maxLT),tElec3_Res,tpSurvAll_Res)</f>
        <v>1.4744234186289107</v>
      </c>
      <c r="W258" s="40">
        <f ca="1">SUMPRODUCT(OFFSET(tConvElec_Res,0,18,1,_maxLT),tElec3_Res,tpSurvAll_Res)</f>
        <v>1.4734963465458399</v>
      </c>
      <c r="X258" s="40">
        <f ca="1">SUMPRODUCT(OFFSET(tConvElec_Res,0,19,1,_maxLT),tElec3_Res,tpSurvAll_Res)</f>
        <v>1.472712449231147</v>
      </c>
      <c r="Y258" s="40">
        <f ca="1">SUMPRODUCT(OFFSET(tConvElec_Res,0,20,1,_maxLT),tElec3_Res,tpSurvAll_Res)</f>
        <v>1.4720818791469652</v>
      </c>
      <c r="Z258" s="40">
        <f ca="1">SUMPRODUCT(OFFSET(tConvElec_Res,0,21,1,_maxLT),tElec3_Res,tpSurvAll_Res)</f>
        <v>1.4718374012005082</v>
      </c>
      <c r="AA258" s="40">
        <f ca="1">SUMPRODUCT(OFFSET(tConvElec_Res,0,22,1,_maxLT),tElec3_Res,tpSurvAll_Res)</f>
        <v>1.471830858983175</v>
      </c>
      <c r="AB258" s="40">
        <f ca="1">SUMPRODUCT(OFFSET(tConvElec_Res,0,23,1,_maxLT),tElec3_Res,tpSurvAll_Res)</f>
        <v>1.471898139397211</v>
      </c>
      <c r="AC258" s="40">
        <f ca="1">SUMPRODUCT(OFFSET(tConvElec_Res,0,24,1,_maxLT),tElec3_Res,tpSurvAll_Res)</f>
        <v>1.4720422107163071</v>
      </c>
      <c r="AD258" s="40">
        <f ca="1">SUMPRODUCT(OFFSET(tConvElec_Res,0,25,1,_maxLT),tElec3_Res,tpSurvAll_Res)</f>
        <v>1.4721631397727897</v>
      </c>
      <c r="AE258" s="40">
        <f ca="1">SUMPRODUCT(OFFSET(tConvElec_Res,0,26,1,_maxLT),tElec3_Res,tpSurvAll_Res)</f>
        <v>1.4721916804669579</v>
      </c>
      <c r="AF258" s="40">
        <f ca="1">SUMPRODUCT(OFFSET(tConvElec_Res,0,27,1,_maxLT),tElec3_Res,tpSurvAll_Res)</f>
        <v>1.4721916804669579</v>
      </c>
      <c r="AG258" s="40">
        <f ca="1">SUMPRODUCT(OFFSET(tConvElec_Res,0,28,1,_maxLT),tElec3_Res,tpSurvAll_Res)</f>
        <v>1.4721916804669579</v>
      </c>
      <c r="AH258" s="40">
        <f ca="1">SUMPRODUCT(OFFSET(tConvElec_Res,0,29,1,_maxLT),tElec3_Res,tpSurvAll_Res)</f>
        <v>1.4721916804669579</v>
      </c>
      <c r="AI258" s="40">
        <f ca="1">SUMPRODUCT(OFFSET(tConvElec_Res,0,30,1,_maxLT),tElec3_Res,tpSurvAll_Res)</f>
        <v>1.4721916804669579</v>
      </c>
      <c r="AJ258" s="40">
        <f ca="1">SUMPRODUCT(OFFSET(tConvElec_Res,0,31,1,_maxLT),tElec3_Res,tpSurvAll_Res)</f>
        <v>1.4721916804669579</v>
      </c>
      <c r="AK258" s="40">
        <f ca="1">SUMPRODUCT(OFFSET(tConvElec_Res,0,32,1,_maxLT),tElec3_Res,tpSurvAll_Res)</f>
        <v>1.4721916804669579</v>
      </c>
      <c r="AL258" s="40">
        <f ca="1">SUMPRODUCT(OFFSET(tConvElec_Res,0,33,1,_maxLT),tElec3_Res,tpSurvAll_Res)</f>
        <v>1.4721916804669579</v>
      </c>
      <c r="AM258" s="40">
        <f ca="1">SUMPRODUCT(OFFSET(tConvElec_Res,0,34,1,_maxLT),tElec3_Res,tpSurvAll_Res)</f>
        <v>1.4721916804669579</v>
      </c>
      <c r="AN258" s="41">
        <f ca="1">SUMPRODUCT(OFFSET(tConvElec_Res,0,35,1,_maxLT),tElec3_Res,tpSurvAll_Res)</f>
        <v>1.4721916804669579</v>
      </c>
      <c r="AO258" s="8"/>
    </row>
    <row r="259" spans="2:41" x14ac:dyDescent="0.35">
      <c r="B259" s="8"/>
      <c r="C259" s="20" t="str">
        <f>INDEX(_Sector,2,2)</f>
        <v>Commercial</v>
      </c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18"/>
      <c r="AO259" s="8"/>
    </row>
    <row r="260" spans="2:41" x14ac:dyDescent="0.35">
      <c r="B260" s="8"/>
      <c r="C260" s="50" t="str">
        <f>INDEX(_fuel,1)</f>
        <v>Electricity</v>
      </c>
      <c r="D260" s="11" t="s">
        <v>80</v>
      </c>
      <c r="E260" s="40">
        <f ca="1">SUMPRODUCT(OFFSET(tConvElec_Com,0,0,1,_maxLT),tElec3_Com,tpSurvAll_Com)</f>
        <v>2.9768126003413191</v>
      </c>
      <c r="F260" s="40">
        <f ca="1">SUMPRODUCT(OFFSET(tConvElec_Com,0,1,1,_maxLT),tElec3_Com,tpSurvAll_Com)</f>
        <v>2.9615334837693021</v>
      </c>
      <c r="G260" s="40">
        <f ca="1">SUMPRODUCT(OFFSET(tConvElec_Com,0,2,1,_maxLT),tElec3_Com,tpSurvAll_Com)</f>
        <v>2.9506069575885956</v>
      </c>
      <c r="H260" s="40">
        <f ca="1">SUMPRODUCT(OFFSET(tConvElec_Com,0,3,1,_maxLT),tElec3_Com,tpSurvAll_Com)</f>
        <v>2.9422072051779309</v>
      </c>
      <c r="I260" s="40">
        <f ca="1">SUMPRODUCT(OFFSET(tConvElec_Com,0,4,1,_maxLT),tElec3_Com,tpSurvAll_Com)</f>
        <v>2.9366050959149144</v>
      </c>
      <c r="J260" s="40">
        <f ca="1">SUMPRODUCT(OFFSET(tConvElec_Com,0,5,1,_maxLT),tElec3_Com,tpSurvAll_Com)</f>
        <v>2.932345111430569</v>
      </c>
      <c r="K260" s="40">
        <f ca="1">SUMPRODUCT(OFFSET(tConvElec_Com,0,6,1,_maxLT),tElec3_Com,tpSurvAll_Com)</f>
        <v>2.9287095449659701</v>
      </c>
      <c r="L260" s="40">
        <f ca="1">SUMPRODUCT(OFFSET(tConvElec_Com,0,7,1,_maxLT),tElec3_Com,tpSurvAll_Com)</f>
        <v>2.9248162849760577</v>
      </c>
      <c r="M260" s="40">
        <f ca="1">SUMPRODUCT(OFFSET(tConvElec_Com,0,8,1,_maxLT),tElec3_Com,tpSurvAll_Com)</f>
        <v>2.9211372186345783</v>
      </c>
      <c r="N260" s="40">
        <f ca="1">SUMPRODUCT(OFFSET(tConvElec_Com,0,9,1,_maxLT),tElec3_Com,tpSurvAll_Com)</f>
        <v>2.9176697121400998</v>
      </c>
      <c r="O260" s="40">
        <f ca="1">SUMPRODUCT(OFFSET(tConvElec_Com,0,10,1,_maxLT),tElec3_Com,tpSurvAll_Com)</f>
        <v>2.9140853062046892</v>
      </c>
      <c r="P260" s="40">
        <f ca="1">SUMPRODUCT(OFFSET(tConvElec_Com,0,11,1,_maxLT),tElec3_Com,tpSurvAll_Com)</f>
        <v>2.9110104217425654</v>
      </c>
      <c r="Q260" s="40">
        <f ca="1">SUMPRODUCT(OFFSET(tConvElec_Com,0,12,1,_maxLT),tElec3_Com,tpSurvAll_Com)</f>
        <v>2.9078076253677869</v>
      </c>
      <c r="R260" s="40">
        <f ca="1">SUMPRODUCT(OFFSET(tConvElec_Com,0,13,1,_maxLT),tElec3_Com,tpSurvAll_Com)</f>
        <v>2.9050150767751615</v>
      </c>
      <c r="S260" s="40">
        <f ca="1">SUMPRODUCT(OFFSET(tConvElec_Com,0,14,1,_maxLT),tElec3_Com,tpSurvAll_Com)</f>
        <v>2.9026954589264311</v>
      </c>
      <c r="T260" s="40">
        <f ca="1">SUMPRODUCT(OFFSET(tConvElec_Com,0,15,1,_maxLT),tElec3_Com,tpSurvAll_Com)</f>
        <v>2.9005695025420715</v>
      </c>
      <c r="U260" s="40">
        <f ca="1">SUMPRODUCT(OFFSET(tConvElec_Com,0,16,1,_maxLT),tElec3_Com,tpSurvAll_Com)</f>
        <v>2.8983786388835817</v>
      </c>
      <c r="V260" s="40">
        <f ca="1">SUMPRODUCT(OFFSET(tConvElec_Com,0,17,1,_maxLT),tElec3_Com,tpSurvAll_Com)</f>
        <v>2.8964066201337038</v>
      </c>
      <c r="W260" s="40">
        <f ca="1">SUMPRODUCT(OFFSET(tConvElec_Com,0,18,1,_maxLT),tElec3_Com,tpSurvAll_Com)</f>
        <v>2.8948131299726385</v>
      </c>
      <c r="X260" s="40">
        <f ca="1">SUMPRODUCT(OFFSET(tConvElec_Com,0,19,1,_maxLT),tElec3_Com,tpSurvAll_Com)</f>
        <v>2.8934810253468539</v>
      </c>
      <c r="Y260" s="40">
        <f ca="1">SUMPRODUCT(OFFSET(tConvElec_Com,0,20,1,_maxLT),tElec3_Com,tpSurvAll_Com)</f>
        <v>2.8924130839946938</v>
      </c>
      <c r="Z260" s="40">
        <f ca="1">SUMPRODUCT(OFFSET(tConvElec_Com,0,21,1,_maxLT),tElec3_Com,tpSurvAll_Com)</f>
        <v>2.8920568567222094</v>
      </c>
      <c r="AA260" s="40">
        <f ca="1">SUMPRODUCT(OFFSET(tConvElec_Com,0,22,1,_maxLT),tElec3_Com,tpSurvAll_Com)</f>
        <v>2.8921316303831204</v>
      </c>
      <c r="AB260" s="40">
        <f ca="1">SUMPRODUCT(OFFSET(tConvElec_Com,0,23,1,_maxLT),tElec3_Com,tpSurvAll_Com)</f>
        <v>2.8923335461210429</v>
      </c>
      <c r="AC260" s="40">
        <f ca="1">SUMPRODUCT(OFFSET(tConvElec_Com,0,24,1,_maxLT),tElec3_Com,tpSurvAll_Com)</f>
        <v>2.892653594891514</v>
      </c>
      <c r="AD260" s="40">
        <f ca="1">SUMPRODUCT(OFFSET(tConvElec_Com,0,25,1,_maxLT),tElec3_Com,tpSurvAll_Com)</f>
        <v>2.8929095552768311</v>
      </c>
      <c r="AE260" s="40">
        <f ca="1">SUMPRODUCT(OFFSET(tConvElec_Com,0,26,1,_maxLT),tElec3_Com,tpSurvAll_Com)</f>
        <v>2.8929762314731979</v>
      </c>
      <c r="AF260" s="40">
        <f ca="1">SUMPRODUCT(OFFSET(tConvElec_Com,0,27,1,_maxLT),tElec3_Com,tpSurvAll_Com)</f>
        <v>2.8929762314731979</v>
      </c>
      <c r="AG260" s="40">
        <f ca="1">SUMPRODUCT(OFFSET(tConvElec_Com,0,28,1,_maxLT),tElec3_Com,tpSurvAll_Com)</f>
        <v>2.8929762314731979</v>
      </c>
      <c r="AH260" s="40">
        <f ca="1">SUMPRODUCT(OFFSET(tConvElec_Com,0,29,1,_maxLT),tElec3_Com,tpSurvAll_Com)</f>
        <v>2.8929762314731979</v>
      </c>
      <c r="AI260" s="40">
        <f ca="1">SUMPRODUCT(OFFSET(tConvElec_Com,0,30,1,_maxLT),tElec3_Com,tpSurvAll_Com)</f>
        <v>2.8929762314731979</v>
      </c>
      <c r="AJ260" s="40">
        <f ca="1">SUMPRODUCT(OFFSET(tConvElec_Com,0,31,1,_maxLT),tElec3_Com,tpSurvAll_Com)</f>
        <v>2.8929762314731979</v>
      </c>
      <c r="AK260" s="40">
        <f ca="1">SUMPRODUCT(OFFSET(tConvElec_Com,0,32,1,_maxLT),tElec3_Com,tpSurvAll_Com)</f>
        <v>2.8929762314731979</v>
      </c>
      <c r="AL260" s="40">
        <f ca="1">SUMPRODUCT(OFFSET(tConvElec_Com,0,33,1,_maxLT),tElec3_Com,tpSurvAll_Com)</f>
        <v>2.8929762314731979</v>
      </c>
      <c r="AM260" s="40">
        <f ca="1">SUMPRODUCT(OFFSET(tConvElec_Com,0,34,1,_maxLT),tElec3_Com,tpSurvAll_Com)</f>
        <v>2.8929762314731979</v>
      </c>
      <c r="AN260" s="41">
        <f ca="1">SUMPRODUCT(OFFSET(tConvElec_Com,0,35,1,_maxLT),tElec3_Com,tpSurvAll_Com)</f>
        <v>2.8929762314731979</v>
      </c>
      <c r="AO260" s="8"/>
    </row>
    <row r="261" spans="2:41" x14ac:dyDescent="0.35">
      <c r="B261" s="8"/>
      <c r="C261" s="57" t="str">
        <f>"EL 4: " &amp; INDEX(_doName,1,5)</f>
        <v>EL 4: EL 4</v>
      </c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8"/>
      <c r="AO261" s="8"/>
    </row>
    <row r="262" spans="2:41" x14ac:dyDescent="0.35">
      <c r="B262" s="8"/>
      <c r="C262" s="10" t="s">
        <v>70</v>
      </c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18"/>
      <c r="AO262" s="8"/>
    </row>
    <row r="263" spans="2:41" x14ac:dyDescent="0.35">
      <c r="B263" s="8"/>
      <c r="C263" s="20" t="str">
        <f>INDEX(_Sector,2,1)</f>
        <v>Residential</v>
      </c>
      <c r="D263" s="11" t="str">
        <f>_yearDol &amp; "$"</f>
        <v>2021$</v>
      </c>
      <c r="E263" s="32">
        <f t="array" ref="E263:AN263">tMSP4_Res*tPIdxsml4 + tInst4</f>
        <v>89.094959604272404</v>
      </c>
      <c r="F263" s="32">
        <v>88.504207255897953</v>
      </c>
      <c r="G263" s="32">
        <v>87.940364307412437</v>
      </c>
      <c r="H263" s="32">
        <v>87.399027085374854</v>
      </c>
      <c r="I263" s="32">
        <v>86.877037956547795</v>
      </c>
      <c r="J263" s="32">
        <v>86.372269072021425</v>
      </c>
      <c r="K263" s="32">
        <v>85.883251836067302</v>
      </c>
      <c r="L263" s="32">
        <v>85.408908522421569</v>
      </c>
      <c r="M263" s="32">
        <v>84.948303046108165</v>
      </c>
      <c r="N263" s="32">
        <v>84.500521686890934</v>
      </c>
      <c r="O263" s="32">
        <v>84.064644715602327</v>
      </c>
      <c r="P263" s="32">
        <v>83.639750793791222</v>
      </c>
      <c r="Q263" s="32">
        <v>83.22495874622858</v>
      </c>
      <c r="R263" s="32">
        <v>82.819471257165063</v>
      </c>
      <c r="S263" s="32">
        <v>82.422561956285179</v>
      </c>
      <c r="T263" s="32">
        <v>82.033663941401187</v>
      </c>
      <c r="U263" s="32">
        <v>81.652252025730476</v>
      </c>
      <c r="V263" s="32">
        <v>81.277869760763281</v>
      </c>
      <c r="W263" s="32">
        <v>80.910110308549491</v>
      </c>
      <c r="X263" s="32">
        <v>80.548601884429672</v>
      </c>
      <c r="Y263" s="32">
        <v>80.193000468172869</v>
      </c>
      <c r="Z263" s="32">
        <v>79.842983911547606</v>
      </c>
      <c r="AA263" s="32">
        <v>79.498252085885198</v>
      </c>
      <c r="AB263" s="32">
        <v>79.15852680447702</v>
      </c>
      <c r="AC263" s="32">
        <v>78.823551583203994</v>
      </c>
      <c r="AD263" s="32">
        <v>78.493090776807847</v>
      </c>
      <c r="AE263" s="32">
        <v>78.166927952332557</v>
      </c>
      <c r="AF263" s="32">
        <v>77.844863864921535</v>
      </c>
      <c r="AG263" s="32">
        <v>77.526714364665452</v>
      </c>
      <c r="AH263" s="32">
        <v>77.21230849775587</v>
      </c>
      <c r="AI263" s="32">
        <v>76.901486974895619</v>
      </c>
      <c r="AJ263" s="32">
        <v>76.594101003641939</v>
      </c>
      <c r="AK263" s="32">
        <v>76.290011381789967</v>
      </c>
      <c r="AL263" s="32">
        <v>75.989087871723626</v>
      </c>
      <c r="AM263" s="32">
        <v>75.691208506919182</v>
      </c>
      <c r="AN263" s="55">
        <v>75.396259085233396</v>
      </c>
      <c r="AO263" s="8"/>
    </row>
    <row r="264" spans="2:41" x14ac:dyDescent="0.35">
      <c r="B264" s="8"/>
      <c r="C264" s="20" t="str">
        <f>INDEX(_Sector,2,2)</f>
        <v>Commercial</v>
      </c>
      <c r="D264" s="11" t="str">
        <f>_yearDol &amp; "$"</f>
        <v>2021$</v>
      </c>
      <c r="E264" s="32">
        <f t="array" ref="E264:AN264">tMSP4_Com*tPIdxsml4 + tInst4</f>
        <v>86.646133457023055</v>
      </c>
      <c r="F264" s="32">
        <v>86.07161827631414</v>
      </c>
      <c r="G264" s="32">
        <v>85.523272875179529</v>
      </c>
      <c r="H264" s="32">
        <v>84.996814617672513</v>
      </c>
      <c r="I264" s="32">
        <v>84.489172659919205</v>
      </c>
      <c r="J264" s="32">
        <v>83.998277638159436</v>
      </c>
      <c r="K264" s="32">
        <v>83.522701321862044</v>
      </c>
      <c r="L264" s="32">
        <v>83.061395606688635</v>
      </c>
      <c r="M264" s="32">
        <v>82.613450136496482</v>
      </c>
      <c r="N264" s="32">
        <v>82.177976305175022</v>
      </c>
      <c r="O264" s="32">
        <v>81.754079662841235</v>
      </c>
      <c r="P264" s="32">
        <v>81.340864194560609</v>
      </c>
      <c r="Q264" s="32">
        <v>80.937472944711473</v>
      </c>
      <c r="R264" s="32">
        <v>80.543130512225929</v>
      </c>
      <c r="S264" s="32">
        <v>80.157130491493859</v>
      </c>
      <c r="T264" s="32">
        <v>79.778921561959834</v>
      </c>
      <c r="U264" s="32">
        <v>79.407992971901649</v>
      </c>
      <c r="V264" s="32">
        <v>79.043900818559052</v>
      </c>
      <c r="W264" s="32">
        <v>78.686249446156737</v>
      </c>
      <c r="X264" s="32">
        <v>78.334677288750171</v>
      </c>
      <c r="Y264" s="32">
        <v>77.988849781702115</v>
      </c>
      <c r="Z264" s="32">
        <v>77.648453631210273</v>
      </c>
      <c r="AA264" s="32">
        <v>77.313196957814867</v>
      </c>
      <c r="AB264" s="32">
        <v>76.982809220928715</v>
      </c>
      <c r="AC264" s="32">
        <v>76.657040986046141</v>
      </c>
      <c r="AD264" s="32">
        <v>76.335663084754145</v>
      </c>
      <c r="AE264" s="32">
        <v>76.01846503288084</v>
      </c>
      <c r="AF264" s="32">
        <v>75.705253061928985</v>
      </c>
      <c r="AG264" s="32">
        <v>75.395848083455306</v>
      </c>
      <c r="AH264" s="32">
        <v>75.090083842414984</v>
      </c>
      <c r="AI264" s="32">
        <v>74.787805427668687</v>
      </c>
      <c r="AJ264" s="32">
        <v>74.488868136419427</v>
      </c>
      <c r="AK264" s="32">
        <v>74.193136592514918</v>
      </c>
      <c r="AL264" s="32">
        <v>73.900484137994766</v>
      </c>
      <c r="AM264" s="32">
        <v>73.610792158655215</v>
      </c>
      <c r="AN264" s="55">
        <v>73.323949591264537</v>
      </c>
      <c r="AO264" s="8"/>
    </row>
    <row r="265" spans="2:41" x14ac:dyDescent="0.35">
      <c r="B265" s="8"/>
      <c r="C265" s="10" t="str">
        <f>zEO&amp;" Costs"</f>
        <v>Operating Costs</v>
      </c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18"/>
      <c r="AO265" s="8"/>
    </row>
    <row r="266" spans="2:41" x14ac:dyDescent="0.35">
      <c r="B266" s="8"/>
      <c r="C266" s="20" t="str">
        <f>INDEX(_Sector,2,1)</f>
        <v>Residential</v>
      </c>
      <c r="D266" s="11" t="str">
        <f>_yearDol &amp; "$"</f>
        <v>2021$</v>
      </c>
      <c r="E266" s="32">
        <f t="array" aca="1" ref="E266:AN266" ca="1">(tlccEFuElec4_Res) + SUMPRODUCT(dFactor,tpSurvAll_Com,tMnR4_Res)</f>
        <v>155.78937936851329</v>
      </c>
      <c r="F266" s="32">
        <f ca="1"/>
        <v>155.81085512911022</v>
      </c>
      <c r="G266" s="32">
        <f ca="1"/>
        <v>155.84461978317916</v>
      </c>
      <c r="H266" s="32">
        <f ca="1"/>
        <v>155.88375648850979</v>
      </c>
      <c r="I266" s="32">
        <f ca="1"/>
        <v>155.92046477362294</v>
      </c>
      <c r="J266" s="32">
        <f ca="1"/>
        <v>155.95125692253842</v>
      </c>
      <c r="K266" s="32">
        <f ca="1"/>
        <v>155.97512977570906</v>
      </c>
      <c r="L266" s="32">
        <f ca="1"/>
        <v>155.99413475043929</v>
      </c>
      <c r="M266" s="32">
        <f ca="1"/>
        <v>156.00390099552709</v>
      </c>
      <c r="N266" s="32">
        <f ca="1"/>
        <v>156.00568380075057</v>
      </c>
      <c r="O266" s="32">
        <f ca="1"/>
        <v>155.99296537289641</v>
      </c>
      <c r="P266" s="32">
        <f ca="1"/>
        <v>155.96828858660342</v>
      </c>
      <c r="Q266" s="32">
        <f ca="1"/>
        <v>155.94865327289128</v>
      </c>
      <c r="R266" s="32">
        <f ca="1"/>
        <v>155.92825848676034</v>
      </c>
      <c r="S266" s="32">
        <f ca="1"/>
        <v>155.91270415625718</v>
      </c>
      <c r="T266" s="32">
        <f ca="1"/>
        <v>155.90241422552421</v>
      </c>
      <c r="U266" s="32">
        <f ca="1"/>
        <v>155.88787565596439</v>
      </c>
      <c r="V266" s="32">
        <f ca="1"/>
        <v>155.86997696191432</v>
      </c>
      <c r="W266" s="32">
        <f ca="1"/>
        <v>155.85408568043459</v>
      </c>
      <c r="X266" s="32">
        <f ca="1"/>
        <v>155.83454203368547</v>
      </c>
      <c r="Y266" s="32">
        <f ca="1"/>
        <v>155.81558228751229</v>
      </c>
      <c r="Z266" s="32">
        <f ca="1"/>
        <v>155.80527124369951</v>
      </c>
      <c r="AA266" s="32">
        <f ca="1"/>
        <v>155.79173482730005</v>
      </c>
      <c r="AB266" s="32">
        <f ca="1"/>
        <v>155.77860124986111</v>
      </c>
      <c r="AC266" s="32">
        <f ca="1"/>
        <v>155.76786922381919</v>
      </c>
      <c r="AD266" s="32">
        <f ca="1"/>
        <v>155.75326475260533</v>
      </c>
      <c r="AE266" s="32">
        <f ca="1"/>
        <v>155.74148624645665</v>
      </c>
      <c r="AF266" s="32">
        <f ca="1"/>
        <v>155.74148624645665</v>
      </c>
      <c r="AG266" s="32">
        <f ca="1"/>
        <v>155.74148624645665</v>
      </c>
      <c r="AH266" s="32">
        <f ca="1"/>
        <v>155.74148624645665</v>
      </c>
      <c r="AI266" s="32">
        <f ca="1"/>
        <v>155.74148624645665</v>
      </c>
      <c r="AJ266" s="32">
        <f ca="1"/>
        <v>155.74148624645665</v>
      </c>
      <c r="AK266" s="32">
        <f ca="1"/>
        <v>155.74148624645665</v>
      </c>
      <c r="AL266" s="32">
        <f ca="1"/>
        <v>155.74148624645665</v>
      </c>
      <c r="AM266" s="32">
        <f ca="1"/>
        <v>155.74148624645665</v>
      </c>
      <c r="AN266" s="55">
        <f ca="1"/>
        <v>155.74148624645665</v>
      </c>
      <c r="AO266" s="8"/>
    </row>
    <row r="267" spans="2:41" x14ac:dyDescent="0.35">
      <c r="B267" s="8"/>
      <c r="C267" s="50" t="str">
        <f>INDEX(_fuel,1)</f>
        <v>Electricity</v>
      </c>
      <c r="D267" s="11" t="str">
        <f>_yearDol &amp; "$"</f>
        <v>2021$</v>
      </c>
      <c r="E267" s="32">
        <f ca="1">SUMPRODUCT(dFactor,tpSurvAll_Res,tElec4_Res,OFFSET(tPrcElec_Res,0,0,1,_maxLT))</f>
        <v>11.390032748237001</v>
      </c>
      <c r="F267" s="32">
        <f ca="1">SUMPRODUCT(dFactor,tpSurvAll_Res,tElec4_Res,OFFSET(tPrcElec_Res,0,1,1,_maxLT))</f>
        <v>11.411508508833926</v>
      </c>
      <c r="G267" s="32">
        <f ca="1">SUMPRODUCT(dFactor,tpSurvAll_Res,tElec4_Res,OFFSET(tPrcElec_Res,0,2,1,_maxLT))</f>
        <v>11.445273162902836</v>
      </c>
      <c r="H267" s="32">
        <f ca="1">SUMPRODUCT(dFactor,tpSurvAll_Res,tElec4_Res,OFFSET(tPrcElec_Res,0,3,1,_maxLT))</f>
        <v>11.484409868233472</v>
      </c>
      <c r="I267" s="32">
        <f ca="1">SUMPRODUCT(dFactor,tpSurvAll_Res,tElec4_Res,OFFSET(tPrcElec_Res,0,4,1,_maxLT))</f>
        <v>11.52111815334664</v>
      </c>
      <c r="J267" s="32">
        <f ca="1">SUMPRODUCT(dFactor,tpSurvAll_Res,tElec4_Res,OFFSET(tPrcElec_Res,0,5,1,_maxLT))</f>
        <v>11.551910302262108</v>
      </c>
      <c r="K267" s="32">
        <f ca="1">SUMPRODUCT(dFactor,tpSurvAll_Res,tElec4_Res,OFFSET(tPrcElec_Res,0,6,1,_maxLT))</f>
        <v>11.575783155432768</v>
      </c>
      <c r="L267" s="32">
        <f ca="1">SUMPRODUCT(dFactor,tpSurvAll_Res,tElec4_Res,OFFSET(tPrcElec_Res,0,7,1,_maxLT))</f>
        <v>11.594788130162982</v>
      </c>
      <c r="M267" s="32">
        <f ca="1">SUMPRODUCT(dFactor,tpSurvAll_Res,tElec4_Res,OFFSET(tPrcElec_Res,0,8,1,_maxLT))</f>
        <v>11.604554375250773</v>
      </c>
      <c r="N267" s="32">
        <f ca="1">SUMPRODUCT(dFactor,tpSurvAll_Res,tElec4_Res,OFFSET(tPrcElec_Res,0,9,1,_maxLT))</f>
        <v>11.606337180474258</v>
      </c>
      <c r="O267" s="32">
        <f ca="1">SUMPRODUCT(dFactor,tpSurvAll_Res,tElec4_Res,OFFSET(tPrcElec_Res,0,10,1,_maxLT))</f>
        <v>11.593618752620101</v>
      </c>
      <c r="P267" s="32">
        <f ca="1">SUMPRODUCT(dFactor,tpSurvAll_Res,tElec4_Res,OFFSET(tPrcElec_Res,0,11,1,_maxLT))</f>
        <v>11.568941966327111</v>
      </c>
      <c r="Q267" s="32">
        <f ca="1">SUMPRODUCT(dFactor,tpSurvAll_Res,tElec4_Res,OFFSET(tPrcElec_Res,0,12,1,_maxLT))</f>
        <v>11.549306652614986</v>
      </c>
      <c r="R267" s="32">
        <f ca="1">SUMPRODUCT(dFactor,tpSurvAll_Res,tElec4_Res,OFFSET(tPrcElec_Res,0,13,1,_maxLT))</f>
        <v>11.528911866484034</v>
      </c>
      <c r="S267" s="32">
        <f ca="1">SUMPRODUCT(dFactor,tpSurvAll_Res,tElec4_Res,OFFSET(tPrcElec_Res,0,14,1,_maxLT))</f>
        <v>11.513357535980884</v>
      </c>
      <c r="T267" s="32">
        <f ca="1">SUMPRODUCT(dFactor,tpSurvAll_Res,tElec4_Res,OFFSET(tPrcElec_Res,0,15,1,_maxLT))</f>
        <v>11.503067605247919</v>
      </c>
      <c r="U267" s="32">
        <f ca="1">SUMPRODUCT(dFactor,tpSurvAll_Res,tElec4_Res,OFFSET(tPrcElec_Res,0,16,1,_maxLT))</f>
        <v>11.48852903568809</v>
      </c>
      <c r="V267" s="32">
        <f ca="1">SUMPRODUCT(dFactor,tpSurvAll_Res,tElec4_Res,OFFSET(tPrcElec_Res,0,17,1,_maxLT))</f>
        <v>11.470630341638023</v>
      </c>
      <c r="W267" s="32">
        <f ca="1">SUMPRODUCT(dFactor,tpSurvAll_Res,tElec4_Res,OFFSET(tPrcElec_Res,0,18,1,_maxLT))</f>
        <v>11.454739060158287</v>
      </c>
      <c r="X267" s="32">
        <f ca="1">SUMPRODUCT(dFactor,tpSurvAll_Res,tElec4_Res,OFFSET(tPrcElec_Res,0,19,1,_maxLT))</f>
        <v>11.435195413409149</v>
      </c>
      <c r="Y267" s="32">
        <f ca="1">SUMPRODUCT(dFactor,tpSurvAll_Res,tElec4_Res,OFFSET(tPrcElec_Res,0,20,1,_maxLT))</f>
        <v>11.416235667235968</v>
      </c>
      <c r="Z267" s="32">
        <f ca="1">SUMPRODUCT(dFactor,tpSurvAll_Res,tElec4_Res,OFFSET(tPrcElec_Res,0,21,1,_maxLT))</f>
        <v>11.405924623423202</v>
      </c>
      <c r="AA267" s="32">
        <f ca="1">SUMPRODUCT(dFactor,tpSurvAll_Res,tElec4_Res,OFFSET(tPrcElec_Res,0,22,1,_maxLT))</f>
        <v>11.39238820702375</v>
      </c>
      <c r="AB267" s="32">
        <f ca="1">SUMPRODUCT(dFactor,tpSurvAll_Res,tElec4_Res,OFFSET(tPrcElec_Res,0,23,1,_maxLT))</f>
        <v>11.379254629584819</v>
      </c>
      <c r="AC267" s="32">
        <f ca="1">SUMPRODUCT(dFactor,tpSurvAll_Res,tElec4_Res,OFFSET(tPrcElec_Res,0,24,1,_maxLT))</f>
        <v>11.368522603542885</v>
      </c>
      <c r="AD267" s="32">
        <f ca="1">SUMPRODUCT(dFactor,tpSurvAll_Res,tElec4_Res,OFFSET(tPrcElec_Res,0,25,1,_maxLT))</f>
        <v>11.35391813232903</v>
      </c>
      <c r="AE267" s="32">
        <f ca="1">SUMPRODUCT(dFactor,tpSurvAll_Res,tElec4_Res,OFFSET(tPrcElec_Res,0,26,1,_maxLT))</f>
        <v>11.342139626180346</v>
      </c>
      <c r="AF267" s="32">
        <f ca="1">SUMPRODUCT(dFactor,tpSurvAll_Res,tElec4_Res,OFFSET(tPrcElec_Res,0,27,1,_maxLT))</f>
        <v>11.342139626180346</v>
      </c>
      <c r="AG267" s="32">
        <f ca="1">SUMPRODUCT(dFactor,tpSurvAll_Res,tElec4_Res,OFFSET(tPrcElec_Res,0,28,1,_maxLT))</f>
        <v>11.342139626180346</v>
      </c>
      <c r="AH267" s="32">
        <f ca="1">SUMPRODUCT(dFactor,tpSurvAll_Res,tElec4_Res,OFFSET(tPrcElec_Res,0,29,1,_maxLT))</f>
        <v>11.342139626180346</v>
      </c>
      <c r="AI267" s="32">
        <f ca="1">SUMPRODUCT(dFactor,tpSurvAll_Res,tElec4_Res,OFFSET(tPrcElec_Res,0,30,1,_maxLT))</f>
        <v>11.342139626180346</v>
      </c>
      <c r="AJ267" s="32">
        <f ca="1">SUMPRODUCT(dFactor,tpSurvAll_Res,tElec4_Res,OFFSET(tPrcElec_Res,0,31,1,_maxLT))</f>
        <v>11.342139626180346</v>
      </c>
      <c r="AK267" s="32">
        <f ca="1">SUMPRODUCT(dFactor,tpSurvAll_Res,tElec4_Res,OFFSET(tPrcElec_Res,0,32,1,_maxLT))</f>
        <v>11.342139626180346</v>
      </c>
      <c r="AL267" s="32">
        <f ca="1">SUMPRODUCT(dFactor,tpSurvAll_Res,tElec4_Res,OFFSET(tPrcElec_Res,0,33,1,_maxLT))</f>
        <v>11.342139626180346</v>
      </c>
      <c r="AM267" s="32">
        <f ca="1">SUMPRODUCT(dFactor,tpSurvAll_Res,tElec4_Res,OFFSET(tPrcElec_Res,0,34,1,_maxLT))</f>
        <v>11.342139626180346</v>
      </c>
      <c r="AN267" s="55">
        <f ca="1">SUMPRODUCT(dFactor,tpSurvAll_Res,tElec4_Res,OFFSET(tPrcElec_Res,0,35,1,_maxLT))</f>
        <v>11.342139626180346</v>
      </c>
      <c r="AO267" s="8"/>
    </row>
    <row r="268" spans="2:41" x14ac:dyDescent="0.35">
      <c r="B268" s="8"/>
      <c r="C268" s="20" t="str">
        <f>INDEX(_Sector,2,2)</f>
        <v>Commercial</v>
      </c>
      <c r="D268" s="11" t="str">
        <f>_yearDol &amp; "$"</f>
        <v>2021$</v>
      </c>
      <c r="E268" s="32">
        <f t="array" aca="1" ref="E268:AN268" ca="1">(tlccEFuElec4_Com) + SUMPRODUCT(dFactor,tpSurvAll_Com,tMnR4_Com)</f>
        <v>183.42492184152758</v>
      </c>
      <c r="F268" s="32">
        <f ca="1"/>
        <v>183.41799932561017</v>
      </c>
      <c r="G268" s="32">
        <f ca="1"/>
        <v>183.42311264843585</v>
      </c>
      <c r="H268" s="32">
        <f ca="1"/>
        <v>183.43482129299329</v>
      </c>
      <c r="I268" s="32">
        <f ca="1"/>
        <v>183.44241815523469</v>
      </c>
      <c r="J268" s="32">
        <f ca="1"/>
        <v>183.44199997818674</v>
      </c>
      <c r="K268" s="32">
        <f ca="1"/>
        <v>183.43144256081385</v>
      </c>
      <c r="L268" s="32">
        <f ca="1"/>
        <v>183.41487063727453</v>
      </c>
      <c r="M268" s="32">
        <f ca="1"/>
        <v>183.38281371508131</v>
      </c>
      <c r="N268" s="32">
        <f ca="1"/>
        <v>183.34385000469052</v>
      </c>
      <c r="O268" s="32">
        <f ca="1"/>
        <v>183.28137415196514</v>
      </c>
      <c r="P268" s="32">
        <f ca="1"/>
        <v>183.20213685932819</v>
      </c>
      <c r="Q268" s="32">
        <f ca="1"/>
        <v>183.13351647267606</v>
      </c>
      <c r="R268" s="32">
        <f ca="1"/>
        <v>183.06568570696331</v>
      </c>
      <c r="S268" s="32">
        <f ca="1"/>
        <v>183.00603851014748</v>
      </c>
      <c r="T268" s="32">
        <f ca="1"/>
        <v>182.9572499421424</v>
      </c>
      <c r="U268" s="32">
        <f ca="1"/>
        <v>182.89952052858717</v>
      </c>
      <c r="V268" s="32">
        <f ca="1"/>
        <v>182.83799483531635</v>
      </c>
      <c r="W268" s="32">
        <f ca="1"/>
        <v>182.78449376650497</v>
      </c>
      <c r="X268" s="32">
        <f ca="1"/>
        <v>182.72801585775662</v>
      </c>
      <c r="Y268" s="32">
        <f ca="1"/>
        <v>182.67184922233685</v>
      </c>
      <c r="Z268" s="32">
        <f ca="1"/>
        <v>182.63570851071583</v>
      </c>
      <c r="AA268" s="32">
        <f ca="1"/>
        <v>182.59685477663285</v>
      </c>
      <c r="AB268" s="32">
        <f ca="1"/>
        <v>182.56093725527984</v>
      </c>
      <c r="AC268" s="32">
        <f ca="1"/>
        <v>182.53606796584924</v>
      </c>
      <c r="AD268" s="32">
        <f ca="1"/>
        <v>182.50722923477275</v>
      </c>
      <c r="AE268" s="32">
        <f ca="1"/>
        <v>182.4846742063435</v>
      </c>
      <c r="AF268" s="32">
        <f ca="1"/>
        <v>182.4846742063435</v>
      </c>
      <c r="AG268" s="32">
        <f ca="1"/>
        <v>182.4846742063435</v>
      </c>
      <c r="AH268" s="32">
        <f ca="1"/>
        <v>182.4846742063435</v>
      </c>
      <c r="AI268" s="32">
        <f ca="1"/>
        <v>182.4846742063435</v>
      </c>
      <c r="AJ268" s="32">
        <f ca="1"/>
        <v>182.4846742063435</v>
      </c>
      <c r="AK268" s="32">
        <f ca="1"/>
        <v>182.4846742063435</v>
      </c>
      <c r="AL268" s="32">
        <f ca="1"/>
        <v>182.4846742063435</v>
      </c>
      <c r="AM268" s="32">
        <f ca="1"/>
        <v>182.4846742063435</v>
      </c>
      <c r="AN268" s="55">
        <f ca="1"/>
        <v>182.4846742063435</v>
      </c>
      <c r="AO268" s="8"/>
    </row>
    <row r="269" spans="2:41" x14ac:dyDescent="0.35">
      <c r="B269" s="8"/>
      <c r="C269" s="50" t="str">
        <f>INDEX(_fuel,1)</f>
        <v>Electricity</v>
      </c>
      <c r="D269" s="11" t="str">
        <f>_yearDol &amp; "$"</f>
        <v>2021$</v>
      </c>
      <c r="E269" s="32">
        <f ca="1">SUMPRODUCT(dFactor,tpSurvAll_Com,tElec4_Com,OFFSET(tPrcElec_Com,0,0,1,_maxLT))</f>
        <v>15.850304546247504</v>
      </c>
      <c r="F269" s="32">
        <f ca="1">SUMPRODUCT(dFactor,tpSurvAll_Com,tElec4_Com,OFFSET(tPrcElec_Com,0,1,1,_maxLT))</f>
        <v>15.843382030330103</v>
      </c>
      <c r="G269" s="32">
        <f ca="1">SUMPRODUCT(dFactor,tpSurvAll_Com,tElec4_Com,OFFSET(tPrcElec_Com,0,2,1,_maxLT))</f>
        <v>15.848495353155798</v>
      </c>
      <c r="H269" s="32">
        <f ca="1">SUMPRODUCT(dFactor,tpSurvAll_Com,tElec4_Com,OFFSET(tPrcElec_Com,0,3,1,_maxLT))</f>
        <v>15.860203997713226</v>
      </c>
      <c r="I269" s="32">
        <f ca="1">SUMPRODUCT(dFactor,tpSurvAll_Com,tElec4_Com,OFFSET(tPrcElec_Com,0,4,1,_maxLT))</f>
        <v>15.867800859954635</v>
      </c>
      <c r="J269" s="32">
        <f ca="1">SUMPRODUCT(dFactor,tpSurvAll_Com,tElec4_Com,OFFSET(tPrcElec_Com,0,5,1,_maxLT))</f>
        <v>15.86738268290669</v>
      </c>
      <c r="K269" s="32">
        <f ca="1">SUMPRODUCT(dFactor,tpSurvAll_Com,tElec4_Com,OFFSET(tPrcElec_Com,0,6,1,_maxLT))</f>
        <v>15.856825265533788</v>
      </c>
      <c r="L269" s="32">
        <f ca="1">SUMPRODUCT(dFactor,tpSurvAll_Com,tElec4_Com,OFFSET(tPrcElec_Com,0,7,1,_maxLT))</f>
        <v>15.840253341994481</v>
      </c>
      <c r="M269" s="32">
        <f ca="1">SUMPRODUCT(dFactor,tpSurvAll_Com,tElec4_Com,OFFSET(tPrcElec_Com,0,8,1,_maxLT))</f>
        <v>15.808196419801241</v>
      </c>
      <c r="N269" s="32">
        <f ca="1">SUMPRODUCT(dFactor,tpSurvAll_Com,tElec4_Com,OFFSET(tPrcElec_Com,0,9,1,_maxLT))</f>
        <v>15.769232709410467</v>
      </c>
      <c r="O269" s="32">
        <f ca="1">SUMPRODUCT(dFactor,tpSurvAll_Com,tElec4_Com,OFFSET(tPrcElec_Com,0,10,1,_maxLT))</f>
        <v>15.706756856685086</v>
      </c>
      <c r="P269" s="32">
        <f ca="1">SUMPRODUCT(dFactor,tpSurvAll_Com,tElec4_Com,OFFSET(tPrcElec_Com,0,11,1,_maxLT))</f>
        <v>15.62751956404812</v>
      </c>
      <c r="Q269" s="32">
        <f ca="1">SUMPRODUCT(dFactor,tpSurvAll_Com,tElec4_Com,OFFSET(tPrcElec_Com,0,12,1,_maxLT))</f>
        <v>15.558899177396009</v>
      </c>
      <c r="R269" s="32">
        <f ca="1">SUMPRODUCT(dFactor,tpSurvAll_Com,tElec4_Com,OFFSET(tPrcElec_Com,0,13,1,_maxLT))</f>
        <v>15.491068411683251</v>
      </c>
      <c r="S269" s="32">
        <f ca="1">SUMPRODUCT(dFactor,tpSurvAll_Com,tElec4_Com,OFFSET(tPrcElec_Com,0,14,1,_maxLT))</f>
        <v>15.431421214867413</v>
      </c>
      <c r="T269" s="32">
        <f ca="1">SUMPRODUCT(dFactor,tpSurvAll_Com,tElec4_Com,OFFSET(tPrcElec_Com,0,15,1,_maxLT))</f>
        <v>15.382632646862341</v>
      </c>
      <c r="U269" s="32">
        <f ca="1">SUMPRODUCT(dFactor,tpSurvAll_Com,tElec4_Com,OFFSET(tPrcElec_Com,0,16,1,_maxLT))</f>
        <v>15.324903233307101</v>
      </c>
      <c r="V269" s="32">
        <f ca="1">SUMPRODUCT(dFactor,tpSurvAll_Com,tElec4_Com,OFFSET(tPrcElec_Com,0,17,1,_maxLT))</f>
        <v>15.263377540036274</v>
      </c>
      <c r="W269" s="32">
        <f ca="1">SUMPRODUCT(dFactor,tpSurvAll_Com,tElec4_Com,OFFSET(tPrcElec_Com,0,18,1,_maxLT))</f>
        <v>15.209876471224888</v>
      </c>
      <c r="X269" s="32">
        <f ca="1">SUMPRODUCT(dFactor,tpSurvAll_Com,tElec4_Com,OFFSET(tPrcElec_Com,0,19,1,_maxLT))</f>
        <v>15.153398562476546</v>
      </c>
      <c r="Y269" s="32">
        <f ca="1">SUMPRODUCT(dFactor,tpSurvAll_Com,tElec4_Com,OFFSET(tPrcElec_Com,0,20,1,_maxLT))</f>
        <v>15.097231927056772</v>
      </c>
      <c r="Z269" s="32">
        <f ca="1">SUMPRODUCT(dFactor,tpSurvAll_Com,tElec4_Com,OFFSET(tPrcElec_Com,0,21,1,_maxLT))</f>
        <v>15.06109121543577</v>
      </c>
      <c r="AA269" s="32">
        <f ca="1">SUMPRODUCT(dFactor,tpSurvAll_Com,tElec4_Com,OFFSET(tPrcElec_Com,0,22,1,_maxLT))</f>
        <v>15.022237481352802</v>
      </c>
      <c r="AB269" s="32">
        <f ca="1">SUMPRODUCT(dFactor,tpSurvAll_Com,tElec4_Com,OFFSET(tPrcElec_Com,0,23,1,_maxLT))</f>
        <v>14.98631995999979</v>
      </c>
      <c r="AC269" s="32">
        <f ca="1">SUMPRODUCT(dFactor,tpSurvAll_Com,tElec4_Com,OFFSET(tPrcElec_Com,0,24,1,_maxLT))</f>
        <v>14.961450670569176</v>
      </c>
      <c r="AD269" s="32">
        <f ca="1">SUMPRODUCT(dFactor,tpSurvAll_Com,tElec4_Com,OFFSET(tPrcElec_Com,0,25,1,_maxLT))</f>
        <v>14.932611939492697</v>
      </c>
      <c r="AE269" s="32">
        <f ca="1">SUMPRODUCT(dFactor,tpSurvAll_Com,tElec4_Com,OFFSET(tPrcElec_Com,0,26,1,_maxLT))</f>
        <v>14.910056911063434</v>
      </c>
      <c r="AF269" s="32">
        <f ca="1">SUMPRODUCT(dFactor,tpSurvAll_Com,tElec4_Com,OFFSET(tPrcElec_Com,0,27,1,_maxLT))</f>
        <v>14.910056911063434</v>
      </c>
      <c r="AG269" s="32">
        <f ca="1">SUMPRODUCT(dFactor,tpSurvAll_Com,tElec4_Com,OFFSET(tPrcElec_Com,0,28,1,_maxLT))</f>
        <v>14.910056911063434</v>
      </c>
      <c r="AH269" s="32">
        <f ca="1">SUMPRODUCT(dFactor,tpSurvAll_Com,tElec4_Com,OFFSET(tPrcElec_Com,0,29,1,_maxLT))</f>
        <v>14.910056911063434</v>
      </c>
      <c r="AI269" s="32">
        <f ca="1">SUMPRODUCT(dFactor,tpSurvAll_Com,tElec4_Com,OFFSET(tPrcElec_Com,0,30,1,_maxLT))</f>
        <v>14.910056911063434</v>
      </c>
      <c r="AJ269" s="32">
        <f ca="1">SUMPRODUCT(dFactor,tpSurvAll_Com,tElec4_Com,OFFSET(tPrcElec_Com,0,31,1,_maxLT))</f>
        <v>14.910056911063434</v>
      </c>
      <c r="AK269" s="32">
        <f ca="1">SUMPRODUCT(dFactor,tpSurvAll_Com,tElec4_Com,OFFSET(tPrcElec_Com,0,32,1,_maxLT))</f>
        <v>14.910056911063434</v>
      </c>
      <c r="AL269" s="32">
        <f ca="1">SUMPRODUCT(dFactor,tpSurvAll_Com,tElec4_Com,OFFSET(tPrcElec_Com,0,33,1,_maxLT))</f>
        <v>14.910056911063434</v>
      </c>
      <c r="AM269" s="32">
        <f ca="1">SUMPRODUCT(dFactor,tpSurvAll_Com,tElec4_Com,OFFSET(tPrcElec_Com,0,34,1,_maxLT))</f>
        <v>14.910056911063434</v>
      </c>
      <c r="AN269" s="55">
        <f ca="1">SUMPRODUCT(dFactor,tpSurvAll_Com,tElec4_Com,OFFSET(tPrcElec_Com,0,35,1,_maxLT))</f>
        <v>14.910056911063434</v>
      </c>
      <c r="AO269" s="8"/>
    </row>
    <row r="270" spans="2:41" x14ac:dyDescent="0.35">
      <c r="B270" s="8"/>
      <c r="C270" s="10" t="s">
        <v>78</v>
      </c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18"/>
      <c r="AO270" s="8"/>
    </row>
    <row r="271" spans="2:41" x14ac:dyDescent="0.35">
      <c r="B271" s="8"/>
      <c r="C271" s="20" t="str">
        <f>INDEX(_Sector,2,1)</f>
        <v>Residential</v>
      </c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18"/>
      <c r="AO271" s="8"/>
    </row>
    <row r="272" spans="2:41" x14ac:dyDescent="0.35">
      <c r="B272" s="8"/>
      <c r="C272" s="50" t="str">
        <f>INDEX(_fuel,1)</f>
        <v>Electricity</v>
      </c>
      <c r="D272" s="11" t="s">
        <v>80</v>
      </c>
      <c r="E272" s="40">
        <f ca="1">SUMPRODUCT(OFFSET(tConvElec_Res,0,0,1,_maxLT),tElec4_Res,tpSurvAll_Res)</f>
        <v>0.94335567227261707</v>
      </c>
      <c r="F272" s="40">
        <f ca="1">SUMPRODUCT(OFFSET(tConvElec_Res,0,1,1,_maxLT),tElec4_Res,tpSurvAll_Res)</f>
        <v>0.93869334552814654</v>
      </c>
      <c r="G272" s="40">
        <f ca="1">SUMPRODUCT(OFFSET(tConvElec_Res,0,2,1,_maxLT),tElec4_Res,tpSurvAll_Res)</f>
        <v>0.93531152544746632</v>
      </c>
      <c r="H272" s="40">
        <f ca="1">SUMPRODUCT(OFFSET(tConvElec_Res,0,3,1,_maxLT),tElec4_Res,tpSurvAll_Res)</f>
        <v>0.93266647917356571</v>
      </c>
      <c r="I272" s="40">
        <f ca="1">SUMPRODUCT(OFFSET(tConvElec_Res,0,4,1,_maxLT),tElec4_Res,tpSurvAll_Res)</f>
        <v>0.93082562837982441</v>
      </c>
      <c r="J272" s="40">
        <f ca="1">SUMPRODUCT(OFFSET(tConvElec_Res,0,5,1,_maxLT),tElec4_Res,tpSurvAll_Res)</f>
        <v>0.92937369520669089</v>
      </c>
      <c r="K272" s="40">
        <f ca="1">SUMPRODUCT(OFFSET(tConvElec_Res,0,6,1,_maxLT),tElec4_Res,tpSurvAll_Res)</f>
        <v>0.92811580933783611</v>
      </c>
      <c r="L272" s="40">
        <f ca="1">SUMPRODUCT(OFFSET(tConvElec_Res,0,7,1,_maxLT),tElec4_Res,tpSurvAll_Res)</f>
        <v>0.92675872030515971</v>
      </c>
      <c r="M272" s="40">
        <f ca="1">SUMPRODUCT(OFFSET(tConvElec_Res,0,8,1,_maxLT),tElec4_Res,tpSurvAll_Res)</f>
        <v>0.92545261689907776</v>
      </c>
      <c r="N272" s="40">
        <f ca="1">SUMPRODUCT(OFFSET(tConvElec_Res,0,9,1,_maxLT),tElec4_Res,tpSurvAll_Res)</f>
        <v>0.92421549609158904</v>
      </c>
      <c r="O272" s="40">
        <f ca="1">SUMPRODUCT(OFFSET(tConvElec_Res,0,10,1,_maxLT),tElec4_Res,tpSurvAll_Res)</f>
        <v>0.92292355088848987</v>
      </c>
      <c r="P272" s="40">
        <f ca="1">SUMPRODUCT(OFFSET(tConvElec_Res,0,11,1,_maxLT),tElec4_Res,tpSurvAll_Res)</f>
        <v>0.92183185721795835</v>
      </c>
      <c r="Q272" s="40">
        <f ca="1">SUMPRODUCT(OFFSET(tConvElec_Res,0,12,1,_maxLT),tElec4_Res,tpSurvAll_Res)</f>
        <v>0.92071192845241212</v>
      </c>
      <c r="R272" s="40">
        <f ca="1">SUMPRODUCT(OFFSET(tConvElec_Res,0,13,1,_maxLT),tElec4_Res,tpSurvAll_Res)</f>
        <v>0.91973577074000956</v>
      </c>
      <c r="S272" s="40">
        <f ca="1">SUMPRODUCT(OFFSET(tConvElec_Res,0,14,1,_maxLT),tElec4_Res,tpSurvAll_Res)</f>
        <v>0.91891349036539494</v>
      </c>
      <c r="T272" s="40">
        <f ca="1">SUMPRODUCT(OFFSET(tConvElec_Res,0,15,1,_maxLT),tElec4_Res,tpSurvAll_Res)</f>
        <v>0.91814790519418044</v>
      </c>
      <c r="U272" s="40">
        <f ca="1">SUMPRODUCT(OFFSET(tConvElec_Res,0,16,1,_maxLT),tElec4_Res,tpSurvAll_Res)</f>
        <v>0.91736110329743625</v>
      </c>
      <c r="V272" s="40">
        <f ca="1">SUMPRODUCT(OFFSET(tConvElec_Res,0,17,1,_maxLT),tElec4_Res,tpSurvAll_Res)</f>
        <v>0.91665645010670727</v>
      </c>
      <c r="W272" s="40">
        <f ca="1">SUMPRODUCT(OFFSET(tConvElec_Res,0,18,1,_maxLT),tElec4_Res,tpSurvAll_Res)</f>
        <v>0.9160800847330135</v>
      </c>
      <c r="X272" s="40">
        <f ca="1">SUMPRODUCT(OFFSET(tConvElec_Res,0,19,1,_maxLT),tElec4_Res,tpSurvAll_Res)</f>
        <v>0.91559273183244538</v>
      </c>
      <c r="Y272" s="40">
        <f ca="1">SUMPRODUCT(OFFSET(tConvElec_Res,0,20,1,_maxLT),tElec4_Res,tpSurvAll_Res)</f>
        <v>0.91520070324173897</v>
      </c>
      <c r="Z272" s="40">
        <f ca="1">SUMPRODUCT(OFFSET(tConvElec_Res,0,21,1,_maxLT),tElec4_Res,tpSurvAll_Res)</f>
        <v>0.91504871007363187</v>
      </c>
      <c r="AA272" s="40">
        <f ca="1">SUMPRODUCT(OFFSET(tConvElec_Res,0,22,1,_maxLT),tElec4_Res,tpSurvAll_Res)</f>
        <v>0.91504464274423336</v>
      </c>
      <c r="AB272" s="40">
        <f ca="1">SUMPRODUCT(OFFSET(tConvElec_Res,0,23,1,_maxLT),tElec4_Res,tpSurvAll_Res)</f>
        <v>0.91508647131580434</v>
      </c>
      <c r="AC272" s="40">
        <f ca="1">SUMPRODUCT(OFFSET(tConvElec_Res,0,24,1,_maxLT),tElec4_Res,tpSurvAll_Res)</f>
        <v>0.91517604117901752</v>
      </c>
      <c r="AD272" s="40">
        <f ca="1">SUMPRODUCT(OFFSET(tConvElec_Res,0,25,1,_maxLT),tElec4_Res,tpSurvAll_Res)</f>
        <v>0.9152512233812462</v>
      </c>
      <c r="AE272" s="40">
        <f ca="1">SUMPRODUCT(OFFSET(tConvElec_Res,0,26,1,_maxLT),tElec4_Res,tpSurvAll_Res)</f>
        <v>0.91526896727426177</v>
      </c>
      <c r="AF272" s="40">
        <f ca="1">SUMPRODUCT(OFFSET(tConvElec_Res,0,27,1,_maxLT),tElec4_Res,tpSurvAll_Res)</f>
        <v>0.91526896727426177</v>
      </c>
      <c r="AG272" s="40">
        <f ca="1">SUMPRODUCT(OFFSET(tConvElec_Res,0,28,1,_maxLT),tElec4_Res,tpSurvAll_Res)</f>
        <v>0.91526896727426177</v>
      </c>
      <c r="AH272" s="40">
        <f ca="1">SUMPRODUCT(OFFSET(tConvElec_Res,0,29,1,_maxLT),tElec4_Res,tpSurvAll_Res)</f>
        <v>0.91526896727426177</v>
      </c>
      <c r="AI272" s="40">
        <f ca="1">SUMPRODUCT(OFFSET(tConvElec_Res,0,30,1,_maxLT),tElec4_Res,tpSurvAll_Res)</f>
        <v>0.91526896727426177</v>
      </c>
      <c r="AJ272" s="40">
        <f ca="1">SUMPRODUCT(OFFSET(tConvElec_Res,0,31,1,_maxLT),tElec4_Res,tpSurvAll_Res)</f>
        <v>0.91526896727426177</v>
      </c>
      <c r="AK272" s="40">
        <f ca="1">SUMPRODUCT(OFFSET(tConvElec_Res,0,32,1,_maxLT),tElec4_Res,tpSurvAll_Res)</f>
        <v>0.91526896727426177</v>
      </c>
      <c r="AL272" s="40">
        <f ca="1">SUMPRODUCT(OFFSET(tConvElec_Res,0,33,1,_maxLT),tElec4_Res,tpSurvAll_Res)</f>
        <v>0.91526896727426177</v>
      </c>
      <c r="AM272" s="40">
        <f ca="1">SUMPRODUCT(OFFSET(tConvElec_Res,0,34,1,_maxLT),tElec4_Res,tpSurvAll_Res)</f>
        <v>0.91526896727426177</v>
      </c>
      <c r="AN272" s="41">
        <f ca="1">SUMPRODUCT(OFFSET(tConvElec_Res,0,35,1,_maxLT),tElec4_Res,tpSurvAll_Res)</f>
        <v>0.91526896727426177</v>
      </c>
      <c r="AO272" s="8"/>
    </row>
    <row r="273" spans="2:41" x14ac:dyDescent="0.35">
      <c r="B273" s="8"/>
      <c r="C273" s="20" t="str">
        <f>INDEX(_Sector,2,2)</f>
        <v>Commercial</v>
      </c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18"/>
      <c r="AO273" s="8"/>
    </row>
    <row r="274" spans="2:41" x14ac:dyDescent="0.35">
      <c r="B274" s="8"/>
      <c r="C274" s="58" t="str">
        <f>INDEX(_fuel,1)</f>
        <v>Electricity</v>
      </c>
      <c r="D274" s="15" t="s">
        <v>80</v>
      </c>
      <c r="E274" s="48">
        <f ca="1">SUMPRODUCT(OFFSET(tConvElec_Com,0,0,1,_maxLT),tElec4_Com,tpSurvAll_Com)</f>
        <v>1.8564608525144946</v>
      </c>
      <c r="F274" s="48">
        <f ca="1">SUMPRODUCT(OFFSET(tConvElec_Com,0,1,1,_maxLT),tElec4_Com,tpSurvAll_Com)</f>
        <v>1.8469321768519069</v>
      </c>
      <c r="G274" s="48">
        <f ca="1">SUMPRODUCT(OFFSET(tConvElec_Com,0,2,1,_maxLT),tElec4_Com,tpSurvAll_Com)</f>
        <v>1.840117952770038</v>
      </c>
      <c r="H274" s="48">
        <f ca="1">SUMPRODUCT(OFFSET(tConvElec_Com,0,3,1,_maxLT),tElec4_Com,tpSurvAll_Com)</f>
        <v>1.8348795271064866</v>
      </c>
      <c r="I274" s="48">
        <f ca="1">SUMPRODUCT(OFFSET(tConvElec_Com,0,4,1,_maxLT),tElec4_Com,tpSurvAll_Com)</f>
        <v>1.8313858249711532</v>
      </c>
      <c r="J274" s="48">
        <f ca="1">SUMPRODUCT(OFFSET(tConvElec_Com,0,5,1,_maxLT),tElec4_Com,tpSurvAll_Com)</f>
        <v>1.8287291261831269</v>
      </c>
      <c r="K274" s="48">
        <f ca="1">SUMPRODUCT(OFFSET(tConvElec_Com,0,6,1,_maxLT),tElec4_Com,tpSurvAll_Com)</f>
        <v>1.8264618397515036</v>
      </c>
      <c r="L274" s="48">
        <f ca="1">SUMPRODUCT(OFFSET(tConvElec_Com,0,7,1,_maxLT),tElec4_Com,tpSurvAll_Com)</f>
        <v>1.824033845204885</v>
      </c>
      <c r="M274" s="48">
        <f ca="1">SUMPRODUCT(OFFSET(tConvElec_Com,0,8,1,_maxLT),tElec4_Com,tpSurvAll_Com)</f>
        <v>1.8217394304889643</v>
      </c>
      <c r="N274" s="48">
        <f ca="1">SUMPRODUCT(OFFSET(tConvElec_Com,0,9,1,_maxLT),tElec4_Com,tpSurvAll_Com)</f>
        <v>1.8195769530585402</v>
      </c>
      <c r="O274" s="48">
        <f ca="1">SUMPRODUCT(OFFSET(tConvElec_Com,0,10,1,_maxLT),tElec4_Com,tpSurvAll_Com)</f>
        <v>1.8173415724041286</v>
      </c>
      <c r="P274" s="48">
        <f ca="1">SUMPRODUCT(OFFSET(tConvElec_Com,0,11,1,_maxLT),tElec4_Com,tpSurvAll_Com)</f>
        <v>1.8154239499682112</v>
      </c>
      <c r="Q274" s="48">
        <f ca="1">SUMPRODUCT(OFFSET(tConvElec_Com,0,12,1,_maxLT),tElec4_Com,tpSurvAll_Com)</f>
        <v>1.8134265564851049</v>
      </c>
      <c r="R274" s="48">
        <f ca="1">SUMPRODUCT(OFFSET(tConvElec_Com,0,13,1,_maxLT),tElec4_Com,tpSurvAll_Com)</f>
        <v>1.8116850101276487</v>
      </c>
      <c r="S274" s="48">
        <f ca="1">SUMPRODUCT(OFFSET(tConvElec_Com,0,14,1,_maxLT),tElec4_Com,tpSurvAll_Com)</f>
        <v>1.8102384025284775</v>
      </c>
      <c r="T274" s="48">
        <f ca="1">SUMPRODUCT(OFFSET(tConvElec_Com,0,15,1,_maxLT),tElec4_Com,tpSurvAll_Com)</f>
        <v>1.8089125700587871</v>
      </c>
      <c r="U274" s="48">
        <f ca="1">SUMPRODUCT(OFFSET(tConvElec_Com,0,16,1,_maxLT),tElec4_Com,tpSurvAll_Com)</f>
        <v>1.8075462587852071</v>
      </c>
      <c r="V274" s="48">
        <f ca="1">SUMPRODUCT(OFFSET(tConvElec_Com,0,17,1,_maxLT),tElec4_Com,tpSurvAll_Com)</f>
        <v>1.8063164280564756</v>
      </c>
      <c r="W274" s="48">
        <f ca="1">SUMPRODUCT(OFFSET(tConvElec_Com,0,18,1,_maxLT),tElec4_Com,tpSurvAll_Com)</f>
        <v>1.8053226630802914</v>
      </c>
      <c r="X274" s="48">
        <f ca="1">SUMPRODUCT(OFFSET(tConvElec_Com,0,19,1,_maxLT),tElec4_Com,tpSurvAll_Com)</f>
        <v>1.8044919087059852</v>
      </c>
      <c r="Y274" s="48">
        <f ca="1">SUMPRODUCT(OFFSET(tConvElec_Com,0,20,1,_maxLT),tElec4_Com,tpSurvAll_Com)</f>
        <v>1.8038258972436445</v>
      </c>
      <c r="Z274" s="48">
        <f ca="1">SUMPRODUCT(OFFSET(tConvElec_Com,0,21,1,_maxLT),tElec4_Com,tpSurvAll_Com)</f>
        <v>1.8036037394948199</v>
      </c>
      <c r="AA274" s="48">
        <f ca="1">SUMPRODUCT(OFFSET(tConvElec_Com,0,22,1,_maxLT),tElec4_Com,tpSurvAll_Com)</f>
        <v>1.8036503713769427</v>
      </c>
      <c r="AB274" s="48">
        <f ca="1">SUMPRODUCT(OFFSET(tConvElec_Com,0,23,1,_maxLT),tElec4_Com,tpSurvAll_Com)</f>
        <v>1.8037762942055808</v>
      </c>
      <c r="AC274" s="48">
        <f ca="1">SUMPRODUCT(OFFSET(tConvElec_Com,0,24,1,_maxLT),tElec4_Com,tpSurvAll_Com)</f>
        <v>1.8039758895758791</v>
      </c>
      <c r="AD274" s="48">
        <f ca="1">SUMPRODUCT(OFFSET(tConvElec_Com,0,25,1,_maxLT),tElec4_Com,tpSurvAll_Com)</f>
        <v>1.8041355168346058</v>
      </c>
      <c r="AE274" s="48">
        <f ca="1">SUMPRODUCT(OFFSET(tConvElec_Com,0,26,1,_maxLT),tElec4_Com,tpSurvAll_Com)</f>
        <v>1.8041770988100168</v>
      </c>
      <c r="AF274" s="48">
        <f ca="1">SUMPRODUCT(OFFSET(tConvElec_Com,0,27,1,_maxLT),tElec4_Com,tpSurvAll_Com)</f>
        <v>1.8041770988100168</v>
      </c>
      <c r="AG274" s="48">
        <f ca="1">SUMPRODUCT(OFFSET(tConvElec_Com,0,28,1,_maxLT),tElec4_Com,tpSurvAll_Com)</f>
        <v>1.8041770988100168</v>
      </c>
      <c r="AH274" s="48">
        <f ca="1">SUMPRODUCT(OFFSET(tConvElec_Com,0,29,1,_maxLT),tElec4_Com,tpSurvAll_Com)</f>
        <v>1.8041770988100168</v>
      </c>
      <c r="AI274" s="48">
        <f ca="1">SUMPRODUCT(OFFSET(tConvElec_Com,0,30,1,_maxLT),tElec4_Com,tpSurvAll_Com)</f>
        <v>1.8041770988100168</v>
      </c>
      <c r="AJ274" s="48">
        <f ca="1">SUMPRODUCT(OFFSET(tConvElec_Com,0,31,1,_maxLT),tElec4_Com,tpSurvAll_Com)</f>
        <v>1.8041770988100168</v>
      </c>
      <c r="AK274" s="48">
        <f ca="1">SUMPRODUCT(OFFSET(tConvElec_Com,0,32,1,_maxLT),tElec4_Com,tpSurvAll_Com)</f>
        <v>1.8041770988100168</v>
      </c>
      <c r="AL274" s="48">
        <f ca="1">SUMPRODUCT(OFFSET(tConvElec_Com,0,33,1,_maxLT),tElec4_Com,tpSurvAll_Com)</f>
        <v>1.8041770988100168</v>
      </c>
      <c r="AM274" s="48">
        <f ca="1">SUMPRODUCT(OFFSET(tConvElec_Com,0,34,1,_maxLT),tElec4_Com,tpSurvAll_Com)</f>
        <v>1.8041770988100168</v>
      </c>
      <c r="AN274" s="49">
        <f ca="1">SUMPRODUCT(OFFSET(tConvElec_Com,0,35,1,_maxLT),tElec4_Com,tpSurvAll_Com)</f>
        <v>1.8041770988100168</v>
      </c>
      <c r="AO274" s="8"/>
    </row>
    <row r="275" spans="2:41" x14ac:dyDescent="0.3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</row>
    <row r="276" spans="2:41" x14ac:dyDescent="0.35">
      <c r="B276" s="8"/>
      <c r="C276" s="23" t="str">
        <f>"EL 0: " &amp; INDEX(_doName,1,1)</f>
        <v>EL 0: Baseline</v>
      </c>
      <c r="D276" s="24"/>
      <c r="E276" s="26">
        <f t="array" ref="E276:X276">_t</f>
        <v>1</v>
      </c>
      <c r="F276" s="26">
        <v>2</v>
      </c>
      <c r="G276" s="26">
        <v>3</v>
      </c>
      <c r="H276" s="26">
        <v>4</v>
      </c>
      <c r="I276" s="26">
        <v>5</v>
      </c>
      <c r="J276" s="26">
        <v>6</v>
      </c>
      <c r="K276" s="26">
        <v>7</v>
      </c>
      <c r="L276" s="26">
        <v>8</v>
      </c>
      <c r="M276" s="26">
        <v>9</v>
      </c>
      <c r="N276" s="26">
        <v>10</v>
      </c>
      <c r="O276" s="26">
        <v>11</v>
      </c>
      <c r="P276" s="26">
        <v>12</v>
      </c>
      <c r="Q276" s="26">
        <v>13</v>
      </c>
      <c r="R276" s="26">
        <v>14</v>
      </c>
      <c r="S276" s="26">
        <v>15</v>
      </c>
      <c r="T276" s="26">
        <v>16</v>
      </c>
      <c r="U276" s="26">
        <v>17</v>
      </c>
      <c r="V276" s="26">
        <v>18</v>
      </c>
      <c r="W276" s="26">
        <v>19</v>
      </c>
      <c r="X276" s="27">
        <v>20</v>
      </c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</row>
    <row r="277" spans="2:41" x14ac:dyDescent="0.35">
      <c r="B277" s="8"/>
      <c r="C277" s="19" t="s">
        <v>70</v>
      </c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1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</row>
    <row r="278" spans="2:41" x14ac:dyDescent="0.35">
      <c r="B278" s="8"/>
      <c r="C278" s="10" t="s">
        <v>30</v>
      </c>
      <c r="D278" s="11" t="str">
        <f>_yearDol &amp; "$"</f>
        <v>2021$</v>
      </c>
      <c r="E278" s="32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1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</row>
    <row r="279" spans="2:41" x14ac:dyDescent="0.35">
      <c r="B279" s="8"/>
      <c r="C279" s="20" t="str">
        <f>INDEX(_Sector,2,1)</f>
        <v>Residential</v>
      </c>
      <c r="D279" s="8"/>
      <c r="E279" s="32">
        <f>INDEX(mspsml_Res,1)</f>
        <v>64.504715024821735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18"/>
      <c r="Y279" s="8"/>
      <c r="Z279" s="8"/>
      <c r="AA279" s="8"/>
      <c r="AB279" s="8"/>
      <c r="AC279" s="125" t="s">
        <v>127</v>
      </c>
      <c r="AD279" s="124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</row>
    <row r="280" spans="2:41" x14ac:dyDescent="0.35">
      <c r="B280" s="8"/>
      <c r="C280" s="20" t="str">
        <f>INDEX(_Sector,2,2)</f>
        <v>Commercial</v>
      </c>
      <c r="D280" s="8"/>
      <c r="E280" s="32">
        <f>INDEX(mspsml_Com,1)</f>
        <v>62.305805317549925</v>
      </c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18"/>
      <c r="Y280" s="8"/>
      <c r="Z280" s="124" t="s">
        <v>126</v>
      </c>
      <c r="AA280" s="8"/>
      <c r="AB280" s="8"/>
      <c r="AC280" s="127" t="s">
        <v>12</v>
      </c>
      <c r="AD280" s="127" t="s">
        <v>14</v>
      </c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</row>
    <row r="281" spans="2:41" x14ac:dyDescent="0.35">
      <c r="B281" s="8"/>
      <c r="C281" s="10" t="s">
        <v>71</v>
      </c>
      <c r="D281" s="11" t="str">
        <f>_yearDol &amp; "$"</f>
        <v>2021$</v>
      </c>
      <c r="E281" s="32">
        <f>INDEX(instsml,1)</f>
        <v>0</v>
      </c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18"/>
      <c r="Y281" s="8"/>
      <c r="Z281" s="124"/>
      <c r="AA281" s="8"/>
      <c r="AB281" s="8"/>
      <c r="AC281" s="128">
        <v>10.024011645894458</v>
      </c>
      <c r="AD281" s="129">
        <v>11.011606014237765</v>
      </c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</row>
    <row r="282" spans="2:41" x14ac:dyDescent="0.35">
      <c r="B282" s="8"/>
      <c r="C282" s="10" t="s">
        <v>77</v>
      </c>
      <c r="D282" s="11" t="str">
        <f>_yearDol &amp; "$"</f>
        <v>2021$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55"/>
      <c r="Y282" s="8"/>
      <c r="Z282" s="124"/>
      <c r="AA282" s="8"/>
      <c r="AB282" s="8"/>
      <c r="AC282" s="128">
        <v>7.7703697105507175</v>
      </c>
      <c r="AD282" s="129">
        <v>8.4702040827632263</v>
      </c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</row>
    <row r="283" spans="2:41" x14ac:dyDescent="0.35">
      <c r="B283" s="8"/>
      <c r="C283" s="20" t="str">
        <f>INDEX(_Sector,2,1)</f>
        <v>Residential</v>
      </c>
      <c r="D283" s="8"/>
      <c r="E283" s="32">
        <f>(Z283-1)*F283</f>
        <v>7.6038449687975493</v>
      </c>
      <c r="F283" s="117">
        <f>$AC$281</f>
        <v>10.024011645894458</v>
      </c>
      <c r="G283" s="117">
        <f>F283</f>
        <v>10.024011645894458</v>
      </c>
      <c r="H283" s="117">
        <f t="shared" ref="H283:W283" si="0">G283</f>
        <v>10.024011645894458</v>
      </c>
      <c r="I283" s="117">
        <f t="shared" si="0"/>
        <v>10.024011645894458</v>
      </c>
      <c r="J283" s="117">
        <f t="shared" si="0"/>
        <v>10.024011645894458</v>
      </c>
      <c r="K283" s="117">
        <f t="shared" si="0"/>
        <v>10.024011645894458</v>
      </c>
      <c r="L283" s="117">
        <f t="shared" si="0"/>
        <v>10.024011645894458</v>
      </c>
      <c r="M283" s="117">
        <f t="shared" si="0"/>
        <v>10.024011645894458</v>
      </c>
      <c r="N283" s="117">
        <f t="shared" si="0"/>
        <v>10.024011645894458</v>
      </c>
      <c r="O283" s="117">
        <f t="shared" si="0"/>
        <v>10.024011645894458</v>
      </c>
      <c r="P283" s="117">
        <f t="shared" si="0"/>
        <v>10.024011645894458</v>
      </c>
      <c r="Q283" s="117">
        <f t="shared" si="0"/>
        <v>10.024011645894458</v>
      </c>
      <c r="R283" s="117">
        <f t="shared" si="0"/>
        <v>10.024011645894458</v>
      </c>
      <c r="S283" s="117">
        <f t="shared" si="0"/>
        <v>10.024011645894458</v>
      </c>
      <c r="T283" s="117">
        <f t="shared" si="0"/>
        <v>10.024011645894458</v>
      </c>
      <c r="U283" s="117">
        <f t="shared" si="0"/>
        <v>10.024011645894458</v>
      </c>
      <c r="V283" s="117">
        <f t="shared" si="0"/>
        <v>10.024011645894458</v>
      </c>
      <c r="W283" s="117">
        <f t="shared" si="0"/>
        <v>10.024011645894458</v>
      </c>
      <c r="X283" s="55">
        <f t="shared" ref="H283:X284" si="1">W283</f>
        <v>10.024011645894458</v>
      </c>
      <c r="Y283" s="8"/>
      <c r="Z283" s="126">
        <v>1.7585630621161401</v>
      </c>
      <c r="AA283" s="8"/>
      <c r="AB283" s="8"/>
      <c r="AC283" s="128">
        <v>7.3806128371235316</v>
      </c>
      <c r="AD283" s="129">
        <v>8.0306804586243832</v>
      </c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</row>
    <row r="284" spans="2:41" x14ac:dyDescent="0.35">
      <c r="B284" s="8"/>
      <c r="C284" s="20" t="str">
        <f>INDEX(_Sector,2,2)</f>
        <v>Commercial</v>
      </c>
      <c r="D284" s="8"/>
      <c r="E284" s="32">
        <f>(Z284-1)*F284</f>
        <v>11.011606014237765</v>
      </c>
      <c r="F284" s="117">
        <f>$AD$281</f>
        <v>11.011606014237765</v>
      </c>
      <c r="G284" s="117">
        <f>F284</f>
        <v>11.011606014237765</v>
      </c>
      <c r="H284" s="117">
        <f t="shared" si="1"/>
        <v>11.011606014237765</v>
      </c>
      <c r="I284" s="117">
        <f t="shared" si="1"/>
        <v>11.011606014237765</v>
      </c>
      <c r="J284" s="117">
        <f t="shared" si="1"/>
        <v>11.011606014237765</v>
      </c>
      <c r="K284" s="117">
        <f t="shared" si="1"/>
        <v>11.011606014237765</v>
      </c>
      <c r="L284" s="117">
        <f t="shared" si="1"/>
        <v>11.011606014237765</v>
      </c>
      <c r="M284" s="117">
        <f t="shared" si="1"/>
        <v>11.011606014237765</v>
      </c>
      <c r="N284" s="117">
        <f t="shared" si="1"/>
        <v>11.011606014237765</v>
      </c>
      <c r="O284" s="117">
        <f t="shared" si="1"/>
        <v>11.011606014237765</v>
      </c>
      <c r="P284" s="117">
        <f t="shared" si="1"/>
        <v>11.011606014237765</v>
      </c>
      <c r="Q284" s="117">
        <f t="shared" si="1"/>
        <v>11.011606014237765</v>
      </c>
      <c r="R284" s="117">
        <f t="shared" si="1"/>
        <v>11.011606014237765</v>
      </c>
      <c r="S284" s="117">
        <f t="shared" si="1"/>
        <v>11.011606014237765</v>
      </c>
      <c r="T284" s="117">
        <f t="shared" si="1"/>
        <v>11.011606014237765</v>
      </c>
      <c r="U284" s="117">
        <f t="shared" si="1"/>
        <v>11.011606014237765</v>
      </c>
      <c r="V284" s="117">
        <f t="shared" si="1"/>
        <v>11.011606014237765</v>
      </c>
      <c r="W284" s="117">
        <f t="shared" si="1"/>
        <v>11.011606014237765</v>
      </c>
      <c r="X284" s="55">
        <f t="shared" si="1"/>
        <v>11.011606014237765</v>
      </c>
      <c r="Y284" s="8"/>
      <c r="Z284" s="126">
        <v>2</v>
      </c>
      <c r="AA284" s="8"/>
      <c r="AB284" s="8"/>
      <c r="AC284" s="128">
        <v>23.036076751288856</v>
      </c>
      <c r="AD284" s="129">
        <v>25.685138163557482</v>
      </c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</row>
    <row r="285" spans="2:41" x14ac:dyDescent="0.35">
      <c r="B285" s="8"/>
      <c r="C285" s="19" t="s">
        <v>78</v>
      </c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18"/>
      <c r="Y285" s="8"/>
      <c r="Z285" s="8"/>
      <c r="AA285" s="8"/>
      <c r="AB285" s="8"/>
      <c r="AC285" s="128">
        <v>24.094161120513739</v>
      </c>
      <c r="AD285" s="129">
        <v>26.878325784644002</v>
      </c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</row>
    <row r="286" spans="2:41" x14ac:dyDescent="0.35">
      <c r="B286" s="8"/>
      <c r="C286" s="10" t="str">
        <f>INDEX(_fuel,1)</f>
        <v>Electricity</v>
      </c>
      <c r="D286" s="11" t="s">
        <v>75</v>
      </c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1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</row>
    <row r="287" spans="2:41" x14ac:dyDescent="0.35">
      <c r="B287" s="8"/>
      <c r="C287" s="20" t="str">
        <f>INDEX(_Sector,2,1)</f>
        <v>Residential</v>
      </c>
      <c r="D287" s="8"/>
      <c r="E287" s="40">
        <f>INDEX(elecsml_Res,1)</f>
        <v>40.02949355962847</v>
      </c>
      <c r="F287" s="40">
        <f t="array" ref="F287:X287">$E$287</f>
        <v>40.02949355962847</v>
      </c>
      <c r="G287" s="40">
        <v>40.02949355962847</v>
      </c>
      <c r="H287" s="40">
        <v>40.02949355962847</v>
      </c>
      <c r="I287" s="40">
        <v>40.02949355962847</v>
      </c>
      <c r="J287" s="40">
        <v>40.02949355962847</v>
      </c>
      <c r="K287" s="40">
        <v>40.02949355962847</v>
      </c>
      <c r="L287" s="40">
        <v>40.02949355962847</v>
      </c>
      <c r="M287" s="40">
        <v>40.02949355962847</v>
      </c>
      <c r="N287" s="40">
        <v>40.02949355962847</v>
      </c>
      <c r="O287" s="40">
        <v>40.02949355962847</v>
      </c>
      <c r="P287" s="40">
        <v>40.02949355962847</v>
      </c>
      <c r="Q287" s="40">
        <v>40.02949355962847</v>
      </c>
      <c r="R287" s="40">
        <v>40.02949355962847</v>
      </c>
      <c r="S287" s="40">
        <v>40.02949355962847</v>
      </c>
      <c r="T287" s="40">
        <v>40.02949355962847</v>
      </c>
      <c r="U287" s="40">
        <v>40.02949355962847</v>
      </c>
      <c r="V287" s="40">
        <v>40.02949355962847</v>
      </c>
      <c r="W287" s="40">
        <v>40.02949355962847</v>
      </c>
      <c r="X287" s="41">
        <v>40.02949355962847</v>
      </c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</row>
    <row r="288" spans="2:41" x14ac:dyDescent="0.35">
      <c r="B288" s="8"/>
      <c r="C288" s="39" t="str">
        <f>INDEX(_Sector,2,2)</f>
        <v>Commercial</v>
      </c>
      <c r="D288" s="56"/>
      <c r="E288" s="48">
        <f>INDEX(elecsml_Com,1)</f>
        <v>83.205237373802646</v>
      </c>
      <c r="F288" s="48">
        <f t="array" ref="F288:X288">$E$288</f>
        <v>83.205237373802646</v>
      </c>
      <c r="G288" s="48">
        <v>83.205237373802646</v>
      </c>
      <c r="H288" s="48">
        <v>83.205237373802646</v>
      </c>
      <c r="I288" s="48">
        <v>83.205237373802646</v>
      </c>
      <c r="J288" s="48">
        <v>83.205237373802646</v>
      </c>
      <c r="K288" s="48">
        <v>83.205237373802646</v>
      </c>
      <c r="L288" s="48">
        <v>83.205237373802646</v>
      </c>
      <c r="M288" s="48">
        <v>83.205237373802646</v>
      </c>
      <c r="N288" s="48">
        <v>83.205237373802646</v>
      </c>
      <c r="O288" s="48">
        <v>83.205237373802646</v>
      </c>
      <c r="P288" s="48">
        <v>83.205237373802646</v>
      </c>
      <c r="Q288" s="48">
        <v>83.205237373802646</v>
      </c>
      <c r="R288" s="48">
        <v>83.205237373802646</v>
      </c>
      <c r="S288" s="48">
        <v>83.205237373802646</v>
      </c>
      <c r="T288" s="48">
        <v>83.205237373802646</v>
      </c>
      <c r="U288" s="48">
        <v>83.205237373802646</v>
      </c>
      <c r="V288" s="48">
        <v>83.205237373802646</v>
      </c>
      <c r="W288" s="48">
        <v>83.205237373802646</v>
      </c>
      <c r="X288" s="49">
        <v>83.205237373802646</v>
      </c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</row>
    <row r="289" spans="2:41" x14ac:dyDescent="0.3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</row>
    <row r="290" spans="2:41" x14ac:dyDescent="0.35">
      <c r="B290" s="8"/>
      <c r="C290" s="23" t="str">
        <f>"EL 1: " &amp; INDEX(_doName,1,2)</f>
        <v>EL 1: Tier 1</v>
      </c>
      <c r="D290" s="24"/>
      <c r="E290" s="26">
        <f t="array" ref="E290:X290">_t</f>
        <v>1</v>
      </c>
      <c r="F290" s="26">
        <v>2</v>
      </c>
      <c r="G290" s="26">
        <v>3</v>
      </c>
      <c r="H290" s="26">
        <v>4</v>
      </c>
      <c r="I290" s="26">
        <v>5</v>
      </c>
      <c r="J290" s="26">
        <v>6</v>
      </c>
      <c r="K290" s="26">
        <v>7</v>
      </c>
      <c r="L290" s="26">
        <v>8</v>
      </c>
      <c r="M290" s="26">
        <v>9</v>
      </c>
      <c r="N290" s="26">
        <v>10</v>
      </c>
      <c r="O290" s="26">
        <v>11</v>
      </c>
      <c r="P290" s="26">
        <v>12</v>
      </c>
      <c r="Q290" s="26">
        <v>13</v>
      </c>
      <c r="R290" s="26">
        <v>14</v>
      </c>
      <c r="S290" s="26">
        <v>15</v>
      </c>
      <c r="T290" s="26">
        <v>16</v>
      </c>
      <c r="U290" s="26">
        <v>17</v>
      </c>
      <c r="V290" s="26">
        <v>18</v>
      </c>
      <c r="W290" s="26">
        <v>19</v>
      </c>
      <c r="X290" s="27">
        <v>20</v>
      </c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</row>
    <row r="291" spans="2:41" x14ac:dyDescent="0.35">
      <c r="B291" s="8"/>
      <c r="C291" s="19" t="s">
        <v>70</v>
      </c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1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</row>
    <row r="292" spans="2:41" x14ac:dyDescent="0.35">
      <c r="B292" s="8"/>
      <c r="C292" s="10" t="s">
        <v>30</v>
      </c>
      <c r="D292" s="11" t="str">
        <f>_yearDol &amp; "$"</f>
        <v>2021$</v>
      </c>
      <c r="E292" s="32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1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</row>
    <row r="293" spans="2:41" x14ac:dyDescent="0.35">
      <c r="B293" s="8"/>
      <c r="C293" s="20" t="str">
        <f>INDEX(_Sector,2,1)</f>
        <v>Residential</v>
      </c>
      <c r="D293" s="8"/>
      <c r="E293" s="32">
        <f>INDEX(mspsml_Res,2)</f>
        <v>66.165956190811087</v>
      </c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1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</row>
    <row r="294" spans="2:41" x14ac:dyDescent="0.35">
      <c r="B294" s="8"/>
      <c r="C294" s="20" t="str">
        <f>INDEX(_Sector,2,2)</f>
        <v>Commercial</v>
      </c>
      <c r="D294" s="8"/>
      <c r="E294" s="32">
        <f>INDEX(mspsml_Com,2)</f>
        <v>63.953015718625721</v>
      </c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1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</row>
    <row r="295" spans="2:41" x14ac:dyDescent="0.35">
      <c r="B295" s="8"/>
      <c r="C295" s="10" t="s">
        <v>71</v>
      </c>
      <c r="D295" s="11" t="str">
        <f>_yearDol &amp; "$"</f>
        <v>2021$</v>
      </c>
      <c r="E295" s="32">
        <f>INDEX(instsml,2)</f>
        <v>0</v>
      </c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1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</row>
    <row r="296" spans="2:41" x14ac:dyDescent="0.35">
      <c r="B296" s="8"/>
      <c r="C296" s="10" t="s">
        <v>77</v>
      </c>
      <c r="D296" s="11" t="str">
        <f>_yearDol &amp; "$"</f>
        <v>2021$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55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</row>
    <row r="297" spans="2:41" x14ac:dyDescent="0.35">
      <c r="B297" s="8"/>
      <c r="C297" s="20" t="str">
        <f>INDEX(_Sector,2,1)</f>
        <v>Residential</v>
      </c>
      <c r="D297" s="8"/>
      <c r="E297" s="32">
        <f>(Z297-1)*F297</f>
        <v>5.8943154414098577</v>
      </c>
      <c r="F297" s="117">
        <f>$AC$282</f>
        <v>7.7703697105507175</v>
      </c>
      <c r="G297" s="117">
        <f>F297</f>
        <v>7.7703697105507175</v>
      </c>
      <c r="H297" s="117">
        <f t="shared" ref="H297:W297" si="2">G297</f>
        <v>7.7703697105507175</v>
      </c>
      <c r="I297" s="117">
        <f t="shared" si="2"/>
        <v>7.7703697105507175</v>
      </c>
      <c r="J297" s="117">
        <f t="shared" si="2"/>
        <v>7.7703697105507175</v>
      </c>
      <c r="K297" s="117">
        <f t="shared" si="2"/>
        <v>7.7703697105507175</v>
      </c>
      <c r="L297" s="117">
        <f t="shared" si="2"/>
        <v>7.7703697105507175</v>
      </c>
      <c r="M297" s="117">
        <f t="shared" si="2"/>
        <v>7.7703697105507175</v>
      </c>
      <c r="N297" s="117">
        <f t="shared" si="2"/>
        <v>7.7703697105507175</v>
      </c>
      <c r="O297" s="117">
        <f t="shared" si="2"/>
        <v>7.7703697105507175</v>
      </c>
      <c r="P297" s="117">
        <f t="shared" si="2"/>
        <v>7.7703697105507175</v>
      </c>
      <c r="Q297" s="117">
        <f t="shared" si="2"/>
        <v>7.7703697105507175</v>
      </c>
      <c r="R297" s="117">
        <f t="shared" si="2"/>
        <v>7.7703697105507175</v>
      </c>
      <c r="S297" s="117">
        <f t="shared" si="2"/>
        <v>7.7703697105507175</v>
      </c>
      <c r="T297" s="117">
        <f t="shared" si="2"/>
        <v>7.7703697105507175</v>
      </c>
      <c r="U297" s="117">
        <f t="shared" si="2"/>
        <v>7.7703697105507175</v>
      </c>
      <c r="V297" s="117">
        <f t="shared" si="2"/>
        <v>7.7703697105507175</v>
      </c>
      <c r="W297" s="117">
        <f t="shared" si="2"/>
        <v>7.7703697105507175</v>
      </c>
      <c r="X297" s="55">
        <f t="shared" ref="H297:X298" si="3">W297</f>
        <v>7.7703697105507175</v>
      </c>
      <c r="Y297" s="8"/>
      <c r="Z297" s="126">
        <v>1.7585630621161401</v>
      </c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</row>
    <row r="298" spans="2:41" x14ac:dyDescent="0.35">
      <c r="B298" s="8"/>
      <c r="C298" s="20" t="str">
        <f>INDEX(_Sector,2,2)</f>
        <v>Commercial</v>
      </c>
      <c r="D298" s="8"/>
      <c r="E298" s="32">
        <f>(Z298-1)*F298</f>
        <v>8.4702040827632263</v>
      </c>
      <c r="F298" s="117">
        <f>$AD$282</f>
        <v>8.4702040827632263</v>
      </c>
      <c r="G298" s="117">
        <f>F298</f>
        <v>8.4702040827632263</v>
      </c>
      <c r="H298" s="117">
        <f t="shared" si="3"/>
        <v>8.4702040827632263</v>
      </c>
      <c r="I298" s="117">
        <f t="shared" si="3"/>
        <v>8.4702040827632263</v>
      </c>
      <c r="J298" s="117">
        <f t="shared" si="3"/>
        <v>8.4702040827632263</v>
      </c>
      <c r="K298" s="117">
        <f t="shared" si="3"/>
        <v>8.4702040827632263</v>
      </c>
      <c r="L298" s="117">
        <f t="shared" si="3"/>
        <v>8.4702040827632263</v>
      </c>
      <c r="M298" s="117">
        <f t="shared" si="3"/>
        <v>8.4702040827632263</v>
      </c>
      <c r="N298" s="117">
        <f t="shared" si="3"/>
        <v>8.4702040827632263</v>
      </c>
      <c r="O298" s="117">
        <f t="shared" si="3"/>
        <v>8.4702040827632263</v>
      </c>
      <c r="P298" s="117">
        <f t="shared" si="3"/>
        <v>8.4702040827632263</v>
      </c>
      <c r="Q298" s="117">
        <f t="shared" si="3"/>
        <v>8.4702040827632263</v>
      </c>
      <c r="R298" s="117">
        <f t="shared" si="3"/>
        <v>8.4702040827632263</v>
      </c>
      <c r="S298" s="117">
        <f t="shared" si="3"/>
        <v>8.4702040827632263</v>
      </c>
      <c r="T298" s="117">
        <f t="shared" si="3"/>
        <v>8.4702040827632263</v>
      </c>
      <c r="U298" s="117">
        <f t="shared" si="3"/>
        <v>8.4702040827632263</v>
      </c>
      <c r="V298" s="117">
        <f t="shared" si="3"/>
        <v>8.4702040827632263</v>
      </c>
      <c r="W298" s="117">
        <f t="shared" si="3"/>
        <v>8.4702040827632263</v>
      </c>
      <c r="X298" s="55">
        <f t="shared" si="3"/>
        <v>8.4702040827632263</v>
      </c>
      <c r="Y298" s="8"/>
      <c r="Z298" s="126">
        <v>2</v>
      </c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</row>
    <row r="299" spans="2:41" x14ac:dyDescent="0.35">
      <c r="B299" s="8"/>
      <c r="C299" s="19" t="s">
        <v>78</v>
      </c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1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</row>
    <row r="300" spans="2:41" x14ac:dyDescent="0.35">
      <c r="B300" s="8"/>
      <c r="C300" s="10" t="str">
        <f>INDEX(_fuel,1)</f>
        <v>Electricity</v>
      </c>
      <c r="D300" s="11" t="s">
        <v>75</v>
      </c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1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</row>
    <row r="301" spans="2:41" x14ac:dyDescent="0.35">
      <c r="B301" s="8"/>
      <c r="C301" s="20" t="str">
        <f>INDEX(_Sector,2,1)</f>
        <v>Residential</v>
      </c>
      <c r="D301" s="8"/>
      <c r="E301" s="40">
        <f>INDEX(elecsml_Res,2)</f>
        <v>36.839701779885289</v>
      </c>
      <c r="F301" s="40">
        <f t="array" ref="F301:X301">$E$301</f>
        <v>36.839701779885289</v>
      </c>
      <c r="G301" s="40">
        <v>36.839701779885289</v>
      </c>
      <c r="H301" s="40">
        <v>36.839701779885289</v>
      </c>
      <c r="I301" s="40">
        <v>36.839701779885289</v>
      </c>
      <c r="J301" s="40">
        <v>36.839701779885289</v>
      </c>
      <c r="K301" s="40">
        <v>36.839701779885289</v>
      </c>
      <c r="L301" s="40">
        <v>36.839701779885289</v>
      </c>
      <c r="M301" s="40">
        <v>36.839701779885289</v>
      </c>
      <c r="N301" s="40">
        <v>36.839701779885289</v>
      </c>
      <c r="O301" s="40">
        <v>36.839701779885289</v>
      </c>
      <c r="P301" s="40">
        <v>36.839701779885289</v>
      </c>
      <c r="Q301" s="40">
        <v>36.839701779885289</v>
      </c>
      <c r="R301" s="40">
        <v>36.839701779885289</v>
      </c>
      <c r="S301" s="40">
        <v>36.839701779885289</v>
      </c>
      <c r="T301" s="40">
        <v>36.839701779885289</v>
      </c>
      <c r="U301" s="40">
        <v>36.839701779885289</v>
      </c>
      <c r="V301" s="40">
        <v>36.839701779885289</v>
      </c>
      <c r="W301" s="40">
        <v>36.839701779885289</v>
      </c>
      <c r="X301" s="41">
        <v>36.839701779885289</v>
      </c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</row>
    <row r="302" spans="2:41" x14ac:dyDescent="0.35">
      <c r="B302" s="8"/>
      <c r="C302" s="39" t="str">
        <f>INDEX(_Sector,2,2)</f>
        <v>Commercial</v>
      </c>
      <c r="D302" s="56"/>
      <c r="E302" s="48">
        <f>INDEX(elecsml_Com,2)</f>
        <v>75.545948247890024</v>
      </c>
      <c r="F302" s="48">
        <f t="array" ref="F302:X302">$E$302</f>
        <v>75.545948247890024</v>
      </c>
      <c r="G302" s="48">
        <v>75.545948247890024</v>
      </c>
      <c r="H302" s="48">
        <v>75.545948247890024</v>
      </c>
      <c r="I302" s="48">
        <v>75.545948247890024</v>
      </c>
      <c r="J302" s="48">
        <v>75.545948247890024</v>
      </c>
      <c r="K302" s="48">
        <v>75.545948247890024</v>
      </c>
      <c r="L302" s="48">
        <v>75.545948247890024</v>
      </c>
      <c r="M302" s="48">
        <v>75.545948247890024</v>
      </c>
      <c r="N302" s="48">
        <v>75.545948247890024</v>
      </c>
      <c r="O302" s="48">
        <v>75.545948247890024</v>
      </c>
      <c r="P302" s="48">
        <v>75.545948247890024</v>
      </c>
      <c r="Q302" s="48">
        <v>75.545948247890024</v>
      </c>
      <c r="R302" s="48">
        <v>75.545948247890024</v>
      </c>
      <c r="S302" s="48">
        <v>75.545948247890024</v>
      </c>
      <c r="T302" s="48">
        <v>75.545948247890024</v>
      </c>
      <c r="U302" s="48">
        <v>75.545948247890024</v>
      </c>
      <c r="V302" s="48">
        <v>75.545948247890024</v>
      </c>
      <c r="W302" s="48">
        <v>75.545948247890024</v>
      </c>
      <c r="X302" s="49">
        <v>75.545948247890024</v>
      </c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</row>
    <row r="303" spans="2:41" x14ac:dyDescent="0.3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</row>
    <row r="304" spans="2:41" x14ac:dyDescent="0.35">
      <c r="B304" s="8"/>
      <c r="C304" s="23" t="str">
        <f>"EL 2: " &amp; INDEX(_doName,1,3)</f>
        <v>EL 2: Tier 2</v>
      </c>
      <c r="D304" s="24"/>
      <c r="E304" s="26">
        <f t="array" ref="E304:X304">_t</f>
        <v>1</v>
      </c>
      <c r="F304" s="26">
        <v>2</v>
      </c>
      <c r="G304" s="26">
        <v>3</v>
      </c>
      <c r="H304" s="26">
        <v>4</v>
      </c>
      <c r="I304" s="26">
        <v>5</v>
      </c>
      <c r="J304" s="26">
        <v>6</v>
      </c>
      <c r="K304" s="26">
        <v>7</v>
      </c>
      <c r="L304" s="26">
        <v>8</v>
      </c>
      <c r="M304" s="26">
        <v>9</v>
      </c>
      <c r="N304" s="26">
        <v>10</v>
      </c>
      <c r="O304" s="26">
        <v>11</v>
      </c>
      <c r="P304" s="26">
        <v>12</v>
      </c>
      <c r="Q304" s="26">
        <v>13</v>
      </c>
      <c r="R304" s="26">
        <v>14</v>
      </c>
      <c r="S304" s="26">
        <v>15</v>
      </c>
      <c r="T304" s="26">
        <v>16</v>
      </c>
      <c r="U304" s="26">
        <v>17</v>
      </c>
      <c r="V304" s="26">
        <v>18</v>
      </c>
      <c r="W304" s="26">
        <v>19</v>
      </c>
      <c r="X304" s="27">
        <v>20</v>
      </c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</row>
    <row r="305" spans="2:41" x14ac:dyDescent="0.35">
      <c r="B305" s="8"/>
      <c r="C305" s="19" t="s">
        <v>70</v>
      </c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1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</row>
    <row r="306" spans="2:41" x14ac:dyDescent="0.35">
      <c r="B306" s="8"/>
      <c r="C306" s="10" t="s">
        <v>30</v>
      </c>
      <c r="D306" s="11" t="str">
        <f>_yearDol &amp; "$"</f>
        <v>2021$</v>
      </c>
      <c r="E306" s="32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1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</row>
    <row r="307" spans="2:41" x14ac:dyDescent="0.35">
      <c r="B307" s="8"/>
      <c r="C307" s="20" t="str">
        <f>INDEX(_Sector,2,1)</f>
        <v>Residential</v>
      </c>
      <c r="D307" s="8"/>
      <c r="E307" s="32">
        <f>INDEX(mspsml_Res,3)</f>
        <v>68.099891997757894</v>
      </c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1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</row>
    <row r="308" spans="2:41" x14ac:dyDescent="0.35">
      <c r="B308" s="8"/>
      <c r="C308" s="20" t="str">
        <f>INDEX(_Sector,2,2)</f>
        <v>Commercial</v>
      </c>
      <c r="D308" s="8"/>
      <c r="E308" s="32">
        <f>INDEX(mspsml_Com,3)</f>
        <v>65.870617594523139</v>
      </c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1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</row>
    <row r="309" spans="2:41" x14ac:dyDescent="0.35">
      <c r="B309" s="8"/>
      <c r="C309" s="10" t="s">
        <v>71</v>
      </c>
      <c r="D309" s="11" t="str">
        <f>_yearDol &amp; "$"</f>
        <v>2021$</v>
      </c>
      <c r="E309" s="32">
        <f>INDEX(instsml,3)</f>
        <v>0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1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</row>
    <row r="310" spans="2:41" x14ac:dyDescent="0.35">
      <c r="B310" s="8"/>
      <c r="C310" s="10" t="s">
        <v>77</v>
      </c>
      <c r="D310" s="11" t="str">
        <f>_yearDol &amp; "$"</f>
        <v>2021$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55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</row>
    <row r="311" spans="2:41" x14ac:dyDescent="0.35">
      <c r="B311" s="8"/>
      <c r="C311" s="20" t="str">
        <f>INDEX(_Sector,2,1)</f>
        <v>Residential</v>
      </c>
      <c r="D311" s="8"/>
      <c r="E311" s="32">
        <f>(Z311-1)*F311</f>
        <v>5.5986602740221185</v>
      </c>
      <c r="F311" s="117">
        <f>$AC$283</f>
        <v>7.3806128371235316</v>
      </c>
      <c r="G311" s="117">
        <f>F311</f>
        <v>7.3806128371235316</v>
      </c>
      <c r="H311" s="117">
        <f t="shared" ref="H311:W311" si="4">G311</f>
        <v>7.3806128371235316</v>
      </c>
      <c r="I311" s="117">
        <f t="shared" si="4"/>
        <v>7.3806128371235316</v>
      </c>
      <c r="J311" s="117">
        <f t="shared" si="4"/>
        <v>7.3806128371235316</v>
      </c>
      <c r="K311" s="117">
        <f t="shared" si="4"/>
        <v>7.3806128371235316</v>
      </c>
      <c r="L311" s="117">
        <f t="shared" si="4"/>
        <v>7.3806128371235316</v>
      </c>
      <c r="M311" s="117">
        <f t="shared" si="4"/>
        <v>7.3806128371235316</v>
      </c>
      <c r="N311" s="117">
        <f t="shared" si="4"/>
        <v>7.3806128371235316</v>
      </c>
      <c r="O311" s="117">
        <f t="shared" si="4"/>
        <v>7.3806128371235316</v>
      </c>
      <c r="P311" s="117">
        <f t="shared" si="4"/>
        <v>7.3806128371235316</v>
      </c>
      <c r="Q311" s="117">
        <f t="shared" si="4"/>
        <v>7.3806128371235316</v>
      </c>
      <c r="R311" s="117">
        <f t="shared" si="4"/>
        <v>7.3806128371235316</v>
      </c>
      <c r="S311" s="117">
        <f t="shared" si="4"/>
        <v>7.3806128371235316</v>
      </c>
      <c r="T311" s="117">
        <f t="shared" si="4"/>
        <v>7.3806128371235316</v>
      </c>
      <c r="U311" s="117">
        <f t="shared" si="4"/>
        <v>7.3806128371235316</v>
      </c>
      <c r="V311" s="117">
        <f t="shared" si="4"/>
        <v>7.3806128371235316</v>
      </c>
      <c r="W311" s="117">
        <f t="shared" si="4"/>
        <v>7.3806128371235316</v>
      </c>
      <c r="X311" s="55">
        <f t="shared" ref="H311:X312" si="5">W311</f>
        <v>7.3806128371235316</v>
      </c>
      <c r="Y311" s="8"/>
      <c r="Z311" s="126">
        <v>1.7585630621161401</v>
      </c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</row>
    <row r="312" spans="2:41" x14ac:dyDescent="0.35">
      <c r="B312" s="8"/>
      <c r="C312" s="20" t="str">
        <f>INDEX(_Sector,2,2)</f>
        <v>Commercial</v>
      </c>
      <c r="D312" s="8"/>
      <c r="E312" s="32">
        <f>(Z312-1)*F312</f>
        <v>8.0306804586243832</v>
      </c>
      <c r="F312" s="117">
        <f>$AD$283</f>
        <v>8.0306804586243832</v>
      </c>
      <c r="G312" s="117">
        <f>F312</f>
        <v>8.0306804586243832</v>
      </c>
      <c r="H312" s="117">
        <f t="shared" si="5"/>
        <v>8.0306804586243832</v>
      </c>
      <c r="I312" s="117">
        <f t="shared" si="5"/>
        <v>8.0306804586243832</v>
      </c>
      <c r="J312" s="117">
        <f t="shared" si="5"/>
        <v>8.0306804586243832</v>
      </c>
      <c r="K312" s="117">
        <f t="shared" si="5"/>
        <v>8.0306804586243832</v>
      </c>
      <c r="L312" s="117">
        <f t="shared" si="5"/>
        <v>8.0306804586243832</v>
      </c>
      <c r="M312" s="117">
        <f t="shared" si="5"/>
        <v>8.0306804586243832</v>
      </c>
      <c r="N312" s="117">
        <f t="shared" si="5"/>
        <v>8.0306804586243832</v>
      </c>
      <c r="O312" s="117">
        <f t="shared" si="5"/>
        <v>8.0306804586243832</v>
      </c>
      <c r="P312" s="117">
        <f t="shared" si="5"/>
        <v>8.0306804586243832</v>
      </c>
      <c r="Q312" s="117">
        <f t="shared" si="5"/>
        <v>8.0306804586243832</v>
      </c>
      <c r="R312" s="117">
        <f t="shared" si="5"/>
        <v>8.0306804586243832</v>
      </c>
      <c r="S312" s="117">
        <f t="shared" si="5"/>
        <v>8.0306804586243832</v>
      </c>
      <c r="T312" s="117">
        <f t="shared" si="5"/>
        <v>8.0306804586243832</v>
      </c>
      <c r="U312" s="117">
        <f t="shared" si="5"/>
        <v>8.0306804586243832</v>
      </c>
      <c r="V312" s="117">
        <f t="shared" si="5"/>
        <v>8.0306804586243832</v>
      </c>
      <c r="W312" s="117">
        <f t="shared" si="5"/>
        <v>8.0306804586243832</v>
      </c>
      <c r="X312" s="55">
        <f t="shared" si="5"/>
        <v>8.0306804586243832</v>
      </c>
      <c r="Y312" s="8"/>
      <c r="Z312" s="126">
        <v>2</v>
      </c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</row>
    <row r="313" spans="2:41" x14ac:dyDescent="0.35">
      <c r="B313" s="8"/>
      <c r="C313" s="19" t="s">
        <v>78</v>
      </c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1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</row>
    <row r="314" spans="2:41" x14ac:dyDescent="0.35">
      <c r="B314" s="8"/>
      <c r="C314" s="10" t="str">
        <f>INDEX(_fuel,1)</f>
        <v>Electricity</v>
      </c>
      <c r="D314" s="11" t="s">
        <v>75</v>
      </c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1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</row>
    <row r="315" spans="2:41" x14ac:dyDescent="0.35">
      <c r="B315" s="8"/>
      <c r="C315" s="20" t="str">
        <f>INDEX(_Sector,2,1)</f>
        <v>Residential</v>
      </c>
      <c r="D315" s="8"/>
      <c r="E315" s="40">
        <f>INDEX(elecsml_Res,3)</f>
        <v>33.791812853971351</v>
      </c>
      <c r="F315" s="40">
        <f t="array" ref="F315:X315">$E$315</f>
        <v>33.791812853971351</v>
      </c>
      <c r="G315" s="40">
        <v>33.791812853971351</v>
      </c>
      <c r="H315" s="40">
        <v>33.791812853971351</v>
      </c>
      <c r="I315" s="40">
        <v>33.791812853971351</v>
      </c>
      <c r="J315" s="40">
        <v>33.791812853971351</v>
      </c>
      <c r="K315" s="40">
        <v>33.791812853971351</v>
      </c>
      <c r="L315" s="40">
        <v>33.791812853971351</v>
      </c>
      <c r="M315" s="40">
        <v>33.791812853971351</v>
      </c>
      <c r="N315" s="40">
        <v>33.791812853971351</v>
      </c>
      <c r="O315" s="40">
        <v>33.791812853971351</v>
      </c>
      <c r="P315" s="40">
        <v>33.791812853971351</v>
      </c>
      <c r="Q315" s="40">
        <v>33.791812853971351</v>
      </c>
      <c r="R315" s="40">
        <v>33.791812853971351</v>
      </c>
      <c r="S315" s="40">
        <v>33.791812853971351</v>
      </c>
      <c r="T315" s="40">
        <v>33.791812853971351</v>
      </c>
      <c r="U315" s="40">
        <v>33.791812853971351</v>
      </c>
      <c r="V315" s="40">
        <v>33.791812853971351</v>
      </c>
      <c r="W315" s="40">
        <v>33.791812853971351</v>
      </c>
      <c r="X315" s="41">
        <v>33.791812853971351</v>
      </c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</row>
    <row r="316" spans="2:41" x14ac:dyDescent="0.35">
      <c r="B316" s="8"/>
      <c r="C316" s="39" t="str">
        <f>INDEX(_Sector,2,2)</f>
        <v>Commercial</v>
      </c>
      <c r="D316" s="56"/>
      <c r="E316" s="48">
        <f>INDEX(elecsml_Com,3)</f>
        <v>67.860873052327307</v>
      </c>
      <c r="F316" s="48">
        <f t="array" ref="F316:X316">$E$316</f>
        <v>67.860873052327307</v>
      </c>
      <c r="G316" s="48">
        <v>67.860873052327307</v>
      </c>
      <c r="H316" s="48">
        <v>67.860873052327307</v>
      </c>
      <c r="I316" s="48">
        <v>67.860873052327307</v>
      </c>
      <c r="J316" s="48">
        <v>67.860873052327307</v>
      </c>
      <c r="K316" s="48">
        <v>67.860873052327307</v>
      </c>
      <c r="L316" s="48">
        <v>67.860873052327307</v>
      </c>
      <c r="M316" s="48">
        <v>67.860873052327307</v>
      </c>
      <c r="N316" s="48">
        <v>67.860873052327307</v>
      </c>
      <c r="O316" s="48">
        <v>67.860873052327307</v>
      </c>
      <c r="P316" s="48">
        <v>67.860873052327307</v>
      </c>
      <c r="Q316" s="48">
        <v>67.860873052327307</v>
      </c>
      <c r="R316" s="48">
        <v>67.860873052327307</v>
      </c>
      <c r="S316" s="48">
        <v>67.860873052327307</v>
      </c>
      <c r="T316" s="48">
        <v>67.860873052327307</v>
      </c>
      <c r="U316" s="48">
        <v>67.860873052327307</v>
      </c>
      <c r="V316" s="48">
        <v>67.860873052327307</v>
      </c>
      <c r="W316" s="48">
        <v>67.860873052327307</v>
      </c>
      <c r="X316" s="49">
        <v>67.860873052327307</v>
      </c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</row>
    <row r="317" spans="2:41" x14ac:dyDescent="0.3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</row>
    <row r="318" spans="2:41" x14ac:dyDescent="0.35">
      <c r="B318" s="8"/>
      <c r="C318" s="23" t="str">
        <f>"EL 3: " &amp; INDEX(_doName,1,4)</f>
        <v>EL 3: EL 3</v>
      </c>
      <c r="D318" s="24"/>
      <c r="E318" s="26">
        <f t="array" ref="E318:X318">_t</f>
        <v>1</v>
      </c>
      <c r="F318" s="26">
        <v>2</v>
      </c>
      <c r="G318" s="26">
        <v>3</v>
      </c>
      <c r="H318" s="26">
        <v>4</v>
      </c>
      <c r="I318" s="26">
        <v>5</v>
      </c>
      <c r="J318" s="26">
        <v>6</v>
      </c>
      <c r="K318" s="26">
        <v>7</v>
      </c>
      <c r="L318" s="26">
        <v>8</v>
      </c>
      <c r="M318" s="26">
        <v>9</v>
      </c>
      <c r="N318" s="26">
        <v>10</v>
      </c>
      <c r="O318" s="26">
        <v>11</v>
      </c>
      <c r="P318" s="26">
        <v>12</v>
      </c>
      <c r="Q318" s="26">
        <v>13</v>
      </c>
      <c r="R318" s="26">
        <v>14</v>
      </c>
      <c r="S318" s="26">
        <v>15</v>
      </c>
      <c r="T318" s="26">
        <v>16</v>
      </c>
      <c r="U318" s="26">
        <v>17</v>
      </c>
      <c r="V318" s="26">
        <v>18</v>
      </c>
      <c r="W318" s="26">
        <v>19</v>
      </c>
      <c r="X318" s="27">
        <v>20</v>
      </c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</row>
    <row r="319" spans="2:41" x14ac:dyDescent="0.35">
      <c r="B319" s="8"/>
      <c r="C319" s="19" t="s">
        <v>70</v>
      </c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1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</row>
    <row r="320" spans="2:41" x14ac:dyDescent="0.35">
      <c r="B320" s="8"/>
      <c r="C320" s="10" t="s">
        <v>30</v>
      </c>
      <c r="D320" s="11" t="str">
        <f>_yearDol &amp; "$"</f>
        <v>2021$</v>
      </c>
      <c r="E320" s="32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1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</row>
    <row r="321" spans="2:41" x14ac:dyDescent="0.35">
      <c r="B321" s="8"/>
      <c r="C321" s="20" t="str">
        <f>INDEX(_Sector,2,1)</f>
        <v>Residential</v>
      </c>
      <c r="D321" s="8"/>
      <c r="E321" s="32">
        <f>INDEX(mspsml_Res,4)</f>
        <v>78.641844287291221</v>
      </c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1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</row>
    <row r="322" spans="2:41" x14ac:dyDescent="0.35">
      <c r="B322" s="8"/>
      <c r="C322" s="20" t="str">
        <f>INDEX(_Sector,2,2)</f>
        <v>Commercial</v>
      </c>
      <c r="D322" s="8"/>
      <c r="E322" s="32">
        <f>INDEX(mspsml_Com,4)</f>
        <v>76.323533049844016</v>
      </c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1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</row>
    <row r="323" spans="2:41" x14ac:dyDescent="0.35">
      <c r="B323" s="8"/>
      <c r="C323" s="10" t="s">
        <v>71</v>
      </c>
      <c r="D323" s="11" t="str">
        <f>_yearDol &amp; "$"</f>
        <v>2021$</v>
      </c>
      <c r="E323" s="32">
        <f>INDEX(instsml,4)</f>
        <v>0</v>
      </c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1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</row>
    <row r="324" spans="2:41" x14ac:dyDescent="0.35">
      <c r="B324" s="8"/>
      <c r="C324" s="10" t="s">
        <v>77</v>
      </c>
      <c r="D324" s="11" t="str">
        <f>_yearDol &amp; "$"</f>
        <v>2021$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55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</row>
    <row r="325" spans="2:41" x14ac:dyDescent="0.35">
      <c r="B325" s="8"/>
      <c r="C325" s="20" t="str">
        <f>INDEX(_Sector,2,1)</f>
        <v>Residential</v>
      </c>
      <c r="D325" s="8"/>
      <c r="E325" s="32">
        <f>(Z325-1)*F325</f>
        <v>17.474316919600099</v>
      </c>
      <c r="F325" s="117">
        <f>$AC$284</f>
        <v>23.036076751288856</v>
      </c>
      <c r="G325" s="117">
        <f>F325</f>
        <v>23.036076751288856</v>
      </c>
      <c r="H325" s="117">
        <f t="shared" ref="H325:W325" si="6">G325</f>
        <v>23.036076751288856</v>
      </c>
      <c r="I325" s="117">
        <f t="shared" si="6"/>
        <v>23.036076751288856</v>
      </c>
      <c r="J325" s="117">
        <f t="shared" si="6"/>
        <v>23.036076751288856</v>
      </c>
      <c r="K325" s="117">
        <f t="shared" si="6"/>
        <v>23.036076751288856</v>
      </c>
      <c r="L325" s="117">
        <f t="shared" si="6"/>
        <v>23.036076751288856</v>
      </c>
      <c r="M325" s="117">
        <f t="shared" si="6"/>
        <v>23.036076751288856</v>
      </c>
      <c r="N325" s="117">
        <f t="shared" si="6"/>
        <v>23.036076751288856</v>
      </c>
      <c r="O325" s="117">
        <f t="shared" si="6"/>
        <v>23.036076751288856</v>
      </c>
      <c r="P325" s="117">
        <f t="shared" si="6"/>
        <v>23.036076751288856</v>
      </c>
      <c r="Q325" s="117">
        <f t="shared" si="6"/>
        <v>23.036076751288856</v>
      </c>
      <c r="R325" s="117">
        <f t="shared" si="6"/>
        <v>23.036076751288856</v>
      </c>
      <c r="S325" s="117">
        <f t="shared" si="6"/>
        <v>23.036076751288856</v>
      </c>
      <c r="T325" s="117">
        <f t="shared" si="6"/>
        <v>23.036076751288856</v>
      </c>
      <c r="U325" s="117">
        <f t="shared" si="6"/>
        <v>23.036076751288856</v>
      </c>
      <c r="V325" s="117">
        <f t="shared" si="6"/>
        <v>23.036076751288856</v>
      </c>
      <c r="W325" s="117">
        <f t="shared" si="6"/>
        <v>23.036076751288856</v>
      </c>
      <c r="X325" s="55">
        <f t="shared" ref="H325:X326" si="7">W325</f>
        <v>23.036076751288856</v>
      </c>
      <c r="Y325" s="8"/>
      <c r="Z325" s="126">
        <v>1.7585630621161401</v>
      </c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</row>
    <row r="326" spans="2:41" x14ac:dyDescent="0.35">
      <c r="B326" s="8"/>
      <c r="C326" s="20" t="str">
        <f>INDEX(_Sector,2,2)</f>
        <v>Commercial</v>
      </c>
      <c r="D326" s="8"/>
      <c r="E326" s="32">
        <f>(Z326-1)*F326</f>
        <v>25.685138163557482</v>
      </c>
      <c r="F326" s="117">
        <f>$AD$284</f>
        <v>25.685138163557482</v>
      </c>
      <c r="G326" s="117">
        <f>F326</f>
        <v>25.685138163557482</v>
      </c>
      <c r="H326" s="117">
        <f t="shared" si="7"/>
        <v>25.685138163557482</v>
      </c>
      <c r="I326" s="117">
        <f t="shared" si="7"/>
        <v>25.685138163557482</v>
      </c>
      <c r="J326" s="117">
        <f t="shared" si="7"/>
        <v>25.685138163557482</v>
      </c>
      <c r="K326" s="117">
        <f t="shared" si="7"/>
        <v>25.685138163557482</v>
      </c>
      <c r="L326" s="117">
        <f t="shared" si="7"/>
        <v>25.685138163557482</v>
      </c>
      <c r="M326" s="117">
        <f t="shared" si="7"/>
        <v>25.685138163557482</v>
      </c>
      <c r="N326" s="117">
        <f t="shared" si="7"/>
        <v>25.685138163557482</v>
      </c>
      <c r="O326" s="117">
        <f t="shared" si="7"/>
        <v>25.685138163557482</v>
      </c>
      <c r="P326" s="117">
        <f t="shared" si="7"/>
        <v>25.685138163557482</v>
      </c>
      <c r="Q326" s="117">
        <f t="shared" si="7"/>
        <v>25.685138163557482</v>
      </c>
      <c r="R326" s="117">
        <f t="shared" si="7"/>
        <v>25.685138163557482</v>
      </c>
      <c r="S326" s="117">
        <f t="shared" si="7"/>
        <v>25.685138163557482</v>
      </c>
      <c r="T326" s="117">
        <f t="shared" si="7"/>
        <v>25.685138163557482</v>
      </c>
      <c r="U326" s="117">
        <f t="shared" si="7"/>
        <v>25.685138163557482</v>
      </c>
      <c r="V326" s="117">
        <f t="shared" si="7"/>
        <v>25.685138163557482</v>
      </c>
      <c r="W326" s="117">
        <f t="shared" si="7"/>
        <v>25.685138163557482</v>
      </c>
      <c r="X326" s="55">
        <f t="shared" si="7"/>
        <v>25.685138163557482</v>
      </c>
      <c r="Y326" s="8"/>
      <c r="Z326" s="126">
        <v>2</v>
      </c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</row>
    <row r="327" spans="2:41" x14ac:dyDescent="0.35">
      <c r="B327" s="8"/>
      <c r="C327" s="19" t="s">
        <v>78</v>
      </c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1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</row>
    <row r="328" spans="2:41" x14ac:dyDescent="0.35">
      <c r="B328" s="8"/>
      <c r="C328" s="10" t="str">
        <f>INDEX(_fuel,1)</f>
        <v>Electricity</v>
      </c>
      <c r="D328" s="11" t="s">
        <v>75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1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</row>
    <row r="329" spans="2:41" x14ac:dyDescent="0.35">
      <c r="B329" s="8"/>
      <c r="C329" s="20" t="str">
        <f>INDEX(_Sector,2,1)</f>
        <v>Residential</v>
      </c>
      <c r="D329" s="8"/>
      <c r="E329" s="40">
        <f>INDEX(elecsml_Res,4)</f>
        <v>19.205876759927026</v>
      </c>
      <c r="F329" s="40">
        <f t="array" ref="F329:X329">$E$329</f>
        <v>19.205876759927026</v>
      </c>
      <c r="G329" s="40">
        <v>19.205876759927026</v>
      </c>
      <c r="H329" s="40">
        <v>19.205876759927026</v>
      </c>
      <c r="I329" s="40">
        <v>19.205876759927026</v>
      </c>
      <c r="J329" s="40">
        <v>19.205876759927026</v>
      </c>
      <c r="K329" s="40">
        <v>19.205876759927026</v>
      </c>
      <c r="L329" s="40">
        <v>19.205876759927026</v>
      </c>
      <c r="M329" s="40">
        <v>19.205876759927026</v>
      </c>
      <c r="N329" s="40">
        <v>19.205876759927026</v>
      </c>
      <c r="O329" s="40">
        <v>19.205876759927026</v>
      </c>
      <c r="P329" s="40">
        <v>19.205876759927026</v>
      </c>
      <c r="Q329" s="40">
        <v>19.205876759927026</v>
      </c>
      <c r="R329" s="40">
        <v>19.205876759927026</v>
      </c>
      <c r="S329" s="40">
        <v>19.205876759927026</v>
      </c>
      <c r="T329" s="40">
        <v>19.205876759927026</v>
      </c>
      <c r="U329" s="40">
        <v>19.205876759927026</v>
      </c>
      <c r="V329" s="40">
        <v>19.205876759927026</v>
      </c>
      <c r="W329" s="40">
        <v>19.205876759927026</v>
      </c>
      <c r="X329" s="41">
        <v>19.205876759927026</v>
      </c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</row>
    <row r="330" spans="2:41" x14ac:dyDescent="0.35">
      <c r="B330" s="8"/>
      <c r="C330" s="39" t="str">
        <f>INDEX(_Sector,2,2)</f>
        <v>Commercial</v>
      </c>
      <c r="D330" s="56"/>
      <c r="E330" s="48">
        <f>INDEX(elecsml_Com,4)</f>
        <v>38.150956169935455</v>
      </c>
      <c r="F330" s="48">
        <f t="array" ref="F330:X330">$E$330</f>
        <v>38.150956169935455</v>
      </c>
      <c r="G330" s="48">
        <v>38.150956169935455</v>
      </c>
      <c r="H330" s="48">
        <v>38.150956169935455</v>
      </c>
      <c r="I330" s="48">
        <v>38.150956169935455</v>
      </c>
      <c r="J330" s="48">
        <v>38.150956169935455</v>
      </c>
      <c r="K330" s="48">
        <v>38.150956169935455</v>
      </c>
      <c r="L330" s="48">
        <v>38.150956169935455</v>
      </c>
      <c r="M330" s="48">
        <v>38.150956169935455</v>
      </c>
      <c r="N330" s="48">
        <v>38.150956169935455</v>
      </c>
      <c r="O330" s="48">
        <v>38.150956169935455</v>
      </c>
      <c r="P330" s="48">
        <v>38.150956169935455</v>
      </c>
      <c r="Q330" s="48">
        <v>38.150956169935455</v>
      </c>
      <c r="R330" s="48">
        <v>38.150956169935455</v>
      </c>
      <c r="S330" s="48">
        <v>38.150956169935455</v>
      </c>
      <c r="T330" s="48">
        <v>38.150956169935455</v>
      </c>
      <c r="U330" s="48">
        <v>38.150956169935455</v>
      </c>
      <c r="V330" s="48">
        <v>38.150956169935455</v>
      </c>
      <c r="W330" s="48">
        <v>38.150956169935455</v>
      </c>
      <c r="X330" s="49">
        <v>38.150956169935455</v>
      </c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</row>
    <row r="331" spans="2:41" x14ac:dyDescent="0.3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</row>
    <row r="332" spans="2:41" x14ac:dyDescent="0.35">
      <c r="B332" s="8"/>
      <c r="C332" s="23" t="str">
        <f>"EL 4: " &amp; INDEX(_doName,1,5)</f>
        <v>EL 4: EL 4</v>
      </c>
      <c r="D332" s="24"/>
      <c r="E332" s="26">
        <f t="array" ref="E332:X332">_t</f>
        <v>1</v>
      </c>
      <c r="F332" s="26">
        <v>2</v>
      </c>
      <c r="G332" s="26">
        <v>3</v>
      </c>
      <c r="H332" s="26">
        <v>4</v>
      </c>
      <c r="I332" s="26">
        <v>5</v>
      </c>
      <c r="J332" s="26">
        <v>6</v>
      </c>
      <c r="K332" s="26">
        <v>7</v>
      </c>
      <c r="L332" s="26">
        <v>8</v>
      </c>
      <c r="M332" s="26">
        <v>9</v>
      </c>
      <c r="N332" s="26">
        <v>10</v>
      </c>
      <c r="O332" s="26">
        <v>11</v>
      </c>
      <c r="P332" s="26">
        <v>12</v>
      </c>
      <c r="Q332" s="26">
        <v>13</v>
      </c>
      <c r="R332" s="26">
        <v>14</v>
      </c>
      <c r="S332" s="26">
        <v>15</v>
      </c>
      <c r="T332" s="26">
        <v>16</v>
      </c>
      <c r="U332" s="26">
        <v>17</v>
      </c>
      <c r="V332" s="26">
        <v>18</v>
      </c>
      <c r="W332" s="26">
        <v>19</v>
      </c>
      <c r="X332" s="27">
        <v>20</v>
      </c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</row>
    <row r="333" spans="2:41" x14ac:dyDescent="0.35">
      <c r="B333" s="8"/>
      <c r="C333" s="19" t="s">
        <v>70</v>
      </c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1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</row>
    <row r="334" spans="2:41" x14ac:dyDescent="0.35">
      <c r="B334" s="8"/>
      <c r="C334" s="10" t="s">
        <v>30</v>
      </c>
      <c r="D334" s="11" t="str">
        <f>_yearDol &amp; "$"</f>
        <v>2021$</v>
      </c>
      <c r="E334" s="32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1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</row>
    <row r="335" spans="2:41" x14ac:dyDescent="0.35">
      <c r="B335" s="8"/>
      <c r="C335" s="20" t="str">
        <f>INDEX(_Sector,2,1)</f>
        <v>Residential</v>
      </c>
      <c r="D335" s="8"/>
      <c r="E335" s="32">
        <f>INDEX(mspsml_Res,5)</f>
        <v>86.877037956547795</v>
      </c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1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</row>
    <row r="336" spans="2:41" x14ac:dyDescent="0.35">
      <c r="B336" s="8"/>
      <c r="C336" s="20" t="str">
        <f>INDEX(_Sector,2,2)</f>
        <v>Commercial</v>
      </c>
      <c r="D336" s="8"/>
      <c r="E336" s="32">
        <f>INDEX(mspsml_Com,5)</f>
        <v>84.489172659919205</v>
      </c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1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</row>
    <row r="337" spans="2:41" x14ac:dyDescent="0.35">
      <c r="B337" s="8"/>
      <c r="C337" s="10" t="s">
        <v>71</v>
      </c>
      <c r="D337" s="11" t="str">
        <f>_yearDol &amp; "$"</f>
        <v>2021$</v>
      </c>
      <c r="E337" s="32">
        <f>INDEX(instsml,5)</f>
        <v>0</v>
      </c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1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</row>
    <row r="338" spans="2:41" x14ac:dyDescent="0.35">
      <c r="B338" s="8"/>
      <c r="C338" s="10" t="s">
        <v>77</v>
      </c>
      <c r="D338" s="11" t="str">
        <f>_yearDol &amp; "$"</f>
        <v>2021$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55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</row>
    <row r="339" spans="2:41" x14ac:dyDescent="0.35">
      <c r="B339" s="8"/>
      <c r="C339" s="20" t="str">
        <f>INDEX(_Sector,2,1)</f>
        <v>Residential</v>
      </c>
      <c r="D339" s="8"/>
      <c r="E339" s="32">
        <f>(Z339-1)*F339</f>
        <v>18.276940638696551</v>
      </c>
      <c r="F339" s="117">
        <f>$AC$285</f>
        <v>24.094161120513739</v>
      </c>
      <c r="G339" s="117">
        <f>F339</f>
        <v>24.094161120513739</v>
      </c>
      <c r="H339" s="117">
        <f t="shared" ref="H339:W339" si="8">G339</f>
        <v>24.094161120513739</v>
      </c>
      <c r="I339" s="117">
        <f t="shared" si="8"/>
        <v>24.094161120513739</v>
      </c>
      <c r="J339" s="117">
        <f t="shared" si="8"/>
        <v>24.094161120513739</v>
      </c>
      <c r="K339" s="117">
        <f t="shared" si="8"/>
        <v>24.094161120513739</v>
      </c>
      <c r="L339" s="117">
        <f t="shared" si="8"/>
        <v>24.094161120513739</v>
      </c>
      <c r="M339" s="117">
        <f t="shared" si="8"/>
        <v>24.094161120513739</v>
      </c>
      <c r="N339" s="117">
        <f t="shared" si="8"/>
        <v>24.094161120513739</v>
      </c>
      <c r="O339" s="117">
        <f t="shared" si="8"/>
        <v>24.094161120513739</v>
      </c>
      <c r="P339" s="117">
        <f t="shared" si="8"/>
        <v>24.094161120513739</v>
      </c>
      <c r="Q339" s="117">
        <f t="shared" si="8"/>
        <v>24.094161120513739</v>
      </c>
      <c r="R339" s="117">
        <f t="shared" si="8"/>
        <v>24.094161120513739</v>
      </c>
      <c r="S339" s="117">
        <f t="shared" si="8"/>
        <v>24.094161120513739</v>
      </c>
      <c r="T339" s="117">
        <f t="shared" si="8"/>
        <v>24.094161120513739</v>
      </c>
      <c r="U339" s="117">
        <f t="shared" si="8"/>
        <v>24.094161120513739</v>
      </c>
      <c r="V339" s="117">
        <f t="shared" si="8"/>
        <v>24.094161120513739</v>
      </c>
      <c r="W339" s="117">
        <f t="shared" si="8"/>
        <v>24.094161120513739</v>
      </c>
      <c r="X339" s="55">
        <f t="shared" ref="H339:X340" si="9">W339</f>
        <v>24.094161120513739</v>
      </c>
      <c r="Y339" s="8"/>
      <c r="Z339" s="126">
        <v>1.7585630621161401</v>
      </c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</row>
    <row r="340" spans="2:41" x14ac:dyDescent="0.35">
      <c r="B340" s="8"/>
      <c r="C340" s="20" t="str">
        <f>INDEX(_Sector,2,2)</f>
        <v>Commercial</v>
      </c>
      <c r="D340" s="8"/>
      <c r="E340" s="32">
        <f>(Z340-1)*F340</f>
        <v>26.878325784644002</v>
      </c>
      <c r="F340" s="117">
        <f>$AD$285</f>
        <v>26.878325784644002</v>
      </c>
      <c r="G340" s="117">
        <f>F340</f>
        <v>26.878325784644002</v>
      </c>
      <c r="H340" s="117">
        <f t="shared" si="9"/>
        <v>26.878325784644002</v>
      </c>
      <c r="I340" s="117">
        <f t="shared" si="9"/>
        <v>26.878325784644002</v>
      </c>
      <c r="J340" s="117">
        <f t="shared" si="9"/>
        <v>26.878325784644002</v>
      </c>
      <c r="K340" s="117">
        <f t="shared" si="9"/>
        <v>26.878325784644002</v>
      </c>
      <c r="L340" s="117">
        <f t="shared" si="9"/>
        <v>26.878325784644002</v>
      </c>
      <c r="M340" s="117">
        <f t="shared" si="9"/>
        <v>26.878325784644002</v>
      </c>
      <c r="N340" s="117">
        <f t="shared" si="9"/>
        <v>26.878325784644002</v>
      </c>
      <c r="O340" s="117">
        <f t="shared" si="9"/>
        <v>26.878325784644002</v>
      </c>
      <c r="P340" s="117">
        <f t="shared" si="9"/>
        <v>26.878325784644002</v>
      </c>
      <c r="Q340" s="117">
        <f t="shared" si="9"/>
        <v>26.878325784644002</v>
      </c>
      <c r="R340" s="117">
        <f t="shared" si="9"/>
        <v>26.878325784644002</v>
      </c>
      <c r="S340" s="117">
        <f t="shared" si="9"/>
        <v>26.878325784644002</v>
      </c>
      <c r="T340" s="117">
        <f t="shared" si="9"/>
        <v>26.878325784644002</v>
      </c>
      <c r="U340" s="117">
        <f t="shared" si="9"/>
        <v>26.878325784644002</v>
      </c>
      <c r="V340" s="117">
        <f t="shared" si="9"/>
        <v>26.878325784644002</v>
      </c>
      <c r="W340" s="117">
        <f t="shared" si="9"/>
        <v>26.878325784644002</v>
      </c>
      <c r="X340" s="55">
        <f t="shared" si="9"/>
        <v>26.878325784644002</v>
      </c>
      <c r="Y340" s="8"/>
      <c r="Z340" s="126">
        <v>2</v>
      </c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</row>
    <row r="341" spans="2:41" x14ac:dyDescent="0.35">
      <c r="B341" s="8"/>
      <c r="C341" s="19" t="s">
        <v>78</v>
      </c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1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</row>
    <row r="342" spans="2:41" x14ac:dyDescent="0.35">
      <c r="B342" s="8"/>
      <c r="C342" s="10" t="str">
        <f>INDEX(_fuel,1)</f>
        <v>Electricity</v>
      </c>
      <c r="D342" s="11" t="s">
        <v>75</v>
      </c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1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</row>
    <row r="343" spans="2:41" x14ac:dyDescent="0.35">
      <c r="B343" s="8"/>
      <c r="C343" s="20" t="str">
        <f>INDEX(_Sector,2,1)</f>
        <v>Residential</v>
      </c>
      <c r="D343" s="8"/>
      <c r="E343" s="40">
        <f>INDEX(elecsml_Res,5)</f>
        <v>11.940390114200001</v>
      </c>
      <c r="F343" s="40">
        <f t="array" ref="F343:X343">$E$343</f>
        <v>11.940390114200001</v>
      </c>
      <c r="G343" s="40">
        <v>11.940390114200001</v>
      </c>
      <c r="H343" s="40">
        <v>11.940390114200001</v>
      </c>
      <c r="I343" s="40">
        <v>11.940390114200001</v>
      </c>
      <c r="J343" s="40">
        <v>11.940390114200001</v>
      </c>
      <c r="K343" s="40">
        <v>11.940390114200001</v>
      </c>
      <c r="L343" s="40">
        <v>11.940390114200001</v>
      </c>
      <c r="M343" s="40">
        <v>11.940390114200001</v>
      </c>
      <c r="N343" s="40">
        <v>11.940390114200001</v>
      </c>
      <c r="O343" s="40">
        <v>11.940390114200001</v>
      </c>
      <c r="P343" s="40">
        <v>11.940390114200001</v>
      </c>
      <c r="Q343" s="40">
        <v>11.940390114200001</v>
      </c>
      <c r="R343" s="40">
        <v>11.940390114200001</v>
      </c>
      <c r="S343" s="40">
        <v>11.940390114200001</v>
      </c>
      <c r="T343" s="40">
        <v>11.940390114200001</v>
      </c>
      <c r="U343" s="40">
        <v>11.940390114200001</v>
      </c>
      <c r="V343" s="40">
        <v>11.940390114200001</v>
      </c>
      <c r="W343" s="40">
        <v>11.940390114200001</v>
      </c>
      <c r="X343" s="41">
        <v>11.940390114200001</v>
      </c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</row>
    <row r="344" spans="2:41" x14ac:dyDescent="0.35">
      <c r="B344" s="8"/>
      <c r="C344" s="39" t="str">
        <f>INDEX(_Sector,2,2)</f>
        <v>Commercial</v>
      </c>
      <c r="D344" s="56"/>
      <c r="E344" s="48">
        <f>INDEX(elecsml_Com,5)</f>
        <v>23.792480792160262</v>
      </c>
      <c r="F344" s="48">
        <f t="array" ref="F344:X344">$E$344</f>
        <v>23.792480792160262</v>
      </c>
      <c r="G344" s="48">
        <v>23.792480792160262</v>
      </c>
      <c r="H344" s="48">
        <v>23.792480792160262</v>
      </c>
      <c r="I344" s="48">
        <v>23.792480792160262</v>
      </c>
      <c r="J344" s="48">
        <v>23.792480792160262</v>
      </c>
      <c r="K344" s="48">
        <v>23.792480792160262</v>
      </c>
      <c r="L344" s="48">
        <v>23.792480792160262</v>
      </c>
      <c r="M344" s="48">
        <v>23.792480792160262</v>
      </c>
      <c r="N344" s="48">
        <v>23.792480792160262</v>
      </c>
      <c r="O344" s="48">
        <v>23.792480792160262</v>
      </c>
      <c r="P344" s="48">
        <v>23.792480792160262</v>
      </c>
      <c r="Q344" s="48">
        <v>23.792480792160262</v>
      </c>
      <c r="R344" s="48">
        <v>23.792480792160262</v>
      </c>
      <c r="S344" s="48">
        <v>23.792480792160262</v>
      </c>
      <c r="T344" s="48">
        <v>23.792480792160262</v>
      </c>
      <c r="U344" s="48">
        <v>23.792480792160262</v>
      </c>
      <c r="V344" s="48">
        <v>23.792480792160262</v>
      </c>
      <c r="W344" s="48">
        <v>23.792480792160262</v>
      </c>
      <c r="X344" s="49">
        <v>23.792480792160262</v>
      </c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</row>
    <row r="345" spans="2:41" x14ac:dyDescent="0.3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</row>
  </sheetData>
  <mergeCells count="2">
    <mergeCell ref="C99:AN99"/>
    <mergeCell ref="C43:AN43"/>
  </mergeCells>
  <conditionalFormatting sqref="E335">
    <cfRule type="containsBlanks" dxfId="3815" priority="59" stopIfTrue="1">
      <formula>LEN(TRIM(E335))=0</formula>
    </cfRule>
    <cfRule type="notContainsBlanks" dxfId="3814" priority="60" stopIfTrue="1">
      <formula>LEN(TRIM(E335))&gt;0</formula>
    </cfRule>
  </conditionalFormatting>
  <conditionalFormatting sqref="E336">
    <cfRule type="containsBlanks" dxfId="3813" priority="61" stopIfTrue="1">
      <formula>LEN(TRIM(E336))=0</formula>
    </cfRule>
    <cfRule type="notContainsBlanks" dxfId="3812" priority="62" stopIfTrue="1">
      <formula>LEN(TRIM(E336))&gt;0</formula>
    </cfRule>
  </conditionalFormatting>
  <conditionalFormatting sqref="E337">
    <cfRule type="containsBlanks" dxfId="3811" priority="63" stopIfTrue="1">
      <formula>LEN(TRIM(E337))=0</formula>
    </cfRule>
    <cfRule type="notContainsBlanks" dxfId="3810" priority="64" stopIfTrue="1">
      <formula>LEN(TRIM(E337))&gt;0</formula>
    </cfRule>
  </conditionalFormatting>
  <conditionalFormatting sqref="E343:X343">
    <cfRule type="containsBlanks" dxfId="3809" priority="69" stopIfTrue="1">
      <formula>LEN(TRIM(E343))=0</formula>
    </cfRule>
    <cfRule type="notContainsBlanks" dxfId="3808" priority="70" stopIfTrue="1">
      <formula>LEN(TRIM(E343))&gt;0</formula>
    </cfRule>
  </conditionalFormatting>
  <conditionalFormatting sqref="E344:X344">
    <cfRule type="containsBlanks" dxfId="3807" priority="71" stopIfTrue="1">
      <formula>LEN(TRIM(E344))=0</formula>
    </cfRule>
    <cfRule type="notContainsBlanks" dxfId="3806" priority="72" stopIfTrue="1">
      <formula>LEN(TRIM(E344))&gt;0</formula>
    </cfRule>
  </conditionalFormatting>
  <conditionalFormatting sqref="E321">
    <cfRule type="containsBlanks" dxfId="3805" priority="73" stopIfTrue="1">
      <formula>LEN(TRIM(E321))=0</formula>
    </cfRule>
    <cfRule type="notContainsBlanks" dxfId="3804" priority="74" stopIfTrue="1">
      <formula>LEN(TRIM(E321))&gt;0</formula>
    </cfRule>
  </conditionalFormatting>
  <conditionalFormatting sqref="E322">
    <cfRule type="containsBlanks" dxfId="3803" priority="75" stopIfTrue="1">
      <formula>LEN(TRIM(E322))=0</formula>
    </cfRule>
    <cfRule type="notContainsBlanks" dxfId="3802" priority="76" stopIfTrue="1">
      <formula>LEN(TRIM(E322))&gt;0</formula>
    </cfRule>
  </conditionalFormatting>
  <conditionalFormatting sqref="E323">
    <cfRule type="containsBlanks" dxfId="3801" priority="77" stopIfTrue="1">
      <formula>LEN(TRIM(E323))=0</formula>
    </cfRule>
    <cfRule type="notContainsBlanks" dxfId="3800" priority="78" stopIfTrue="1">
      <formula>LEN(TRIM(E323))&gt;0</formula>
    </cfRule>
  </conditionalFormatting>
  <conditionalFormatting sqref="E329:X329">
    <cfRule type="containsBlanks" dxfId="3799" priority="83" stopIfTrue="1">
      <formula>LEN(TRIM(E329))=0</formula>
    </cfRule>
    <cfRule type="notContainsBlanks" dxfId="3798" priority="84" stopIfTrue="1">
      <formula>LEN(TRIM(E329))&gt;0</formula>
    </cfRule>
  </conditionalFormatting>
  <conditionalFormatting sqref="E330:X330">
    <cfRule type="containsBlanks" dxfId="3797" priority="85" stopIfTrue="1">
      <formula>LEN(TRIM(E330))=0</formula>
    </cfRule>
    <cfRule type="notContainsBlanks" dxfId="3796" priority="86" stopIfTrue="1">
      <formula>LEN(TRIM(E330))&gt;0</formula>
    </cfRule>
  </conditionalFormatting>
  <conditionalFormatting sqref="E307">
    <cfRule type="containsBlanks" dxfId="3795" priority="87" stopIfTrue="1">
      <formula>LEN(TRIM(E307))=0</formula>
    </cfRule>
    <cfRule type="notContainsBlanks" dxfId="3794" priority="88" stopIfTrue="1">
      <formula>LEN(TRIM(E307))&gt;0</formula>
    </cfRule>
  </conditionalFormatting>
  <conditionalFormatting sqref="E308">
    <cfRule type="containsBlanks" dxfId="3793" priority="89" stopIfTrue="1">
      <formula>LEN(TRIM(E308))=0</formula>
    </cfRule>
    <cfRule type="notContainsBlanks" dxfId="3792" priority="90" stopIfTrue="1">
      <formula>LEN(TRIM(E308))&gt;0</formula>
    </cfRule>
  </conditionalFormatting>
  <conditionalFormatting sqref="E309">
    <cfRule type="containsBlanks" dxfId="3791" priority="91" stopIfTrue="1">
      <formula>LEN(TRIM(E309))=0</formula>
    </cfRule>
    <cfRule type="notContainsBlanks" dxfId="3790" priority="92" stopIfTrue="1">
      <formula>LEN(TRIM(E309))&gt;0</formula>
    </cfRule>
  </conditionalFormatting>
  <conditionalFormatting sqref="E315:X315">
    <cfRule type="containsBlanks" dxfId="3789" priority="97" stopIfTrue="1">
      <formula>LEN(TRIM(E315))=0</formula>
    </cfRule>
    <cfRule type="notContainsBlanks" dxfId="3788" priority="98" stopIfTrue="1">
      <formula>LEN(TRIM(E315))&gt;0</formula>
    </cfRule>
  </conditionalFormatting>
  <conditionalFormatting sqref="E316:X316">
    <cfRule type="containsBlanks" dxfId="3787" priority="99" stopIfTrue="1">
      <formula>LEN(TRIM(E316))=0</formula>
    </cfRule>
    <cfRule type="notContainsBlanks" dxfId="3786" priority="100" stopIfTrue="1">
      <formula>LEN(TRIM(E316))&gt;0</formula>
    </cfRule>
  </conditionalFormatting>
  <conditionalFormatting sqref="E293">
    <cfRule type="containsBlanks" dxfId="3785" priority="101" stopIfTrue="1">
      <formula>LEN(TRIM(E293))=0</formula>
    </cfRule>
    <cfRule type="notContainsBlanks" dxfId="3784" priority="102" stopIfTrue="1">
      <formula>LEN(TRIM(E293))&gt;0</formula>
    </cfRule>
  </conditionalFormatting>
  <conditionalFormatting sqref="E294">
    <cfRule type="containsBlanks" dxfId="3783" priority="103" stopIfTrue="1">
      <formula>LEN(TRIM(E294))=0</formula>
    </cfRule>
    <cfRule type="notContainsBlanks" dxfId="3782" priority="104" stopIfTrue="1">
      <formula>LEN(TRIM(E294))&gt;0</formula>
    </cfRule>
  </conditionalFormatting>
  <conditionalFormatting sqref="E295">
    <cfRule type="containsBlanks" dxfId="3781" priority="105" stopIfTrue="1">
      <formula>LEN(TRIM(E295))=0</formula>
    </cfRule>
    <cfRule type="notContainsBlanks" dxfId="3780" priority="106" stopIfTrue="1">
      <formula>LEN(TRIM(E295))&gt;0</formula>
    </cfRule>
  </conditionalFormatting>
  <conditionalFormatting sqref="E301:X301">
    <cfRule type="containsBlanks" dxfId="3779" priority="111" stopIfTrue="1">
      <formula>LEN(TRIM(E301))=0</formula>
    </cfRule>
    <cfRule type="notContainsBlanks" dxfId="3778" priority="112" stopIfTrue="1">
      <formula>LEN(TRIM(E301))&gt;0</formula>
    </cfRule>
  </conditionalFormatting>
  <conditionalFormatting sqref="E302:X302">
    <cfRule type="containsBlanks" dxfId="3777" priority="113" stopIfTrue="1">
      <formula>LEN(TRIM(E302))=0</formula>
    </cfRule>
    <cfRule type="notContainsBlanks" dxfId="3776" priority="114" stopIfTrue="1">
      <formula>LEN(TRIM(E302))&gt;0</formula>
    </cfRule>
  </conditionalFormatting>
  <conditionalFormatting sqref="E279">
    <cfRule type="containsBlanks" dxfId="3775" priority="115" stopIfTrue="1">
      <formula>LEN(TRIM(E279))=0</formula>
    </cfRule>
    <cfRule type="notContainsBlanks" dxfId="3774" priority="116" stopIfTrue="1">
      <formula>LEN(TRIM(E279))&gt;0</formula>
    </cfRule>
  </conditionalFormatting>
  <conditionalFormatting sqref="E280">
    <cfRule type="containsBlanks" dxfId="3773" priority="117" stopIfTrue="1">
      <formula>LEN(TRIM(E280))=0</formula>
    </cfRule>
    <cfRule type="notContainsBlanks" dxfId="3772" priority="118" stopIfTrue="1">
      <formula>LEN(TRIM(E280))&gt;0</formula>
    </cfRule>
  </conditionalFormatting>
  <conditionalFormatting sqref="E281">
    <cfRule type="containsBlanks" dxfId="3771" priority="119" stopIfTrue="1">
      <formula>LEN(TRIM(E281))=0</formula>
    </cfRule>
    <cfRule type="notContainsBlanks" dxfId="3770" priority="120" stopIfTrue="1">
      <formula>LEN(TRIM(E281))&gt;0</formula>
    </cfRule>
  </conditionalFormatting>
  <conditionalFormatting sqref="E287:X287">
    <cfRule type="containsBlanks" dxfId="3769" priority="125" stopIfTrue="1">
      <formula>LEN(TRIM(E287))=0</formula>
    </cfRule>
    <cfRule type="notContainsBlanks" dxfId="3768" priority="126" stopIfTrue="1">
      <formula>LEN(TRIM(E287))&gt;0</formula>
    </cfRule>
  </conditionalFormatting>
  <conditionalFormatting sqref="E288:X288">
    <cfRule type="containsBlanks" dxfId="3767" priority="127" stopIfTrue="1">
      <formula>LEN(TRIM(E288))=0</formula>
    </cfRule>
    <cfRule type="notContainsBlanks" dxfId="3766" priority="128" stopIfTrue="1">
      <formula>LEN(TRIM(E288))&gt;0</formula>
    </cfRule>
  </conditionalFormatting>
  <conditionalFormatting sqref="E207:AN207">
    <cfRule type="containsBlanks" dxfId="3765" priority="129" stopIfTrue="1">
      <formula>LEN(TRIM(E207))=0</formula>
    </cfRule>
    <cfRule type="notContainsBlanks" dxfId="3764" priority="130" stopIfTrue="1">
      <formula>LEN(TRIM(E207))&gt;0</formula>
    </cfRule>
  </conditionalFormatting>
  <conditionalFormatting sqref="E208:AN208">
    <cfRule type="containsBlanks" dxfId="3763" priority="131" stopIfTrue="1">
      <formula>LEN(TRIM(E208))=0</formula>
    </cfRule>
    <cfRule type="notContainsBlanks" dxfId="3762" priority="132" stopIfTrue="1">
      <formula>LEN(TRIM(E208))&gt;0</formula>
    </cfRule>
  </conditionalFormatting>
  <conditionalFormatting sqref="E210:AN210">
    <cfRule type="containsBlanks" dxfId="3761" priority="133" stopIfTrue="1">
      <formula>LEN(TRIM(E210))=0</formula>
    </cfRule>
    <cfRule type="notContainsBlanks" dxfId="3760" priority="134" stopIfTrue="1">
      <formula>LEN(TRIM(E210))&gt;0</formula>
    </cfRule>
  </conditionalFormatting>
  <conditionalFormatting sqref="E211:AN211">
    <cfRule type="containsBlanks" dxfId="3759" priority="135" stopIfTrue="1">
      <formula>LEN(TRIM(E211))=0</formula>
    </cfRule>
    <cfRule type="notContainsBlanks" dxfId="3758" priority="136" stopIfTrue="1">
      <formula>LEN(TRIM(E211))&gt;0</formula>
    </cfRule>
  </conditionalFormatting>
  <conditionalFormatting sqref="E212:AN212">
    <cfRule type="containsBlanks" dxfId="3757" priority="137" stopIfTrue="1">
      <formula>LEN(TRIM(E212))=0</formula>
    </cfRule>
    <cfRule type="notContainsBlanks" dxfId="3756" priority="138" stopIfTrue="1">
      <formula>LEN(TRIM(E212))&gt;0</formula>
    </cfRule>
  </conditionalFormatting>
  <conditionalFormatting sqref="E213:AN213">
    <cfRule type="containsBlanks" dxfId="3755" priority="139" stopIfTrue="1">
      <formula>LEN(TRIM(E213))=0</formula>
    </cfRule>
    <cfRule type="notContainsBlanks" dxfId="3754" priority="140" stopIfTrue="1">
      <formula>LEN(TRIM(E213))&gt;0</formula>
    </cfRule>
  </conditionalFormatting>
  <conditionalFormatting sqref="E216:AN216">
    <cfRule type="containsBlanks" dxfId="3753" priority="141" stopIfTrue="1">
      <formula>LEN(TRIM(E216))=0</formula>
    </cfRule>
    <cfRule type="notContainsBlanks" dxfId="3752" priority="142" stopIfTrue="1">
      <formula>LEN(TRIM(E216))&gt;0</formula>
    </cfRule>
  </conditionalFormatting>
  <conditionalFormatting sqref="E218:AN218">
    <cfRule type="containsBlanks" dxfId="3751" priority="143" stopIfTrue="1">
      <formula>LEN(TRIM(E218))=0</formula>
    </cfRule>
    <cfRule type="notContainsBlanks" dxfId="3750" priority="144" stopIfTrue="1">
      <formula>LEN(TRIM(E218))&gt;0</formula>
    </cfRule>
  </conditionalFormatting>
  <conditionalFormatting sqref="E221:AN221">
    <cfRule type="containsBlanks" dxfId="3749" priority="145" stopIfTrue="1">
      <formula>LEN(TRIM(E221))=0</formula>
    </cfRule>
    <cfRule type="notContainsBlanks" dxfId="3748" priority="146" stopIfTrue="1">
      <formula>LEN(TRIM(E221))&gt;0</formula>
    </cfRule>
  </conditionalFormatting>
  <conditionalFormatting sqref="E222:AN222">
    <cfRule type="containsBlanks" dxfId="3747" priority="147" stopIfTrue="1">
      <formula>LEN(TRIM(E222))=0</formula>
    </cfRule>
    <cfRule type="notContainsBlanks" dxfId="3746" priority="148" stopIfTrue="1">
      <formula>LEN(TRIM(E222))&gt;0</formula>
    </cfRule>
  </conditionalFormatting>
  <conditionalFormatting sqref="E224:AN224">
    <cfRule type="containsBlanks" dxfId="3745" priority="149" stopIfTrue="1">
      <formula>LEN(TRIM(E224))=0</formula>
    </cfRule>
    <cfRule type="notContainsBlanks" dxfId="3744" priority="150" stopIfTrue="1">
      <formula>LEN(TRIM(E224))&gt;0</formula>
    </cfRule>
  </conditionalFormatting>
  <conditionalFormatting sqref="E225:AN225">
    <cfRule type="containsBlanks" dxfId="3743" priority="151" stopIfTrue="1">
      <formula>LEN(TRIM(E225))=0</formula>
    </cfRule>
    <cfRule type="notContainsBlanks" dxfId="3742" priority="152" stopIfTrue="1">
      <formula>LEN(TRIM(E225))&gt;0</formula>
    </cfRule>
  </conditionalFormatting>
  <conditionalFormatting sqref="E226:AN226">
    <cfRule type="containsBlanks" dxfId="3741" priority="153" stopIfTrue="1">
      <formula>LEN(TRIM(E226))=0</formula>
    </cfRule>
    <cfRule type="notContainsBlanks" dxfId="3740" priority="154" stopIfTrue="1">
      <formula>LEN(TRIM(E226))&gt;0</formula>
    </cfRule>
  </conditionalFormatting>
  <conditionalFormatting sqref="E227:AN227">
    <cfRule type="containsBlanks" dxfId="3739" priority="155" stopIfTrue="1">
      <formula>LEN(TRIM(E227))=0</formula>
    </cfRule>
  </conditionalFormatting>
  <conditionalFormatting sqref="E227:AN227">
    <cfRule type="notContainsBlanks" dxfId="3738" priority="156" stopIfTrue="1">
      <formula>LEN(TRIM(E227))&gt;0</formula>
    </cfRule>
  </conditionalFormatting>
  <conditionalFormatting sqref="E230:AN230">
    <cfRule type="containsBlanks" dxfId="3737" priority="157" stopIfTrue="1">
      <formula>LEN(TRIM(E230))=0</formula>
    </cfRule>
  </conditionalFormatting>
  <conditionalFormatting sqref="E230:AN230">
    <cfRule type="notContainsBlanks" dxfId="3736" priority="158" stopIfTrue="1">
      <formula>LEN(TRIM(E230))&gt;0</formula>
    </cfRule>
  </conditionalFormatting>
  <conditionalFormatting sqref="E232:AN232">
    <cfRule type="containsBlanks" dxfId="3735" priority="159" stopIfTrue="1">
      <formula>LEN(TRIM(E232))=0</formula>
    </cfRule>
  </conditionalFormatting>
  <conditionalFormatting sqref="E232:AN232">
    <cfRule type="notContainsBlanks" dxfId="3734" priority="160" stopIfTrue="1">
      <formula>LEN(TRIM(E232))&gt;0</formula>
    </cfRule>
  </conditionalFormatting>
  <conditionalFormatting sqref="E235:AN235">
    <cfRule type="containsBlanks" dxfId="3733" priority="161" stopIfTrue="1">
      <formula>LEN(TRIM(E235))=0</formula>
    </cfRule>
  </conditionalFormatting>
  <conditionalFormatting sqref="E235:AN235">
    <cfRule type="notContainsBlanks" dxfId="3732" priority="162" stopIfTrue="1">
      <formula>LEN(TRIM(E235))&gt;0</formula>
    </cfRule>
  </conditionalFormatting>
  <conditionalFormatting sqref="E236:AN236">
    <cfRule type="containsBlanks" dxfId="3731" priority="163" stopIfTrue="1">
      <formula>LEN(TRIM(E236))=0</formula>
    </cfRule>
  </conditionalFormatting>
  <conditionalFormatting sqref="E236:AN236">
    <cfRule type="notContainsBlanks" dxfId="3730" priority="164" stopIfTrue="1">
      <formula>LEN(TRIM(E236))&gt;0</formula>
    </cfRule>
  </conditionalFormatting>
  <conditionalFormatting sqref="E238:AN238">
    <cfRule type="containsBlanks" dxfId="3729" priority="165" stopIfTrue="1">
      <formula>LEN(TRIM(E238))=0</formula>
    </cfRule>
  </conditionalFormatting>
  <conditionalFormatting sqref="E238:AN238">
    <cfRule type="notContainsBlanks" dxfId="3728" priority="166" stopIfTrue="1">
      <formula>LEN(TRIM(E238))&gt;0</formula>
    </cfRule>
  </conditionalFormatting>
  <conditionalFormatting sqref="E239:AN239">
    <cfRule type="containsBlanks" dxfId="3727" priority="167" stopIfTrue="1">
      <formula>LEN(TRIM(E239))=0</formula>
    </cfRule>
  </conditionalFormatting>
  <conditionalFormatting sqref="E239:AN239">
    <cfRule type="notContainsBlanks" dxfId="3726" priority="168" stopIfTrue="1">
      <formula>LEN(TRIM(E239))&gt;0</formula>
    </cfRule>
  </conditionalFormatting>
  <conditionalFormatting sqref="E240:AN240">
    <cfRule type="containsBlanks" dxfId="3725" priority="169" stopIfTrue="1">
      <formula>LEN(TRIM(E240))=0</formula>
    </cfRule>
  </conditionalFormatting>
  <conditionalFormatting sqref="E240:AN240">
    <cfRule type="notContainsBlanks" dxfId="3724" priority="170" stopIfTrue="1">
      <formula>LEN(TRIM(E240))&gt;0</formula>
    </cfRule>
  </conditionalFormatting>
  <conditionalFormatting sqref="E241:AN241">
    <cfRule type="containsBlanks" dxfId="3723" priority="171" stopIfTrue="1">
      <formula>LEN(TRIM(E241))=0</formula>
    </cfRule>
  </conditionalFormatting>
  <conditionalFormatting sqref="E241:AN241">
    <cfRule type="notContainsBlanks" dxfId="3722" priority="172" stopIfTrue="1">
      <formula>LEN(TRIM(E241))&gt;0</formula>
    </cfRule>
  </conditionalFormatting>
  <conditionalFormatting sqref="E244:AN244">
    <cfRule type="containsBlanks" dxfId="3721" priority="173" stopIfTrue="1">
      <formula>LEN(TRIM(E244))=0</formula>
    </cfRule>
  </conditionalFormatting>
  <conditionalFormatting sqref="E244:AN244">
    <cfRule type="notContainsBlanks" dxfId="3720" priority="174" stopIfTrue="1">
      <formula>LEN(TRIM(E244))&gt;0</formula>
    </cfRule>
  </conditionalFormatting>
  <conditionalFormatting sqref="E246:AN246">
    <cfRule type="containsBlanks" dxfId="3719" priority="175" stopIfTrue="1">
      <formula>LEN(TRIM(E246))=0</formula>
    </cfRule>
  </conditionalFormatting>
  <conditionalFormatting sqref="E246:AN246">
    <cfRule type="notContainsBlanks" dxfId="3718" priority="176" stopIfTrue="1">
      <formula>LEN(TRIM(E246))&gt;0</formula>
    </cfRule>
  </conditionalFormatting>
  <conditionalFormatting sqref="E249:AN249">
    <cfRule type="containsBlanks" dxfId="3717" priority="177" stopIfTrue="1">
      <formula>LEN(TRIM(E249))=0</formula>
    </cfRule>
  </conditionalFormatting>
  <conditionalFormatting sqref="E249:AN249">
    <cfRule type="notContainsBlanks" dxfId="3716" priority="178" stopIfTrue="1">
      <formula>LEN(TRIM(E249))&gt;0</formula>
    </cfRule>
  </conditionalFormatting>
  <conditionalFormatting sqref="E250:AN250">
    <cfRule type="containsBlanks" dxfId="3715" priority="179" stopIfTrue="1">
      <formula>LEN(TRIM(E250))=0</formula>
    </cfRule>
  </conditionalFormatting>
  <conditionalFormatting sqref="E250:AN250">
    <cfRule type="notContainsBlanks" dxfId="3714" priority="180" stopIfTrue="1">
      <formula>LEN(TRIM(E250))&gt;0</formula>
    </cfRule>
  </conditionalFormatting>
  <conditionalFormatting sqref="E252:AN252">
    <cfRule type="containsBlanks" dxfId="3713" priority="181" stopIfTrue="1">
      <formula>LEN(TRIM(E252))=0</formula>
    </cfRule>
  </conditionalFormatting>
  <conditionalFormatting sqref="E252:AN252">
    <cfRule type="notContainsBlanks" dxfId="3712" priority="182" stopIfTrue="1">
      <formula>LEN(TRIM(E252))&gt;0</formula>
    </cfRule>
  </conditionalFormatting>
  <conditionalFormatting sqref="E253:AN253">
    <cfRule type="containsBlanks" dxfId="3711" priority="183" stopIfTrue="1">
      <formula>LEN(TRIM(E253))=0</formula>
    </cfRule>
  </conditionalFormatting>
  <conditionalFormatting sqref="E253:AN253">
    <cfRule type="notContainsBlanks" dxfId="3710" priority="184" stopIfTrue="1">
      <formula>LEN(TRIM(E253))&gt;0</formula>
    </cfRule>
  </conditionalFormatting>
  <conditionalFormatting sqref="E254:AN254">
    <cfRule type="containsBlanks" dxfId="3709" priority="185" stopIfTrue="1">
      <formula>LEN(TRIM(E254))=0</formula>
    </cfRule>
  </conditionalFormatting>
  <conditionalFormatting sqref="E254:AN254">
    <cfRule type="notContainsBlanks" dxfId="3708" priority="186" stopIfTrue="1">
      <formula>LEN(TRIM(E254))&gt;0</formula>
    </cfRule>
  </conditionalFormatting>
  <conditionalFormatting sqref="E255:AN255">
    <cfRule type="containsBlanks" dxfId="3707" priority="187" stopIfTrue="1">
      <formula>LEN(TRIM(E255))=0</formula>
    </cfRule>
  </conditionalFormatting>
  <conditionalFormatting sqref="E255:AN255">
    <cfRule type="notContainsBlanks" dxfId="3706" priority="188" stopIfTrue="1">
      <formula>LEN(TRIM(E255))&gt;0</formula>
    </cfRule>
  </conditionalFormatting>
  <conditionalFormatting sqref="E258:AN258">
    <cfRule type="containsBlanks" dxfId="3705" priority="189" stopIfTrue="1">
      <formula>LEN(TRIM(E258))=0</formula>
    </cfRule>
  </conditionalFormatting>
  <conditionalFormatting sqref="E258:AN258">
    <cfRule type="notContainsBlanks" dxfId="3704" priority="190" stopIfTrue="1">
      <formula>LEN(TRIM(E258))&gt;0</formula>
    </cfRule>
  </conditionalFormatting>
  <conditionalFormatting sqref="E260:AN260">
    <cfRule type="containsBlanks" dxfId="3703" priority="191" stopIfTrue="1">
      <formula>LEN(TRIM(E260))=0</formula>
    </cfRule>
  </conditionalFormatting>
  <conditionalFormatting sqref="E260:AN260">
    <cfRule type="notContainsBlanks" dxfId="3702" priority="192" stopIfTrue="1">
      <formula>LEN(TRIM(E260))&gt;0</formula>
    </cfRule>
  </conditionalFormatting>
  <conditionalFormatting sqref="E263:AN263">
    <cfRule type="containsBlanks" dxfId="3701" priority="193" stopIfTrue="1">
      <formula>LEN(TRIM(E263))=0</formula>
    </cfRule>
  </conditionalFormatting>
  <conditionalFormatting sqref="E263:AN263">
    <cfRule type="notContainsBlanks" dxfId="3700" priority="194" stopIfTrue="1">
      <formula>LEN(TRIM(E263))&gt;0</formula>
    </cfRule>
  </conditionalFormatting>
  <conditionalFormatting sqref="E264:AN264">
    <cfRule type="containsBlanks" dxfId="3699" priority="195" stopIfTrue="1">
      <formula>LEN(TRIM(E264))=0</formula>
    </cfRule>
  </conditionalFormatting>
  <conditionalFormatting sqref="E264:AN264">
    <cfRule type="notContainsBlanks" dxfId="3698" priority="196" stopIfTrue="1">
      <formula>LEN(TRIM(E264))&gt;0</formula>
    </cfRule>
  </conditionalFormatting>
  <conditionalFormatting sqref="E266:AN266">
    <cfRule type="containsBlanks" dxfId="3697" priority="197" stopIfTrue="1">
      <formula>LEN(TRIM(E266))=0</formula>
    </cfRule>
  </conditionalFormatting>
  <conditionalFormatting sqref="E266:AN266">
    <cfRule type="notContainsBlanks" dxfId="3696" priority="198" stopIfTrue="1">
      <formula>LEN(TRIM(E266))&gt;0</formula>
    </cfRule>
  </conditionalFormatting>
  <conditionalFormatting sqref="E267:AN267">
    <cfRule type="containsBlanks" dxfId="3695" priority="199" stopIfTrue="1">
      <formula>LEN(TRIM(E267))=0</formula>
    </cfRule>
  </conditionalFormatting>
  <conditionalFormatting sqref="E267:AN267">
    <cfRule type="notContainsBlanks" dxfId="3694" priority="200" stopIfTrue="1">
      <formula>LEN(TRIM(E267))&gt;0</formula>
    </cfRule>
  </conditionalFormatting>
  <conditionalFormatting sqref="E268:AN268">
    <cfRule type="containsBlanks" dxfId="3693" priority="201" stopIfTrue="1">
      <formula>LEN(TRIM(E268))=0</formula>
    </cfRule>
  </conditionalFormatting>
  <conditionalFormatting sqref="E268:AN268">
    <cfRule type="notContainsBlanks" dxfId="3692" priority="202" stopIfTrue="1">
      <formula>LEN(TRIM(E268))&gt;0</formula>
    </cfRule>
  </conditionalFormatting>
  <conditionalFormatting sqref="E269:AN269">
    <cfRule type="containsBlanks" dxfId="3691" priority="203" stopIfTrue="1">
      <formula>LEN(TRIM(E269))=0</formula>
    </cfRule>
  </conditionalFormatting>
  <conditionalFormatting sqref="E269:AN269">
    <cfRule type="notContainsBlanks" dxfId="3690" priority="204" stopIfTrue="1">
      <formula>LEN(TRIM(E269))&gt;0</formula>
    </cfRule>
  </conditionalFormatting>
  <conditionalFormatting sqref="E272:AN272">
    <cfRule type="containsBlanks" dxfId="3689" priority="205" stopIfTrue="1">
      <formula>LEN(TRIM(E272))=0</formula>
    </cfRule>
  </conditionalFormatting>
  <conditionalFormatting sqref="E272:AN272">
    <cfRule type="notContainsBlanks" dxfId="3688" priority="206" stopIfTrue="1">
      <formula>LEN(TRIM(E272))&gt;0</formula>
    </cfRule>
  </conditionalFormatting>
  <conditionalFormatting sqref="E274:AN274">
    <cfRule type="containsBlanks" dxfId="3687" priority="207" stopIfTrue="1">
      <formula>LEN(TRIM(E274))=0</formula>
    </cfRule>
  </conditionalFormatting>
  <conditionalFormatting sqref="E274:AN274">
    <cfRule type="notContainsBlanks" dxfId="3686" priority="208" stopIfTrue="1">
      <formula>LEN(TRIM(E274))&gt;0</formula>
    </cfRule>
  </conditionalFormatting>
  <conditionalFormatting sqref="E198:AN198">
    <cfRule type="containsBlanks" dxfId="3685" priority="209" stopIfTrue="1">
      <formula>LEN(TRIM(E198))=0</formula>
    </cfRule>
    <cfRule type="notContainsBlanks" dxfId="3684" priority="210" stopIfTrue="1">
      <formula>LEN(TRIM(E198))&gt;0</formula>
    </cfRule>
  </conditionalFormatting>
  <conditionalFormatting sqref="E199:AN199">
    <cfRule type="containsBlanks" dxfId="3683" priority="211" stopIfTrue="1">
      <formula>LEN(TRIM(E199))=0</formula>
    </cfRule>
    <cfRule type="notContainsBlanks" dxfId="3682" priority="212" stopIfTrue="1">
      <formula>LEN(TRIM(E199))&gt;0</formula>
    </cfRule>
  </conditionalFormatting>
  <conditionalFormatting sqref="E200:AN200">
    <cfRule type="containsBlanks" dxfId="3681" priority="213" stopIfTrue="1">
      <formula>LEN(TRIM(E200))=0</formula>
    </cfRule>
    <cfRule type="notContainsBlanks" dxfId="3680" priority="214" stopIfTrue="1">
      <formula>LEN(TRIM(E200))&gt;0</formula>
    </cfRule>
  </conditionalFormatting>
  <conditionalFormatting sqref="E201:AN201">
    <cfRule type="containsBlanks" dxfId="3679" priority="215" stopIfTrue="1">
      <formula>LEN(TRIM(E201))=0</formula>
    </cfRule>
    <cfRule type="notContainsBlanks" dxfId="3678" priority="216" stopIfTrue="1">
      <formula>LEN(TRIM(E201))&gt;0</formula>
    </cfRule>
  </conditionalFormatting>
  <conditionalFormatting sqref="E202:AN202">
    <cfRule type="containsBlanks" dxfId="3677" priority="217" stopIfTrue="1">
      <formula>LEN(TRIM(E202))=0</formula>
    </cfRule>
    <cfRule type="notContainsBlanks" dxfId="3676" priority="218" stopIfTrue="1">
      <formula>LEN(TRIM(E202))&gt;0</formula>
    </cfRule>
  </conditionalFormatting>
  <conditionalFormatting sqref="E191:AN191">
    <cfRule type="containsBlanks" dxfId="3675" priority="219" stopIfTrue="1">
      <formula>LEN(TRIM(E191))=0</formula>
    </cfRule>
    <cfRule type="notContainsBlanks" dxfId="3674" priority="220" stopIfTrue="1">
      <formula>LEN(TRIM(E191))&gt;0</formula>
    </cfRule>
  </conditionalFormatting>
  <conditionalFormatting sqref="E192:AN192">
    <cfRule type="containsBlanks" dxfId="3673" priority="221" stopIfTrue="1">
      <formula>LEN(TRIM(E192))=0</formula>
    </cfRule>
    <cfRule type="notContainsBlanks" dxfId="3672" priority="222" stopIfTrue="1">
      <formula>LEN(TRIM(E192))&gt;0</formula>
    </cfRule>
  </conditionalFormatting>
  <conditionalFormatting sqref="E193:AN193">
    <cfRule type="containsBlanks" dxfId="3671" priority="223" stopIfTrue="1">
      <formula>LEN(TRIM(E193))=0</formula>
    </cfRule>
    <cfRule type="notContainsBlanks" dxfId="3670" priority="224" stopIfTrue="1">
      <formula>LEN(TRIM(E193))&gt;0</formula>
    </cfRule>
  </conditionalFormatting>
  <conditionalFormatting sqref="E194:AN194">
    <cfRule type="containsBlanks" dxfId="3669" priority="225" stopIfTrue="1">
      <formula>LEN(TRIM(E194))=0</formula>
    </cfRule>
    <cfRule type="notContainsBlanks" dxfId="3668" priority="226" stopIfTrue="1">
      <formula>LEN(TRIM(E194))&gt;0</formula>
    </cfRule>
  </conditionalFormatting>
  <conditionalFormatting sqref="E195:AN195">
    <cfRule type="containsBlanks" dxfId="3667" priority="227" stopIfTrue="1">
      <formula>LEN(TRIM(E195))=0</formula>
    </cfRule>
    <cfRule type="notContainsBlanks" dxfId="3666" priority="228" stopIfTrue="1">
      <formula>LEN(TRIM(E195))&gt;0</formula>
    </cfRule>
  </conditionalFormatting>
  <conditionalFormatting sqref="E184:AN184">
    <cfRule type="containsBlanks" dxfId="3665" priority="229" stopIfTrue="1">
      <formula>LEN(TRIM(E184))=0</formula>
    </cfRule>
    <cfRule type="notContainsBlanks" dxfId="3664" priority="230" stopIfTrue="1">
      <formula>LEN(TRIM(E184))&gt;0</formula>
    </cfRule>
  </conditionalFormatting>
  <conditionalFormatting sqref="E185:AN185">
    <cfRule type="containsBlanks" dxfId="3663" priority="231" stopIfTrue="1">
      <formula>LEN(TRIM(E185))=0</formula>
    </cfRule>
    <cfRule type="notContainsBlanks" dxfId="3662" priority="232" stopIfTrue="1">
      <formula>LEN(TRIM(E185))&gt;0</formula>
    </cfRule>
  </conditionalFormatting>
  <conditionalFormatting sqref="E186:AN186">
    <cfRule type="containsBlanks" dxfId="3661" priority="233" stopIfTrue="1">
      <formula>LEN(TRIM(E186))=0</formula>
    </cfRule>
    <cfRule type="notContainsBlanks" dxfId="3660" priority="234" stopIfTrue="1">
      <formula>LEN(TRIM(E186))&gt;0</formula>
    </cfRule>
  </conditionalFormatting>
  <conditionalFormatting sqref="E187:AN187">
    <cfRule type="containsBlanks" dxfId="3659" priority="235" stopIfTrue="1">
      <formula>LEN(TRIM(E187))=0</formula>
    </cfRule>
    <cfRule type="notContainsBlanks" dxfId="3658" priority="236" stopIfTrue="1">
      <formula>LEN(TRIM(E187))&gt;0</formula>
    </cfRule>
  </conditionalFormatting>
  <conditionalFormatting sqref="E188:AN188">
    <cfRule type="containsBlanks" dxfId="3657" priority="237" stopIfTrue="1">
      <formula>LEN(TRIM(E188))=0</formula>
    </cfRule>
    <cfRule type="notContainsBlanks" dxfId="3656" priority="238" stopIfTrue="1">
      <formula>LEN(TRIM(E188))&gt;0</formula>
    </cfRule>
  </conditionalFormatting>
  <conditionalFormatting sqref="E177:AN177">
    <cfRule type="containsBlanks" dxfId="3655" priority="239" stopIfTrue="1">
      <formula>LEN(TRIM(E177))=0</formula>
    </cfRule>
    <cfRule type="notContainsBlanks" dxfId="3654" priority="240" stopIfTrue="1">
      <formula>LEN(TRIM(E177))&gt;0</formula>
    </cfRule>
  </conditionalFormatting>
  <conditionalFormatting sqref="E178:AN178">
    <cfRule type="containsBlanks" dxfId="3653" priority="241" stopIfTrue="1">
      <formula>LEN(TRIM(E178))=0</formula>
    </cfRule>
    <cfRule type="notContainsBlanks" dxfId="3652" priority="242" stopIfTrue="1">
      <formula>LEN(TRIM(E178))&gt;0</formula>
    </cfRule>
  </conditionalFormatting>
  <conditionalFormatting sqref="E179:AN179">
    <cfRule type="containsBlanks" dxfId="3651" priority="243" stopIfTrue="1">
      <formula>LEN(TRIM(E179))=0</formula>
    </cfRule>
    <cfRule type="notContainsBlanks" dxfId="3650" priority="244" stopIfTrue="1">
      <formula>LEN(TRIM(E179))&gt;0</formula>
    </cfRule>
  </conditionalFormatting>
  <conditionalFormatting sqref="E180:AN180">
    <cfRule type="containsBlanks" dxfId="3649" priority="245" stopIfTrue="1">
      <formula>LEN(TRIM(E180))=0</formula>
    </cfRule>
    <cfRule type="notContainsBlanks" dxfId="3648" priority="246" stopIfTrue="1">
      <formula>LEN(TRIM(E180))&gt;0</formula>
    </cfRule>
  </conditionalFormatting>
  <conditionalFormatting sqref="E181:AN181">
    <cfRule type="containsBlanks" dxfId="3647" priority="247" stopIfTrue="1">
      <formula>LEN(TRIM(E181))=0</formula>
    </cfRule>
    <cfRule type="notContainsBlanks" dxfId="3646" priority="248" stopIfTrue="1">
      <formula>LEN(TRIM(E181))&gt;0</formula>
    </cfRule>
  </conditionalFormatting>
  <conditionalFormatting sqref="E170:AN170">
    <cfRule type="containsBlanks" dxfId="3645" priority="249" stopIfTrue="1">
      <formula>LEN(TRIM(E170))=0</formula>
    </cfRule>
    <cfRule type="notContainsBlanks" dxfId="3644" priority="250" stopIfTrue="1">
      <formula>LEN(TRIM(E170))&gt;0</formula>
    </cfRule>
  </conditionalFormatting>
  <conditionalFormatting sqref="E171:AN171">
    <cfRule type="containsBlanks" dxfId="3643" priority="251" stopIfTrue="1">
      <formula>LEN(TRIM(E171))=0</formula>
    </cfRule>
    <cfRule type="notContainsBlanks" dxfId="3642" priority="252" stopIfTrue="1">
      <formula>LEN(TRIM(E171))&gt;0</formula>
    </cfRule>
  </conditionalFormatting>
  <conditionalFormatting sqref="E172:AN172">
    <cfRule type="containsBlanks" dxfId="3641" priority="253" stopIfTrue="1">
      <formula>LEN(TRIM(E172))=0</formula>
    </cfRule>
    <cfRule type="notContainsBlanks" dxfId="3640" priority="254" stopIfTrue="1">
      <formula>LEN(TRIM(E172))&gt;0</formula>
    </cfRule>
  </conditionalFormatting>
  <conditionalFormatting sqref="E173:AN173">
    <cfRule type="containsBlanks" dxfId="3639" priority="255" stopIfTrue="1">
      <formula>LEN(TRIM(E173))=0</formula>
    </cfRule>
    <cfRule type="notContainsBlanks" dxfId="3638" priority="256" stopIfTrue="1">
      <formula>LEN(TRIM(E173))&gt;0</formula>
    </cfRule>
  </conditionalFormatting>
  <conditionalFormatting sqref="E174:AN174">
    <cfRule type="containsBlanks" dxfId="3637" priority="257" stopIfTrue="1">
      <formula>LEN(TRIM(E174))=0</formula>
    </cfRule>
    <cfRule type="notContainsBlanks" dxfId="3636" priority="258" stopIfTrue="1">
      <formula>LEN(TRIM(E174))&gt;0</formula>
    </cfRule>
  </conditionalFormatting>
  <conditionalFormatting sqref="E163:AN163">
    <cfRule type="containsBlanks" dxfId="3635" priority="259" stopIfTrue="1">
      <formula>LEN(TRIM(E163))=0</formula>
    </cfRule>
    <cfRule type="notContainsBlanks" dxfId="3634" priority="260" stopIfTrue="1">
      <formula>LEN(TRIM(E163))&gt;0</formula>
    </cfRule>
  </conditionalFormatting>
  <conditionalFormatting sqref="E164:AN164">
    <cfRule type="containsBlanks" dxfId="3633" priority="261" stopIfTrue="1">
      <formula>LEN(TRIM(E164))=0</formula>
    </cfRule>
    <cfRule type="notContainsBlanks" dxfId="3632" priority="262" stopIfTrue="1">
      <formula>LEN(TRIM(E164))&gt;0</formula>
    </cfRule>
  </conditionalFormatting>
  <conditionalFormatting sqref="E165:AN165">
    <cfRule type="containsBlanks" dxfId="3631" priority="263" stopIfTrue="1">
      <formula>LEN(TRIM(E165))=0</formula>
    </cfRule>
    <cfRule type="notContainsBlanks" dxfId="3630" priority="264" stopIfTrue="1">
      <formula>LEN(TRIM(E165))&gt;0</formula>
    </cfRule>
  </conditionalFormatting>
  <conditionalFormatting sqref="E166:AN166">
    <cfRule type="containsBlanks" dxfId="3629" priority="265" stopIfTrue="1">
      <formula>LEN(TRIM(E166))=0</formula>
    </cfRule>
    <cfRule type="notContainsBlanks" dxfId="3628" priority="266" stopIfTrue="1">
      <formula>LEN(TRIM(E166))&gt;0</formula>
    </cfRule>
  </conditionalFormatting>
  <conditionalFormatting sqref="E167:AN167">
    <cfRule type="containsBlanks" dxfId="3627" priority="267" stopIfTrue="1">
      <formula>LEN(TRIM(E167))=0</formula>
    </cfRule>
    <cfRule type="notContainsBlanks" dxfId="3626" priority="268" stopIfTrue="1">
      <formula>LEN(TRIM(E167))&gt;0</formula>
    </cfRule>
  </conditionalFormatting>
  <conditionalFormatting sqref="E156">
    <cfRule type="containsBlanks" dxfId="3625" priority="269" stopIfTrue="1">
      <formula>LEN(TRIM(E156))=0</formula>
    </cfRule>
    <cfRule type="notContainsBlanks" dxfId="3624" priority="270" stopIfTrue="1">
      <formula>LEN(TRIM(E156))&gt;0</formula>
    </cfRule>
  </conditionalFormatting>
  <conditionalFormatting sqref="E157">
    <cfRule type="containsBlanks" dxfId="3623" priority="271" stopIfTrue="1">
      <formula>LEN(TRIM(E157))=0</formula>
    </cfRule>
    <cfRule type="notContainsBlanks" dxfId="3622" priority="272" stopIfTrue="1">
      <formula>LEN(TRIM(E157))&gt;0</formula>
    </cfRule>
  </conditionalFormatting>
  <conditionalFormatting sqref="E158">
    <cfRule type="containsBlanks" dxfId="3621" priority="273" stopIfTrue="1">
      <formula>LEN(TRIM(E158))=0</formula>
    </cfRule>
    <cfRule type="notContainsBlanks" dxfId="3620" priority="274" stopIfTrue="1">
      <formula>LEN(TRIM(E158))&gt;0</formula>
    </cfRule>
  </conditionalFormatting>
  <conditionalFormatting sqref="E159">
    <cfRule type="containsBlanks" dxfId="3619" priority="275" stopIfTrue="1">
      <formula>LEN(TRIM(E159))=0</formula>
    </cfRule>
    <cfRule type="notContainsBlanks" dxfId="3618" priority="276" stopIfTrue="1">
      <formula>LEN(TRIM(E159))&gt;0</formula>
    </cfRule>
  </conditionalFormatting>
  <conditionalFormatting sqref="E160">
    <cfRule type="containsBlanks" dxfId="3617" priority="277" stopIfTrue="1">
      <formula>LEN(TRIM(E160))=0</formula>
    </cfRule>
    <cfRule type="notContainsBlanks" dxfId="3616" priority="278" stopIfTrue="1">
      <formula>LEN(TRIM(E160))&gt;0</formula>
    </cfRule>
  </conditionalFormatting>
  <conditionalFormatting sqref="E149:AN149">
    <cfRule type="containsBlanks" dxfId="3615" priority="279" stopIfTrue="1">
      <formula>LEN(TRIM(E149))=0</formula>
    </cfRule>
    <cfRule type="notContainsBlanks" dxfId="3614" priority="280" stopIfTrue="1">
      <formula>LEN(TRIM(E149))&gt;0</formula>
    </cfRule>
  </conditionalFormatting>
  <conditionalFormatting sqref="E150:AN150">
    <cfRule type="containsBlanks" dxfId="3613" priority="281" stopIfTrue="1">
      <formula>LEN(TRIM(E150))=0</formula>
    </cfRule>
    <cfRule type="notContainsBlanks" dxfId="3612" priority="282" stopIfTrue="1">
      <formula>LEN(TRIM(E150))&gt;0</formula>
    </cfRule>
  </conditionalFormatting>
  <conditionalFormatting sqref="E151:AN151">
    <cfRule type="containsBlanks" dxfId="3611" priority="283" stopIfTrue="1">
      <formula>LEN(TRIM(E151))=0</formula>
    </cfRule>
    <cfRule type="notContainsBlanks" dxfId="3610" priority="284" stopIfTrue="1">
      <formula>LEN(TRIM(E151))&gt;0</formula>
    </cfRule>
  </conditionalFormatting>
  <conditionalFormatting sqref="E152:AN152">
    <cfRule type="containsBlanks" dxfId="3609" priority="285" stopIfTrue="1">
      <formula>LEN(TRIM(E152))=0</formula>
    </cfRule>
    <cfRule type="notContainsBlanks" dxfId="3608" priority="286" stopIfTrue="1">
      <formula>LEN(TRIM(E152))&gt;0</formula>
    </cfRule>
  </conditionalFormatting>
  <conditionalFormatting sqref="E153:AN153">
    <cfRule type="containsBlanks" dxfId="3607" priority="287" stopIfTrue="1">
      <formula>LEN(TRIM(E153))=0</formula>
    </cfRule>
    <cfRule type="notContainsBlanks" dxfId="3606" priority="288" stopIfTrue="1">
      <formula>LEN(TRIM(E153))&gt;0</formula>
    </cfRule>
  </conditionalFormatting>
  <conditionalFormatting sqref="E141:AN141">
    <cfRule type="containsBlanks" dxfId="3605" priority="289" stopIfTrue="1">
      <formula>LEN(TRIM(E141))=0</formula>
    </cfRule>
    <cfRule type="notContainsBlanks" dxfId="3604" priority="290" stopIfTrue="1">
      <formula>LEN(TRIM(E141))&gt;0</formula>
    </cfRule>
  </conditionalFormatting>
  <conditionalFormatting sqref="E142:AN142">
    <cfRule type="containsBlanks" dxfId="3603" priority="291" stopIfTrue="1">
      <formula>LEN(TRIM(E142))=0</formula>
    </cfRule>
    <cfRule type="notContainsBlanks" dxfId="3602" priority="292" stopIfTrue="1">
      <formula>LEN(TRIM(E142))&gt;0</formula>
    </cfRule>
  </conditionalFormatting>
  <conditionalFormatting sqref="E143:AN143">
    <cfRule type="containsBlanks" dxfId="3601" priority="293" stopIfTrue="1">
      <formula>LEN(TRIM(E143))=0</formula>
    </cfRule>
    <cfRule type="notContainsBlanks" dxfId="3600" priority="294" stopIfTrue="1">
      <formula>LEN(TRIM(E143))&gt;0</formula>
    </cfRule>
  </conditionalFormatting>
  <conditionalFormatting sqref="E144:AN144">
    <cfRule type="containsBlanks" dxfId="3599" priority="295" stopIfTrue="1">
      <formula>LEN(TRIM(E144))=0</formula>
    </cfRule>
    <cfRule type="notContainsBlanks" dxfId="3598" priority="296" stopIfTrue="1">
      <formula>LEN(TRIM(E144))&gt;0</formula>
    </cfRule>
  </conditionalFormatting>
  <conditionalFormatting sqref="E145:AN145">
    <cfRule type="containsBlanks" dxfId="3597" priority="297" stopIfTrue="1">
      <formula>LEN(TRIM(E145))=0</formula>
    </cfRule>
    <cfRule type="notContainsBlanks" dxfId="3596" priority="298" stopIfTrue="1">
      <formula>LEN(TRIM(E145))&gt;0</formula>
    </cfRule>
  </conditionalFormatting>
  <conditionalFormatting sqref="E146:AN146">
    <cfRule type="containsBlanks" dxfId="3595" priority="299" stopIfTrue="1">
      <formula>LEN(TRIM(E146))=0</formula>
    </cfRule>
    <cfRule type="notContainsBlanks" dxfId="3594" priority="300" stopIfTrue="1">
      <formula>LEN(TRIM(E146))&gt;0</formula>
    </cfRule>
  </conditionalFormatting>
  <conditionalFormatting sqref="E134:AN134">
    <cfRule type="containsBlanks" dxfId="3593" priority="301" stopIfTrue="1">
      <formula>LEN(TRIM(E134))=0</formula>
    </cfRule>
    <cfRule type="notContainsBlanks" dxfId="3592" priority="302" stopIfTrue="1">
      <formula>LEN(TRIM(E134))&gt;0</formula>
    </cfRule>
  </conditionalFormatting>
  <conditionalFormatting sqref="E135:AN135">
    <cfRule type="containsBlanks" dxfId="3591" priority="303" stopIfTrue="1">
      <formula>LEN(TRIM(E135))=0</formula>
    </cfRule>
    <cfRule type="notContainsBlanks" dxfId="3590" priority="304" stopIfTrue="1">
      <formula>LEN(TRIM(E135))&gt;0</formula>
    </cfRule>
  </conditionalFormatting>
  <conditionalFormatting sqref="E136:AN136">
    <cfRule type="containsBlanks" dxfId="3589" priority="305" stopIfTrue="1">
      <formula>LEN(TRIM(E136))=0</formula>
    </cfRule>
    <cfRule type="notContainsBlanks" dxfId="3588" priority="306" stopIfTrue="1">
      <formula>LEN(TRIM(E136))&gt;0</formula>
    </cfRule>
  </conditionalFormatting>
  <conditionalFormatting sqref="E137:AN137">
    <cfRule type="containsBlanks" dxfId="3587" priority="307" stopIfTrue="1">
      <formula>LEN(TRIM(E137))=0</formula>
    </cfRule>
    <cfRule type="notContainsBlanks" dxfId="3586" priority="308" stopIfTrue="1">
      <formula>LEN(TRIM(E137))&gt;0</formula>
    </cfRule>
  </conditionalFormatting>
  <conditionalFormatting sqref="E138:AN138">
    <cfRule type="containsBlanks" dxfId="3585" priority="309" stopIfTrue="1">
      <formula>LEN(TRIM(E138))=0</formula>
    </cfRule>
    <cfRule type="notContainsBlanks" dxfId="3584" priority="310" stopIfTrue="1">
      <formula>LEN(TRIM(E138))&gt;0</formula>
    </cfRule>
  </conditionalFormatting>
  <conditionalFormatting sqref="E126:AN126">
    <cfRule type="containsBlanks" dxfId="3583" priority="311" stopIfTrue="1">
      <formula>LEN(TRIM(E126))=0</formula>
    </cfRule>
    <cfRule type="notContainsBlanks" dxfId="3582" priority="312" stopIfTrue="1">
      <formula>LEN(TRIM(E126))&gt;0</formula>
    </cfRule>
  </conditionalFormatting>
  <conditionalFormatting sqref="E127:AN127">
    <cfRule type="containsBlanks" dxfId="3581" priority="313" stopIfTrue="1">
      <formula>LEN(TRIM(E127))=0</formula>
    </cfRule>
    <cfRule type="notContainsBlanks" dxfId="3580" priority="314" stopIfTrue="1">
      <formula>LEN(TRIM(E127))&gt;0</formula>
    </cfRule>
  </conditionalFormatting>
  <conditionalFormatting sqref="E128:AN128">
    <cfRule type="containsBlanks" dxfId="3579" priority="315" stopIfTrue="1">
      <formula>LEN(TRIM(E128))=0</formula>
    </cfRule>
    <cfRule type="notContainsBlanks" dxfId="3578" priority="316" stopIfTrue="1">
      <formula>LEN(TRIM(E128))&gt;0</formula>
    </cfRule>
  </conditionalFormatting>
  <conditionalFormatting sqref="E129:AN129">
    <cfRule type="containsBlanks" dxfId="3577" priority="317" stopIfTrue="1">
      <formula>LEN(TRIM(E129))=0</formula>
    </cfRule>
    <cfRule type="notContainsBlanks" dxfId="3576" priority="318" stopIfTrue="1">
      <formula>LEN(TRIM(E129))&gt;0</formula>
    </cfRule>
  </conditionalFormatting>
  <conditionalFormatting sqref="E130:AN130">
    <cfRule type="containsBlanks" dxfId="3575" priority="319" stopIfTrue="1">
      <formula>LEN(TRIM(E130))=0</formula>
    </cfRule>
    <cfRule type="notContainsBlanks" dxfId="3574" priority="320" stopIfTrue="1">
      <formula>LEN(TRIM(E130))&gt;0</formula>
    </cfRule>
  </conditionalFormatting>
  <conditionalFormatting sqref="E131:AN131">
    <cfRule type="containsBlanks" dxfId="3573" priority="321" stopIfTrue="1">
      <formula>LEN(TRIM(E131))=0</formula>
    </cfRule>
    <cfRule type="notContainsBlanks" dxfId="3572" priority="322" stopIfTrue="1">
      <formula>LEN(TRIM(E131))&gt;0</formula>
    </cfRule>
  </conditionalFormatting>
  <conditionalFormatting sqref="E120">
    <cfRule type="containsBlanks" dxfId="3571" priority="323">
      <formula>LEN(TRIM(E120))=0</formula>
    </cfRule>
    <cfRule type="notContainsBlanks" dxfId="3570" priority="324">
      <formula>LEN(TRIM(E120))&gt;0</formula>
    </cfRule>
    <cfRule type="expression" dxfId="3569" priority="329">
      <formula>LEFT(effTrend,1)="L"</formula>
    </cfRule>
    <cfRule type="expression" dxfId="3568" priority="330">
      <formula>LEFT(effTrend,1)="G"</formula>
    </cfRule>
  </conditionalFormatting>
  <conditionalFormatting sqref="E121:AN121">
    <cfRule type="containsBlanks" dxfId="3567" priority="331" stopIfTrue="1">
      <formula>LEN(TRIM(E121))=0</formula>
    </cfRule>
    <cfRule type="notContainsBlanks" dxfId="3566" priority="403" stopIfTrue="1">
      <formula>LEN(TRIM(E121))&gt;0</formula>
    </cfRule>
  </conditionalFormatting>
  <conditionalFormatting sqref="E123:AN123">
    <cfRule type="containsBlanks" dxfId="3565" priority="332" stopIfTrue="1">
      <formula>LEN(TRIM(E123))=0</formula>
    </cfRule>
    <cfRule type="notContainsBlanks" dxfId="3564" priority="404" stopIfTrue="1">
      <formula>LEN(TRIM(E123))&gt;0</formula>
    </cfRule>
  </conditionalFormatting>
  <conditionalFormatting sqref="F121">
    <cfRule type="expression" dxfId="3563" priority="333" stopIfTrue="1">
      <formula>F$121&gt;maxEff</formula>
    </cfRule>
  </conditionalFormatting>
  <conditionalFormatting sqref="F123">
    <cfRule type="expression" dxfId="3562" priority="334" stopIfTrue="1">
      <formula>OR(F$123&gt;maxEff,F$123&lt;F$121)</formula>
    </cfRule>
  </conditionalFormatting>
  <conditionalFormatting sqref="G121">
    <cfRule type="expression" dxfId="3561" priority="335" stopIfTrue="1">
      <formula>G$121&gt;maxEff</formula>
    </cfRule>
  </conditionalFormatting>
  <conditionalFormatting sqref="G123">
    <cfRule type="expression" dxfId="3560" priority="336" stopIfTrue="1">
      <formula>OR(G$123&gt;maxEff,G$123&lt;G$121)</formula>
    </cfRule>
  </conditionalFormatting>
  <conditionalFormatting sqref="H121">
    <cfRule type="expression" dxfId="3559" priority="337" stopIfTrue="1">
      <formula>H$121&gt;maxEff</formula>
    </cfRule>
  </conditionalFormatting>
  <conditionalFormatting sqref="H123">
    <cfRule type="expression" dxfId="3558" priority="338" stopIfTrue="1">
      <formula>OR(H$123&gt;maxEff,H$123&lt;H$121)</formula>
    </cfRule>
  </conditionalFormatting>
  <conditionalFormatting sqref="I121">
    <cfRule type="expression" dxfId="3557" priority="339" stopIfTrue="1">
      <formula>I$121&gt;maxEff</formula>
    </cfRule>
  </conditionalFormatting>
  <conditionalFormatting sqref="I123">
    <cfRule type="expression" dxfId="3556" priority="340" stopIfTrue="1">
      <formula>OR(I$123&gt;maxEff,I$123&lt;I$121)</formula>
    </cfRule>
  </conditionalFormatting>
  <conditionalFormatting sqref="J121">
    <cfRule type="expression" dxfId="3555" priority="341" stopIfTrue="1">
      <formula>J$121&gt;maxEff</formula>
    </cfRule>
  </conditionalFormatting>
  <conditionalFormatting sqref="J123">
    <cfRule type="expression" dxfId="3554" priority="342" stopIfTrue="1">
      <formula>OR(J$123&gt;maxEff,J$123&lt;J$121)</formula>
    </cfRule>
  </conditionalFormatting>
  <conditionalFormatting sqref="K121">
    <cfRule type="expression" dxfId="3553" priority="343" stopIfTrue="1">
      <formula>K$121&gt;maxEff</formula>
    </cfRule>
  </conditionalFormatting>
  <conditionalFormatting sqref="K123">
    <cfRule type="expression" dxfId="3552" priority="344" stopIfTrue="1">
      <formula>OR(K$123&gt;maxEff,K$123&lt;K$121)</formula>
    </cfRule>
  </conditionalFormatting>
  <conditionalFormatting sqref="L121">
    <cfRule type="expression" dxfId="3551" priority="345" stopIfTrue="1">
      <formula>L$121&gt;maxEff</formula>
    </cfRule>
  </conditionalFormatting>
  <conditionalFormatting sqref="L123">
    <cfRule type="expression" dxfId="3550" priority="346" stopIfTrue="1">
      <formula>OR(L$123&gt;maxEff,L$123&lt;L$121)</formula>
    </cfRule>
  </conditionalFormatting>
  <conditionalFormatting sqref="M121">
    <cfRule type="expression" dxfId="3549" priority="347" stopIfTrue="1">
      <formula>M$121&gt;maxEff</formula>
    </cfRule>
  </conditionalFormatting>
  <conditionalFormatting sqref="M123">
    <cfRule type="expression" dxfId="3548" priority="348" stopIfTrue="1">
      <formula>OR(M$123&gt;maxEff,M$123&lt;M$121)</formula>
    </cfRule>
  </conditionalFormatting>
  <conditionalFormatting sqref="N121">
    <cfRule type="expression" dxfId="3547" priority="349" stopIfTrue="1">
      <formula>N$121&gt;maxEff</formula>
    </cfRule>
  </conditionalFormatting>
  <conditionalFormatting sqref="N123">
    <cfRule type="expression" dxfId="3546" priority="350" stopIfTrue="1">
      <formula>OR(N$123&gt;maxEff,N$123&lt;N$121)</formula>
    </cfRule>
  </conditionalFormatting>
  <conditionalFormatting sqref="O121">
    <cfRule type="expression" dxfId="3545" priority="351" stopIfTrue="1">
      <formula>O$121&gt;maxEff</formula>
    </cfRule>
  </conditionalFormatting>
  <conditionalFormatting sqref="O123">
    <cfRule type="expression" dxfId="3544" priority="352" stopIfTrue="1">
      <formula>OR(O$123&gt;maxEff,O$123&lt;O$121)</formula>
    </cfRule>
  </conditionalFormatting>
  <conditionalFormatting sqref="P121">
    <cfRule type="expression" dxfId="3543" priority="353" stopIfTrue="1">
      <formula>P$121&gt;maxEff</formula>
    </cfRule>
  </conditionalFormatting>
  <conditionalFormatting sqref="P123">
    <cfRule type="expression" dxfId="3542" priority="354" stopIfTrue="1">
      <formula>OR(P$123&gt;maxEff,P$123&lt;P$121)</formula>
    </cfRule>
  </conditionalFormatting>
  <conditionalFormatting sqref="Q121">
    <cfRule type="expression" dxfId="3541" priority="355" stopIfTrue="1">
      <formula>Q$121&gt;maxEff</formula>
    </cfRule>
  </conditionalFormatting>
  <conditionalFormatting sqref="Q123">
    <cfRule type="expression" dxfId="3540" priority="356" stopIfTrue="1">
      <formula>OR(Q$123&gt;maxEff,Q$123&lt;Q$121)</formula>
    </cfRule>
  </conditionalFormatting>
  <conditionalFormatting sqref="R121">
    <cfRule type="expression" dxfId="3539" priority="357" stopIfTrue="1">
      <formula>R$121&gt;maxEff</formula>
    </cfRule>
  </conditionalFormatting>
  <conditionalFormatting sqref="R123">
    <cfRule type="expression" dxfId="3538" priority="358" stopIfTrue="1">
      <formula>OR(R$123&gt;maxEff,R$123&lt;R$121)</formula>
    </cfRule>
  </conditionalFormatting>
  <conditionalFormatting sqref="S121">
    <cfRule type="expression" dxfId="3537" priority="359" stopIfTrue="1">
      <formula>S$121&gt;maxEff</formula>
    </cfRule>
  </conditionalFormatting>
  <conditionalFormatting sqref="S123">
    <cfRule type="expression" dxfId="3536" priority="360" stopIfTrue="1">
      <formula>OR(S$123&gt;maxEff,S$123&lt;S$121)</formula>
    </cfRule>
  </conditionalFormatting>
  <conditionalFormatting sqref="T121">
    <cfRule type="expression" dxfId="3535" priority="361" stopIfTrue="1">
      <formula>T$121&gt;maxEff</formula>
    </cfRule>
  </conditionalFormatting>
  <conditionalFormatting sqref="T123">
    <cfRule type="expression" dxfId="3534" priority="362" stopIfTrue="1">
      <formula>OR(T$123&gt;maxEff,T$123&lt;T$121)</formula>
    </cfRule>
  </conditionalFormatting>
  <conditionalFormatting sqref="U121">
    <cfRule type="expression" dxfId="3533" priority="363" stopIfTrue="1">
      <formula>U$121&gt;maxEff</formula>
    </cfRule>
  </conditionalFormatting>
  <conditionalFormatting sqref="U123">
    <cfRule type="expression" dxfId="3532" priority="364" stopIfTrue="1">
      <formula>OR(U$123&gt;maxEff,U$123&lt;U$121)</formula>
    </cfRule>
  </conditionalFormatting>
  <conditionalFormatting sqref="V121">
    <cfRule type="expression" dxfId="3531" priority="365" stopIfTrue="1">
      <formula>V$121&gt;maxEff</formula>
    </cfRule>
  </conditionalFormatting>
  <conditionalFormatting sqref="V123">
    <cfRule type="expression" dxfId="3530" priority="366" stopIfTrue="1">
      <formula>OR(V$123&gt;maxEff,V$123&lt;V$121)</formula>
    </cfRule>
  </conditionalFormatting>
  <conditionalFormatting sqref="W121">
    <cfRule type="expression" dxfId="3529" priority="367" stopIfTrue="1">
      <formula>W$121&gt;maxEff</formula>
    </cfRule>
  </conditionalFormatting>
  <conditionalFormatting sqref="W123">
    <cfRule type="expression" dxfId="3528" priority="368" stopIfTrue="1">
      <formula>OR(W$123&gt;maxEff,W$123&lt;W$121)</formula>
    </cfRule>
  </conditionalFormatting>
  <conditionalFormatting sqref="X121">
    <cfRule type="expression" dxfId="3527" priority="369" stopIfTrue="1">
      <formula>X$121&gt;maxEff</formula>
    </cfRule>
  </conditionalFormatting>
  <conditionalFormatting sqref="X123">
    <cfRule type="expression" dxfId="3526" priority="370" stopIfTrue="1">
      <formula>OR(X$123&gt;maxEff,X$123&lt;X$121)</formula>
    </cfRule>
  </conditionalFormatting>
  <conditionalFormatting sqref="Y121">
    <cfRule type="expression" dxfId="3525" priority="371" stopIfTrue="1">
      <formula>Y$121&gt;maxEff</formula>
    </cfRule>
  </conditionalFormatting>
  <conditionalFormatting sqref="Y123">
    <cfRule type="expression" dxfId="3524" priority="372" stopIfTrue="1">
      <formula>OR(Y$123&gt;maxEff,Y$123&lt;Y$121)</formula>
    </cfRule>
  </conditionalFormatting>
  <conditionalFormatting sqref="Z121">
    <cfRule type="expression" dxfId="3523" priority="373" stopIfTrue="1">
      <formula>Z$121&gt;maxEff</formula>
    </cfRule>
  </conditionalFormatting>
  <conditionalFormatting sqref="Z123">
    <cfRule type="expression" dxfId="3522" priority="374" stopIfTrue="1">
      <formula>OR(Z$123&gt;maxEff,Z$123&lt;Z$121)</formula>
    </cfRule>
  </conditionalFormatting>
  <conditionalFormatting sqref="AA121">
    <cfRule type="expression" dxfId="3521" priority="375" stopIfTrue="1">
      <formula>AA$121&gt;maxEff</formula>
    </cfRule>
  </conditionalFormatting>
  <conditionalFormatting sqref="AA123">
    <cfRule type="expression" dxfId="3520" priority="376" stopIfTrue="1">
      <formula>OR(AA$123&gt;maxEff,AA$123&lt;AA$121)</formula>
    </cfRule>
  </conditionalFormatting>
  <conditionalFormatting sqref="AB121">
    <cfRule type="expression" dxfId="3519" priority="377" stopIfTrue="1">
      <formula>AB$121&gt;maxEff</formula>
    </cfRule>
  </conditionalFormatting>
  <conditionalFormatting sqref="AB123">
    <cfRule type="expression" dxfId="3518" priority="378" stopIfTrue="1">
      <formula>OR(AB$123&gt;maxEff,AB$123&lt;AB$121)</formula>
    </cfRule>
  </conditionalFormatting>
  <conditionalFormatting sqref="AC121">
    <cfRule type="expression" dxfId="3517" priority="379" stopIfTrue="1">
      <formula>AC$121&gt;maxEff</formula>
    </cfRule>
  </conditionalFormatting>
  <conditionalFormatting sqref="AC123">
    <cfRule type="expression" dxfId="3516" priority="380" stopIfTrue="1">
      <formula>OR(AC$123&gt;maxEff,AC$123&lt;AC$121)</formula>
    </cfRule>
  </conditionalFormatting>
  <conditionalFormatting sqref="AD121">
    <cfRule type="expression" dxfId="3515" priority="381" stopIfTrue="1">
      <formula>AD$121&gt;maxEff</formula>
    </cfRule>
  </conditionalFormatting>
  <conditionalFormatting sqref="AD123">
    <cfRule type="expression" dxfId="3514" priority="382" stopIfTrue="1">
      <formula>OR(AD$123&gt;maxEff,AD$123&lt;AD$121)</formula>
    </cfRule>
  </conditionalFormatting>
  <conditionalFormatting sqref="AE121">
    <cfRule type="expression" dxfId="3513" priority="383" stopIfTrue="1">
      <formula>AE$121&gt;maxEff</formula>
    </cfRule>
  </conditionalFormatting>
  <conditionalFormatting sqref="AE123">
    <cfRule type="expression" dxfId="3512" priority="384" stopIfTrue="1">
      <formula>OR(AE$123&gt;maxEff,AE$123&lt;AE$121)</formula>
    </cfRule>
  </conditionalFormatting>
  <conditionalFormatting sqref="AF121">
    <cfRule type="expression" dxfId="3511" priority="385" stopIfTrue="1">
      <formula>AF$121&gt;maxEff</formula>
    </cfRule>
  </conditionalFormatting>
  <conditionalFormatting sqref="AF123">
    <cfRule type="expression" dxfId="3510" priority="386" stopIfTrue="1">
      <formula>OR(AF$123&gt;maxEff,AF$123&lt;AF$121)</formula>
    </cfRule>
  </conditionalFormatting>
  <conditionalFormatting sqref="AG121">
    <cfRule type="expression" dxfId="3509" priority="387" stopIfTrue="1">
      <formula>AG$121&gt;maxEff</formula>
    </cfRule>
  </conditionalFormatting>
  <conditionalFormatting sqref="AG123">
    <cfRule type="expression" dxfId="3508" priority="388" stopIfTrue="1">
      <formula>OR(AG$123&gt;maxEff,AG$123&lt;AG$121)</formula>
    </cfRule>
  </conditionalFormatting>
  <conditionalFormatting sqref="AH121">
    <cfRule type="expression" dxfId="3507" priority="389" stopIfTrue="1">
      <formula>AH$121&gt;maxEff</formula>
    </cfRule>
  </conditionalFormatting>
  <conditionalFormatting sqref="AH123">
    <cfRule type="expression" dxfId="3506" priority="390" stopIfTrue="1">
      <formula>OR(AH$123&gt;maxEff,AH$123&lt;AH$121)</formula>
    </cfRule>
  </conditionalFormatting>
  <conditionalFormatting sqref="AI121">
    <cfRule type="expression" dxfId="3505" priority="391" stopIfTrue="1">
      <formula>AI$121&gt;maxEff</formula>
    </cfRule>
  </conditionalFormatting>
  <conditionalFormatting sqref="AI123">
    <cfRule type="expression" dxfId="3504" priority="392" stopIfTrue="1">
      <formula>OR(AI$123&gt;maxEff,AI$123&lt;AI$121)</formula>
    </cfRule>
  </conditionalFormatting>
  <conditionalFormatting sqref="AJ121">
    <cfRule type="expression" dxfId="3503" priority="393" stopIfTrue="1">
      <formula>AJ$121&gt;maxEff</formula>
    </cfRule>
  </conditionalFormatting>
  <conditionalFormatting sqref="AJ123">
    <cfRule type="expression" dxfId="3502" priority="394" stopIfTrue="1">
      <formula>OR(AJ$123&gt;maxEff,AJ$123&lt;AJ$121)</formula>
    </cfRule>
  </conditionalFormatting>
  <conditionalFormatting sqref="AK121">
    <cfRule type="expression" dxfId="3501" priority="395" stopIfTrue="1">
      <formula>AK$121&gt;maxEff</formula>
    </cfRule>
  </conditionalFormatting>
  <conditionalFormatting sqref="AK123">
    <cfRule type="expression" dxfId="3500" priority="396" stopIfTrue="1">
      <formula>OR(AK$123&gt;maxEff,AK$123&lt;AK$121)</formula>
    </cfRule>
  </conditionalFormatting>
  <conditionalFormatting sqref="AL121">
    <cfRule type="expression" dxfId="3499" priority="397" stopIfTrue="1">
      <formula>AL$121&gt;maxEff</formula>
    </cfRule>
  </conditionalFormatting>
  <conditionalFormatting sqref="AL123">
    <cfRule type="expression" dxfId="3498" priority="398" stopIfTrue="1">
      <formula>OR(AL$123&gt;maxEff,AL$123&lt;AL$121)</formula>
    </cfRule>
  </conditionalFormatting>
  <conditionalFormatting sqref="AM121">
    <cfRule type="expression" dxfId="3497" priority="399" stopIfTrue="1">
      <formula>AM$121&gt;maxEff</formula>
    </cfRule>
  </conditionalFormatting>
  <conditionalFormatting sqref="AM123">
    <cfRule type="expression" dxfId="3496" priority="400" stopIfTrue="1">
      <formula>OR(AM$123&gt;maxEff,AM$123&lt;AM$121)</formula>
    </cfRule>
  </conditionalFormatting>
  <conditionalFormatting sqref="AN121">
    <cfRule type="expression" dxfId="3495" priority="401" stopIfTrue="1">
      <formula>AN$121&gt;maxEff</formula>
    </cfRule>
  </conditionalFormatting>
  <conditionalFormatting sqref="AN123">
    <cfRule type="expression" dxfId="3494" priority="402" stopIfTrue="1">
      <formula>OR(AN$123&gt;maxEff,AN$123&lt;AN$121)</formula>
    </cfRule>
  </conditionalFormatting>
  <conditionalFormatting sqref="E113:E117">
    <cfRule type="containsBlanks" dxfId="3493" priority="405" stopIfTrue="1">
      <formula>LEN(TRIM(E113))=0</formula>
    </cfRule>
    <cfRule type="expression" dxfId="3492" priority="406" stopIfTrue="1">
      <formula>SUM($E$113:$E$117)&lt;&gt;1</formula>
    </cfRule>
    <cfRule type="notContainsBlanks" dxfId="3491" priority="407" stopIfTrue="1">
      <formula>LEN(TRIM(E113))&gt;0</formula>
    </cfRule>
  </conditionalFormatting>
  <conditionalFormatting sqref="F113:F117">
    <cfRule type="containsBlanks" dxfId="3490" priority="408" stopIfTrue="1">
      <formula>LEN(TRIM(F113))=0</formula>
    </cfRule>
    <cfRule type="expression" dxfId="3489" priority="409" stopIfTrue="1">
      <formula>SUM($F$113:$F$117)&lt;&gt;1</formula>
    </cfRule>
    <cfRule type="notContainsBlanks" dxfId="3488" priority="410" stopIfTrue="1">
      <formula>LEN(TRIM(F113))&gt;0</formula>
    </cfRule>
  </conditionalFormatting>
  <conditionalFormatting sqref="G113:G117">
    <cfRule type="containsBlanks" dxfId="3487" priority="411" stopIfTrue="1">
      <formula>LEN(TRIM(G113))=0</formula>
    </cfRule>
    <cfRule type="expression" dxfId="3486" priority="412" stopIfTrue="1">
      <formula>SUM($G$113:$G$117)&lt;&gt;1</formula>
    </cfRule>
    <cfRule type="notContainsBlanks" dxfId="3485" priority="413" stopIfTrue="1">
      <formula>LEN(TRIM(G113))&gt;0</formula>
    </cfRule>
  </conditionalFormatting>
  <conditionalFormatting sqref="H113:H117">
    <cfRule type="containsBlanks" dxfId="3484" priority="414" stopIfTrue="1">
      <formula>LEN(TRIM(H113))=0</formula>
    </cfRule>
    <cfRule type="expression" dxfId="3483" priority="415" stopIfTrue="1">
      <formula>SUM($H$113:$H$117)&lt;&gt;1</formula>
    </cfRule>
    <cfRule type="notContainsBlanks" dxfId="3482" priority="416" stopIfTrue="1">
      <formula>LEN(TRIM(H113))&gt;0</formula>
    </cfRule>
  </conditionalFormatting>
  <conditionalFormatting sqref="I113:I117">
    <cfRule type="containsBlanks" dxfId="3481" priority="417" stopIfTrue="1">
      <formula>LEN(TRIM(I113))=0</formula>
    </cfRule>
    <cfRule type="expression" dxfId="3480" priority="418" stopIfTrue="1">
      <formula>SUM($I$113:$I$117)&lt;&gt;1</formula>
    </cfRule>
    <cfRule type="notContainsBlanks" dxfId="3479" priority="419" stopIfTrue="1">
      <formula>LEN(TRIM(I113))&gt;0</formula>
    </cfRule>
  </conditionalFormatting>
  <conditionalFormatting sqref="J113:J117">
    <cfRule type="containsBlanks" dxfId="3478" priority="420" stopIfTrue="1">
      <formula>LEN(TRIM(J113))=0</formula>
    </cfRule>
    <cfRule type="expression" dxfId="3477" priority="421" stopIfTrue="1">
      <formula>SUM($J$113:$J$117)&lt;&gt;1</formula>
    </cfRule>
    <cfRule type="notContainsBlanks" dxfId="3476" priority="422" stopIfTrue="1">
      <formula>LEN(TRIM(J113))&gt;0</formula>
    </cfRule>
  </conditionalFormatting>
  <conditionalFormatting sqref="K113:K117">
    <cfRule type="containsBlanks" dxfId="3475" priority="423" stopIfTrue="1">
      <formula>LEN(TRIM(K113))=0</formula>
    </cfRule>
    <cfRule type="expression" dxfId="3474" priority="424" stopIfTrue="1">
      <formula>SUM($K$113:$K$117)&lt;&gt;1</formula>
    </cfRule>
    <cfRule type="notContainsBlanks" dxfId="3473" priority="425" stopIfTrue="1">
      <formula>LEN(TRIM(K113))&gt;0</formula>
    </cfRule>
  </conditionalFormatting>
  <conditionalFormatting sqref="L113:L117">
    <cfRule type="containsBlanks" dxfId="3472" priority="426" stopIfTrue="1">
      <formula>LEN(TRIM(L113))=0</formula>
    </cfRule>
    <cfRule type="expression" dxfId="3471" priority="427" stopIfTrue="1">
      <formula>SUM($L$113:$L$117)&lt;&gt;1</formula>
    </cfRule>
    <cfRule type="notContainsBlanks" dxfId="3470" priority="428" stopIfTrue="1">
      <formula>LEN(TRIM(L113))&gt;0</formula>
    </cfRule>
  </conditionalFormatting>
  <conditionalFormatting sqref="M113:M117">
    <cfRule type="containsBlanks" dxfId="3469" priority="429" stopIfTrue="1">
      <formula>LEN(TRIM(M113))=0</formula>
    </cfRule>
    <cfRule type="expression" dxfId="3468" priority="430" stopIfTrue="1">
      <formula>SUM($M$113:$M$117)&lt;&gt;1</formula>
    </cfRule>
    <cfRule type="notContainsBlanks" dxfId="3467" priority="431" stopIfTrue="1">
      <formula>LEN(TRIM(M113))&gt;0</formula>
    </cfRule>
  </conditionalFormatting>
  <conditionalFormatting sqref="N113:N117">
    <cfRule type="containsBlanks" dxfId="3466" priority="432" stopIfTrue="1">
      <formula>LEN(TRIM(N113))=0</formula>
    </cfRule>
    <cfRule type="expression" dxfId="3465" priority="433" stopIfTrue="1">
      <formula>SUM($N$113:$N$117)&lt;&gt;1</formula>
    </cfRule>
    <cfRule type="notContainsBlanks" dxfId="3464" priority="434" stopIfTrue="1">
      <formula>LEN(TRIM(N113))&gt;0</formula>
    </cfRule>
  </conditionalFormatting>
  <conditionalFormatting sqref="O113:O117">
    <cfRule type="containsBlanks" dxfId="3463" priority="435" stopIfTrue="1">
      <formula>LEN(TRIM(O113))=0</formula>
    </cfRule>
    <cfRule type="expression" dxfId="3462" priority="436" stopIfTrue="1">
      <formula>SUM($O$113:$O$117)&lt;&gt;1</formula>
    </cfRule>
    <cfRule type="notContainsBlanks" dxfId="3461" priority="437" stopIfTrue="1">
      <formula>LEN(TRIM(O113))&gt;0</formula>
    </cfRule>
  </conditionalFormatting>
  <conditionalFormatting sqref="P113:P117">
    <cfRule type="containsBlanks" dxfId="3460" priority="438" stopIfTrue="1">
      <formula>LEN(TRIM(P113))=0</formula>
    </cfRule>
    <cfRule type="expression" dxfId="3459" priority="439" stopIfTrue="1">
      <formula>SUM($P$113:$P$117)&lt;&gt;1</formula>
    </cfRule>
    <cfRule type="notContainsBlanks" dxfId="3458" priority="440" stopIfTrue="1">
      <formula>LEN(TRIM(P113))&gt;0</formula>
    </cfRule>
  </conditionalFormatting>
  <conditionalFormatting sqref="Q113:Q117">
    <cfRule type="containsBlanks" dxfId="3457" priority="441" stopIfTrue="1">
      <formula>LEN(TRIM(Q113))=0</formula>
    </cfRule>
    <cfRule type="expression" dxfId="3456" priority="442" stopIfTrue="1">
      <formula>SUM($Q$113:$Q$117)&lt;&gt;1</formula>
    </cfRule>
    <cfRule type="notContainsBlanks" dxfId="3455" priority="443" stopIfTrue="1">
      <formula>LEN(TRIM(Q113))&gt;0</formula>
    </cfRule>
  </conditionalFormatting>
  <conditionalFormatting sqref="R113:R117">
    <cfRule type="containsBlanks" dxfId="3454" priority="444" stopIfTrue="1">
      <formula>LEN(TRIM(R113))=0</formula>
    </cfRule>
    <cfRule type="expression" dxfId="3453" priority="445" stopIfTrue="1">
      <formula>SUM($R$113:$R$117)&lt;&gt;1</formula>
    </cfRule>
    <cfRule type="notContainsBlanks" dxfId="3452" priority="446" stopIfTrue="1">
      <formula>LEN(TRIM(R113))&gt;0</formula>
    </cfRule>
  </conditionalFormatting>
  <conditionalFormatting sqref="S113:S117">
    <cfRule type="containsBlanks" dxfId="3451" priority="447" stopIfTrue="1">
      <formula>LEN(TRIM(S113))=0</formula>
    </cfRule>
  </conditionalFormatting>
  <conditionalFormatting sqref="S113:S117">
    <cfRule type="expression" dxfId="3450" priority="448" stopIfTrue="1">
      <formula>SUM($S$113:$S$117)&lt;&gt;1</formula>
    </cfRule>
  </conditionalFormatting>
  <conditionalFormatting sqref="S113:S117">
    <cfRule type="notContainsBlanks" dxfId="3449" priority="449" stopIfTrue="1">
      <formula>LEN(TRIM(S113))&gt;0</formula>
    </cfRule>
  </conditionalFormatting>
  <conditionalFormatting sqref="T113:T117">
    <cfRule type="containsBlanks" dxfId="3448" priority="450" stopIfTrue="1">
      <formula>LEN(TRIM(T113))=0</formula>
    </cfRule>
  </conditionalFormatting>
  <conditionalFormatting sqref="T113:T117">
    <cfRule type="expression" dxfId="3447" priority="451" stopIfTrue="1">
      <formula>SUM($T$113:$T$117)&lt;&gt;1</formula>
    </cfRule>
  </conditionalFormatting>
  <conditionalFormatting sqref="T113:T117">
    <cfRule type="notContainsBlanks" dxfId="3446" priority="452" stopIfTrue="1">
      <formula>LEN(TRIM(T113))&gt;0</formula>
    </cfRule>
  </conditionalFormatting>
  <conditionalFormatting sqref="U113:U117">
    <cfRule type="containsBlanks" dxfId="3445" priority="453" stopIfTrue="1">
      <formula>LEN(TRIM(U113))=0</formula>
    </cfRule>
  </conditionalFormatting>
  <conditionalFormatting sqref="U113:U117">
    <cfRule type="expression" dxfId="3444" priority="454" stopIfTrue="1">
      <formula>SUM($U$113:$U$117)&lt;&gt;1</formula>
    </cfRule>
  </conditionalFormatting>
  <conditionalFormatting sqref="U113:U117">
    <cfRule type="notContainsBlanks" dxfId="3443" priority="455" stopIfTrue="1">
      <formula>LEN(TRIM(U113))&gt;0</formula>
    </cfRule>
  </conditionalFormatting>
  <conditionalFormatting sqref="V113:V117">
    <cfRule type="containsBlanks" dxfId="3442" priority="456" stopIfTrue="1">
      <formula>LEN(TRIM(V113))=0</formula>
    </cfRule>
  </conditionalFormatting>
  <conditionalFormatting sqref="V113:V117">
    <cfRule type="expression" dxfId="3441" priority="457" stopIfTrue="1">
      <formula>SUM($V$113:$V$117)&lt;&gt;1</formula>
    </cfRule>
  </conditionalFormatting>
  <conditionalFormatting sqref="V113:V117">
    <cfRule type="notContainsBlanks" dxfId="3440" priority="458" stopIfTrue="1">
      <formula>LEN(TRIM(V113))&gt;0</formula>
    </cfRule>
  </conditionalFormatting>
  <conditionalFormatting sqref="W113:W117">
    <cfRule type="containsBlanks" dxfId="3439" priority="459" stopIfTrue="1">
      <formula>LEN(TRIM(W113))=0</formula>
    </cfRule>
  </conditionalFormatting>
  <conditionalFormatting sqref="W113:W117">
    <cfRule type="expression" dxfId="3438" priority="460" stopIfTrue="1">
      <formula>SUM($W$113:$W$117)&lt;&gt;1</formula>
    </cfRule>
  </conditionalFormatting>
  <conditionalFormatting sqref="W113:W117">
    <cfRule type="notContainsBlanks" dxfId="3437" priority="461" stopIfTrue="1">
      <formula>LEN(TRIM(W113))&gt;0</formula>
    </cfRule>
  </conditionalFormatting>
  <conditionalFormatting sqref="X113:X117">
    <cfRule type="containsBlanks" dxfId="3436" priority="462" stopIfTrue="1">
      <formula>LEN(TRIM(X113))=0</formula>
    </cfRule>
  </conditionalFormatting>
  <conditionalFormatting sqref="X113:X117">
    <cfRule type="expression" dxfId="3435" priority="463" stopIfTrue="1">
      <formula>SUM($X$113:$X$117)&lt;&gt;1</formula>
    </cfRule>
  </conditionalFormatting>
  <conditionalFormatting sqref="X113:X117">
    <cfRule type="notContainsBlanks" dxfId="3434" priority="464" stopIfTrue="1">
      <formula>LEN(TRIM(X113))&gt;0</formula>
    </cfRule>
  </conditionalFormatting>
  <conditionalFormatting sqref="Y113:Y117">
    <cfRule type="containsBlanks" dxfId="3433" priority="465" stopIfTrue="1">
      <formula>LEN(TRIM(Y113))=0</formula>
    </cfRule>
  </conditionalFormatting>
  <conditionalFormatting sqref="Y113:Y117">
    <cfRule type="expression" dxfId="3432" priority="466" stopIfTrue="1">
      <formula>SUM($Y$113:$Y$117)&lt;&gt;1</formula>
    </cfRule>
  </conditionalFormatting>
  <conditionalFormatting sqref="Y113:Y117">
    <cfRule type="notContainsBlanks" dxfId="3431" priority="467" stopIfTrue="1">
      <formula>LEN(TRIM(Y113))&gt;0</formula>
    </cfRule>
  </conditionalFormatting>
  <conditionalFormatting sqref="Z113:Z117">
    <cfRule type="containsBlanks" dxfId="3430" priority="468" stopIfTrue="1">
      <formula>LEN(TRIM(Z113))=0</formula>
    </cfRule>
  </conditionalFormatting>
  <conditionalFormatting sqref="Z113:Z117">
    <cfRule type="expression" dxfId="3429" priority="469" stopIfTrue="1">
      <formula>SUM($Z$113:$Z$117)&lt;&gt;1</formula>
    </cfRule>
  </conditionalFormatting>
  <conditionalFormatting sqref="Z113:Z117">
    <cfRule type="notContainsBlanks" dxfId="3428" priority="470" stopIfTrue="1">
      <formula>LEN(TRIM(Z113))&gt;0</formula>
    </cfRule>
  </conditionalFormatting>
  <conditionalFormatting sqref="AA113:AA117">
    <cfRule type="containsBlanks" dxfId="3427" priority="471" stopIfTrue="1">
      <formula>LEN(TRIM(AA113))=0</formula>
    </cfRule>
  </conditionalFormatting>
  <conditionalFormatting sqref="AA113:AA117">
    <cfRule type="expression" dxfId="3426" priority="472" stopIfTrue="1">
      <formula>SUM($AA$113:$AA$117)&lt;&gt;1</formula>
    </cfRule>
  </conditionalFormatting>
  <conditionalFormatting sqref="AA113:AA117">
    <cfRule type="notContainsBlanks" dxfId="3425" priority="473" stopIfTrue="1">
      <formula>LEN(TRIM(AA113))&gt;0</formula>
    </cfRule>
  </conditionalFormatting>
  <conditionalFormatting sqref="AB113:AB117">
    <cfRule type="containsBlanks" dxfId="3424" priority="474" stopIfTrue="1">
      <formula>LEN(TRIM(AB113))=0</formula>
    </cfRule>
  </conditionalFormatting>
  <conditionalFormatting sqref="AB113:AB117">
    <cfRule type="expression" dxfId="3423" priority="475" stopIfTrue="1">
      <formula>SUM($AB$113:$AB$117)&lt;&gt;1</formula>
    </cfRule>
  </conditionalFormatting>
  <conditionalFormatting sqref="AB113:AB117">
    <cfRule type="notContainsBlanks" dxfId="3422" priority="476" stopIfTrue="1">
      <formula>LEN(TRIM(AB113))&gt;0</formula>
    </cfRule>
  </conditionalFormatting>
  <conditionalFormatting sqref="AC113:AC117">
    <cfRule type="containsBlanks" dxfId="3421" priority="477" stopIfTrue="1">
      <formula>LEN(TRIM(AC113))=0</formula>
    </cfRule>
  </conditionalFormatting>
  <conditionalFormatting sqref="AC113:AC117">
    <cfRule type="expression" dxfId="3420" priority="478" stopIfTrue="1">
      <formula>SUM($AC$113:$AC$117)&lt;&gt;1</formula>
    </cfRule>
  </conditionalFormatting>
  <conditionalFormatting sqref="AC113:AC117">
    <cfRule type="notContainsBlanks" dxfId="3419" priority="479" stopIfTrue="1">
      <formula>LEN(TRIM(AC113))&gt;0</formula>
    </cfRule>
  </conditionalFormatting>
  <conditionalFormatting sqref="AD113:AD117">
    <cfRule type="containsBlanks" dxfId="3418" priority="480" stopIfTrue="1">
      <formula>LEN(TRIM(AD113))=0</formula>
    </cfRule>
  </conditionalFormatting>
  <conditionalFormatting sqref="AD113:AD117">
    <cfRule type="expression" dxfId="3417" priority="481" stopIfTrue="1">
      <formula>SUM($AD$113:$AD$117)&lt;&gt;1</formula>
    </cfRule>
  </conditionalFormatting>
  <conditionalFormatting sqref="AD113:AD117">
    <cfRule type="notContainsBlanks" dxfId="3416" priority="482" stopIfTrue="1">
      <formula>LEN(TRIM(AD113))&gt;0</formula>
    </cfRule>
  </conditionalFormatting>
  <conditionalFormatting sqref="AE113:AE117">
    <cfRule type="containsBlanks" dxfId="3415" priority="483" stopIfTrue="1">
      <formula>LEN(TRIM(AE113))=0</formula>
    </cfRule>
  </conditionalFormatting>
  <conditionalFormatting sqref="AE113:AE117">
    <cfRule type="expression" dxfId="3414" priority="484" stopIfTrue="1">
      <formula>SUM($AE$113:$AE$117)&lt;&gt;1</formula>
    </cfRule>
  </conditionalFormatting>
  <conditionalFormatting sqref="AE113:AE117">
    <cfRule type="notContainsBlanks" dxfId="3413" priority="485" stopIfTrue="1">
      <formula>LEN(TRIM(AE113))&gt;0</formula>
    </cfRule>
  </conditionalFormatting>
  <conditionalFormatting sqref="AF113:AF117">
    <cfRule type="containsBlanks" dxfId="3412" priority="486" stopIfTrue="1">
      <formula>LEN(TRIM(AF113))=0</formula>
    </cfRule>
  </conditionalFormatting>
  <conditionalFormatting sqref="AF113:AF117">
    <cfRule type="expression" dxfId="3411" priority="487" stopIfTrue="1">
      <formula>SUM($AF$113:$AF$117)&lt;&gt;1</formula>
    </cfRule>
  </conditionalFormatting>
  <conditionalFormatting sqref="AF113:AF117">
    <cfRule type="notContainsBlanks" dxfId="3410" priority="488" stopIfTrue="1">
      <formula>LEN(TRIM(AF113))&gt;0</formula>
    </cfRule>
  </conditionalFormatting>
  <conditionalFormatting sqref="AG113:AG117">
    <cfRule type="containsBlanks" dxfId="3409" priority="489" stopIfTrue="1">
      <formula>LEN(TRIM(AG113))=0</formula>
    </cfRule>
  </conditionalFormatting>
  <conditionalFormatting sqref="AG113:AG117">
    <cfRule type="expression" dxfId="3408" priority="490" stopIfTrue="1">
      <formula>SUM($AG$113:$AG$117)&lt;&gt;1</formula>
    </cfRule>
  </conditionalFormatting>
  <conditionalFormatting sqref="AG113:AG117">
    <cfRule type="notContainsBlanks" dxfId="3407" priority="491" stopIfTrue="1">
      <formula>LEN(TRIM(AG113))&gt;0</formula>
    </cfRule>
  </conditionalFormatting>
  <conditionalFormatting sqref="AH113:AH117">
    <cfRule type="containsBlanks" dxfId="3406" priority="492" stopIfTrue="1">
      <formula>LEN(TRIM(AH113))=0</formula>
    </cfRule>
  </conditionalFormatting>
  <conditionalFormatting sqref="AH113:AH117">
    <cfRule type="expression" dxfId="3405" priority="493" stopIfTrue="1">
      <formula>SUM($AH$113:$AH$117)&lt;&gt;1</formula>
    </cfRule>
  </conditionalFormatting>
  <conditionalFormatting sqref="AH113:AH117">
    <cfRule type="notContainsBlanks" dxfId="3404" priority="494" stopIfTrue="1">
      <formula>LEN(TRIM(AH113))&gt;0</formula>
    </cfRule>
  </conditionalFormatting>
  <conditionalFormatting sqref="AI113:AI117">
    <cfRule type="containsBlanks" dxfId="3403" priority="495" stopIfTrue="1">
      <formula>LEN(TRIM(AI113))=0</formula>
    </cfRule>
  </conditionalFormatting>
  <conditionalFormatting sqref="AI113:AI117">
    <cfRule type="expression" dxfId="3402" priority="496" stopIfTrue="1">
      <formula>SUM($AI$113:$AI$117)&lt;&gt;1</formula>
    </cfRule>
  </conditionalFormatting>
  <conditionalFormatting sqref="AI113:AI117">
    <cfRule type="notContainsBlanks" dxfId="3401" priority="497" stopIfTrue="1">
      <formula>LEN(TRIM(AI113))&gt;0</formula>
    </cfRule>
  </conditionalFormatting>
  <conditionalFormatting sqref="AJ113:AJ117">
    <cfRule type="containsBlanks" dxfId="3400" priority="498" stopIfTrue="1">
      <formula>LEN(TRIM(AJ113))=0</formula>
    </cfRule>
  </conditionalFormatting>
  <conditionalFormatting sqref="AJ113:AJ117">
    <cfRule type="expression" dxfId="3399" priority="499" stopIfTrue="1">
      <formula>SUM($AJ$113:$AJ$117)&lt;&gt;1</formula>
    </cfRule>
  </conditionalFormatting>
  <conditionalFormatting sqref="AJ113:AJ117">
    <cfRule type="notContainsBlanks" dxfId="3398" priority="500" stopIfTrue="1">
      <formula>LEN(TRIM(AJ113))&gt;0</formula>
    </cfRule>
  </conditionalFormatting>
  <conditionalFormatting sqref="AK113:AK117">
    <cfRule type="containsBlanks" dxfId="3397" priority="501" stopIfTrue="1">
      <formula>LEN(TRIM(AK113))=0</formula>
    </cfRule>
  </conditionalFormatting>
  <conditionalFormatting sqref="AK113:AK117">
    <cfRule type="expression" dxfId="3396" priority="502" stopIfTrue="1">
      <formula>SUM($AK$113:$AK$117)&lt;&gt;1</formula>
    </cfRule>
  </conditionalFormatting>
  <conditionalFormatting sqref="AK113:AK117">
    <cfRule type="notContainsBlanks" dxfId="3395" priority="503" stopIfTrue="1">
      <formula>LEN(TRIM(AK113))&gt;0</formula>
    </cfRule>
  </conditionalFormatting>
  <conditionalFormatting sqref="AL113:AL117">
    <cfRule type="containsBlanks" dxfId="3394" priority="504" stopIfTrue="1">
      <formula>LEN(TRIM(AL113))=0</formula>
    </cfRule>
  </conditionalFormatting>
  <conditionalFormatting sqref="AL113:AL117">
    <cfRule type="expression" dxfId="3393" priority="505" stopIfTrue="1">
      <formula>SUM($AL$113:$AL$117)&lt;&gt;1</formula>
    </cfRule>
  </conditionalFormatting>
  <conditionalFormatting sqref="AL113:AL117">
    <cfRule type="notContainsBlanks" dxfId="3392" priority="506" stopIfTrue="1">
      <formula>LEN(TRIM(AL113))&gt;0</formula>
    </cfRule>
  </conditionalFormatting>
  <conditionalFormatting sqref="AM113:AM117">
    <cfRule type="containsBlanks" dxfId="3391" priority="507" stopIfTrue="1">
      <formula>LEN(TRIM(AM113))=0</formula>
    </cfRule>
  </conditionalFormatting>
  <conditionalFormatting sqref="AM113:AM117">
    <cfRule type="expression" dxfId="3390" priority="508" stopIfTrue="1">
      <formula>SUM($AM$113:$AM$117)&lt;&gt;1</formula>
    </cfRule>
  </conditionalFormatting>
  <conditionalFormatting sqref="AM113:AM117">
    <cfRule type="notContainsBlanks" dxfId="3389" priority="509" stopIfTrue="1">
      <formula>LEN(TRIM(AM113))&gt;0</formula>
    </cfRule>
  </conditionalFormatting>
  <conditionalFormatting sqref="AN113:AN117">
    <cfRule type="containsBlanks" dxfId="3388" priority="510" stopIfTrue="1">
      <formula>LEN(TRIM(AN113))=0</formula>
    </cfRule>
  </conditionalFormatting>
  <conditionalFormatting sqref="AN113:AN117">
    <cfRule type="expression" dxfId="3387" priority="511" stopIfTrue="1">
      <formula>SUM($AN$113:$AN$117)&lt;&gt;1</formula>
    </cfRule>
  </conditionalFormatting>
  <conditionalFormatting sqref="AN113:AN117">
    <cfRule type="notContainsBlanks" dxfId="3386" priority="512" stopIfTrue="1">
      <formula>LEN(TRIM(AN113))&gt;0</formula>
    </cfRule>
  </conditionalFormatting>
  <conditionalFormatting sqref="E107:E111">
    <cfRule type="containsBlanks" dxfId="3385" priority="523" stopIfTrue="1">
      <formula>LEN(TRIM(E107))=0</formula>
    </cfRule>
  </conditionalFormatting>
  <conditionalFormatting sqref="E107:E111">
    <cfRule type="expression" dxfId="3384" priority="524" stopIfTrue="1">
      <formula>SUM($E$107:$E$111)&lt;&gt;1</formula>
    </cfRule>
  </conditionalFormatting>
  <conditionalFormatting sqref="E107:E111">
    <cfRule type="notContainsBlanks" dxfId="3383" priority="525" stopIfTrue="1">
      <formula>LEN(TRIM(E107))&gt;0</formula>
    </cfRule>
  </conditionalFormatting>
  <conditionalFormatting sqref="F107:F111">
    <cfRule type="containsBlanks" dxfId="3382" priority="526" stopIfTrue="1">
      <formula>LEN(TRIM(F107))=0</formula>
    </cfRule>
  </conditionalFormatting>
  <conditionalFormatting sqref="F107:F111">
    <cfRule type="expression" dxfId="3381" priority="527" stopIfTrue="1">
      <formula>SUM($F$107:$F$111)&lt;&gt;1</formula>
    </cfRule>
  </conditionalFormatting>
  <conditionalFormatting sqref="F107:F111">
    <cfRule type="notContainsBlanks" dxfId="3380" priority="528" stopIfTrue="1">
      <formula>LEN(TRIM(F107))&gt;0</formula>
    </cfRule>
  </conditionalFormatting>
  <conditionalFormatting sqref="G107:G111">
    <cfRule type="containsBlanks" dxfId="3379" priority="529" stopIfTrue="1">
      <formula>LEN(TRIM(G107))=0</formula>
    </cfRule>
  </conditionalFormatting>
  <conditionalFormatting sqref="G107:G111">
    <cfRule type="expression" dxfId="3378" priority="530" stopIfTrue="1">
      <formula>SUM($G$107:$G$111)&lt;&gt;1</formula>
    </cfRule>
  </conditionalFormatting>
  <conditionalFormatting sqref="G107:G111">
    <cfRule type="notContainsBlanks" dxfId="3377" priority="531" stopIfTrue="1">
      <formula>LEN(TRIM(G107))&gt;0</formula>
    </cfRule>
  </conditionalFormatting>
  <conditionalFormatting sqref="H107:H111">
    <cfRule type="containsBlanks" dxfId="3376" priority="532" stopIfTrue="1">
      <formula>LEN(TRIM(H107))=0</formula>
    </cfRule>
  </conditionalFormatting>
  <conditionalFormatting sqref="H107:H111">
    <cfRule type="expression" dxfId="3375" priority="533" stopIfTrue="1">
      <formula>SUM($H$107:$H$111)&lt;&gt;1</formula>
    </cfRule>
  </conditionalFormatting>
  <conditionalFormatting sqref="H107:H111">
    <cfRule type="notContainsBlanks" dxfId="3374" priority="534" stopIfTrue="1">
      <formula>LEN(TRIM(H107))&gt;0</formula>
    </cfRule>
  </conditionalFormatting>
  <conditionalFormatting sqref="I107:I111">
    <cfRule type="containsBlanks" dxfId="3373" priority="535" stopIfTrue="1">
      <formula>LEN(TRIM(I107))=0</formula>
    </cfRule>
  </conditionalFormatting>
  <conditionalFormatting sqref="I107:I111">
    <cfRule type="expression" dxfId="3372" priority="536" stopIfTrue="1">
      <formula>SUM($I$107:$I$111)&lt;&gt;1</formula>
    </cfRule>
  </conditionalFormatting>
  <conditionalFormatting sqref="I107:I111">
    <cfRule type="notContainsBlanks" dxfId="3371" priority="537" stopIfTrue="1">
      <formula>LEN(TRIM(I107))&gt;0</formula>
    </cfRule>
  </conditionalFormatting>
  <conditionalFormatting sqref="J107:J111">
    <cfRule type="containsBlanks" dxfId="3370" priority="538" stopIfTrue="1">
      <formula>LEN(TRIM(J107))=0</formula>
    </cfRule>
  </conditionalFormatting>
  <conditionalFormatting sqref="J107:J111">
    <cfRule type="expression" dxfId="3369" priority="539" stopIfTrue="1">
      <formula>SUM($J$107:$J$111)&lt;&gt;1</formula>
    </cfRule>
  </conditionalFormatting>
  <conditionalFormatting sqref="J107:J111">
    <cfRule type="notContainsBlanks" dxfId="3368" priority="540" stopIfTrue="1">
      <formula>LEN(TRIM(J107))&gt;0</formula>
    </cfRule>
  </conditionalFormatting>
  <conditionalFormatting sqref="K107:K111">
    <cfRule type="containsBlanks" dxfId="3367" priority="541" stopIfTrue="1">
      <formula>LEN(TRIM(K107))=0</formula>
    </cfRule>
  </conditionalFormatting>
  <conditionalFormatting sqref="K107:K111">
    <cfRule type="expression" dxfId="3366" priority="542" stopIfTrue="1">
      <formula>SUM($K$107:$K$111)&lt;&gt;1</formula>
    </cfRule>
  </conditionalFormatting>
  <conditionalFormatting sqref="K107:K111">
    <cfRule type="notContainsBlanks" dxfId="3365" priority="543" stopIfTrue="1">
      <formula>LEN(TRIM(K107))&gt;0</formula>
    </cfRule>
  </conditionalFormatting>
  <conditionalFormatting sqref="L107:L111">
    <cfRule type="containsBlanks" dxfId="3364" priority="544" stopIfTrue="1">
      <formula>LEN(TRIM(L107))=0</formula>
    </cfRule>
  </conditionalFormatting>
  <conditionalFormatting sqref="L107:L111">
    <cfRule type="expression" dxfId="3363" priority="545" stopIfTrue="1">
      <formula>SUM($L$107:$L$111)&lt;&gt;1</formula>
    </cfRule>
  </conditionalFormatting>
  <conditionalFormatting sqref="L107:L111">
    <cfRule type="notContainsBlanks" dxfId="3362" priority="546" stopIfTrue="1">
      <formula>LEN(TRIM(L107))&gt;0</formula>
    </cfRule>
  </conditionalFormatting>
  <conditionalFormatting sqref="M107:M111">
    <cfRule type="containsBlanks" dxfId="3361" priority="547" stopIfTrue="1">
      <formula>LEN(TRIM(M107))=0</formula>
    </cfRule>
  </conditionalFormatting>
  <conditionalFormatting sqref="M107:M111">
    <cfRule type="expression" dxfId="3360" priority="548" stopIfTrue="1">
      <formula>SUM($M$107:$M$111)&lt;&gt;1</formula>
    </cfRule>
  </conditionalFormatting>
  <conditionalFormatting sqref="M107:M111">
    <cfRule type="notContainsBlanks" dxfId="3359" priority="549" stopIfTrue="1">
      <formula>LEN(TRIM(M107))&gt;0</formula>
    </cfRule>
  </conditionalFormatting>
  <conditionalFormatting sqref="N107:N111">
    <cfRule type="containsBlanks" dxfId="3358" priority="550" stopIfTrue="1">
      <formula>LEN(TRIM(N107))=0</formula>
    </cfRule>
  </conditionalFormatting>
  <conditionalFormatting sqref="N107:N111">
    <cfRule type="expression" dxfId="3357" priority="551" stopIfTrue="1">
      <formula>SUM($N$107:$N$111)&lt;&gt;1</formula>
    </cfRule>
  </conditionalFormatting>
  <conditionalFormatting sqref="N107:N111">
    <cfRule type="notContainsBlanks" dxfId="3356" priority="552" stopIfTrue="1">
      <formula>LEN(TRIM(N107))&gt;0</formula>
    </cfRule>
  </conditionalFormatting>
  <conditionalFormatting sqref="O107:O111">
    <cfRule type="containsBlanks" dxfId="3355" priority="553" stopIfTrue="1">
      <formula>LEN(TRIM(O107))=0</formula>
    </cfRule>
  </conditionalFormatting>
  <conditionalFormatting sqref="O107:O111">
    <cfRule type="expression" dxfId="3354" priority="554" stopIfTrue="1">
      <formula>SUM($O$107:$O$111)&lt;&gt;1</formula>
    </cfRule>
  </conditionalFormatting>
  <conditionalFormatting sqref="O107:O111">
    <cfRule type="notContainsBlanks" dxfId="3353" priority="555" stopIfTrue="1">
      <formula>LEN(TRIM(O107))&gt;0</formula>
    </cfRule>
  </conditionalFormatting>
  <conditionalFormatting sqref="P107:P111">
    <cfRule type="containsBlanks" dxfId="3352" priority="556" stopIfTrue="1">
      <formula>LEN(TRIM(P107))=0</formula>
    </cfRule>
  </conditionalFormatting>
  <conditionalFormatting sqref="P107:P111">
    <cfRule type="expression" dxfId="3351" priority="557" stopIfTrue="1">
      <formula>SUM($P$107:$P$111)&lt;&gt;1</formula>
    </cfRule>
  </conditionalFormatting>
  <conditionalFormatting sqref="P107:P111">
    <cfRule type="notContainsBlanks" dxfId="3350" priority="558" stopIfTrue="1">
      <formula>LEN(TRIM(P107))&gt;0</formula>
    </cfRule>
  </conditionalFormatting>
  <conditionalFormatting sqref="Q107:Q111">
    <cfRule type="containsBlanks" dxfId="3349" priority="559" stopIfTrue="1">
      <formula>LEN(TRIM(Q107))=0</formula>
    </cfRule>
  </conditionalFormatting>
  <conditionalFormatting sqref="Q107:Q111">
    <cfRule type="expression" dxfId="3348" priority="560" stopIfTrue="1">
      <formula>SUM($Q$107:$Q$111)&lt;&gt;1</formula>
    </cfRule>
  </conditionalFormatting>
  <conditionalFormatting sqref="Q107:Q111">
    <cfRule type="notContainsBlanks" dxfId="3347" priority="561" stopIfTrue="1">
      <formula>LEN(TRIM(Q107))&gt;0</formula>
    </cfRule>
  </conditionalFormatting>
  <conditionalFormatting sqref="R107:R111">
    <cfRule type="containsBlanks" dxfId="3346" priority="562" stopIfTrue="1">
      <formula>LEN(TRIM(R107))=0</formula>
    </cfRule>
  </conditionalFormatting>
  <conditionalFormatting sqref="R107:R111">
    <cfRule type="expression" dxfId="3345" priority="563" stopIfTrue="1">
      <formula>SUM($R$107:$R$111)&lt;&gt;1</formula>
    </cfRule>
  </conditionalFormatting>
  <conditionalFormatting sqref="R107:R111">
    <cfRule type="notContainsBlanks" dxfId="3344" priority="564" stopIfTrue="1">
      <formula>LEN(TRIM(R107))&gt;0</formula>
    </cfRule>
  </conditionalFormatting>
  <conditionalFormatting sqref="S107:S111">
    <cfRule type="containsBlanks" dxfId="3343" priority="565" stopIfTrue="1">
      <formula>LEN(TRIM(S107))=0</formula>
    </cfRule>
  </conditionalFormatting>
  <conditionalFormatting sqref="S107:S111">
    <cfRule type="expression" dxfId="3342" priority="566" stopIfTrue="1">
      <formula>SUM($S$107:$S$111)&lt;&gt;1</formula>
    </cfRule>
  </conditionalFormatting>
  <conditionalFormatting sqref="S107:S111">
    <cfRule type="notContainsBlanks" dxfId="3341" priority="567" stopIfTrue="1">
      <formula>LEN(TRIM(S107))&gt;0</formula>
    </cfRule>
  </conditionalFormatting>
  <conditionalFormatting sqref="T107:T111">
    <cfRule type="containsBlanks" dxfId="3340" priority="568" stopIfTrue="1">
      <formula>LEN(TRIM(T107))=0</formula>
    </cfRule>
  </conditionalFormatting>
  <conditionalFormatting sqref="T107:T111">
    <cfRule type="expression" dxfId="3339" priority="569" stopIfTrue="1">
      <formula>SUM($T$107:$T$111)&lt;&gt;1</formula>
    </cfRule>
  </conditionalFormatting>
  <conditionalFormatting sqref="T107:T111">
    <cfRule type="notContainsBlanks" dxfId="3338" priority="570" stopIfTrue="1">
      <formula>LEN(TRIM(T107))&gt;0</formula>
    </cfRule>
  </conditionalFormatting>
  <conditionalFormatting sqref="U107:U111">
    <cfRule type="containsBlanks" dxfId="3337" priority="571" stopIfTrue="1">
      <formula>LEN(TRIM(U107))=0</formula>
    </cfRule>
  </conditionalFormatting>
  <conditionalFormatting sqref="U107:U111">
    <cfRule type="expression" dxfId="3336" priority="572" stopIfTrue="1">
      <formula>SUM($U$107:$U$111)&lt;&gt;1</formula>
    </cfRule>
  </conditionalFormatting>
  <conditionalFormatting sqref="U107:U111">
    <cfRule type="notContainsBlanks" dxfId="3335" priority="573" stopIfTrue="1">
      <formula>LEN(TRIM(U107))&gt;0</formula>
    </cfRule>
  </conditionalFormatting>
  <conditionalFormatting sqref="V107:V111">
    <cfRule type="containsBlanks" dxfId="3334" priority="574" stopIfTrue="1">
      <formula>LEN(TRIM(V107))=0</formula>
    </cfRule>
  </conditionalFormatting>
  <conditionalFormatting sqref="V107:V111">
    <cfRule type="expression" dxfId="3333" priority="575" stopIfTrue="1">
      <formula>SUM($V$107:$V$111)&lt;&gt;1</formula>
    </cfRule>
  </conditionalFormatting>
  <conditionalFormatting sqref="V107:V111">
    <cfRule type="notContainsBlanks" dxfId="3332" priority="576" stopIfTrue="1">
      <formula>LEN(TRIM(V107))&gt;0</formula>
    </cfRule>
  </conditionalFormatting>
  <conditionalFormatting sqref="W107:W111">
    <cfRule type="containsBlanks" dxfId="3331" priority="577" stopIfTrue="1">
      <formula>LEN(TRIM(W107))=0</formula>
    </cfRule>
  </conditionalFormatting>
  <conditionalFormatting sqref="W107:W111">
    <cfRule type="expression" dxfId="3330" priority="578" stopIfTrue="1">
      <formula>SUM($W$107:$W$111)&lt;&gt;1</formula>
    </cfRule>
  </conditionalFormatting>
  <conditionalFormatting sqref="W107:W111">
    <cfRule type="notContainsBlanks" dxfId="3329" priority="579" stopIfTrue="1">
      <formula>LEN(TRIM(W107))&gt;0</formula>
    </cfRule>
  </conditionalFormatting>
  <conditionalFormatting sqref="X107:X111">
    <cfRule type="containsBlanks" dxfId="3328" priority="580" stopIfTrue="1">
      <formula>LEN(TRIM(X107))=0</formula>
    </cfRule>
  </conditionalFormatting>
  <conditionalFormatting sqref="X107:X111">
    <cfRule type="expression" dxfId="3327" priority="581" stopIfTrue="1">
      <formula>SUM($X$107:$X$111)&lt;&gt;1</formula>
    </cfRule>
  </conditionalFormatting>
  <conditionalFormatting sqref="X107:X111">
    <cfRule type="notContainsBlanks" dxfId="3326" priority="582" stopIfTrue="1">
      <formula>LEN(TRIM(X107))&gt;0</formula>
    </cfRule>
  </conditionalFormatting>
  <conditionalFormatting sqref="Y107:Y111">
    <cfRule type="containsBlanks" dxfId="3325" priority="583" stopIfTrue="1">
      <formula>LEN(TRIM(Y107))=0</formula>
    </cfRule>
  </conditionalFormatting>
  <conditionalFormatting sqref="Y107:Y111">
    <cfRule type="expression" dxfId="3324" priority="584" stopIfTrue="1">
      <formula>SUM($Y$107:$Y$111)&lt;&gt;1</formula>
    </cfRule>
  </conditionalFormatting>
  <conditionalFormatting sqref="Y107:Y111">
    <cfRule type="notContainsBlanks" dxfId="3323" priority="585" stopIfTrue="1">
      <formula>LEN(TRIM(Y107))&gt;0</formula>
    </cfRule>
  </conditionalFormatting>
  <conditionalFormatting sqref="Z107:Z111">
    <cfRule type="containsBlanks" dxfId="3322" priority="586" stopIfTrue="1">
      <formula>LEN(TRIM(Z107))=0</formula>
    </cfRule>
  </conditionalFormatting>
  <conditionalFormatting sqref="Z107:Z111">
    <cfRule type="expression" dxfId="3321" priority="587" stopIfTrue="1">
      <formula>SUM($Z$107:$Z$111)&lt;&gt;1</formula>
    </cfRule>
  </conditionalFormatting>
  <conditionalFormatting sqref="Z107:Z111">
    <cfRule type="notContainsBlanks" dxfId="3320" priority="588" stopIfTrue="1">
      <formula>LEN(TRIM(Z107))&gt;0</formula>
    </cfRule>
  </conditionalFormatting>
  <conditionalFormatting sqref="AA107:AA111">
    <cfRule type="containsBlanks" dxfId="3319" priority="589" stopIfTrue="1">
      <formula>LEN(TRIM(AA107))=0</formula>
    </cfRule>
  </conditionalFormatting>
  <conditionalFormatting sqref="AA107:AA111">
    <cfRule type="expression" dxfId="3318" priority="590" stopIfTrue="1">
      <formula>SUM($AA$107:$AA$111)&lt;&gt;1</formula>
    </cfRule>
  </conditionalFormatting>
  <conditionalFormatting sqref="AA107:AA111">
    <cfRule type="notContainsBlanks" dxfId="3317" priority="591" stopIfTrue="1">
      <formula>LEN(TRIM(AA107))&gt;0</formula>
    </cfRule>
  </conditionalFormatting>
  <conditionalFormatting sqref="AB107:AB111">
    <cfRule type="containsBlanks" dxfId="3316" priority="592" stopIfTrue="1">
      <formula>LEN(TRIM(AB107))=0</formula>
    </cfRule>
  </conditionalFormatting>
  <conditionalFormatting sqref="AB107:AB111">
    <cfRule type="expression" dxfId="3315" priority="593" stopIfTrue="1">
      <formula>SUM($AB$107:$AB$111)&lt;&gt;1</formula>
    </cfRule>
  </conditionalFormatting>
  <conditionalFormatting sqref="AB107:AB111">
    <cfRule type="notContainsBlanks" dxfId="3314" priority="594" stopIfTrue="1">
      <formula>LEN(TRIM(AB107))&gt;0</formula>
    </cfRule>
  </conditionalFormatting>
  <conditionalFormatting sqref="AC107:AC111">
    <cfRule type="containsBlanks" dxfId="3313" priority="595" stopIfTrue="1">
      <formula>LEN(TRIM(AC107))=0</formula>
    </cfRule>
  </conditionalFormatting>
  <conditionalFormatting sqref="AC107:AC111">
    <cfRule type="expression" dxfId="3312" priority="596" stopIfTrue="1">
      <formula>SUM($AC$107:$AC$111)&lt;&gt;1</formula>
    </cfRule>
  </conditionalFormatting>
  <conditionalFormatting sqref="AC107:AC111">
    <cfRule type="notContainsBlanks" dxfId="3311" priority="597" stopIfTrue="1">
      <formula>LEN(TRIM(AC107))&gt;0</formula>
    </cfRule>
  </conditionalFormatting>
  <conditionalFormatting sqref="AD107:AD111">
    <cfRule type="containsBlanks" dxfId="3310" priority="598" stopIfTrue="1">
      <formula>LEN(TRIM(AD107))=0</formula>
    </cfRule>
  </conditionalFormatting>
  <conditionalFormatting sqref="AD107:AD111">
    <cfRule type="expression" dxfId="3309" priority="599" stopIfTrue="1">
      <formula>SUM($AD$107:$AD$111)&lt;&gt;1</formula>
    </cfRule>
  </conditionalFormatting>
  <conditionalFormatting sqref="AD107:AD111">
    <cfRule type="notContainsBlanks" dxfId="3308" priority="600" stopIfTrue="1">
      <formula>LEN(TRIM(AD107))&gt;0</formula>
    </cfRule>
  </conditionalFormatting>
  <conditionalFormatting sqref="AE107:AE111">
    <cfRule type="containsBlanks" dxfId="3307" priority="601" stopIfTrue="1">
      <formula>LEN(TRIM(AE107))=0</formula>
    </cfRule>
  </conditionalFormatting>
  <conditionalFormatting sqref="AE107:AE111">
    <cfRule type="expression" dxfId="3306" priority="602" stopIfTrue="1">
      <formula>SUM($AE$107:$AE$111)&lt;&gt;1</formula>
    </cfRule>
  </conditionalFormatting>
  <conditionalFormatting sqref="AE107:AE111">
    <cfRule type="notContainsBlanks" dxfId="3305" priority="603" stopIfTrue="1">
      <formula>LEN(TRIM(AE107))&gt;0</formula>
    </cfRule>
  </conditionalFormatting>
  <conditionalFormatting sqref="AF107:AF111">
    <cfRule type="containsBlanks" dxfId="3304" priority="604" stopIfTrue="1">
      <formula>LEN(TRIM(AF107))=0</formula>
    </cfRule>
  </conditionalFormatting>
  <conditionalFormatting sqref="AF107:AF111">
    <cfRule type="expression" dxfId="3303" priority="605" stopIfTrue="1">
      <formula>SUM($AF$107:$AF$111)&lt;&gt;1</formula>
    </cfRule>
  </conditionalFormatting>
  <conditionalFormatting sqref="AF107:AF111">
    <cfRule type="notContainsBlanks" dxfId="3302" priority="606" stopIfTrue="1">
      <formula>LEN(TRIM(AF107))&gt;0</formula>
    </cfRule>
  </conditionalFormatting>
  <conditionalFormatting sqref="AG107:AG111">
    <cfRule type="containsBlanks" dxfId="3301" priority="607" stopIfTrue="1">
      <formula>LEN(TRIM(AG107))=0</formula>
    </cfRule>
  </conditionalFormatting>
  <conditionalFormatting sqref="AG107:AG111">
    <cfRule type="expression" dxfId="3300" priority="608" stopIfTrue="1">
      <formula>SUM($AG$107:$AG$111)&lt;&gt;1</formula>
    </cfRule>
  </conditionalFormatting>
  <conditionalFormatting sqref="AG107:AG111">
    <cfRule type="notContainsBlanks" dxfId="3299" priority="609" stopIfTrue="1">
      <formula>LEN(TRIM(AG107))&gt;0</formula>
    </cfRule>
  </conditionalFormatting>
  <conditionalFormatting sqref="AH107:AH111">
    <cfRule type="containsBlanks" dxfId="3298" priority="610" stopIfTrue="1">
      <formula>LEN(TRIM(AH107))=0</formula>
    </cfRule>
  </conditionalFormatting>
  <conditionalFormatting sqref="AH107:AH111">
    <cfRule type="expression" dxfId="3297" priority="611" stopIfTrue="1">
      <formula>SUM($AH$107:$AH$111)&lt;&gt;1</formula>
    </cfRule>
  </conditionalFormatting>
  <conditionalFormatting sqref="AH107:AH111">
    <cfRule type="notContainsBlanks" dxfId="3296" priority="612" stopIfTrue="1">
      <formula>LEN(TRIM(AH107))&gt;0</formula>
    </cfRule>
  </conditionalFormatting>
  <conditionalFormatting sqref="AI107:AI111">
    <cfRule type="containsBlanks" dxfId="3295" priority="613" stopIfTrue="1">
      <formula>LEN(TRIM(AI107))=0</formula>
    </cfRule>
  </conditionalFormatting>
  <conditionalFormatting sqref="AI107:AI111">
    <cfRule type="expression" dxfId="3294" priority="614" stopIfTrue="1">
      <formula>SUM($AI$107:$AI$111)&lt;&gt;1</formula>
    </cfRule>
  </conditionalFormatting>
  <conditionalFormatting sqref="AI107:AI111">
    <cfRule type="notContainsBlanks" dxfId="3293" priority="615" stopIfTrue="1">
      <formula>LEN(TRIM(AI107))&gt;0</formula>
    </cfRule>
  </conditionalFormatting>
  <conditionalFormatting sqref="AJ107:AJ111">
    <cfRule type="containsBlanks" dxfId="3292" priority="616" stopIfTrue="1">
      <formula>LEN(TRIM(AJ107))=0</formula>
    </cfRule>
  </conditionalFormatting>
  <conditionalFormatting sqref="AJ107:AJ111">
    <cfRule type="expression" dxfId="3291" priority="617" stopIfTrue="1">
      <formula>SUM($AJ$107:$AJ$111)&lt;&gt;1</formula>
    </cfRule>
  </conditionalFormatting>
  <conditionalFormatting sqref="AJ107:AJ111">
    <cfRule type="notContainsBlanks" dxfId="3290" priority="618" stopIfTrue="1">
      <formula>LEN(TRIM(AJ107))&gt;0</formula>
    </cfRule>
  </conditionalFormatting>
  <conditionalFormatting sqref="AK107:AK111">
    <cfRule type="containsBlanks" dxfId="3289" priority="619" stopIfTrue="1">
      <formula>LEN(TRIM(AK107))=0</formula>
    </cfRule>
  </conditionalFormatting>
  <conditionalFormatting sqref="AK107:AK111">
    <cfRule type="expression" dxfId="3288" priority="620" stopIfTrue="1">
      <formula>SUM($AK$107:$AK$111)&lt;&gt;1</formula>
    </cfRule>
  </conditionalFormatting>
  <conditionalFormatting sqref="AK107:AK111">
    <cfRule type="notContainsBlanks" dxfId="3287" priority="621" stopIfTrue="1">
      <formula>LEN(TRIM(AK107))&gt;0</formula>
    </cfRule>
  </conditionalFormatting>
  <conditionalFormatting sqref="AL107:AL111">
    <cfRule type="containsBlanks" dxfId="3286" priority="622" stopIfTrue="1">
      <formula>LEN(TRIM(AL107))=0</formula>
    </cfRule>
  </conditionalFormatting>
  <conditionalFormatting sqref="AL107:AL111">
    <cfRule type="expression" dxfId="3285" priority="623" stopIfTrue="1">
      <formula>SUM($AL$107:$AL$111)&lt;&gt;1</formula>
    </cfRule>
  </conditionalFormatting>
  <conditionalFormatting sqref="AL107:AL111">
    <cfRule type="notContainsBlanks" dxfId="3284" priority="624" stopIfTrue="1">
      <formula>LEN(TRIM(AL107))&gt;0</formula>
    </cfRule>
  </conditionalFormatting>
  <conditionalFormatting sqref="AM107:AM111">
    <cfRule type="containsBlanks" dxfId="3283" priority="625" stopIfTrue="1">
      <formula>LEN(TRIM(AM107))=0</formula>
    </cfRule>
  </conditionalFormatting>
  <conditionalFormatting sqref="AM107:AM111">
    <cfRule type="expression" dxfId="3282" priority="626" stopIfTrue="1">
      <formula>SUM($AM$107:$AM$111)&lt;&gt;1</formula>
    </cfRule>
  </conditionalFormatting>
  <conditionalFormatting sqref="AM107:AM111">
    <cfRule type="notContainsBlanks" dxfId="3281" priority="627" stopIfTrue="1">
      <formula>LEN(TRIM(AM107))&gt;0</formula>
    </cfRule>
  </conditionalFormatting>
  <conditionalFormatting sqref="AN107:AN111">
    <cfRule type="containsBlanks" dxfId="3280" priority="628" stopIfTrue="1">
      <formula>LEN(TRIM(AN107))=0</formula>
    </cfRule>
  </conditionalFormatting>
  <conditionalFormatting sqref="AN107:AN111">
    <cfRule type="expression" dxfId="3279" priority="629" stopIfTrue="1">
      <formula>SUM($AN$107:$AN$111)&lt;&gt;1</formula>
    </cfRule>
  </conditionalFormatting>
  <conditionalFormatting sqref="AN107:AN111">
    <cfRule type="notContainsBlanks" dxfId="3278" priority="630" stopIfTrue="1">
      <formula>LEN(TRIM(AN107))&gt;0</formula>
    </cfRule>
  </conditionalFormatting>
  <conditionalFormatting sqref="E101:E105">
    <cfRule type="containsBlanks" dxfId="3277" priority="641" stopIfTrue="1">
      <formula>LEN(TRIM(E101))=0</formula>
    </cfRule>
    <cfRule type="expression" dxfId="3276" priority="642" stopIfTrue="1">
      <formula>SUM($E$101:$E$105)&lt;&gt;1</formula>
    </cfRule>
    <cfRule type="notContainsBlanks" dxfId="3275" priority="643" stopIfTrue="1">
      <formula>LEN(TRIM(E101))&gt;0</formula>
    </cfRule>
  </conditionalFormatting>
  <conditionalFormatting sqref="F101:F105">
    <cfRule type="containsBlanks" dxfId="3274" priority="644" stopIfTrue="1">
      <formula>LEN(TRIM(F101))=0</formula>
    </cfRule>
    <cfRule type="expression" dxfId="3273" priority="645" stopIfTrue="1">
      <formula>SUM($F$101:$F$105)&lt;&gt;1</formula>
    </cfRule>
    <cfRule type="notContainsBlanks" dxfId="3272" priority="646" stopIfTrue="1">
      <formula>LEN(TRIM(F101))&gt;0</formula>
    </cfRule>
  </conditionalFormatting>
  <conditionalFormatting sqref="G101:G105">
    <cfRule type="containsBlanks" dxfId="3271" priority="647" stopIfTrue="1">
      <formula>LEN(TRIM(G101))=0</formula>
    </cfRule>
    <cfRule type="expression" dxfId="3270" priority="648" stopIfTrue="1">
      <formula>SUM($G$101:$G$105)&lt;&gt;1</formula>
    </cfRule>
    <cfRule type="notContainsBlanks" dxfId="3269" priority="649" stopIfTrue="1">
      <formula>LEN(TRIM(G101))&gt;0</formula>
    </cfRule>
  </conditionalFormatting>
  <conditionalFormatting sqref="H101:H105">
    <cfRule type="containsBlanks" dxfId="3268" priority="650" stopIfTrue="1">
      <formula>LEN(TRIM(H101))=0</formula>
    </cfRule>
    <cfRule type="expression" dxfId="3267" priority="651" stopIfTrue="1">
      <formula>SUM($H$101:$H$105)&lt;&gt;1</formula>
    </cfRule>
    <cfRule type="notContainsBlanks" dxfId="3266" priority="652" stopIfTrue="1">
      <formula>LEN(TRIM(H101))&gt;0</formula>
    </cfRule>
  </conditionalFormatting>
  <conditionalFormatting sqref="I101:I105">
    <cfRule type="containsBlanks" dxfId="3265" priority="653" stopIfTrue="1">
      <formula>LEN(TRIM(I101))=0</formula>
    </cfRule>
    <cfRule type="expression" dxfId="3264" priority="654" stopIfTrue="1">
      <formula>SUM($I$101:$I$105)&lt;&gt;1</formula>
    </cfRule>
    <cfRule type="notContainsBlanks" dxfId="3263" priority="655" stopIfTrue="1">
      <formula>LEN(TRIM(I101))&gt;0</formula>
    </cfRule>
  </conditionalFormatting>
  <conditionalFormatting sqref="J101:J105">
    <cfRule type="containsBlanks" dxfId="3262" priority="656" stopIfTrue="1">
      <formula>LEN(TRIM(J101))=0</formula>
    </cfRule>
    <cfRule type="expression" dxfId="3261" priority="657" stopIfTrue="1">
      <formula>SUM($J$101:$J$105)&lt;&gt;1</formula>
    </cfRule>
    <cfRule type="notContainsBlanks" dxfId="3260" priority="658" stopIfTrue="1">
      <formula>LEN(TRIM(J101))&gt;0</formula>
    </cfRule>
  </conditionalFormatting>
  <conditionalFormatting sqref="K101:K105">
    <cfRule type="containsBlanks" dxfId="3259" priority="659" stopIfTrue="1">
      <formula>LEN(TRIM(K101))=0</formula>
    </cfRule>
    <cfRule type="expression" dxfId="3258" priority="660" stopIfTrue="1">
      <formula>SUM($K$101:$K$105)&lt;&gt;1</formula>
    </cfRule>
    <cfRule type="notContainsBlanks" dxfId="3257" priority="661" stopIfTrue="1">
      <formula>LEN(TRIM(K101))&gt;0</formula>
    </cfRule>
  </conditionalFormatting>
  <conditionalFormatting sqref="L101:L105">
    <cfRule type="containsBlanks" dxfId="3256" priority="662" stopIfTrue="1">
      <formula>LEN(TRIM(L101))=0</formula>
    </cfRule>
    <cfRule type="expression" dxfId="3255" priority="663" stopIfTrue="1">
      <formula>SUM($L$101:$L$105)&lt;&gt;1</formula>
    </cfRule>
    <cfRule type="notContainsBlanks" dxfId="3254" priority="664" stopIfTrue="1">
      <formula>LEN(TRIM(L101))&gt;0</formula>
    </cfRule>
  </conditionalFormatting>
  <conditionalFormatting sqref="M101:M105">
    <cfRule type="containsBlanks" dxfId="3253" priority="665" stopIfTrue="1">
      <formula>LEN(TRIM(M101))=0</formula>
    </cfRule>
    <cfRule type="expression" dxfId="3252" priority="666" stopIfTrue="1">
      <formula>SUM($M$101:$M$105)&lt;&gt;1</formula>
    </cfRule>
    <cfRule type="notContainsBlanks" dxfId="3251" priority="667" stopIfTrue="1">
      <formula>LEN(TRIM(M101))&gt;0</formula>
    </cfRule>
  </conditionalFormatting>
  <conditionalFormatting sqref="N101:N105">
    <cfRule type="containsBlanks" dxfId="3250" priority="668" stopIfTrue="1">
      <formula>LEN(TRIM(N101))=0</formula>
    </cfRule>
    <cfRule type="expression" dxfId="3249" priority="669" stopIfTrue="1">
      <formula>SUM($N$101:$N$105)&lt;&gt;1</formula>
    </cfRule>
    <cfRule type="notContainsBlanks" dxfId="3248" priority="670" stopIfTrue="1">
      <formula>LEN(TRIM(N101))&gt;0</formula>
    </cfRule>
  </conditionalFormatting>
  <conditionalFormatting sqref="O101:O105">
    <cfRule type="containsBlanks" dxfId="3247" priority="671" stopIfTrue="1">
      <formula>LEN(TRIM(O101))=0</formula>
    </cfRule>
    <cfRule type="expression" dxfId="3246" priority="672" stopIfTrue="1">
      <formula>SUM($O$101:$O$105)&lt;&gt;1</formula>
    </cfRule>
    <cfRule type="notContainsBlanks" dxfId="3245" priority="673" stopIfTrue="1">
      <formula>LEN(TRIM(O101))&gt;0</formula>
    </cfRule>
  </conditionalFormatting>
  <conditionalFormatting sqref="P101:P105">
    <cfRule type="containsBlanks" dxfId="3244" priority="674" stopIfTrue="1">
      <formula>LEN(TRIM(P101))=0</formula>
    </cfRule>
  </conditionalFormatting>
  <conditionalFormatting sqref="P101:P105">
    <cfRule type="expression" dxfId="3243" priority="675" stopIfTrue="1">
      <formula>SUM($P$101:$P$105)&lt;&gt;1</formula>
    </cfRule>
  </conditionalFormatting>
  <conditionalFormatting sqref="P101:P105">
    <cfRule type="notContainsBlanks" dxfId="3242" priority="676" stopIfTrue="1">
      <formula>LEN(TRIM(P101))&gt;0</formula>
    </cfRule>
  </conditionalFormatting>
  <conditionalFormatting sqref="Q101:Q105">
    <cfRule type="containsBlanks" dxfId="3241" priority="677" stopIfTrue="1">
      <formula>LEN(TRIM(Q101))=0</formula>
    </cfRule>
  </conditionalFormatting>
  <conditionalFormatting sqref="Q101:Q105">
    <cfRule type="expression" dxfId="3240" priority="678" stopIfTrue="1">
      <formula>SUM($Q$101:$Q$105)&lt;&gt;1</formula>
    </cfRule>
  </conditionalFormatting>
  <conditionalFormatting sqref="Q101:Q105">
    <cfRule type="notContainsBlanks" dxfId="3239" priority="679" stopIfTrue="1">
      <formula>LEN(TRIM(Q101))&gt;0</formula>
    </cfRule>
  </conditionalFormatting>
  <conditionalFormatting sqref="R101:R105">
    <cfRule type="containsBlanks" dxfId="3238" priority="680" stopIfTrue="1">
      <formula>LEN(TRIM(R101))=0</formula>
    </cfRule>
  </conditionalFormatting>
  <conditionalFormatting sqref="R101:R105">
    <cfRule type="expression" dxfId="3237" priority="681" stopIfTrue="1">
      <formula>SUM($R$101:$R$105)&lt;&gt;1</formula>
    </cfRule>
  </conditionalFormatting>
  <conditionalFormatting sqref="R101:R105">
    <cfRule type="notContainsBlanks" dxfId="3236" priority="682" stopIfTrue="1">
      <formula>LEN(TRIM(R101))&gt;0</formula>
    </cfRule>
  </conditionalFormatting>
  <conditionalFormatting sqref="S101:S105">
    <cfRule type="containsBlanks" dxfId="3235" priority="683" stopIfTrue="1">
      <formula>LEN(TRIM(S101))=0</formula>
    </cfRule>
  </conditionalFormatting>
  <conditionalFormatting sqref="S101:S105">
    <cfRule type="expression" dxfId="3234" priority="684" stopIfTrue="1">
      <formula>SUM($S$101:$S$105)&lt;&gt;1</formula>
    </cfRule>
  </conditionalFormatting>
  <conditionalFormatting sqref="S101:S105">
    <cfRule type="notContainsBlanks" dxfId="3233" priority="685" stopIfTrue="1">
      <formula>LEN(TRIM(S101))&gt;0</formula>
    </cfRule>
  </conditionalFormatting>
  <conditionalFormatting sqref="T101:T105">
    <cfRule type="containsBlanks" dxfId="3232" priority="686" stopIfTrue="1">
      <formula>LEN(TRIM(T101))=0</formula>
    </cfRule>
  </conditionalFormatting>
  <conditionalFormatting sqref="T101:T105">
    <cfRule type="expression" dxfId="3231" priority="687" stopIfTrue="1">
      <formula>SUM($T$101:$T$105)&lt;&gt;1</formula>
    </cfRule>
  </conditionalFormatting>
  <conditionalFormatting sqref="T101:T105">
    <cfRule type="notContainsBlanks" dxfId="3230" priority="688" stopIfTrue="1">
      <formula>LEN(TRIM(T101))&gt;0</formula>
    </cfRule>
  </conditionalFormatting>
  <conditionalFormatting sqref="U101:U105">
    <cfRule type="containsBlanks" dxfId="3229" priority="689" stopIfTrue="1">
      <formula>LEN(TRIM(U101))=0</formula>
    </cfRule>
  </conditionalFormatting>
  <conditionalFormatting sqref="U101:U105">
    <cfRule type="expression" dxfId="3228" priority="690" stopIfTrue="1">
      <formula>SUM($U$101:$U$105)&lt;&gt;1</formula>
    </cfRule>
  </conditionalFormatting>
  <conditionalFormatting sqref="U101:U105">
    <cfRule type="notContainsBlanks" dxfId="3227" priority="691" stopIfTrue="1">
      <formula>LEN(TRIM(U101))&gt;0</formula>
    </cfRule>
  </conditionalFormatting>
  <conditionalFormatting sqref="V101:V105">
    <cfRule type="containsBlanks" dxfId="3226" priority="692" stopIfTrue="1">
      <formula>LEN(TRIM(V101))=0</formula>
    </cfRule>
  </conditionalFormatting>
  <conditionalFormatting sqref="V101:V105">
    <cfRule type="expression" dxfId="3225" priority="693" stopIfTrue="1">
      <formula>SUM($V$101:$V$105)&lt;&gt;1</formula>
    </cfRule>
  </conditionalFormatting>
  <conditionalFormatting sqref="V101:V105">
    <cfRule type="notContainsBlanks" dxfId="3224" priority="694" stopIfTrue="1">
      <formula>LEN(TRIM(V101))&gt;0</formula>
    </cfRule>
  </conditionalFormatting>
  <conditionalFormatting sqref="W101:W105">
    <cfRule type="containsBlanks" dxfId="3223" priority="695" stopIfTrue="1">
      <formula>LEN(TRIM(W101))=0</formula>
    </cfRule>
  </conditionalFormatting>
  <conditionalFormatting sqref="W101:W105">
    <cfRule type="expression" dxfId="3222" priority="696" stopIfTrue="1">
      <formula>SUM($W$101:$W$105)&lt;&gt;1</formula>
    </cfRule>
  </conditionalFormatting>
  <conditionalFormatting sqref="W101:W105">
    <cfRule type="notContainsBlanks" dxfId="3221" priority="697" stopIfTrue="1">
      <formula>LEN(TRIM(W101))&gt;0</formula>
    </cfRule>
  </conditionalFormatting>
  <conditionalFormatting sqref="X101:X105">
    <cfRule type="containsBlanks" dxfId="3220" priority="698" stopIfTrue="1">
      <formula>LEN(TRIM(X101))=0</formula>
    </cfRule>
  </conditionalFormatting>
  <conditionalFormatting sqref="X101:X105">
    <cfRule type="expression" dxfId="3219" priority="699" stopIfTrue="1">
      <formula>SUM($X$101:$X$105)&lt;&gt;1</formula>
    </cfRule>
  </conditionalFormatting>
  <conditionalFormatting sqref="X101:X105">
    <cfRule type="notContainsBlanks" dxfId="3218" priority="700" stopIfTrue="1">
      <formula>LEN(TRIM(X101))&gt;0</formula>
    </cfRule>
  </conditionalFormatting>
  <conditionalFormatting sqref="Y101:Y105">
    <cfRule type="containsBlanks" dxfId="3217" priority="701" stopIfTrue="1">
      <formula>LEN(TRIM(Y101))=0</formula>
    </cfRule>
  </conditionalFormatting>
  <conditionalFormatting sqref="Y101:Y105">
    <cfRule type="expression" dxfId="3216" priority="702" stopIfTrue="1">
      <formula>SUM($Y$101:$Y$105)&lt;&gt;1</formula>
    </cfRule>
  </conditionalFormatting>
  <conditionalFormatting sqref="Y101:Y105">
    <cfRule type="notContainsBlanks" dxfId="3215" priority="703" stopIfTrue="1">
      <formula>LEN(TRIM(Y101))&gt;0</formula>
    </cfRule>
  </conditionalFormatting>
  <conditionalFormatting sqref="Z101:Z105">
    <cfRule type="containsBlanks" dxfId="3214" priority="704" stopIfTrue="1">
      <formula>LEN(TRIM(Z101))=0</formula>
    </cfRule>
  </conditionalFormatting>
  <conditionalFormatting sqref="Z101:Z105">
    <cfRule type="expression" dxfId="3213" priority="705" stopIfTrue="1">
      <formula>SUM($Z$101:$Z$105)&lt;&gt;1</formula>
    </cfRule>
  </conditionalFormatting>
  <conditionalFormatting sqref="Z101:Z105">
    <cfRule type="notContainsBlanks" dxfId="3212" priority="706" stopIfTrue="1">
      <formula>LEN(TRIM(Z101))&gt;0</formula>
    </cfRule>
  </conditionalFormatting>
  <conditionalFormatting sqref="AA101:AA105">
    <cfRule type="containsBlanks" dxfId="3211" priority="707" stopIfTrue="1">
      <formula>LEN(TRIM(AA101))=0</formula>
    </cfRule>
  </conditionalFormatting>
  <conditionalFormatting sqref="AA101:AA105">
    <cfRule type="expression" dxfId="3210" priority="708" stopIfTrue="1">
      <formula>SUM($AA$101:$AA$105)&lt;&gt;1</formula>
    </cfRule>
  </conditionalFormatting>
  <conditionalFormatting sqref="AA101:AA105">
    <cfRule type="notContainsBlanks" dxfId="3209" priority="709" stopIfTrue="1">
      <formula>LEN(TRIM(AA101))&gt;0</formula>
    </cfRule>
  </conditionalFormatting>
  <conditionalFormatting sqref="AB101:AB105">
    <cfRule type="containsBlanks" dxfId="3208" priority="710" stopIfTrue="1">
      <formula>LEN(TRIM(AB101))=0</formula>
    </cfRule>
  </conditionalFormatting>
  <conditionalFormatting sqref="AB101:AB105">
    <cfRule type="expression" dxfId="3207" priority="711" stopIfTrue="1">
      <formula>SUM($AB$101:$AB$105)&lt;&gt;1</formula>
    </cfRule>
  </conditionalFormatting>
  <conditionalFormatting sqref="AB101:AB105">
    <cfRule type="notContainsBlanks" dxfId="3206" priority="712" stopIfTrue="1">
      <formula>LEN(TRIM(AB101))&gt;0</formula>
    </cfRule>
  </conditionalFormatting>
  <conditionalFormatting sqref="AC101:AC105">
    <cfRule type="containsBlanks" dxfId="3205" priority="713" stopIfTrue="1">
      <formula>LEN(TRIM(AC101))=0</formula>
    </cfRule>
  </conditionalFormatting>
  <conditionalFormatting sqref="AC101:AC105">
    <cfRule type="expression" dxfId="3204" priority="714" stopIfTrue="1">
      <formula>SUM($AC$101:$AC$105)&lt;&gt;1</formula>
    </cfRule>
  </conditionalFormatting>
  <conditionalFormatting sqref="AC101:AC105">
    <cfRule type="notContainsBlanks" dxfId="3203" priority="715" stopIfTrue="1">
      <formula>LEN(TRIM(AC101))&gt;0</formula>
    </cfRule>
  </conditionalFormatting>
  <conditionalFormatting sqref="AD101:AD105">
    <cfRule type="containsBlanks" dxfId="3202" priority="716" stopIfTrue="1">
      <formula>LEN(TRIM(AD101))=0</formula>
    </cfRule>
  </conditionalFormatting>
  <conditionalFormatting sqref="AD101:AD105">
    <cfRule type="expression" dxfId="3201" priority="717" stopIfTrue="1">
      <formula>SUM($AD$101:$AD$105)&lt;&gt;1</formula>
    </cfRule>
  </conditionalFormatting>
  <conditionalFormatting sqref="AD101:AD105">
    <cfRule type="notContainsBlanks" dxfId="3200" priority="718" stopIfTrue="1">
      <formula>LEN(TRIM(AD101))&gt;0</formula>
    </cfRule>
  </conditionalFormatting>
  <conditionalFormatting sqref="AE101:AE105">
    <cfRule type="containsBlanks" dxfId="3199" priority="719" stopIfTrue="1">
      <formula>LEN(TRIM(AE101))=0</formula>
    </cfRule>
  </conditionalFormatting>
  <conditionalFormatting sqref="AE101:AE105">
    <cfRule type="expression" dxfId="3198" priority="720" stopIfTrue="1">
      <formula>SUM($AE$101:$AE$105)&lt;&gt;1</formula>
    </cfRule>
  </conditionalFormatting>
  <conditionalFormatting sqref="AE101:AE105">
    <cfRule type="notContainsBlanks" dxfId="3197" priority="721" stopIfTrue="1">
      <formula>LEN(TRIM(AE101))&gt;0</formula>
    </cfRule>
  </conditionalFormatting>
  <conditionalFormatting sqref="AF101:AF105">
    <cfRule type="containsBlanks" dxfId="3196" priority="722" stopIfTrue="1">
      <formula>LEN(TRIM(AF101))=0</formula>
    </cfRule>
  </conditionalFormatting>
  <conditionalFormatting sqref="AF101:AF105">
    <cfRule type="expression" dxfId="3195" priority="723" stopIfTrue="1">
      <formula>SUM($AF$101:$AF$105)&lt;&gt;1</formula>
    </cfRule>
  </conditionalFormatting>
  <conditionalFormatting sqref="AF101:AF105">
    <cfRule type="notContainsBlanks" dxfId="3194" priority="724" stopIfTrue="1">
      <formula>LEN(TRIM(AF101))&gt;0</formula>
    </cfRule>
  </conditionalFormatting>
  <conditionalFormatting sqref="AG101:AG105">
    <cfRule type="containsBlanks" dxfId="3193" priority="725" stopIfTrue="1">
      <formula>LEN(TRIM(AG101))=0</formula>
    </cfRule>
  </conditionalFormatting>
  <conditionalFormatting sqref="AG101:AG105">
    <cfRule type="expression" dxfId="3192" priority="726" stopIfTrue="1">
      <formula>SUM($AG$101:$AG$105)&lt;&gt;1</formula>
    </cfRule>
  </conditionalFormatting>
  <conditionalFormatting sqref="AG101:AG105">
    <cfRule type="notContainsBlanks" dxfId="3191" priority="727" stopIfTrue="1">
      <formula>LEN(TRIM(AG101))&gt;0</formula>
    </cfRule>
  </conditionalFormatting>
  <conditionalFormatting sqref="AH101:AH105">
    <cfRule type="containsBlanks" dxfId="3190" priority="728" stopIfTrue="1">
      <formula>LEN(TRIM(AH101))=0</formula>
    </cfRule>
  </conditionalFormatting>
  <conditionalFormatting sqref="AH101:AH105">
    <cfRule type="expression" dxfId="3189" priority="729" stopIfTrue="1">
      <formula>SUM($AH$101:$AH$105)&lt;&gt;1</formula>
    </cfRule>
  </conditionalFormatting>
  <conditionalFormatting sqref="AH101:AH105">
    <cfRule type="notContainsBlanks" dxfId="3188" priority="730" stopIfTrue="1">
      <formula>LEN(TRIM(AH101))&gt;0</formula>
    </cfRule>
  </conditionalFormatting>
  <conditionalFormatting sqref="AI101:AI105">
    <cfRule type="containsBlanks" dxfId="3187" priority="731" stopIfTrue="1">
      <formula>LEN(TRIM(AI101))=0</formula>
    </cfRule>
  </conditionalFormatting>
  <conditionalFormatting sqref="AI101:AI105">
    <cfRule type="expression" dxfId="3186" priority="732" stopIfTrue="1">
      <formula>SUM($AI$101:$AI$105)&lt;&gt;1</formula>
    </cfRule>
  </conditionalFormatting>
  <conditionalFormatting sqref="AI101:AI105">
    <cfRule type="notContainsBlanks" dxfId="3185" priority="733" stopIfTrue="1">
      <formula>LEN(TRIM(AI101))&gt;0</formula>
    </cfRule>
  </conditionalFormatting>
  <conditionalFormatting sqref="AJ101:AJ105">
    <cfRule type="containsBlanks" dxfId="3184" priority="734" stopIfTrue="1">
      <formula>LEN(TRIM(AJ101))=0</formula>
    </cfRule>
  </conditionalFormatting>
  <conditionalFormatting sqref="AJ101:AJ105">
    <cfRule type="expression" dxfId="3183" priority="735" stopIfTrue="1">
      <formula>SUM($AJ$101:$AJ$105)&lt;&gt;1</formula>
    </cfRule>
  </conditionalFormatting>
  <conditionalFormatting sqref="AJ101:AJ105">
    <cfRule type="notContainsBlanks" dxfId="3182" priority="736" stopIfTrue="1">
      <formula>LEN(TRIM(AJ101))&gt;0</formula>
    </cfRule>
  </conditionalFormatting>
  <conditionalFormatting sqref="AK101:AK105">
    <cfRule type="containsBlanks" dxfId="3181" priority="737" stopIfTrue="1">
      <formula>LEN(TRIM(AK101))=0</formula>
    </cfRule>
  </conditionalFormatting>
  <conditionalFormatting sqref="AK101:AK105">
    <cfRule type="expression" dxfId="3180" priority="738" stopIfTrue="1">
      <formula>SUM($AK$101:$AK$105)&lt;&gt;1</formula>
    </cfRule>
  </conditionalFormatting>
  <conditionalFormatting sqref="AK101:AK105">
    <cfRule type="notContainsBlanks" dxfId="3179" priority="739" stopIfTrue="1">
      <formula>LEN(TRIM(AK101))&gt;0</formula>
    </cfRule>
  </conditionalFormatting>
  <conditionalFormatting sqref="AL101:AL105">
    <cfRule type="containsBlanks" dxfId="3178" priority="740" stopIfTrue="1">
      <formula>LEN(TRIM(AL101))=0</formula>
    </cfRule>
  </conditionalFormatting>
  <conditionalFormatting sqref="AL101:AL105">
    <cfRule type="expression" dxfId="3177" priority="741" stopIfTrue="1">
      <formula>SUM($AL$101:$AL$105)&lt;&gt;1</formula>
    </cfRule>
  </conditionalFormatting>
  <conditionalFormatting sqref="AL101:AL105">
    <cfRule type="notContainsBlanks" dxfId="3176" priority="742" stopIfTrue="1">
      <formula>LEN(TRIM(AL101))&gt;0</formula>
    </cfRule>
  </conditionalFormatting>
  <conditionalFormatting sqref="AM101:AM105">
    <cfRule type="containsBlanks" dxfId="3175" priority="743" stopIfTrue="1">
      <formula>LEN(TRIM(AM101))=0</formula>
    </cfRule>
  </conditionalFormatting>
  <conditionalFormatting sqref="AM101:AM105">
    <cfRule type="expression" dxfId="3174" priority="744" stopIfTrue="1">
      <formula>SUM($AM$101:$AM$105)&lt;&gt;1</formula>
    </cfRule>
  </conditionalFormatting>
  <conditionalFormatting sqref="AM101:AM105">
    <cfRule type="notContainsBlanks" dxfId="3173" priority="745" stopIfTrue="1">
      <formula>LEN(TRIM(AM101))&gt;0</formula>
    </cfRule>
  </conditionalFormatting>
  <conditionalFormatting sqref="AN101:AN105">
    <cfRule type="containsBlanks" dxfId="3172" priority="746" stopIfTrue="1">
      <formula>LEN(TRIM(AN101))=0</formula>
    </cfRule>
  </conditionalFormatting>
  <conditionalFormatting sqref="AN101:AN105">
    <cfRule type="expression" dxfId="3171" priority="747" stopIfTrue="1">
      <formula>SUM($AN$101:$AN$105)&lt;&gt;1</formula>
    </cfRule>
  </conditionalFormatting>
  <conditionalFormatting sqref="AN101:AN105">
    <cfRule type="notContainsBlanks" dxfId="3170" priority="748" stopIfTrue="1">
      <formula>LEN(TRIM(AN101))&gt;0</formula>
    </cfRule>
  </conditionalFormatting>
  <conditionalFormatting sqref="E93:AN93">
    <cfRule type="containsBlanks" dxfId="3169" priority="749" stopIfTrue="1">
      <formula>LEN(TRIM(E93))=0</formula>
    </cfRule>
  </conditionalFormatting>
  <conditionalFormatting sqref="E93:AN93">
    <cfRule type="notContainsBlanks" dxfId="3168" priority="750" stopIfTrue="1">
      <formula>LEN(TRIM(E93))&gt;0</formula>
    </cfRule>
  </conditionalFormatting>
  <conditionalFormatting sqref="E94:AN94">
    <cfRule type="containsBlanks" dxfId="3167" priority="751" stopIfTrue="1">
      <formula>LEN(TRIM(E94))=0</formula>
    </cfRule>
  </conditionalFormatting>
  <conditionalFormatting sqref="E94:AN94">
    <cfRule type="notContainsBlanks" dxfId="3166" priority="752" stopIfTrue="1">
      <formula>LEN(TRIM(E94))&gt;0</formula>
    </cfRule>
  </conditionalFormatting>
  <conditionalFormatting sqref="E95:AN95">
    <cfRule type="containsBlanks" dxfId="3165" priority="753" stopIfTrue="1">
      <formula>LEN(TRIM(E95))=0</formula>
    </cfRule>
  </conditionalFormatting>
  <conditionalFormatting sqref="E95:AN95">
    <cfRule type="notContainsBlanks" dxfId="3164" priority="754" stopIfTrue="1">
      <formula>LEN(TRIM(E95))&gt;0</formula>
    </cfRule>
  </conditionalFormatting>
  <conditionalFormatting sqref="E96:AN96">
    <cfRule type="containsBlanks" dxfId="3163" priority="755" stopIfTrue="1">
      <formula>LEN(TRIM(E96))=0</formula>
    </cfRule>
  </conditionalFormatting>
  <conditionalFormatting sqref="E96:AN96">
    <cfRule type="notContainsBlanks" dxfId="3162" priority="756" stopIfTrue="1">
      <formula>LEN(TRIM(E96))&gt;0</formula>
    </cfRule>
  </conditionalFormatting>
  <conditionalFormatting sqref="E97:AN97">
    <cfRule type="containsBlanks" dxfId="3161" priority="757" stopIfTrue="1">
      <formula>LEN(TRIM(E97))=0</formula>
    </cfRule>
  </conditionalFormatting>
  <conditionalFormatting sqref="E97:AN97">
    <cfRule type="notContainsBlanks" dxfId="3160" priority="758" stopIfTrue="1">
      <formula>LEN(TRIM(E97))&gt;0</formula>
    </cfRule>
  </conditionalFormatting>
  <conditionalFormatting sqref="E85:AN85">
    <cfRule type="containsBlanks" dxfId="3159" priority="759" stopIfTrue="1">
      <formula>LEN(TRIM(E85))=0</formula>
    </cfRule>
  </conditionalFormatting>
  <conditionalFormatting sqref="E85:AN85">
    <cfRule type="notContainsBlanks" dxfId="3158" priority="760" stopIfTrue="1">
      <formula>LEN(TRIM(E85))&gt;0</formula>
    </cfRule>
  </conditionalFormatting>
  <conditionalFormatting sqref="E86:AN86">
    <cfRule type="containsBlanks" dxfId="3157" priority="761" stopIfTrue="1">
      <formula>LEN(TRIM(E86))=0</formula>
    </cfRule>
  </conditionalFormatting>
  <conditionalFormatting sqref="E86:AN86">
    <cfRule type="notContainsBlanks" dxfId="3156" priority="762" stopIfTrue="1">
      <formula>LEN(TRIM(E86))&gt;0</formula>
    </cfRule>
  </conditionalFormatting>
  <conditionalFormatting sqref="E87:AN87">
    <cfRule type="containsBlanks" dxfId="3155" priority="763" stopIfTrue="1">
      <formula>LEN(TRIM(E87))=0</formula>
    </cfRule>
  </conditionalFormatting>
  <conditionalFormatting sqref="E87:AN87">
    <cfRule type="notContainsBlanks" dxfId="3154" priority="764" stopIfTrue="1">
      <formula>LEN(TRIM(E87))&gt;0</formula>
    </cfRule>
  </conditionalFormatting>
  <conditionalFormatting sqref="E88:AN88">
    <cfRule type="containsBlanks" dxfId="3153" priority="765" stopIfTrue="1">
      <formula>LEN(TRIM(E88))=0</formula>
    </cfRule>
  </conditionalFormatting>
  <conditionalFormatting sqref="E88:AN88">
    <cfRule type="notContainsBlanks" dxfId="3152" priority="766" stopIfTrue="1">
      <formula>LEN(TRIM(E88))&gt;0</formula>
    </cfRule>
  </conditionalFormatting>
  <conditionalFormatting sqref="E89:AN89">
    <cfRule type="containsBlanks" dxfId="3151" priority="767" stopIfTrue="1">
      <formula>LEN(TRIM(E89))=0</formula>
    </cfRule>
  </conditionalFormatting>
  <conditionalFormatting sqref="E89:AN89">
    <cfRule type="notContainsBlanks" dxfId="3150" priority="768" stopIfTrue="1">
      <formula>LEN(TRIM(E89))&gt;0</formula>
    </cfRule>
  </conditionalFormatting>
  <conditionalFormatting sqref="E90:AN90">
    <cfRule type="containsBlanks" dxfId="3149" priority="769" stopIfTrue="1">
      <formula>LEN(TRIM(E90))=0</formula>
    </cfRule>
  </conditionalFormatting>
  <conditionalFormatting sqref="E90:AN90">
    <cfRule type="notContainsBlanks" dxfId="3148" priority="770" stopIfTrue="1">
      <formula>LEN(TRIM(E90))&gt;0</formula>
    </cfRule>
  </conditionalFormatting>
  <conditionalFormatting sqref="E78:AN78">
    <cfRule type="containsBlanks" dxfId="3147" priority="771" stopIfTrue="1">
      <formula>LEN(TRIM(E78))=0</formula>
    </cfRule>
  </conditionalFormatting>
  <conditionalFormatting sqref="E78:AN78">
    <cfRule type="notContainsBlanks" dxfId="3146" priority="772" stopIfTrue="1">
      <formula>LEN(TRIM(E78))&gt;0</formula>
    </cfRule>
  </conditionalFormatting>
  <conditionalFormatting sqref="E79:AN79">
    <cfRule type="containsBlanks" dxfId="3145" priority="773" stopIfTrue="1">
      <formula>LEN(TRIM(E79))=0</formula>
    </cfRule>
  </conditionalFormatting>
  <conditionalFormatting sqref="E79:AN79">
    <cfRule type="notContainsBlanks" dxfId="3144" priority="774" stopIfTrue="1">
      <formula>LEN(TRIM(E79))&gt;0</formula>
    </cfRule>
  </conditionalFormatting>
  <conditionalFormatting sqref="E80:AN80">
    <cfRule type="containsBlanks" dxfId="3143" priority="775" stopIfTrue="1">
      <formula>LEN(TRIM(E80))=0</formula>
    </cfRule>
  </conditionalFormatting>
  <conditionalFormatting sqref="E80:AN80">
    <cfRule type="notContainsBlanks" dxfId="3142" priority="776" stopIfTrue="1">
      <formula>LEN(TRIM(E80))&gt;0</formula>
    </cfRule>
  </conditionalFormatting>
  <conditionalFormatting sqref="E81:AN81">
    <cfRule type="containsBlanks" dxfId="3141" priority="777" stopIfTrue="1">
      <formula>LEN(TRIM(E81))=0</formula>
    </cfRule>
  </conditionalFormatting>
  <conditionalFormatting sqref="E81:AN81">
    <cfRule type="notContainsBlanks" dxfId="3140" priority="778" stopIfTrue="1">
      <formula>LEN(TRIM(E81))&gt;0</formula>
    </cfRule>
  </conditionalFormatting>
  <conditionalFormatting sqref="E82:AN82">
    <cfRule type="containsBlanks" dxfId="3139" priority="779" stopIfTrue="1">
      <formula>LEN(TRIM(E82))=0</formula>
    </cfRule>
  </conditionalFormatting>
  <conditionalFormatting sqref="E82:AN82">
    <cfRule type="notContainsBlanks" dxfId="3138" priority="780" stopIfTrue="1">
      <formula>LEN(TRIM(E82))&gt;0</formula>
    </cfRule>
  </conditionalFormatting>
  <conditionalFormatting sqref="E70:AN70">
    <cfRule type="containsBlanks" dxfId="3137" priority="781" stopIfTrue="1">
      <formula>LEN(TRIM(E70))=0</formula>
    </cfRule>
  </conditionalFormatting>
  <conditionalFormatting sqref="E70:AN70">
    <cfRule type="notContainsBlanks" dxfId="3136" priority="782" stopIfTrue="1">
      <formula>LEN(TRIM(E70))&gt;0</formula>
    </cfRule>
  </conditionalFormatting>
  <conditionalFormatting sqref="E71:AN71">
    <cfRule type="containsBlanks" dxfId="3135" priority="783" stopIfTrue="1">
      <formula>LEN(TRIM(E71))=0</formula>
    </cfRule>
  </conditionalFormatting>
  <conditionalFormatting sqref="E71:AN71">
    <cfRule type="notContainsBlanks" dxfId="3134" priority="784" stopIfTrue="1">
      <formula>LEN(TRIM(E71))&gt;0</formula>
    </cfRule>
  </conditionalFormatting>
  <conditionalFormatting sqref="E72:AN72">
    <cfRule type="containsBlanks" dxfId="3133" priority="785" stopIfTrue="1">
      <formula>LEN(TRIM(E72))=0</formula>
    </cfRule>
  </conditionalFormatting>
  <conditionalFormatting sqref="E72:AN72">
    <cfRule type="notContainsBlanks" dxfId="3132" priority="786" stopIfTrue="1">
      <formula>LEN(TRIM(E72))&gt;0</formula>
    </cfRule>
  </conditionalFormatting>
  <conditionalFormatting sqref="E73:AN73">
    <cfRule type="containsBlanks" dxfId="3131" priority="787" stopIfTrue="1">
      <formula>LEN(TRIM(E73))=0</formula>
    </cfRule>
  </conditionalFormatting>
  <conditionalFormatting sqref="E73:AN73">
    <cfRule type="notContainsBlanks" dxfId="3130" priority="788" stopIfTrue="1">
      <formula>LEN(TRIM(E73))&gt;0</formula>
    </cfRule>
  </conditionalFormatting>
  <conditionalFormatting sqref="E74:AN74">
    <cfRule type="containsBlanks" dxfId="3129" priority="789" stopIfTrue="1">
      <formula>LEN(TRIM(E74))=0</formula>
    </cfRule>
  </conditionalFormatting>
  <conditionalFormatting sqref="E74:AN74">
    <cfRule type="notContainsBlanks" dxfId="3128" priority="790" stopIfTrue="1">
      <formula>LEN(TRIM(E74))&gt;0</formula>
    </cfRule>
  </conditionalFormatting>
  <conditionalFormatting sqref="E75:AN75">
    <cfRule type="containsBlanks" dxfId="3127" priority="791" stopIfTrue="1">
      <formula>LEN(TRIM(E75))=0</formula>
    </cfRule>
  </conditionalFormatting>
  <conditionalFormatting sqref="E75:AN75">
    <cfRule type="notContainsBlanks" dxfId="3126" priority="792" stopIfTrue="1">
      <formula>LEN(TRIM(E75))&gt;0</formula>
    </cfRule>
  </conditionalFormatting>
  <conditionalFormatting sqref="E64">
    <cfRule type="containsBlanks" dxfId="3125" priority="793">
      <formula>LEN(TRIM(E64))=0</formula>
    </cfRule>
  </conditionalFormatting>
  <conditionalFormatting sqref="E64">
    <cfRule type="notContainsBlanks" dxfId="3124" priority="794">
      <formula>LEN(TRIM(E64))&gt;0</formula>
    </cfRule>
  </conditionalFormatting>
  <conditionalFormatting sqref="E64">
    <cfRule type="expression" dxfId="3123" priority="799">
      <formula>LEFT(effTrend,1)="L"</formula>
    </cfRule>
  </conditionalFormatting>
  <conditionalFormatting sqref="E64">
    <cfRule type="expression" dxfId="3122" priority="800">
      <formula>LEFT(effTrend,1)="G"</formula>
    </cfRule>
  </conditionalFormatting>
  <conditionalFormatting sqref="E65:AN65">
    <cfRule type="containsBlanks" dxfId="3121" priority="801" stopIfTrue="1">
      <formula>LEN(TRIM(E65))=0</formula>
    </cfRule>
  </conditionalFormatting>
  <conditionalFormatting sqref="E67:AN67">
    <cfRule type="containsBlanks" dxfId="3120" priority="802" stopIfTrue="1">
      <formula>LEN(TRIM(E67))=0</formula>
    </cfRule>
  </conditionalFormatting>
  <conditionalFormatting sqref="F65">
    <cfRule type="expression" dxfId="3119" priority="803" stopIfTrue="1">
      <formula>F$65&gt;maxEff</formula>
    </cfRule>
  </conditionalFormatting>
  <conditionalFormatting sqref="F67">
    <cfRule type="expression" dxfId="3118" priority="804" stopIfTrue="1">
      <formula>OR(F$67&gt;maxEff,F$67&lt;F$65)</formula>
    </cfRule>
  </conditionalFormatting>
  <conditionalFormatting sqref="G65">
    <cfRule type="expression" dxfId="3117" priority="805" stopIfTrue="1">
      <formula>G$65&gt;maxEff</formula>
    </cfRule>
  </conditionalFormatting>
  <conditionalFormatting sqref="G67">
    <cfRule type="expression" dxfId="3116" priority="806" stopIfTrue="1">
      <formula>OR(G$67&gt;maxEff,G$67&lt;G$65)</formula>
    </cfRule>
  </conditionalFormatting>
  <conditionalFormatting sqref="H65">
    <cfRule type="expression" dxfId="3115" priority="807" stopIfTrue="1">
      <formula>H$65&gt;maxEff</formula>
    </cfRule>
  </conditionalFormatting>
  <conditionalFormatting sqref="H67">
    <cfRule type="expression" dxfId="3114" priority="808" stopIfTrue="1">
      <formula>OR(H$67&gt;maxEff,H$67&lt;H$65)</formula>
    </cfRule>
  </conditionalFormatting>
  <conditionalFormatting sqref="I65">
    <cfRule type="expression" dxfId="3113" priority="809" stopIfTrue="1">
      <formula>I$65&gt;maxEff</formula>
    </cfRule>
  </conditionalFormatting>
  <conditionalFormatting sqref="I67">
    <cfRule type="expression" dxfId="3112" priority="810" stopIfTrue="1">
      <formula>OR(I$67&gt;maxEff,I$67&lt;I$65)</formula>
    </cfRule>
  </conditionalFormatting>
  <conditionalFormatting sqref="J65">
    <cfRule type="expression" dxfId="3111" priority="811" stopIfTrue="1">
      <formula>J$65&gt;maxEff</formula>
    </cfRule>
  </conditionalFormatting>
  <conditionalFormatting sqref="J67">
    <cfRule type="expression" dxfId="3110" priority="812" stopIfTrue="1">
      <formula>OR(J$67&gt;maxEff,J$67&lt;J$65)</formula>
    </cfRule>
  </conditionalFormatting>
  <conditionalFormatting sqref="K65">
    <cfRule type="expression" dxfId="3109" priority="813" stopIfTrue="1">
      <formula>K$65&gt;maxEff</formula>
    </cfRule>
  </conditionalFormatting>
  <conditionalFormatting sqref="K67">
    <cfRule type="expression" dxfId="3108" priority="814" stopIfTrue="1">
      <formula>OR(K$67&gt;maxEff,K$67&lt;K$65)</formula>
    </cfRule>
  </conditionalFormatting>
  <conditionalFormatting sqref="L65">
    <cfRule type="expression" dxfId="3107" priority="815" stopIfTrue="1">
      <formula>L$65&gt;maxEff</formula>
    </cfRule>
  </conditionalFormatting>
  <conditionalFormatting sqref="L67">
    <cfRule type="expression" dxfId="3106" priority="816" stopIfTrue="1">
      <formula>OR(L$67&gt;maxEff,L$67&lt;L$65)</formula>
    </cfRule>
  </conditionalFormatting>
  <conditionalFormatting sqref="M65">
    <cfRule type="expression" dxfId="3105" priority="817" stopIfTrue="1">
      <formula>M$65&gt;maxEff</formula>
    </cfRule>
  </conditionalFormatting>
  <conditionalFormatting sqref="M67">
    <cfRule type="expression" dxfId="3104" priority="818" stopIfTrue="1">
      <formula>OR(M$67&gt;maxEff,M$67&lt;M$65)</formula>
    </cfRule>
  </conditionalFormatting>
  <conditionalFormatting sqref="N65">
    <cfRule type="expression" dxfId="3103" priority="819" stopIfTrue="1">
      <formula>N$65&gt;maxEff</formula>
    </cfRule>
  </conditionalFormatting>
  <conditionalFormatting sqref="N67">
    <cfRule type="expression" dxfId="3102" priority="820" stopIfTrue="1">
      <formula>OR(N$67&gt;maxEff,N$67&lt;N$65)</formula>
    </cfRule>
  </conditionalFormatting>
  <conditionalFormatting sqref="O65">
    <cfRule type="expression" dxfId="3101" priority="821" stopIfTrue="1">
      <formula>O$65&gt;maxEff</formula>
    </cfRule>
  </conditionalFormatting>
  <conditionalFormatting sqref="O67">
    <cfRule type="expression" dxfId="3100" priority="822" stopIfTrue="1">
      <formula>OR(O$67&gt;maxEff,O$67&lt;O$65)</formula>
    </cfRule>
  </conditionalFormatting>
  <conditionalFormatting sqref="P65">
    <cfRule type="expression" dxfId="3099" priority="823" stopIfTrue="1">
      <formula>P$65&gt;maxEff</formula>
    </cfRule>
  </conditionalFormatting>
  <conditionalFormatting sqref="P67">
    <cfRule type="expression" dxfId="3098" priority="824" stopIfTrue="1">
      <formula>OR(P$67&gt;maxEff,P$67&lt;P$65)</formula>
    </cfRule>
  </conditionalFormatting>
  <conditionalFormatting sqref="Q65">
    <cfRule type="expression" dxfId="3097" priority="825" stopIfTrue="1">
      <formula>Q$65&gt;maxEff</formula>
    </cfRule>
  </conditionalFormatting>
  <conditionalFormatting sqref="Q67">
    <cfRule type="expression" dxfId="3096" priority="826" stopIfTrue="1">
      <formula>OR(Q$67&gt;maxEff,Q$67&lt;Q$65)</formula>
    </cfRule>
  </conditionalFormatting>
  <conditionalFormatting sqref="R65">
    <cfRule type="expression" dxfId="3095" priority="827" stopIfTrue="1">
      <formula>R$65&gt;maxEff</formula>
    </cfRule>
  </conditionalFormatting>
  <conditionalFormatting sqref="R67">
    <cfRule type="expression" dxfId="3094" priority="828" stopIfTrue="1">
      <formula>OR(R$67&gt;maxEff,R$67&lt;R$65)</formula>
    </cfRule>
  </conditionalFormatting>
  <conditionalFormatting sqref="S65">
    <cfRule type="expression" dxfId="3093" priority="829" stopIfTrue="1">
      <formula>S$65&gt;maxEff</formula>
    </cfRule>
  </conditionalFormatting>
  <conditionalFormatting sqref="S67">
    <cfRule type="expression" dxfId="3092" priority="830" stopIfTrue="1">
      <formula>OR(S$67&gt;maxEff,S$67&lt;S$65)</formula>
    </cfRule>
  </conditionalFormatting>
  <conditionalFormatting sqref="T65">
    <cfRule type="expression" dxfId="3091" priority="831" stopIfTrue="1">
      <formula>T$65&gt;maxEff</formula>
    </cfRule>
  </conditionalFormatting>
  <conditionalFormatting sqref="T67">
    <cfRule type="expression" dxfId="3090" priority="832" stopIfTrue="1">
      <formula>OR(T$67&gt;maxEff,T$67&lt;T$65)</formula>
    </cfRule>
  </conditionalFormatting>
  <conditionalFormatting sqref="U65">
    <cfRule type="expression" dxfId="3089" priority="833" stopIfTrue="1">
      <formula>U$65&gt;maxEff</formula>
    </cfRule>
  </conditionalFormatting>
  <conditionalFormatting sqref="U67">
    <cfRule type="expression" dxfId="3088" priority="834" stopIfTrue="1">
      <formula>OR(U$67&gt;maxEff,U$67&lt;U$65)</formula>
    </cfRule>
  </conditionalFormatting>
  <conditionalFormatting sqref="V65">
    <cfRule type="expression" dxfId="3087" priority="835" stopIfTrue="1">
      <formula>V$65&gt;maxEff</formula>
    </cfRule>
  </conditionalFormatting>
  <conditionalFormatting sqref="V67">
    <cfRule type="expression" dxfId="3086" priority="836" stopIfTrue="1">
      <formula>OR(V$67&gt;maxEff,V$67&lt;V$65)</formula>
    </cfRule>
  </conditionalFormatting>
  <conditionalFormatting sqref="W65">
    <cfRule type="expression" dxfId="3085" priority="837" stopIfTrue="1">
      <formula>W$65&gt;maxEff</formula>
    </cfRule>
  </conditionalFormatting>
  <conditionalFormatting sqref="W67">
    <cfRule type="expression" dxfId="3084" priority="838" stopIfTrue="1">
      <formula>OR(W$67&gt;maxEff,W$67&lt;W$65)</formula>
    </cfRule>
  </conditionalFormatting>
  <conditionalFormatting sqref="X65">
    <cfRule type="expression" dxfId="3083" priority="839" stopIfTrue="1">
      <formula>X$65&gt;maxEff</formula>
    </cfRule>
  </conditionalFormatting>
  <conditionalFormatting sqref="X67">
    <cfRule type="expression" dxfId="3082" priority="840" stopIfTrue="1">
      <formula>OR(X$67&gt;maxEff,X$67&lt;X$65)</formula>
    </cfRule>
  </conditionalFormatting>
  <conditionalFormatting sqref="Y65">
    <cfRule type="expression" dxfId="3081" priority="841" stopIfTrue="1">
      <formula>Y$65&gt;maxEff</formula>
    </cfRule>
  </conditionalFormatting>
  <conditionalFormatting sqref="Y67">
    <cfRule type="expression" dxfId="3080" priority="842" stopIfTrue="1">
      <formula>OR(Y$67&gt;maxEff,Y$67&lt;Y$65)</formula>
    </cfRule>
  </conditionalFormatting>
  <conditionalFormatting sqref="Z65">
    <cfRule type="expression" dxfId="3079" priority="843" stopIfTrue="1">
      <formula>Z$65&gt;maxEff</formula>
    </cfRule>
  </conditionalFormatting>
  <conditionalFormatting sqref="Z67">
    <cfRule type="expression" dxfId="3078" priority="844" stopIfTrue="1">
      <formula>OR(Z$67&gt;maxEff,Z$67&lt;Z$65)</formula>
    </cfRule>
  </conditionalFormatting>
  <conditionalFormatting sqref="AA65">
    <cfRule type="expression" dxfId="3077" priority="845" stopIfTrue="1">
      <formula>AA$65&gt;maxEff</formula>
    </cfRule>
  </conditionalFormatting>
  <conditionalFormatting sqref="AA67">
    <cfRule type="expression" dxfId="3076" priority="846" stopIfTrue="1">
      <formula>OR(AA$67&gt;maxEff,AA$67&lt;AA$65)</formula>
    </cfRule>
  </conditionalFormatting>
  <conditionalFormatting sqref="AB65">
    <cfRule type="expression" dxfId="3075" priority="847" stopIfTrue="1">
      <formula>AB$65&gt;maxEff</formula>
    </cfRule>
  </conditionalFormatting>
  <conditionalFormatting sqref="AB67">
    <cfRule type="expression" dxfId="3074" priority="848" stopIfTrue="1">
      <formula>OR(AB$67&gt;maxEff,AB$67&lt;AB$65)</formula>
    </cfRule>
  </conditionalFormatting>
  <conditionalFormatting sqref="AC65">
    <cfRule type="expression" dxfId="3073" priority="849" stopIfTrue="1">
      <formula>AC$65&gt;maxEff</formula>
    </cfRule>
  </conditionalFormatting>
  <conditionalFormatting sqref="AC67">
    <cfRule type="expression" dxfId="3072" priority="850" stopIfTrue="1">
      <formula>OR(AC$67&gt;maxEff,AC$67&lt;AC$65)</formula>
    </cfRule>
  </conditionalFormatting>
  <conditionalFormatting sqref="AD65">
    <cfRule type="expression" dxfId="3071" priority="851" stopIfTrue="1">
      <formula>AD$65&gt;maxEff</formula>
    </cfRule>
  </conditionalFormatting>
  <conditionalFormatting sqref="AD67">
    <cfRule type="expression" dxfId="3070" priority="852" stopIfTrue="1">
      <formula>OR(AD$67&gt;maxEff,AD$67&lt;AD$65)</formula>
    </cfRule>
  </conditionalFormatting>
  <conditionalFormatting sqref="AE65">
    <cfRule type="expression" dxfId="3069" priority="853" stopIfTrue="1">
      <formula>AE$65&gt;maxEff</formula>
    </cfRule>
  </conditionalFormatting>
  <conditionalFormatting sqref="AE67">
    <cfRule type="expression" dxfId="3068" priority="854" stopIfTrue="1">
      <formula>OR(AE$67&gt;maxEff,AE$67&lt;AE$65)</formula>
    </cfRule>
  </conditionalFormatting>
  <conditionalFormatting sqref="AF65">
    <cfRule type="expression" dxfId="3067" priority="855" stopIfTrue="1">
      <formula>AF$65&gt;maxEff</formula>
    </cfRule>
  </conditionalFormatting>
  <conditionalFormatting sqref="AF67">
    <cfRule type="expression" dxfId="3066" priority="856" stopIfTrue="1">
      <formula>OR(AF$67&gt;maxEff,AF$67&lt;AF$65)</formula>
    </cfRule>
  </conditionalFormatting>
  <conditionalFormatting sqref="AG65">
    <cfRule type="expression" dxfId="3065" priority="857" stopIfTrue="1">
      <formula>AG$65&gt;maxEff</formula>
    </cfRule>
  </conditionalFormatting>
  <conditionalFormatting sqref="AG67">
    <cfRule type="expression" dxfId="3064" priority="858" stopIfTrue="1">
      <formula>OR(AG$67&gt;maxEff,AG$67&lt;AG$65)</formula>
    </cfRule>
  </conditionalFormatting>
  <conditionalFormatting sqref="AH65">
    <cfRule type="expression" dxfId="3063" priority="859" stopIfTrue="1">
      <formula>AH$65&gt;maxEff</formula>
    </cfRule>
  </conditionalFormatting>
  <conditionalFormatting sqref="AH67">
    <cfRule type="expression" dxfId="3062" priority="860" stopIfTrue="1">
      <formula>OR(AH$67&gt;maxEff,AH$67&lt;AH$65)</formula>
    </cfRule>
  </conditionalFormatting>
  <conditionalFormatting sqref="AI65">
    <cfRule type="expression" dxfId="3061" priority="861" stopIfTrue="1">
      <formula>AI$65&gt;maxEff</formula>
    </cfRule>
  </conditionalFormatting>
  <conditionalFormatting sqref="AI67">
    <cfRule type="expression" dxfId="3060" priority="862" stopIfTrue="1">
      <formula>OR(AI$67&gt;maxEff,AI$67&lt;AI$65)</formula>
    </cfRule>
  </conditionalFormatting>
  <conditionalFormatting sqref="AJ65">
    <cfRule type="expression" dxfId="3059" priority="863" stopIfTrue="1">
      <formula>AJ$65&gt;maxEff</formula>
    </cfRule>
  </conditionalFormatting>
  <conditionalFormatting sqref="AJ67">
    <cfRule type="expression" dxfId="3058" priority="864" stopIfTrue="1">
      <formula>OR(AJ$67&gt;maxEff,AJ$67&lt;AJ$65)</formula>
    </cfRule>
  </conditionalFormatting>
  <conditionalFormatting sqref="AK65">
    <cfRule type="expression" dxfId="3057" priority="865" stopIfTrue="1">
      <formula>AK$65&gt;maxEff</formula>
    </cfRule>
  </conditionalFormatting>
  <conditionalFormatting sqref="AK67">
    <cfRule type="expression" dxfId="3056" priority="866" stopIfTrue="1">
      <formula>OR(AK$67&gt;maxEff,AK$67&lt;AK$65)</formula>
    </cfRule>
  </conditionalFormatting>
  <conditionalFormatting sqref="AL65">
    <cfRule type="expression" dxfId="3055" priority="867" stopIfTrue="1">
      <formula>AL$65&gt;maxEff</formula>
    </cfRule>
  </conditionalFormatting>
  <conditionalFormatting sqref="AL67">
    <cfRule type="expression" dxfId="3054" priority="868" stopIfTrue="1">
      <formula>OR(AL$67&gt;maxEff,AL$67&lt;AL$65)</formula>
    </cfRule>
  </conditionalFormatting>
  <conditionalFormatting sqref="AM65">
    <cfRule type="expression" dxfId="3053" priority="869" stopIfTrue="1">
      <formula>AM$65&gt;maxEff</formula>
    </cfRule>
  </conditionalFormatting>
  <conditionalFormatting sqref="AM67">
    <cfRule type="expression" dxfId="3052" priority="870" stopIfTrue="1">
      <formula>OR(AM$67&gt;maxEff,AM$67&lt;AM$65)</formula>
    </cfRule>
  </conditionalFormatting>
  <conditionalFormatting sqref="AN65">
    <cfRule type="expression" dxfId="3051" priority="871" stopIfTrue="1">
      <formula>AN$65&gt;maxEff</formula>
    </cfRule>
  </conditionalFormatting>
  <conditionalFormatting sqref="AN67">
    <cfRule type="expression" dxfId="3050" priority="872" stopIfTrue="1">
      <formula>OR(AN$67&gt;maxEff,AN$67&lt;AN$65)</formula>
    </cfRule>
  </conditionalFormatting>
  <conditionalFormatting sqref="E65:AN65">
    <cfRule type="notContainsBlanks" dxfId="3049" priority="873" stopIfTrue="1">
      <formula>LEN(TRIM(E65))&gt;0</formula>
    </cfRule>
  </conditionalFormatting>
  <conditionalFormatting sqref="E67:AN67">
    <cfRule type="notContainsBlanks" dxfId="3048" priority="874" stopIfTrue="1">
      <formula>LEN(TRIM(E67))&gt;0</formula>
    </cfRule>
  </conditionalFormatting>
  <conditionalFormatting sqref="E57:E61">
    <cfRule type="containsBlanks" dxfId="3047" priority="875" stopIfTrue="1">
      <formula>LEN(TRIM(E57))=0</formula>
    </cfRule>
  </conditionalFormatting>
  <conditionalFormatting sqref="F57:F61">
    <cfRule type="notContainsBlanks" dxfId="3046" priority="880" stopIfTrue="1">
      <formula>LEN(TRIM(F57))&gt;0</formula>
    </cfRule>
  </conditionalFormatting>
  <conditionalFormatting sqref="G57:G61">
    <cfRule type="containsBlanks" dxfId="3045" priority="881" stopIfTrue="1">
      <formula>LEN(TRIM(G57))=0</formula>
    </cfRule>
  </conditionalFormatting>
  <conditionalFormatting sqref="E57:E61">
    <cfRule type="expression" dxfId="3044" priority="876" stopIfTrue="1">
      <formula>SUM($E$57:$E$61)&lt;&gt;1</formula>
    </cfRule>
  </conditionalFormatting>
  <conditionalFormatting sqref="E57:E61">
    <cfRule type="notContainsBlanks" dxfId="3043" priority="877" stopIfTrue="1">
      <formula>LEN(TRIM(E57))&gt;0</formula>
    </cfRule>
  </conditionalFormatting>
  <conditionalFormatting sqref="F57:F61">
    <cfRule type="containsBlanks" dxfId="3042" priority="878" stopIfTrue="1">
      <formula>LEN(TRIM(F57))=0</formula>
    </cfRule>
  </conditionalFormatting>
  <conditionalFormatting sqref="F57:F61">
    <cfRule type="expression" dxfId="3041" priority="879" stopIfTrue="1">
      <formula>SUM($F$57:$F$61)&lt;&gt;1</formula>
    </cfRule>
  </conditionalFormatting>
  <conditionalFormatting sqref="G57:G61">
    <cfRule type="expression" dxfId="3040" priority="882" stopIfTrue="1">
      <formula>SUM($G$57:$G$61)&lt;&gt;1</formula>
    </cfRule>
  </conditionalFormatting>
  <conditionalFormatting sqref="G57:G61">
    <cfRule type="notContainsBlanks" dxfId="3039" priority="883" stopIfTrue="1">
      <formula>LEN(TRIM(G57))&gt;0</formula>
    </cfRule>
  </conditionalFormatting>
  <conditionalFormatting sqref="H57:H61">
    <cfRule type="containsBlanks" dxfId="3038" priority="884" stopIfTrue="1">
      <formula>LEN(TRIM(H57))=0</formula>
    </cfRule>
  </conditionalFormatting>
  <conditionalFormatting sqref="H57:H61">
    <cfRule type="expression" dxfId="3037" priority="885" stopIfTrue="1">
      <formula>SUM($H$57:$H$61)&lt;&gt;1</formula>
    </cfRule>
  </conditionalFormatting>
  <conditionalFormatting sqref="H57:H61">
    <cfRule type="notContainsBlanks" dxfId="3036" priority="886" stopIfTrue="1">
      <formula>LEN(TRIM(H57))&gt;0</formula>
    </cfRule>
  </conditionalFormatting>
  <conditionalFormatting sqref="I57:I61">
    <cfRule type="containsBlanks" dxfId="3035" priority="887" stopIfTrue="1">
      <formula>LEN(TRIM(I57))=0</formula>
    </cfRule>
  </conditionalFormatting>
  <conditionalFormatting sqref="I57:I61">
    <cfRule type="expression" dxfId="3034" priority="888" stopIfTrue="1">
      <formula>SUM($I$57:$I$61)&lt;&gt;1</formula>
    </cfRule>
  </conditionalFormatting>
  <conditionalFormatting sqref="I57:I61">
    <cfRule type="notContainsBlanks" dxfId="3033" priority="889" stopIfTrue="1">
      <formula>LEN(TRIM(I57))&gt;0</formula>
    </cfRule>
  </conditionalFormatting>
  <conditionalFormatting sqref="J57:J61">
    <cfRule type="containsBlanks" dxfId="3032" priority="890" stopIfTrue="1">
      <formula>LEN(TRIM(J57))=0</formula>
    </cfRule>
  </conditionalFormatting>
  <conditionalFormatting sqref="J57:J61">
    <cfRule type="expression" dxfId="3031" priority="891" stopIfTrue="1">
      <formula>SUM($J$57:$J$61)&lt;&gt;1</formula>
    </cfRule>
  </conditionalFormatting>
  <conditionalFormatting sqref="J57:J61">
    <cfRule type="notContainsBlanks" dxfId="3030" priority="892" stopIfTrue="1">
      <formula>LEN(TRIM(J57))&gt;0</formula>
    </cfRule>
  </conditionalFormatting>
  <conditionalFormatting sqref="K57:K61">
    <cfRule type="containsBlanks" dxfId="3029" priority="893" stopIfTrue="1">
      <formula>LEN(TRIM(K57))=0</formula>
    </cfRule>
  </conditionalFormatting>
  <conditionalFormatting sqref="K57:K61">
    <cfRule type="expression" dxfId="3028" priority="894" stopIfTrue="1">
      <formula>SUM($K$57:$K$61)&lt;&gt;1</formula>
    </cfRule>
  </conditionalFormatting>
  <conditionalFormatting sqref="K57:K61">
    <cfRule type="notContainsBlanks" dxfId="3027" priority="895" stopIfTrue="1">
      <formula>LEN(TRIM(K57))&gt;0</formula>
    </cfRule>
  </conditionalFormatting>
  <conditionalFormatting sqref="L57:L61">
    <cfRule type="containsBlanks" dxfId="3026" priority="896" stopIfTrue="1">
      <formula>LEN(TRIM(L57))=0</formula>
    </cfRule>
  </conditionalFormatting>
  <conditionalFormatting sqref="L57:L61">
    <cfRule type="expression" dxfId="3025" priority="897" stopIfTrue="1">
      <formula>SUM($L$57:$L$61)&lt;&gt;1</formula>
    </cfRule>
  </conditionalFormatting>
  <conditionalFormatting sqref="L57:L61">
    <cfRule type="notContainsBlanks" dxfId="3024" priority="898" stopIfTrue="1">
      <formula>LEN(TRIM(L57))&gt;0</formula>
    </cfRule>
  </conditionalFormatting>
  <conditionalFormatting sqref="M57:M61">
    <cfRule type="containsBlanks" dxfId="3023" priority="899" stopIfTrue="1">
      <formula>LEN(TRIM(M57))=0</formula>
    </cfRule>
  </conditionalFormatting>
  <conditionalFormatting sqref="M57:M61">
    <cfRule type="expression" dxfId="3022" priority="900" stopIfTrue="1">
      <formula>SUM($M$57:$M$61)&lt;&gt;1</formula>
    </cfRule>
  </conditionalFormatting>
  <conditionalFormatting sqref="M57:M61">
    <cfRule type="notContainsBlanks" dxfId="3021" priority="901" stopIfTrue="1">
      <formula>LEN(TRIM(M57))&gt;0</formula>
    </cfRule>
  </conditionalFormatting>
  <conditionalFormatting sqref="N57:N61">
    <cfRule type="containsBlanks" dxfId="3020" priority="902" stopIfTrue="1">
      <formula>LEN(TRIM(N57))=0</formula>
    </cfRule>
  </conditionalFormatting>
  <conditionalFormatting sqref="N57:N61">
    <cfRule type="expression" dxfId="3019" priority="903" stopIfTrue="1">
      <formula>SUM($N$57:$N$61)&lt;&gt;1</formula>
    </cfRule>
  </conditionalFormatting>
  <conditionalFormatting sqref="N57:N61">
    <cfRule type="notContainsBlanks" dxfId="3018" priority="904" stopIfTrue="1">
      <formula>LEN(TRIM(N57))&gt;0</formula>
    </cfRule>
  </conditionalFormatting>
  <conditionalFormatting sqref="O57:O61">
    <cfRule type="containsBlanks" dxfId="3017" priority="905" stopIfTrue="1">
      <formula>LEN(TRIM(O57))=0</formula>
    </cfRule>
  </conditionalFormatting>
  <conditionalFormatting sqref="O57:O61">
    <cfRule type="expression" dxfId="3016" priority="906" stopIfTrue="1">
      <formula>SUM($O$57:$O$61)&lt;&gt;1</formula>
    </cfRule>
  </conditionalFormatting>
  <conditionalFormatting sqref="O57:O61">
    <cfRule type="notContainsBlanks" dxfId="3015" priority="907" stopIfTrue="1">
      <formula>LEN(TRIM(O57))&gt;0</formula>
    </cfRule>
  </conditionalFormatting>
  <conditionalFormatting sqref="P57:P61">
    <cfRule type="containsBlanks" dxfId="3014" priority="908" stopIfTrue="1">
      <formula>LEN(TRIM(P57))=0</formula>
    </cfRule>
  </conditionalFormatting>
  <conditionalFormatting sqref="P57:P61">
    <cfRule type="expression" dxfId="3013" priority="909" stopIfTrue="1">
      <formula>SUM($P$57:$P$61)&lt;&gt;1</formula>
    </cfRule>
  </conditionalFormatting>
  <conditionalFormatting sqref="P57:P61">
    <cfRule type="notContainsBlanks" dxfId="3012" priority="910" stopIfTrue="1">
      <formula>LEN(TRIM(P57))&gt;0</formula>
    </cfRule>
  </conditionalFormatting>
  <conditionalFormatting sqref="Q57:Q61">
    <cfRule type="containsBlanks" dxfId="3011" priority="911" stopIfTrue="1">
      <formula>LEN(TRIM(Q57))=0</formula>
    </cfRule>
  </conditionalFormatting>
  <conditionalFormatting sqref="Q57:Q61">
    <cfRule type="expression" dxfId="3010" priority="912" stopIfTrue="1">
      <formula>SUM($Q$57:$Q$61)&lt;&gt;1</formula>
    </cfRule>
  </conditionalFormatting>
  <conditionalFormatting sqref="Q57:Q61">
    <cfRule type="notContainsBlanks" dxfId="3009" priority="913" stopIfTrue="1">
      <formula>LEN(TRIM(Q57))&gt;0</formula>
    </cfRule>
  </conditionalFormatting>
  <conditionalFormatting sqref="R57:R61">
    <cfRule type="containsBlanks" dxfId="3008" priority="914" stopIfTrue="1">
      <formula>LEN(TRIM(R57))=0</formula>
    </cfRule>
  </conditionalFormatting>
  <conditionalFormatting sqref="R57:R61">
    <cfRule type="expression" dxfId="3007" priority="915" stopIfTrue="1">
      <formula>SUM($R$57:$R$61)&lt;&gt;1</formula>
    </cfRule>
  </conditionalFormatting>
  <conditionalFormatting sqref="R57:R61">
    <cfRule type="notContainsBlanks" dxfId="3006" priority="916" stopIfTrue="1">
      <formula>LEN(TRIM(R57))&gt;0</formula>
    </cfRule>
  </conditionalFormatting>
  <conditionalFormatting sqref="S57:S61">
    <cfRule type="containsBlanks" dxfId="3005" priority="917" stopIfTrue="1">
      <formula>LEN(TRIM(S57))=0</formula>
    </cfRule>
  </conditionalFormatting>
  <conditionalFormatting sqref="S57:S61">
    <cfRule type="expression" dxfId="3004" priority="918" stopIfTrue="1">
      <formula>SUM($S$57:$S$61)&lt;&gt;1</formula>
    </cfRule>
  </conditionalFormatting>
  <conditionalFormatting sqref="S57:S61">
    <cfRule type="notContainsBlanks" dxfId="3003" priority="919" stopIfTrue="1">
      <formula>LEN(TRIM(S57))&gt;0</formula>
    </cfRule>
  </conditionalFormatting>
  <conditionalFormatting sqref="T57:T61">
    <cfRule type="containsBlanks" dxfId="3002" priority="920" stopIfTrue="1">
      <formula>LEN(TRIM(T57))=0</formula>
    </cfRule>
  </conditionalFormatting>
  <conditionalFormatting sqref="T57:T61">
    <cfRule type="expression" dxfId="3001" priority="921" stopIfTrue="1">
      <formula>SUM($T$57:$T$61)&lt;&gt;1</formula>
    </cfRule>
  </conditionalFormatting>
  <conditionalFormatting sqref="T57:T61">
    <cfRule type="notContainsBlanks" dxfId="3000" priority="922" stopIfTrue="1">
      <formula>LEN(TRIM(T57))&gt;0</formula>
    </cfRule>
  </conditionalFormatting>
  <conditionalFormatting sqref="U57:U61">
    <cfRule type="containsBlanks" dxfId="2999" priority="923" stopIfTrue="1">
      <formula>LEN(TRIM(U57))=0</formula>
    </cfRule>
  </conditionalFormatting>
  <conditionalFormatting sqref="U57:U61">
    <cfRule type="expression" dxfId="2998" priority="924" stopIfTrue="1">
      <formula>SUM($U$57:$U$61)&lt;&gt;1</formula>
    </cfRule>
  </conditionalFormatting>
  <conditionalFormatting sqref="U57:U61">
    <cfRule type="notContainsBlanks" dxfId="2997" priority="925" stopIfTrue="1">
      <formula>LEN(TRIM(U57))&gt;0</formula>
    </cfRule>
  </conditionalFormatting>
  <conditionalFormatting sqref="V57:V61">
    <cfRule type="containsBlanks" dxfId="2996" priority="926" stopIfTrue="1">
      <formula>LEN(TRIM(V57))=0</formula>
    </cfRule>
  </conditionalFormatting>
  <conditionalFormatting sqref="V57:V61">
    <cfRule type="expression" dxfId="2995" priority="927" stopIfTrue="1">
      <formula>SUM($V$57:$V$61)&lt;&gt;1</formula>
    </cfRule>
  </conditionalFormatting>
  <conditionalFormatting sqref="V57:V61">
    <cfRule type="notContainsBlanks" dxfId="2994" priority="928" stopIfTrue="1">
      <formula>LEN(TRIM(V57))&gt;0</formula>
    </cfRule>
  </conditionalFormatting>
  <conditionalFormatting sqref="W57:W61">
    <cfRule type="containsBlanks" dxfId="2993" priority="929" stopIfTrue="1">
      <formula>LEN(TRIM(W57))=0</formula>
    </cfRule>
  </conditionalFormatting>
  <conditionalFormatting sqref="W57:W61">
    <cfRule type="expression" dxfId="2992" priority="930" stopIfTrue="1">
      <formula>SUM($W$57:$W$61)&lt;&gt;1</formula>
    </cfRule>
  </conditionalFormatting>
  <conditionalFormatting sqref="W57:W61">
    <cfRule type="notContainsBlanks" dxfId="2991" priority="931" stopIfTrue="1">
      <formula>LEN(TRIM(W57))&gt;0</formula>
    </cfRule>
  </conditionalFormatting>
  <conditionalFormatting sqref="X57:X61">
    <cfRule type="containsBlanks" dxfId="2990" priority="932" stopIfTrue="1">
      <formula>LEN(TRIM(X57))=0</formula>
    </cfRule>
  </conditionalFormatting>
  <conditionalFormatting sqref="X57:X61">
    <cfRule type="expression" dxfId="2989" priority="933" stopIfTrue="1">
      <formula>SUM($X$57:$X$61)&lt;&gt;1</formula>
    </cfRule>
  </conditionalFormatting>
  <conditionalFormatting sqref="X57:X61">
    <cfRule type="notContainsBlanks" dxfId="2988" priority="934" stopIfTrue="1">
      <formula>LEN(TRIM(X57))&gt;0</formula>
    </cfRule>
  </conditionalFormatting>
  <conditionalFormatting sqref="Y57:Y61">
    <cfRule type="containsBlanks" dxfId="2987" priority="935" stopIfTrue="1">
      <formula>LEN(TRIM(Y57))=0</formula>
    </cfRule>
  </conditionalFormatting>
  <conditionalFormatting sqref="Y57:Y61">
    <cfRule type="expression" dxfId="2986" priority="936" stopIfTrue="1">
      <formula>SUM($Y$57:$Y$61)&lt;&gt;1</formula>
    </cfRule>
  </conditionalFormatting>
  <conditionalFormatting sqref="Y57:Y61">
    <cfRule type="notContainsBlanks" dxfId="2985" priority="937" stopIfTrue="1">
      <formula>LEN(TRIM(Y57))&gt;0</formula>
    </cfRule>
  </conditionalFormatting>
  <conditionalFormatting sqref="Z57:Z61">
    <cfRule type="containsBlanks" dxfId="2984" priority="938" stopIfTrue="1">
      <formula>LEN(TRIM(Z57))=0</formula>
    </cfRule>
  </conditionalFormatting>
  <conditionalFormatting sqref="Z57:Z61">
    <cfRule type="expression" dxfId="2983" priority="939" stopIfTrue="1">
      <formula>SUM($Z$57:$Z$61)&lt;&gt;1</formula>
    </cfRule>
  </conditionalFormatting>
  <conditionalFormatting sqref="Z57:Z61">
    <cfRule type="notContainsBlanks" dxfId="2982" priority="940" stopIfTrue="1">
      <formula>LEN(TRIM(Z57))&gt;0</formula>
    </cfRule>
  </conditionalFormatting>
  <conditionalFormatting sqref="AA57:AA61">
    <cfRule type="containsBlanks" dxfId="2981" priority="941" stopIfTrue="1">
      <formula>LEN(TRIM(AA57))=0</formula>
    </cfRule>
  </conditionalFormatting>
  <conditionalFormatting sqref="AA57:AA61">
    <cfRule type="expression" dxfId="2980" priority="942" stopIfTrue="1">
      <formula>SUM($AA$57:$AA$61)&lt;&gt;1</formula>
    </cfRule>
  </conditionalFormatting>
  <conditionalFormatting sqref="AA57:AA61">
    <cfRule type="notContainsBlanks" dxfId="2979" priority="943" stopIfTrue="1">
      <formula>LEN(TRIM(AA57))&gt;0</formula>
    </cfRule>
  </conditionalFormatting>
  <conditionalFormatting sqref="AB57:AB61">
    <cfRule type="containsBlanks" dxfId="2978" priority="944" stopIfTrue="1">
      <formula>LEN(TRIM(AB57))=0</formula>
    </cfRule>
  </conditionalFormatting>
  <conditionalFormatting sqref="AB57:AB61">
    <cfRule type="expression" dxfId="2977" priority="945" stopIfTrue="1">
      <formula>SUM($AB$57:$AB$61)&lt;&gt;1</formula>
    </cfRule>
  </conditionalFormatting>
  <conditionalFormatting sqref="AB57:AB61">
    <cfRule type="notContainsBlanks" dxfId="2976" priority="946" stopIfTrue="1">
      <formula>LEN(TRIM(AB57))&gt;0</formula>
    </cfRule>
  </conditionalFormatting>
  <conditionalFormatting sqref="AC57:AC61">
    <cfRule type="containsBlanks" dxfId="2975" priority="947" stopIfTrue="1">
      <formula>LEN(TRIM(AC57))=0</formula>
    </cfRule>
  </conditionalFormatting>
  <conditionalFormatting sqref="AC57:AC61">
    <cfRule type="expression" dxfId="2974" priority="948" stopIfTrue="1">
      <formula>SUM($AC$57:$AC$61)&lt;&gt;1</formula>
    </cfRule>
  </conditionalFormatting>
  <conditionalFormatting sqref="AC57:AC61">
    <cfRule type="notContainsBlanks" dxfId="2973" priority="949" stopIfTrue="1">
      <formula>LEN(TRIM(AC57))&gt;0</formula>
    </cfRule>
  </conditionalFormatting>
  <conditionalFormatting sqref="AD57:AD61">
    <cfRule type="containsBlanks" dxfId="2972" priority="950" stopIfTrue="1">
      <formula>LEN(TRIM(AD57))=0</formula>
    </cfRule>
  </conditionalFormatting>
  <conditionalFormatting sqref="AD57:AD61">
    <cfRule type="expression" dxfId="2971" priority="951" stopIfTrue="1">
      <formula>SUM($AD$57:$AD$61)&lt;&gt;1</formula>
    </cfRule>
  </conditionalFormatting>
  <conditionalFormatting sqref="AD57:AD61">
    <cfRule type="notContainsBlanks" dxfId="2970" priority="952" stopIfTrue="1">
      <formula>LEN(TRIM(AD57))&gt;0</formula>
    </cfRule>
  </conditionalFormatting>
  <conditionalFormatting sqref="AE57:AE61">
    <cfRule type="containsBlanks" dxfId="2969" priority="953" stopIfTrue="1">
      <formula>LEN(TRIM(AE57))=0</formula>
    </cfRule>
  </conditionalFormatting>
  <conditionalFormatting sqref="AE57:AE61">
    <cfRule type="expression" dxfId="2968" priority="954" stopIfTrue="1">
      <formula>SUM($AE$57:$AE$61)&lt;&gt;1</formula>
    </cfRule>
  </conditionalFormatting>
  <conditionalFormatting sqref="AE57:AE61">
    <cfRule type="notContainsBlanks" dxfId="2967" priority="955" stopIfTrue="1">
      <formula>LEN(TRIM(AE57))&gt;0</formula>
    </cfRule>
  </conditionalFormatting>
  <conditionalFormatting sqref="AF57:AF61">
    <cfRule type="containsBlanks" dxfId="2966" priority="956" stopIfTrue="1">
      <formula>LEN(TRIM(AF57))=0</formula>
    </cfRule>
  </conditionalFormatting>
  <conditionalFormatting sqref="AF57:AF61">
    <cfRule type="expression" dxfId="2965" priority="957" stopIfTrue="1">
      <formula>SUM($AF$57:$AF$61)&lt;&gt;1</formula>
    </cfRule>
  </conditionalFormatting>
  <conditionalFormatting sqref="AF57:AF61">
    <cfRule type="notContainsBlanks" dxfId="2964" priority="958" stopIfTrue="1">
      <formula>LEN(TRIM(AF57))&gt;0</formula>
    </cfRule>
  </conditionalFormatting>
  <conditionalFormatting sqref="AG57:AG61">
    <cfRule type="containsBlanks" dxfId="2963" priority="959" stopIfTrue="1">
      <formula>LEN(TRIM(AG57))=0</formula>
    </cfRule>
  </conditionalFormatting>
  <conditionalFormatting sqref="AG57:AG61">
    <cfRule type="expression" dxfId="2962" priority="960" stopIfTrue="1">
      <formula>SUM($AG$57:$AG$61)&lt;&gt;1</formula>
    </cfRule>
  </conditionalFormatting>
  <conditionalFormatting sqref="AG57:AG61">
    <cfRule type="notContainsBlanks" dxfId="2961" priority="961" stopIfTrue="1">
      <formula>LEN(TRIM(AG57))&gt;0</formula>
    </cfRule>
  </conditionalFormatting>
  <conditionalFormatting sqref="AH57:AH61">
    <cfRule type="containsBlanks" dxfId="2960" priority="962" stopIfTrue="1">
      <formula>LEN(TRIM(AH57))=0</formula>
    </cfRule>
  </conditionalFormatting>
  <conditionalFormatting sqref="AH57:AH61">
    <cfRule type="expression" dxfId="2959" priority="963" stopIfTrue="1">
      <formula>SUM($AH$57:$AH$61)&lt;&gt;1</formula>
    </cfRule>
  </conditionalFormatting>
  <conditionalFormatting sqref="AH57:AH61">
    <cfRule type="notContainsBlanks" dxfId="2958" priority="964" stopIfTrue="1">
      <formula>LEN(TRIM(AH57))&gt;0</formula>
    </cfRule>
  </conditionalFormatting>
  <conditionalFormatting sqref="AI57:AI61">
    <cfRule type="containsBlanks" dxfId="2957" priority="965" stopIfTrue="1">
      <formula>LEN(TRIM(AI57))=0</formula>
    </cfRule>
  </conditionalFormatting>
  <conditionalFormatting sqref="AI57:AI61">
    <cfRule type="expression" dxfId="2956" priority="966" stopIfTrue="1">
      <formula>SUM($AI$57:$AI$61)&lt;&gt;1</formula>
    </cfRule>
  </conditionalFormatting>
  <conditionalFormatting sqref="AI57:AI61">
    <cfRule type="notContainsBlanks" dxfId="2955" priority="967" stopIfTrue="1">
      <formula>LEN(TRIM(AI57))&gt;0</formula>
    </cfRule>
  </conditionalFormatting>
  <conditionalFormatting sqref="AJ57:AJ61">
    <cfRule type="containsBlanks" dxfId="2954" priority="968" stopIfTrue="1">
      <formula>LEN(TRIM(AJ57))=0</formula>
    </cfRule>
  </conditionalFormatting>
  <conditionalFormatting sqref="AJ57:AJ61">
    <cfRule type="expression" dxfId="2953" priority="969" stopIfTrue="1">
      <formula>SUM($AJ$57:$AJ$61)&lt;&gt;1</formula>
    </cfRule>
  </conditionalFormatting>
  <conditionalFormatting sqref="AJ57:AJ61">
    <cfRule type="notContainsBlanks" dxfId="2952" priority="970" stopIfTrue="1">
      <formula>LEN(TRIM(AJ57))&gt;0</formula>
    </cfRule>
  </conditionalFormatting>
  <conditionalFormatting sqref="AK57:AK61">
    <cfRule type="containsBlanks" dxfId="2951" priority="971" stopIfTrue="1">
      <formula>LEN(TRIM(AK57))=0</formula>
    </cfRule>
  </conditionalFormatting>
  <conditionalFormatting sqref="AK57:AK61">
    <cfRule type="expression" dxfId="2950" priority="972" stopIfTrue="1">
      <formula>SUM($AK$57:$AK$61)&lt;&gt;1</formula>
    </cfRule>
  </conditionalFormatting>
  <conditionalFormatting sqref="AK57:AK61">
    <cfRule type="notContainsBlanks" dxfId="2949" priority="973" stopIfTrue="1">
      <formula>LEN(TRIM(AK57))&gt;0</formula>
    </cfRule>
  </conditionalFormatting>
  <conditionalFormatting sqref="AL57:AL61">
    <cfRule type="containsBlanks" dxfId="2948" priority="974" stopIfTrue="1">
      <formula>LEN(TRIM(AL57))=0</formula>
    </cfRule>
  </conditionalFormatting>
  <conditionalFormatting sqref="AL57:AL61">
    <cfRule type="expression" dxfId="2947" priority="975" stopIfTrue="1">
      <formula>SUM($AL$57:$AL$61)&lt;&gt;1</formula>
    </cfRule>
  </conditionalFormatting>
  <conditionalFormatting sqref="AL57:AL61">
    <cfRule type="notContainsBlanks" dxfId="2946" priority="976" stopIfTrue="1">
      <formula>LEN(TRIM(AL57))&gt;0</formula>
    </cfRule>
  </conditionalFormatting>
  <conditionalFormatting sqref="AM57:AM61">
    <cfRule type="containsBlanks" dxfId="2945" priority="977" stopIfTrue="1">
      <formula>LEN(TRIM(AM57))=0</formula>
    </cfRule>
  </conditionalFormatting>
  <conditionalFormatting sqref="AM57:AM61">
    <cfRule type="expression" dxfId="2944" priority="978" stopIfTrue="1">
      <formula>SUM($AM$57:$AM$61)&lt;&gt;1</formula>
    </cfRule>
  </conditionalFormatting>
  <conditionalFormatting sqref="AM57:AM61">
    <cfRule type="notContainsBlanks" dxfId="2943" priority="979" stopIfTrue="1">
      <formula>LEN(TRIM(AM57))&gt;0</formula>
    </cfRule>
  </conditionalFormatting>
  <conditionalFormatting sqref="AN57:AN61">
    <cfRule type="containsBlanks" dxfId="2942" priority="980" stopIfTrue="1">
      <formula>LEN(TRIM(AN57))=0</formula>
    </cfRule>
  </conditionalFormatting>
  <conditionalFormatting sqref="AN57:AN61">
    <cfRule type="expression" dxfId="2941" priority="981" stopIfTrue="1">
      <formula>SUM($AN$57:$AN$61)&lt;&gt;1</formula>
    </cfRule>
  </conditionalFormatting>
  <conditionalFormatting sqref="AN57:AN61">
    <cfRule type="notContainsBlanks" dxfId="2940" priority="982" stopIfTrue="1">
      <formula>LEN(TRIM(AN57))&gt;0</formula>
    </cfRule>
  </conditionalFormatting>
  <conditionalFormatting sqref="E51:E55">
    <cfRule type="containsBlanks" dxfId="2939" priority="993" stopIfTrue="1">
      <formula>LEN(TRIM(E51))=0</formula>
    </cfRule>
  </conditionalFormatting>
  <conditionalFormatting sqref="E51:E55">
    <cfRule type="expression" dxfId="2938" priority="994" stopIfTrue="1">
      <formula>SUM($E$51:$E$55)&lt;&gt;1</formula>
    </cfRule>
  </conditionalFormatting>
  <conditionalFormatting sqref="E51:E55">
    <cfRule type="notContainsBlanks" dxfId="2937" priority="995" stopIfTrue="1">
      <formula>LEN(TRIM(E51))&gt;0</formula>
    </cfRule>
  </conditionalFormatting>
  <conditionalFormatting sqref="F51:F55">
    <cfRule type="containsBlanks" dxfId="2936" priority="996" stopIfTrue="1">
      <formula>LEN(TRIM(F51))=0</formula>
    </cfRule>
  </conditionalFormatting>
  <conditionalFormatting sqref="F51:F55">
    <cfRule type="expression" dxfId="2935" priority="997" stopIfTrue="1">
      <formula>SUM($F$51:$F$55)&lt;&gt;1</formula>
    </cfRule>
  </conditionalFormatting>
  <conditionalFormatting sqref="F51:F55">
    <cfRule type="notContainsBlanks" dxfId="2934" priority="998" stopIfTrue="1">
      <formula>LEN(TRIM(F51))&gt;0</formula>
    </cfRule>
  </conditionalFormatting>
  <conditionalFormatting sqref="G51:G55">
    <cfRule type="containsBlanks" dxfId="2933" priority="999" stopIfTrue="1">
      <formula>LEN(TRIM(G51))=0</formula>
    </cfRule>
  </conditionalFormatting>
  <conditionalFormatting sqref="G51:G55">
    <cfRule type="expression" dxfId="2932" priority="1000" stopIfTrue="1">
      <formula>SUM($G$51:$G$55)&lt;&gt;1</formula>
    </cfRule>
  </conditionalFormatting>
  <conditionalFormatting sqref="G51:G55">
    <cfRule type="notContainsBlanks" dxfId="2931" priority="1001" stopIfTrue="1">
      <formula>LEN(TRIM(G51))&gt;0</formula>
    </cfRule>
  </conditionalFormatting>
  <conditionalFormatting sqref="H51:H55">
    <cfRule type="containsBlanks" dxfId="2930" priority="1002" stopIfTrue="1">
      <formula>LEN(TRIM(H51))=0</formula>
    </cfRule>
  </conditionalFormatting>
  <conditionalFormatting sqref="H51:H55">
    <cfRule type="expression" dxfId="2929" priority="1003" stopIfTrue="1">
      <formula>SUM($H$51:$H$55)&lt;&gt;1</formula>
    </cfRule>
  </conditionalFormatting>
  <conditionalFormatting sqref="H51:H55">
    <cfRule type="notContainsBlanks" dxfId="2928" priority="1004" stopIfTrue="1">
      <formula>LEN(TRIM(H51))&gt;0</formula>
    </cfRule>
  </conditionalFormatting>
  <conditionalFormatting sqref="I51:I55">
    <cfRule type="containsBlanks" dxfId="2927" priority="1005" stopIfTrue="1">
      <formula>LEN(TRIM(I51))=0</formula>
    </cfRule>
  </conditionalFormatting>
  <conditionalFormatting sqref="I51:I55">
    <cfRule type="expression" dxfId="2926" priority="1006" stopIfTrue="1">
      <formula>SUM($I$51:$I$55)&lt;&gt;1</formula>
    </cfRule>
  </conditionalFormatting>
  <conditionalFormatting sqref="I51:I55">
    <cfRule type="notContainsBlanks" dxfId="2925" priority="1007" stopIfTrue="1">
      <formula>LEN(TRIM(I51))&gt;0</formula>
    </cfRule>
  </conditionalFormatting>
  <conditionalFormatting sqref="J51:J55">
    <cfRule type="containsBlanks" dxfId="2924" priority="1008" stopIfTrue="1">
      <formula>LEN(TRIM(J51))=0</formula>
    </cfRule>
  </conditionalFormatting>
  <conditionalFormatting sqref="J51:J55">
    <cfRule type="expression" dxfId="2923" priority="1009" stopIfTrue="1">
      <formula>SUM($J$51:$J$55)&lt;&gt;1</formula>
    </cfRule>
  </conditionalFormatting>
  <conditionalFormatting sqref="J51:J55">
    <cfRule type="notContainsBlanks" dxfId="2922" priority="1010" stopIfTrue="1">
      <formula>LEN(TRIM(J51))&gt;0</formula>
    </cfRule>
  </conditionalFormatting>
  <conditionalFormatting sqref="K51:K55">
    <cfRule type="containsBlanks" dxfId="2921" priority="1011" stopIfTrue="1">
      <formula>LEN(TRIM(K51))=0</formula>
    </cfRule>
  </conditionalFormatting>
  <conditionalFormatting sqref="K51:K55">
    <cfRule type="expression" dxfId="2920" priority="1012" stopIfTrue="1">
      <formula>SUM($K$51:$K$55)&lt;&gt;1</formula>
    </cfRule>
  </conditionalFormatting>
  <conditionalFormatting sqref="K51:K55">
    <cfRule type="notContainsBlanks" dxfId="2919" priority="1013" stopIfTrue="1">
      <formula>LEN(TRIM(K51))&gt;0</formula>
    </cfRule>
  </conditionalFormatting>
  <conditionalFormatting sqref="L51:L55">
    <cfRule type="containsBlanks" dxfId="2918" priority="1014" stopIfTrue="1">
      <formula>LEN(TRIM(L51))=0</formula>
    </cfRule>
  </conditionalFormatting>
  <conditionalFormatting sqref="L51:L55">
    <cfRule type="expression" dxfId="2917" priority="1015" stopIfTrue="1">
      <formula>SUM($L$51:$L$55)&lt;&gt;1</formula>
    </cfRule>
  </conditionalFormatting>
  <conditionalFormatting sqref="L51:L55">
    <cfRule type="notContainsBlanks" dxfId="2916" priority="1016" stopIfTrue="1">
      <formula>LEN(TRIM(L51))&gt;0</formula>
    </cfRule>
  </conditionalFormatting>
  <conditionalFormatting sqref="M51:M55">
    <cfRule type="containsBlanks" dxfId="2915" priority="1017" stopIfTrue="1">
      <formula>LEN(TRIM(M51))=0</formula>
    </cfRule>
  </conditionalFormatting>
  <conditionalFormatting sqref="M51:M55">
    <cfRule type="expression" dxfId="2914" priority="1018" stopIfTrue="1">
      <formula>SUM($M$51:$M$55)&lt;&gt;1</formula>
    </cfRule>
  </conditionalFormatting>
  <conditionalFormatting sqref="M51:M55">
    <cfRule type="notContainsBlanks" dxfId="2913" priority="1019" stopIfTrue="1">
      <formula>LEN(TRIM(M51))&gt;0</formula>
    </cfRule>
  </conditionalFormatting>
  <conditionalFormatting sqref="N51:N55">
    <cfRule type="containsBlanks" dxfId="2912" priority="1020" stopIfTrue="1">
      <formula>LEN(TRIM(N51))=0</formula>
    </cfRule>
  </conditionalFormatting>
  <conditionalFormatting sqref="N51:N55">
    <cfRule type="expression" dxfId="2911" priority="1021" stopIfTrue="1">
      <formula>SUM($N$51:$N$55)&lt;&gt;1</formula>
    </cfRule>
  </conditionalFormatting>
  <conditionalFormatting sqref="N51:N55">
    <cfRule type="notContainsBlanks" dxfId="2910" priority="1022" stopIfTrue="1">
      <formula>LEN(TRIM(N51))&gt;0</formula>
    </cfRule>
  </conditionalFormatting>
  <conditionalFormatting sqref="O51:O55">
    <cfRule type="containsBlanks" dxfId="2909" priority="1023" stopIfTrue="1">
      <formula>LEN(TRIM(O51))=0</formula>
    </cfRule>
  </conditionalFormatting>
  <conditionalFormatting sqref="O51:O55">
    <cfRule type="expression" dxfId="2908" priority="1024" stopIfTrue="1">
      <formula>SUM($O$51:$O$55)&lt;&gt;1</formula>
    </cfRule>
  </conditionalFormatting>
  <conditionalFormatting sqref="O51:O55">
    <cfRule type="notContainsBlanks" dxfId="2907" priority="1025" stopIfTrue="1">
      <formula>LEN(TRIM(O51))&gt;0</formula>
    </cfRule>
  </conditionalFormatting>
  <conditionalFormatting sqref="P51:P55">
    <cfRule type="containsBlanks" dxfId="2906" priority="1026" stopIfTrue="1">
      <formula>LEN(TRIM(P51))=0</formula>
    </cfRule>
  </conditionalFormatting>
  <conditionalFormatting sqref="P51:P55">
    <cfRule type="expression" dxfId="2905" priority="1027" stopIfTrue="1">
      <formula>SUM($P$51:$P$55)&lt;&gt;1</formula>
    </cfRule>
  </conditionalFormatting>
  <conditionalFormatting sqref="P51:P55">
    <cfRule type="notContainsBlanks" dxfId="2904" priority="1028" stopIfTrue="1">
      <formula>LEN(TRIM(P51))&gt;0</formula>
    </cfRule>
  </conditionalFormatting>
  <conditionalFormatting sqref="Q51:Q55">
    <cfRule type="containsBlanks" dxfId="2903" priority="1029" stopIfTrue="1">
      <formula>LEN(TRIM(Q51))=0</formula>
    </cfRule>
  </conditionalFormatting>
  <conditionalFormatting sqref="Q51:Q55">
    <cfRule type="expression" dxfId="2902" priority="1030" stopIfTrue="1">
      <formula>SUM($Q$51:$Q$55)&lt;&gt;1</formula>
    </cfRule>
  </conditionalFormatting>
  <conditionalFormatting sqref="Q51:Q55">
    <cfRule type="notContainsBlanks" dxfId="2901" priority="1031" stopIfTrue="1">
      <formula>LEN(TRIM(Q51))&gt;0</formula>
    </cfRule>
  </conditionalFormatting>
  <conditionalFormatting sqref="R51:R55">
    <cfRule type="containsBlanks" dxfId="2900" priority="1032" stopIfTrue="1">
      <formula>LEN(TRIM(R51))=0</formula>
    </cfRule>
  </conditionalFormatting>
  <conditionalFormatting sqref="R51:R55">
    <cfRule type="expression" dxfId="2899" priority="1033" stopIfTrue="1">
      <formula>SUM($R$51:$R$55)&lt;&gt;1</formula>
    </cfRule>
  </conditionalFormatting>
  <conditionalFormatting sqref="R51:R55">
    <cfRule type="notContainsBlanks" dxfId="2898" priority="1034" stopIfTrue="1">
      <formula>LEN(TRIM(R51))&gt;0</formula>
    </cfRule>
  </conditionalFormatting>
  <conditionalFormatting sqref="S51:S55">
    <cfRule type="containsBlanks" dxfId="2897" priority="1035" stopIfTrue="1">
      <formula>LEN(TRIM(S51))=0</formula>
    </cfRule>
  </conditionalFormatting>
  <conditionalFormatting sqref="S51:S55">
    <cfRule type="expression" dxfId="2896" priority="1036" stopIfTrue="1">
      <formula>SUM($S$51:$S$55)&lt;&gt;1</formula>
    </cfRule>
  </conditionalFormatting>
  <conditionalFormatting sqref="S51:S55">
    <cfRule type="notContainsBlanks" dxfId="2895" priority="1037" stopIfTrue="1">
      <formula>LEN(TRIM(S51))&gt;0</formula>
    </cfRule>
  </conditionalFormatting>
  <conditionalFormatting sqref="T51:T55">
    <cfRule type="containsBlanks" dxfId="2894" priority="1038" stopIfTrue="1">
      <formula>LEN(TRIM(T51))=0</formula>
    </cfRule>
  </conditionalFormatting>
  <conditionalFormatting sqref="T51:T55">
    <cfRule type="expression" dxfId="2893" priority="1039" stopIfTrue="1">
      <formula>SUM($T$51:$T$55)&lt;&gt;1</formula>
    </cfRule>
  </conditionalFormatting>
  <conditionalFormatting sqref="T51:T55">
    <cfRule type="notContainsBlanks" dxfId="2892" priority="1040" stopIfTrue="1">
      <formula>LEN(TRIM(T51))&gt;0</formula>
    </cfRule>
  </conditionalFormatting>
  <conditionalFormatting sqref="U51:U55">
    <cfRule type="containsBlanks" dxfId="2891" priority="1041" stopIfTrue="1">
      <formula>LEN(TRIM(U51))=0</formula>
    </cfRule>
  </conditionalFormatting>
  <conditionalFormatting sqref="U51:U55">
    <cfRule type="expression" dxfId="2890" priority="1042" stopIfTrue="1">
      <formula>SUM($U$51:$U$55)&lt;&gt;1</formula>
    </cfRule>
  </conditionalFormatting>
  <conditionalFormatting sqref="U51:U55">
    <cfRule type="notContainsBlanks" dxfId="2889" priority="1043" stopIfTrue="1">
      <formula>LEN(TRIM(U51))&gt;0</formula>
    </cfRule>
  </conditionalFormatting>
  <conditionalFormatting sqref="V51:V55">
    <cfRule type="containsBlanks" dxfId="2888" priority="1044" stopIfTrue="1">
      <formula>LEN(TRIM(V51))=0</formula>
    </cfRule>
  </conditionalFormatting>
  <conditionalFormatting sqref="V51:V55">
    <cfRule type="expression" dxfId="2887" priority="1045" stopIfTrue="1">
      <formula>SUM($V$51:$V$55)&lt;&gt;1</formula>
    </cfRule>
  </conditionalFormatting>
  <conditionalFormatting sqref="V51:V55">
    <cfRule type="notContainsBlanks" dxfId="2886" priority="1046" stopIfTrue="1">
      <formula>LEN(TRIM(V51))&gt;0</formula>
    </cfRule>
  </conditionalFormatting>
  <conditionalFormatting sqref="W51:W55">
    <cfRule type="containsBlanks" dxfId="2885" priority="1047" stopIfTrue="1">
      <formula>LEN(TRIM(W51))=0</formula>
    </cfRule>
  </conditionalFormatting>
  <conditionalFormatting sqref="W51:W55">
    <cfRule type="expression" dxfId="2884" priority="1048" stopIfTrue="1">
      <formula>SUM($W$51:$W$55)&lt;&gt;1</formula>
    </cfRule>
  </conditionalFormatting>
  <conditionalFormatting sqref="W51:W55">
    <cfRule type="notContainsBlanks" dxfId="2883" priority="1049" stopIfTrue="1">
      <formula>LEN(TRIM(W51))&gt;0</formula>
    </cfRule>
  </conditionalFormatting>
  <conditionalFormatting sqref="X51:X55">
    <cfRule type="containsBlanks" dxfId="2882" priority="1050" stopIfTrue="1">
      <formula>LEN(TRIM(X51))=0</formula>
    </cfRule>
  </conditionalFormatting>
  <conditionalFormatting sqref="X51:X55">
    <cfRule type="expression" dxfId="2881" priority="1051" stopIfTrue="1">
      <formula>SUM($X$51:$X$55)&lt;&gt;1</formula>
    </cfRule>
  </conditionalFormatting>
  <conditionalFormatting sqref="X51:X55">
    <cfRule type="notContainsBlanks" dxfId="2880" priority="1052" stopIfTrue="1">
      <formula>LEN(TRIM(X51))&gt;0</formula>
    </cfRule>
  </conditionalFormatting>
  <conditionalFormatting sqref="Y51:Y55">
    <cfRule type="containsBlanks" dxfId="2879" priority="1053" stopIfTrue="1">
      <formula>LEN(TRIM(Y51))=0</formula>
    </cfRule>
  </conditionalFormatting>
  <conditionalFormatting sqref="Y51:Y55">
    <cfRule type="expression" dxfId="2878" priority="1054" stopIfTrue="1">
      <formula>SUM($Y$51:$Y$55)&lt;&gt;1</formula>
    </cfRule>
  </conditionalFormatting>
  <conditionalFormatting sqref="Y51:Y55">
    <cfRule type="notContainsBlanks" dxfId="2877" priority="1055" stopIfTrue="1">
      <formula>LEN(TRIM(Y51))&gt;0</formula>
    </cfRule>
  </conditionalFormatting>
  <conditionalFormatting sqref="Z51:Z55">
    <cfRule type="containsBlanks" dxfId="2876" priority="1056" stopIfTrue="1">
      <formula>LEN(TRIM(Z51))=0</formula>
    </cfRule>
  </conditionalFormatting>
  <conditionalFormatting sqref="Z51:Z55">
    <cfRule type="expression" dxfId="2875" priority="1057" stopIfTrue="1">
      <formula>SUM($Z$51:$Z$55)&lt;&gt;1</formula>
    </cfRule>
  </conditionalFormatting>
  <conditionalFormatting sqref="Z51:Z55">
    <cfRule type="notContainsBlanks" dxfId="2874" priority="1058" stopIfTrue="1">
      <formula>LEN(TRIM(Z51))&gt;0</formula>
    </cfRule>
  </conditionalFormatting>
  <conditionalFormatting sqref="AA51:AA55">
    <cfRule type="containsBlanks" dxfId="2873" priority="1059" stopIfTrue="1">
      <formula>LEN(TRIM(AA51))=0</formula>
    </cfRule>
  </conditionalFormatting>
  <conditionalFormatting sqref="AA51:AA55">
    <cfRule type="expression" dxfId="2872" priority="1060" stopIfTrue="1">
      <formula>SUM($AA$51:$AA$55)&lt;&gt;1</formula>
    </cfRule>
  </conditionalFormatting>
  <conditionalFormatting sqref="AA51:AA55">
    <cfRule type="notContainsBlanks" dxfId="2871" priority="1061" stopIfTrue="1">
      <formula>LEN(TRIM(AA51))&gt;0</formula>
    </cfRule>
  </conditionalFormatting>
  <conditionalFormatting sqref="AB51:AB55">
    <cfRule type="containsBlanks" dxfId="2870" priority="1062" stopIfTrue="1">
      <formula>LEN(TRIM(AB51))=0</formula>
    </cfRule>
  </conditionalFormatting>
  <conditionalFormatting sqref="AB51:AB55">
    <cfRule type="expression" dxfId="2869" priority="1063" stopIfTrue="1">
      <formula>SUM($AB$51:$AB$55)&lt;&gt;1</formula>
    </cfRule>
  </conditionalFormatting>
  <conditionalFormatting sqref="AB51:AB55">
    <cfRule type="notContainsBlanks" dxfId="2868" priority="1064" stopIfTrue="1">
      <formula>LEN(TRIM(AB51))&gt;0</formula>
    </cfRule>
  </conditionalFormatting>
  <conditionalFormatting sqref="AC51:AC55">
    <cfRule type="containsBlanks" dxfId="2867" priority="1065" stopIfTrue="1">
      <formula>LEN(TRIM(AC51))=0</formula>
    </cfRule>
  </conditionalFormatting>
  <conditionalFormatting sqref="AC51:AC55">
    <cfRule type="expression" dxfId="2866" priority="1066" stopIfTrue="1">
      <formula>SUM($AC$51:$AC$55)&lt;&gt;1</formula>
    </cfRule>
  </conditionalFormatting>
  <conditionalFormatting sqref="AC51:AC55">
    <cfRule type="notContainsBlanks" dxfId="2865" priority="1067" stopIfTrue="1">
      <formula>LEN(TRIM(AC51))&gt;0</formula>
    </cfRule>
  </conditionalFormatting>
  <conditionalFormatting sqref="AD51:AD55">
    <cfRule type="containsBlanks" dxfId="2864" priority="1068" stopIfTrue="1">
      <formula>LEN(TRIM(AD51))=0</formula>
    </cfRule>
  </conditionalFormatting>
  <conditionalFormatting sqref="AD51:AD55">
    <cfRule type="expression" dxfId="2863" priority="1069" stopIfTrue="1">
      <formula>SUM($AD$51:$AD$55)&lt;&gt;1</formula>
    </cfRule>
  </conditionalFormatting>
  <conditionalFormatting sqref="AD51:AD55">
    <cfRule type="notContainsBlanks" dxfId="2862" priority="1070" stopIfTrue="1">
      <formula>LEN(TRIM(AD51))&gt;0</formula>
    </cfRule>
  </conditionalFormatting>
  <conditionalFormatting sqref="AE51:AE55">
    <cfRule type="containsBlanks" dxfId="2861" priority="1071" stopIfTrue="1">
      <formula>LEN(TRIM(AE51))=0</formula>
    </cfRule>
  </conditionalFormatting>
  <conditionalFormatting sqref="AE51:AE55">
    <cfRule type="expression" dxfId="2860" priority="1072" stopIfTrue="1">
      <formula>SUM($AE$51:$AE$55)&lt;&gt;1</formula>
    </cfRule>
  </conditionalFormatting>
  <conditionalFormatting sqref="AE51:AE55">
    <cfRule type="notContainsBlanks" dxfId="2859" priority="1073" stopIfTrue="1">
      <formula>LEN(TRIM(AE51))&gt;0</formula>
    </cfRule>
  </conditionalFormatting>
  <conditionalFormatting sqref="AF51:AF55">
    <cfRule type="containsBlanks" dxfId="2858" priority="1074" stopIfTrue="1">
      <formula>LEN(TRIM(AF51))=0</formula>
    </cfRule>
  </conditionalFormatting>
  <conditionalFormatting sqref="AF51:AF55">
    <cfRule type="expression" dxfId="2857" priority="1075" stopIfTrue="1">
      <formula>SUM($AF$51:$AF$55)&lt;&gt;1</formula>
    </cfRule>
  </conditionalFormatting>
  <conditionalFormatting sqref="AF51:AF55">
    <cfRule type="notContainsBlanks" dxfId="2856" priority="1076" stopIfTrue="1">
      <formula>LEN(TRIM(AF51))&gt;0</formula>
    </cfRule>
  </conditionalFormatting>
  <conditionalFormatting sqref="AG51:AG55">
    <cfRule type="containsBlanks" dxfId="2855" priority="1077" stopIfTrue="1">
      <formula>LEN(TRIM(AG51))=0</formula>
    </cfRule>
  </conditionalFormatting>
  <conditionalFormatting sqref="AG51:AG55">
    <cfRule type="expression" dxfId="2854" priority="1078" stopIfTrue="1">
      <formula>SUM($AG$51:$AG$55)&lt;&gt;1</formula>
    </cfRule>
  </conditionalFormatting>
  <conditionalFormatting sqref="AG51:AG55">
    <cfRule type="notContainsBlanks" dxfId="2853" priority="1079" stopIfTrue="1">
      <formula>LEN(TRIM(AG51))&gt;0</formula>
    </cfRule>
  </conditionalFormatting>
  <conditionalFormatting sqref="AH51:AH55">
    <cfRule type="containsBlanks" dxfId="2852" priority="1080" stopIfTrue="1">
      <formula>LEN(TRIM(AH51))=0</formula>
    </cfRule>
  </conditionalFormatting>
  <conditionalFormatting sqref="AH51:AH55">
    <cfRule type="expression" dxfId="2851" priority="1081" stopIfTrue="1">
      <formula>SUM($AH$51:$AH$55)&lt;&gt;1</formula>
    </cfRule>
  </conditionalFormatting>
  <conditionalFormatting sqref="AH51:AH55">
    <cfRule type="notContainsBlanks" dxfId="2850" priority="1082" stopIfTrue="1">
      <formula>LEN(TRIM(AH51))&gt;0</formula>
    </cfRule>
  </conditionalFormatting>
  <conditionalFormatting sqref="AI51:AI55">
    <cfRule type="containsBlanks" dxfId="2849" priority="1083" stopIfTrue="1">
      <formula>LEN(TRIM(AI51))=0</formula>
    </cfRule>
  </conditionalFormatting>
  <conditionalFormatting sqref="AI51:AI55">
    <cfRule type="expression" dxfId="2848" priority="1084" stopIfTrue="1">
      <formula>SUM($AI$51:$AI$55)&lt;&gt;1</formula>
    </cfRule>
  </conditionalFormatting>
  <conditionalFormatting sqref="AI51:AI55">
    <cfRule type="notContainsBlanks" dxfId="2847" priority="1085" stopIfTrue="1">
      <formula>LEN(TRIM(AI51))&gt;0</formula>
    </cfRule>
  </conditionalFormatting>
  <conditionalFormatting sqref="AJ51:AJ55">
    <cfRule type="containsBlanks" dxfId="2846" priority="1086" stopIfTrue="1">
      <formula>LEN(TRIM(AJ51))=0</formula>
    </cfRule>
  </conditionalFormatting>
  <conditionalFormatting sqref="AJ51:AJ55">
    <cfRule type="expression" dxfId="2845" priority="1087" stopIfTrue="1">
      <formula>SUM($AJ$51:$AJ$55)&lt;&gt;1</formula>
    </cfRule>
  </conditionalFormatting>
  <conditionalFormatting sqref="AJ51:AJ55">
    <cfRule type="notContainsBlanks" dxfId="2844" priority="1088" stopIfTrue="1">
      <formula>LEN(TRIM(AJ51))&gt;0</formula>
    </cfRule>
  </conditionalFormatting>
  <conditionalFormatting sqref="AK51:AK55">
    <cfRule type="containsBlanks" dxfId="2843" priority="1089" stopIfTrue="1">
      <formula>LEN(TRIM(AK51))=0</formula>
    </cfRule>
  </conditionalFormatting>
  <conditionalFormatting sqref="AK51:AK55">
    <cfRule type="expression" dxfId="2842" priority="1090" stopIfTrue="1">
      <formula>SUM($AK$51:$AK$55)&lt;&gt;1</formula>
    </cfRule>
  </conditionalFormatting>
  <conditionalFormatting sqref="AK51:AK55">
    <cfRule type="notContainsBlanks" dxfId="2841" priority="1091" stopIfTrue="1">
      <formula>LEN(TRIM(AK51))&gt;0</formula>
    </cfRule>
  </conditionalFormatting>
  <conditionalFormatting sqref="AL51:AL55">
    <cfRule type="containsBlanks" dxfId="2840" priority="1092" stopIfTrue="1">
      <formula>LEN(TRIM(AL51))=0</formula>
    </cfRule>
  </conditionalFormatting>
  <conditionalFormatting sqref="AL51:AL55">
    <cfRule type="expression" dxfId="2839" priority="1093" stopIfTrue="1">
      <formula>SUM($AL$51:$AL$55)&lt;&gt;1</formula>
    </cfRule>
  </conditionalFormatting>
  <conditionalFormatting sqref="AL51:AL55">
    <cfRule type="notContainsBlanks" dxfId="2838" priority="1094" stopIfTrue="1">
      <formula>LEN(TRIM(AL51))&gt;0</formula>
    </cfRule>
  </conditionalFormatting>
  <conditionalFormatting sqref="AM51:AM55">
    <cfRule type="containsBlanks" dxfId="2837" priority="1095" stopIfTrue="1">
      <formula>LEN(TRIM(AM51))=0</formula>
    </cfRule>
  </conditionalFormatting>
  <conditionalFormatting sqref="AM51:AM55">
    <cfRule type="expression" dxfId="2836" priority="1096" stopIfTrue="1">
      <formula>SUM($AM$51:$AM$55)&lt;&gt;1</formula>
    </cfRule>
  </conditionalFormatting>
  <conditionalFormatting sqref="AM51:AM55">
    <cfRule type="notContainsBlanks" dxfId="2835" priority="1097" stopIfTrue="1">
      <formula>LEN(TRIM(AM51))&gt;0</formula>
    </cfRule>
  </conditionalFormatting>
  <conditionalFormatting sqref="AN51:AN55">
    <cfRule type="containsBlanks" dxfId="2834" priority="1098" stopIfTrue="1">
      <formula>LEN(TRIM(AN51))=0</formula>
    </cfRule>
  </conditionalFormatting>
  <conditionalFormatting sqref="AN51:AN55">
    <cfRule type="expression" dxfId="2833" priority="1099" stopIfTrue="1">
      <formula>SUM($AN$51:$AN$55)&lt;&gt;1</formula>
    </cfRule>
  </conditionalFormatting>
  <conditionalFormatting sqref="AN51:AN55">
    <cfRule type="notContainsBlanks" dxfId="2832" priority="1100" stopIfTrue="1">
      <formula>LEN(TRIM(AN51))&gt;0</formula>
    </cfRule>
  </conditionalFormatting>
  <conditionalFormatting sqref="E45:E49">
    <cfRule type="containsBlanks" dxfId="2831" priority="1111" stopIfTrue="1">
      <formula>LEN(TRIM(E45))=0</formula>
    </cfRule>
  </conditionalFormatting>
  <conditionalFormatting sqref="E45:E49">
    <cfRule type="expression" dxfId="2830" priority="1112" stopIfTrue="1">
      <formula>SUM($E$45:$E$49)&lt;&gt;1</formula>
    </cfRule>
  </conditionalFormatting>
  <conditionalFormatting sqref="E45:E49">
    <cfRule type="notContainsBlanks" dxfId="2829" priority="1113" stopIfTrue="1">
      <formula>LEN(TRIM(E45))&gt;0</formula>
    </cfRule>
  </conditionalFormatting>
  <conditionalFormatting sqref="F45:F49">
    <cfRule type="containsBlanks" dxfId="2828" priority="1114" stopIfTrue="1">
      <formula>LEN(TRIM(F45))=0</formula>
    </cfRule>
  </conditionalFormatting>
  <conditionalFormatting sqref="F45:F49">
    <cfRule type="expression" dxfId="2827" priority="1115" stopIfTrue="1">
      <formula>SUM($F$45:$F$49)&lt;&gt;1</formula>
    </cfRule>
  </conditionalFormatting>
  <conditionalFormatting sqref="F45:F49">
    <cfRule type="notContainsBlanks" dxfId="2826" priority="1116" stopIfTrue="1">
      <formula>LEN(TRIM(F45))&gt;0</formula>
    </cfRule>
  </conditionalFormatting>
  <conditionalFormatting sqref="G45:G49">
    <cfRule type="containsBlanks" dxfId="2825" priority="1117" stopIfTrue="1">
      <formula>LEN(TRIM(G45))=0</formula>
    </cfRule>
  </conditionalFormatting>
  <conditionalFormatting sqref="G45:G49">
    <cfRule type="expression" dxfId="2824" priority="1118" stopIfTrue="1">
      <formula>SUM($G$45:$G$49)&lt;&gt;1</formula>
    </cfRule>
  </conditionalFormatting>
  <conditionalFormatting sqref="G45:G49">
    <cfRule type="notContainsBlanks" dxfId="2823" priority="1119" stopIfTrue="1">
      <formula>LEN(TRIM(G45))&gt;0</formula>
    </cfRule>
  </conditionalFormatting>
  <conditionalFormatting sqref="H45:H49">
    <cfRule type="containsBlanks" dxfId="2822" priority="1120" stopIfTrue="1">
      <formula>LEN(TRIM(H45))=0</formula>
    </cfRule>
  </conditionalFormatting>
  <conditionalFormatting sqref="H45:H49">
    <cfRule type="expression" dxfId="2821" priority="1121" stopIfTrue="1">
      <formula>SUM($H$45:$H$49)&lt;&gt;1</formula>
    </cfRule>
  </conditionalFormatting>
  <conditionalFormatting sqref="H45:H49">
    <cfRule type="notContainsBlanks" dxfId="2820" priority="1122" stopIfTrue="1">
      <formula>LEN(TRIM(H45))&gt;0</formula>
    </cfRule>
  </conditionalFormatting>
  <conditionalFormatting sqref="I45:I49">
    <cfRule type="containsBlanks" dxfId="2819" priority="1123" stopIfTrue="1">
      <formula>LEN(TRIM(I45))=0</formula>
    </cfRule>
  </conditionalFormatting>
  <conditionalFormatting sqref="I45:I49">
    <cfRule type="expression" dxfId="2818" priority="1124" stopIfTrue="1">
      <formula>SUM($I$45:$I$49)&lt;&gt;1</formula>
    </cfRule>
  </conditionalFormatting>
  <conditionalFormatting sqref="I45:I49">
    <cfRule type="notContainsBlanks" dxfId="2817" priority="1125" stopIfTrue="1">
      <formula>LEN(TRIM(I45))&gt;0</formula>
    </cfRule>
  </conditionalFormatting>
  <conditionalFormatting sqref="J45:J49">
    <cfRule type="containsBlanks" dxfId="2816" priority="1126" stopIfTrue="1">
      <formula>LEN(TRIM(J45))=0</formula>
    </cfRule>
  </conditionalFormatting>
  <conditionalFormatting sqref="J45:J49">
    <cfRule type="expression" dxfId="2815" priority="1127" stopIfTrue="1">
      <formula>SUM($J$45:$J$49)&lt;&gt;1</formula>
    </cfRule>
  </conditionalFormatting>
  <conditionalFormatting sqref="J45:J49">
    <cfRule type="notContainsBlanks" dxfId="2814" priority="1128" stopIfTrue="1">
      <formula>LEN(TRIM(J45))&gt;0</formula>
    </cfRule>
  </conditionalFormatting>
  <conditionalFormatting sqref="K45:K49">
    <cfRule type="containsBlanks" dxfId="2813" priority="1129" stopIfTrue="1">
      <formula>LEN(TRIM(K45))=0</formula>
    </cfRule>
  </conditionalFormatting>
  <conditionalFormatting sqref="K45:K49">
    <cfRule type="expression" dxfId="2812" priority="1130" stopIfTrue="1">
      <formula>SUM($K$45:$K$49)&lt;&gt;1</formula>
    </cfRule>
  </conditionalFormatting>
  <conditionalFormatting sqref="K45:K49">
    <cfRule type="notContainsBlanks" dxfId="2811" priority="1131" stopIfTrue="1">
      <formula>LEN(TRIM(K45))&gt;0</formula>
    </cfRule>
  </conditionalFormatting>
  <conditionalFormatting sqref="L45:L49">
    <cfRule type="containsBlanks" dxfId="2810" priority="1132" stopIfTrue="1">
      <formula>LEN(TRIM(L45))=0</formula>
    </cfRule>
  </conditionalFormatting>
  <conditionalFormatting sqref="L45:L49">
    <cfRule type="expression" dxfId="2809" priority="1133" stopIfTrue="1">
      <formula>SUM($L$45:$L$49)&lt;&gt;1</formula>
    </cfRule>
  </conditionalFormatting>
  <conditionalFormatting sqref="L45:L49">
    <cfRule type="notContainsBlanks" dxfId="2808" priority="1134" stopIfTrue="1">
      <formula>LEN(TRIM(L45))&gt;0</formula>
    </cfRule>
  </conditionalFormatting>
  <conditionalFormatting sqref="M45:M49">
    <cfRule type="containsBlanks" dxfId="2807" priority="1135" stopIfTrue="1">
      <formula>LEN(TRIM(M45))=0</formula>
    </cfRule>
  </conditionalFormatting>
  <conditionalFormatting sqref="M45:M49">
    <cfRule type="expression" dxfId="2806" priority="1136" stopIfTrue="1">
      <formula>SUM($M$45:$M$49)&lt;&gt;1</formula>
    </cfRule>
  </conditionalFormatting>
  <conditionalFormatting sqref="M45:M49">
    <cfRule type="notContainsBlanks" dxfId="2805" priority="1137" stopIfTrue="1">
      <formula>LEN(TRIM(M45))&gt;0</formula>
    </cfRule>
  </conditionalFormatting>
  <conditionalFormatting sqref="N45:N49">
    <cfRule type="containsBlanks" dxfId="2804" priority="1138" stopIfTrue="1">
      <formula>LEN(TRIM(N45))=0</formula>
    </cfRule>
  </conditionalFormatting>
  <conditionalFormatting sqref="N45:N49">
    <cfRule type="expression" dxfId="2803" priority="1139" stopIfTrue="1">
      <formula>SUM($N$45:$N$49)&lt;&gt;1</formula>
    </cfRule>
  </conditionalFormatting>
  <conditionalFormatting sqref="N45:N49">
    <cfRule type="notContainsBlanks" dxfId="2802" priority="1140" stopIfTrue="1">
      <formula>LEN(TRIM(N45))&gt;0</formula>
    </cfRule>
  </conditionalFormatting>
  <conditionalFormatting sqref="O45:O49">
    <cfRule type="containsBlanks" dxfId="2801" priority="1141" stopIfTrue="1">
      <formula>LEN(TRIM(O45))=0</formula>
    </cfRule>
  </conditionalFormatting>
  <conditionalFormatting sqref="O45:O49">
    <cfRule type="expression" dxfId="2800" priority="1142" stopIfTrue="1">
      <formula>SUM($O$45:$O$49)&lt;&gt;1</formula>
    </cfRule>
  </conditionalFormatting>
  <conditionalFormatting sqref="O45:O49">
    <cfRule type="notContainsBlanks" dxfId="2799" priority="1143" stopIfTrue="1">
      <formula>LEN(TRIM(O45))&gt;0</formula>
    </cfRule>
  </conditionalFormatting>
  <conditionalFormatting sqref="P45:P49">
    <cfRule type="containsBlanks" dxfId="2798" priority="1144" stopIfTrue="1">
      <formula>LEN(TRIM(P45))=0</formula>
    </cfRule>
  </conditionalFormatting>
  <conditionalFormatting sqref="P45:P49">
    <cfRule type="expression" dxfId="2797" priority="1145" stopIfTrue="1">
      <formula>SUM($P$45:$P$49)&lt;&gt;1</formula>
    </cfRule>
  </conditionalFormatting>
  <conditionalFormatting sqref="P45:P49">
    <cfRule type="notContainsBlanks" dxfId="2796" priority="1146" stopIfTrue="1">
      <formula>LEN(TRIM(P45))&gt;0</formula>
    </cfRule>
  </conditionalFormatting>
  <conditionalFormatting sqref="Q45:Q49">
    <cfRule type="containsBlanks" dxfId="2795" priority="1147" stopIfTrue="1">
      <formula>LEN(TRIM(Q45))=0</formula>
    </cfRule>
  </conditionalFormatting>
  <conditionalFormatting sqref="Q45:Q49">
    <cfRule type="expression" dxfId="2794" priority="1148" stopIfTrue="1">
      <formula>SUM($Q$45:$Q$49)&lt;&gt;1</formula>
    </cfRule>
  </conditionalFormatting>
  <conditionalFormatting sqref="Q45:Q49">
    <cfRule type="notContainsBlanks" dxfId="2793" priority="1149" stopIfTrue="1">
      <formula>LEN(TRIM(Q45))&gt;0</formula>
    </cfRule>
  </conditionalFormatting>
  <conditionalFormatting sqref="R45:R49">
    <cfRule type="containsBlanks" dxfId="2792" priority="1150" stopIfTrue="1">
      <formula>LEN(TRIM(R45))=0</formula>
    </cfRule>
  </conditionalFormatting>
  <conditionalFormatting sqref="R45:R49">
    <cfRule type="expression" dxfId="2791" priority="1151" stopIfTrue="1">
      <formula>SUM($R$45:$R$49)&lt;&gt;1</formula>
    </cfRule>
  </conditionalFormatting>
  <conditionalFormatting sqref="R45:R49">
    <cfRule type="notContainsBlanks" dxfId="2790" priority="1152" stopIfTrue="1">
      <formula>LEN(TRIM(R45))&gt;0</formula>
    </cfRule>
  </conditionalFormatting>
  <conditionalFormatting sqref="S45:S49">
    <cfRule type="containsBlanks" dxfId="2789" priority="1153" stopIfTrue="1">
      <formula>LEN(TRIM(S45))=0</formula>
    </cfRule>
  </conditionalFormatting>
  <conditionalFormatting sqref="S45:S49">
    <cfRule type="expression" dxfId="2788" priority="1154" stopIfTrue="1">
      <formula>SUM($S$45:$S$49)&lt;&gt;1</formula>
    </cfRule>
  </conditionalFormatting>
  <conditionalFormatting sqref="S45:S49">
    <cfRule type="notContainsBlanks" dxfId="2787" priority="1155" stopIfTrue="1">
      <formula>LEN(TRIM(S45))&gt;0</formula>
    </cfRule>
  </conditionalFormatting>
  <conditionalFormatting sqref="T45:T49">
    <cfRule type="containsBlanks" dxfId="2786" priority="1156" stopIfTrue="1">
      <formula>LEN(TRIM(T45))=0</formula>
    </cfRule>
  </conditionalFormatting>
  <conditionalFormatting sqref="T45:T49">
    <cfRule type="expression" dxfId="2785" priority="1157" stopIfTrue="1">
      <formula>SUM($T$45:$T$49)&lt;&gt;1</formula>
    </cfRule>
  </conditionalFormatting>
  <conditionalFormatting sqref="T45:T49">
    <cfRule type="notContainsBlanks" dxfId="2784" priority="1158" stopIfTrue="1">
      <formula>LEN(TRIM(T45))&gt;0</formula>
    </cfRule>
  </conditionalFormatting>
  <conditionalFormatting sqref="U45:U49">
    <cfRule type="containsBlanks" dxfId="2783" priority="1159" stopIfTrue="1">
      <formula>LEN(TRIM(U45))=0</formula>
    </cfRule>
  </conditionalFormatting>
  <conditionalFormatting sqref="U45:U49">
    <cfRule type="expression" dxfId="2782" priority="1160" stopIfTrue="1">
      <formula>SUM($U$45:$U$49)&lt;&gt;1</formula>
    </cfRule>
  </conditionalFormatting>
  <conditionalFormatting sqref="U45:U49">
    <cfRule type="notContainsBlanks" dxfId="2781" priority="1161" stopIfTrue="1">
      <formula>LEN(TRIM(U45))&gt;0</formula>
    </cfRule>
  </conditionalFormatting>
  <conditionalFormatting sqref="V45:V49">
    <cfRule type="containsBlanks" dxfId="2780" priority="1162" stopIfTrue="1">
      <formula>LEN(TRIM(V45))=0</formula>
    </cfRule>
  </conditionalFormatting>
  <conditionalFormatting sqref="V45:V49">
    <cfRule type="expression" dxfId="2779" priority="1163" stopIfTrue="1">
      <formula>SUM($V$45:$V$49)&lt;&gt;1</formula>
    </cfRule>
  </conditionalFormatting>
  <conditionalFormatting sqref="V45:V49">
    <cfRule type="notContainsBlanks" dxfId="2778" priority="1164" stopIfTrue="1">
      <formula>LEN(TRIM(V45))&gt;0</formula>
    </cfRule>
  </conditionalFormatting>
  <conditionalFormatting sqref="W45:W49">
    <cfRule type="containsBlanks" dxfId="2777" priority="1165" stopIfTrue="1">
      <formula>LEN(TRIM(W45))=0</formula>
    </cfRule>
  </conditionalFormatting>
  <conditionalFormatting sqref="W45:W49">
    <cfRule type="expression" dxfId="2776" priority="1166" stopIfTrue="1">
      <formula>SUM($W$45:$W$49)&lt;&gt;1</formula>
    </cfRule>
  </conditionalFormatting>
  <conditionalFormatting sqref="W45:W49">
    <cfRule type="notContainsBlanks" dxfId="2775" priority="1167" stopIfTrue="1">
      <formula>LEN(TRIM(W45))&gt;0</formula>
    </cfRule>
  </conditionalFormatting>
  <conditionalFormatting sqref="X45:X49">
    <cfRule type="containsBlanks" dxfId="2774" priority="1168" stopIfTrue="1">
      <formula>LEN(TRIM(X45))=0</formula>
    </cfRule>
  </conditionalFormatting>
  <conditionalFormatting sqref="X45:X49">
    <cfRule type="expression" dxfId="2773" priority="1169" stopIfTrue="1">
      <formula>SUM($X$45:$X$49)&lt;&gt;1</formula>
    </cfRule>
  </conditionalFormatting>
  <conditionalFormatting sqref="X45:X49">
    <cfRule type="notContainsBlanks" dxfId="2772" priority="1170" stopIfTrue="1">
      <formula>LEN(TRIM(X45))&gt;0</formula>
    </cfRule>
  </conditionalFormatting>
  <conditionalFormatting sqref="Y45:Y49">
    <cfRule type="containsBlanks" dxfId="2771" priority="1171" stopIfTrue="1">
      <formula>LEN(TRIM(Y45))=0</formula>
    </cfRule>
  </conditionalFormatting>
  <conditionalFormatting sqref="Y45:Y49">
    <cfRule type="expression" dxfId="2770" priority="1172" stopIfTrue="1">
      <formula>SUM($Y$45:$Y$49)&lt;&gt;1</formula>
    </cfRule>
  </conditionalFormatting>
  <conditionalFormatting sqref="Y45:Y49">
    <cfRule type="notContainsBlanks" dxfId="2769" priority="1173" stopIfTrue="1">
      <formula>LEN(TRIM(Y45))&gt;0</formula>
    </cfRule>
  </conditionalFormatting>
  <conditionalFormatting sqref="Z45:Z49">
    <cfRule type="containsBlanks" dxfId="2768" priority="1174" stopIfTrue="1">
      <formula>LEN(TRIM(Z45))=0</formula>
    </cfRule>
  </conditionalFormatting>
  <conditionalFormatting sqref="Z45:Z49">
    <cfRule type="expression" dxfId="2767" priority="1175" stopIfTrue="1">
      <formula>SUM($Z$45:$Z$49)&lt;&gt;1</formula>
    </cfRule>
  </conditionalFormatting>
  <conditionalFormatting sqref="Z45:Z49">
    <cfRule type="notContainsBlanks" dxfId="2766" priority="1176" stopIfTrue="1">
      <formula>LEN(TRIM(Z45))&gt;0</formula>
    </cfRule>
  </conditionalFormatting>
  <conditionalFormatting sqref="AA45:AA49">
    <cfRule type="containsBlanks" dxfId="2765" priority="1177" stopIfTrue="1">
      <formula>LEN(TRIM(AA45))=0</formula>
    </cfRule>
  </conditionalFormatting>
  <conditionalFormatting sqref="AA45:AA49">
    <cfRule type="expression" dxfId="2764" priority="1178" stopIfTrue="1">
      <formula>SUM($AA$45:$AA$49)&lt;&gt;1</formula>
    </cfRule>
  </conditionalFormatting>
  <conditionalFormatting sqref="AA45:AA49">
    <cfRule type="notContainsBlanks" dxfId="2763" priority="1179" stopIfTrue="1">
      <formula>LEN(TRIM(AA45))&gt;0</formula>
    </cfRule>
  </conditionalFormatting>
  <conditionalFormatting sqref="AB45:AB49">
    <cfRule type="containsBlanks" dxfId="2762" priority="1180" stopIfTrue="1">
      <formula>LEN(TRIM(AB45))=0</formula>
    </cfRule>
  </conditionalFormatting>
  <conditionalFormatting sqref="AB45:AB49">
    <cfRule type="expression" dxfId="2761" priority="1181" stopIfTrue="1">
      <formula>SUM($AB$45:$AB$49)&lt;&gt;1</formula>
    </cfRule>
  </conditionalFormatting>
  <conditionalFormatting sqref="AB45:AB49">
    <cfRule type="notContainsBlanks" dxfId="2760" priority="1182" stopIfTrue="1">
      <formula>LEN(TRIM(AB45))&gt;0</formula>
    </cfRule>
  </conditionalFormatting>
  <conditionalFormatting sqref="AC45:AC49">
    <cfRule type="containsBlanks" dxfId="2759" priority="1183" stopIfTrue="1">
      <formula>LEN(TRIM(AC45))=0</formula>
    </cfRule>
  </conditionalFormatting>
  <conditionalFormatting sqref="AC45:AC49">
    <cfRule type="expression" dxfId="2758" priority="1184" stopIfTrue="1">
      <formula>SUM($AC$45:$AC$49)&lt;&gt;1</formula>
    </cfRule>
  </conditionalFormatting>
  <conditionalFormatting sqref="AC45:AC49">
    <cfRule type="notContainsBlanks" dxfId="2757" priority="1185" stopIfTrue="1">
      <formula>LEN(TRIM(AC45))&gt;0</formula>
    </cfRule>
  </conditionalFormatting>
  <conditionalFormatting sqref="AD45:AD49">
    <cfRule type="containsBlanks" dxfId="2756" priority="1186" stopIfTrue="1">
      <formula>LEN(TRIM(AD45))=0</formula>
    </cfRule>
  </conditionalFormatting>
  <conditionalFormatting sqref="AD45:AD49">
    <cfRule type="expression" dxfId="2755" priority="1187" stopIfTrue="1">
      <formula>SUM($AD$45:$AD$49)&lt;&gt;1</formula>
    </cfRule>
  </conditionalFormatting>
  <conditionalFormatting sqref="AD45:AD49">
    <cfRule type="notContainsBlanks" dxfId="2754" priority="1188" stopIfTrue="1">
      <formula>LEN(TRIM(AD45))&gt;0</formula>
    </cfRule>
  </conditionalFormatting>
  <conditionalFormatting sqref="AE45:AE49">
    <cfRule type="containsBlanks" dxfId="2753" priority="1189" stopIfTrue="1">
      <formula>LEN(TRIM(AE45))=0</formula>
    </cfRule>
  </conditionalFormatting>
  <conditionalFormatting sqref="AE45:AE49">
    <cfRule type="expression" dxfId="2752" priority="1190" stopIfTrue="1">
      <formula>SUM($AE$45:$AE$49)&lt;&gt;1</formula>
    </cfRule>
  </conditionalFormatting>
  <conditionalFormatting sqref="AE45:AE49">
    <cfRule type="notContainsBlanks" dxfId="2751" priority="1191" stopIfTrue="1">
      <formula>LEN(TRIM(AE45))&gt;0</formula>
    </cfRule>
  </conditionalFormatting>
  <conditionalFormatting sqref="AF45:AF49">
    <cfRule type="containsBlanks" dxfId="2750" priority="1192" stopIfTrue="1">
      <formula>LEN(TRIM(AF45))=0</formula>
    </cfRule>
  </conditionalFormatting>
  <conditionalFormatting sqref="AF45:AF49">
    <cfRule type="expression" dxfId="2749" priority="1193" stopIfTrue="1">
      <formula>SUM($AF$45:$AF$49)&lt;&gt;1</formula>
    </cfRule>
  </conditionalFormatting>
  <conditionalFormatting sqref="AF45:AF49">
    <cfRule type="notContainsBlanks" dxfId="2748" priority="1194" stopIfTrue="1">
      <formula>LEN(TRIM(AF45))&gt;0</formula>
    </cfRule>
  </conditionalFormatting>
  <conditionalFormatting sqref="AG45:AG49">
    <cfRule type="containsBlanks" dxfId="2747" priority="1195" stopIfTrue="1">
      <formula>LEN(TRIM(AG45))=0</formula>
    </cfRule>
  </conditionalFormatting>
  <conditionalFormatting sqref="AG45:AG49">
    <cfRule type="expression" dxfId="2746" priority="1196" stopIfTrue="1">
      <formula>SUM($AG$45:$AG$49)&lt;&gt;1</formula>
    </cfRule>
  </conditionalFormatting>
  <conditionalFormatting sqref="AG45:AG49">
    <cfRule type="notContainsBlanks" dxfId="2745" priority="1197" stopIfTrue="1">
      <formula>LEN(TRIM(AG45))&gt;0</formula>
    </cfRule>
  </conditionalFormatting>
  <conditionalFormatting sqref="AH45:AH49">
    <cfRule type="containsBlanks" dxfId="2744" priority="1198" stopIfTrue="1">
      <formula>LEN(TRIM(AH45))=0</formula>
    </cfRule>
  </conditionalFormatting>
  <conditionalFormatting sqref="AH45:AH49">
    <cfRule type="expression" dxfId="2743" priority="1199" stopIfTrue="1">
      <formula>SUM($AH$45:$AH$49)&lt;&gt;1</formula>
    </cfRule>
  </conditionalFormatting>
  <conditionalFormatting sqref="AH45:AH49">
    <cfRule type="notContainsBlanks" dxfId="2742" priority="1200" stopIfTrue="1">
      <formula>LEN(TRIM(AH45))&gt;0</formula>
    </cfRule>
  </conditionalFormatting>
  <conditionalFormatting sqref="AI45:AI49">
    <cfRule type="containsBlanks" dxfId="2741" priority="1201" stopIfTrue="1">
      <formula>LEN(TRIM(AI45))=0</formula>
    </cfRule>
  </conditionalFormatting>
  <conditionalFormatting sqref="AI45:AI49">
    <cfRule type="expression" dxfId="2740" priority="1202" stopIfTrue="1">
      <formula>SUM($AI$45:$AI$49)&lt;&gt;1</formula>
    </cfRule>
  </conditionalFormatting>
  <conditionalFormatting sqref="AI45:AI49">
    <cfRule type="notContainsBlanks" dxfId="2739" priority="1203" stopIfTrue="1">
      <formula>LEN(TRIM(AI45))&gt;0</formula>
    </cfRule>
  </conditionalFormatting>
  <conditionalFormatting sqref="AJ45:AJ49">
    <cfRule type="containsBlanks" dxfId="2738" priority="1204" stopIfTrue="1">
      <formula>LEN(TRIM(AJ45))=0</formula>
    </cfRule>
  </conditionalFormatting>
  <conditionalFormatting sqref="AJ45:AJ49">
    <cfRule type="expression" dxfId="2737" priority="1205" stopIfTrue="1">
      <formula>SUM($AJ$45:$AJ$49)&lt;&gt;1</formula>
    </cfRule>
  </conditionalFormatting>
  <conditionalFormatting sqref="AJ45:AJ49">
    <cfRule type="notContainsBlanks" dxfId="2736" priority="1206" stopIfTrue="1">
      <formula>LEN(TRIM(AJ45))&gt;0</formula>
    </cfRule>
  </conditionalFormatting>
  <conditionalFormatting sqref="AK45:AK49">
    <cfRule type="containsBlanks" dxfId="2735" priority="1207" stopIfTrue="1">
      <formula>LEN(TRIM(AK45))=0</formula>
    </cfRule>
  </conditionalFormatting>
  <conditionalFormatting sqref="AK45:AK49">
    <cfRule type="expression" dxfId="2734" priority="1208" stopIfTrue="1">
      <formula>SUM($AK$45:$AK$49)&lt;&gt;1</formula>
    </cfRule>
  </conditionalFormatting>
  <conditionalFormatting sqref="AK45:AK49">
    <cfRule type="notContainsBlanks" dxfId="2733" priority="1209" stopIfTrue="1">
      <formula>LEN(TRIM(AK45))&gt;0</formula>
    </cfRule>
  </conditionalFormatting>
  <conditionalFormatting sqref="AL45:AL49">
    <cfRule type="containsBlanks" dxfId="2732" priority="1210" stopIfTrue="1">
      <formula>LEN(TRIM(AL45))=0</formula>
    </cfRule>
  </conditionalFormatting>
  <conditionalFormatting sqref="AL45:AL49">
    <cfRule type="expression" dxfId="2731" priority="1211" stopIfTrue="1">
      <formula>SUM($AL$45:$AL$49)&lt;&gt;1</formula>
    </cfRule>
  </conditionalFormatting>
  <conditionalFormatting sqref="AL45:AL49">
    <cfRule type="notContainsBlanks" dxfId="2730" priority="1212" stopIfTrue="1">
      <formula>LEN(TRIM(AL45))&gt;0</formula>
    </cfRule>
  </conditionalFormatting>
  <conditionalFormatting sqref="AM45:AM49">
    <cfRule type="containsBlanks" dxfId="2729" priority="1213" stopIfTrue="1">
      <formula>LEN(TRIM(AM45))=0</formula>
    </cfRule>
  </conditionalFormatting>
  <conditionalFormatting sqref="AM45:AM49">
    <cfRule type="expression" dxfId="2728" priority="1214" stopIfTrue="1">
      <formula>SUM($AM$45:$AM$49)&lt;&gt;1</formula>
    </cfRule>
  </conditionalFormatting>
  <conditionalFormatting sqref="AM45:AM49">
    <cfRule type="notContainsBlanks" dxfId="2727" priority="1215" stopIfTrue="1">
      <formula>LEN(TRIM(AM45))&gt;0</formula>
    </cfRule>
  </conditionalFormatting>
  <conditionalFormatting sqref="AN45:AN49">
    <cfRule type="containsBlanks" dxfId="2726" priority="1216" stopIfTrue="1">
      <formula>LEN(TRIM(AN45))=0</formula>
    </cfRule>
  </conditionalFormatting>
  <conditionalFormatting sqref="AN45:AN49">
    <cfRule type="expression" dxfId="2725" priority="1217" stopIfTrue="1">
      <formula>SUM($AN$45:$AN$49)&lt;&gt;1</formula>
    </cfRule>
  </conditionalFormatting>
  <conditionalFormatting sqref="AN45:AN49">
    <cfRule type="notContainsBlanks" dxfId="2724" priority="1218" stopIfTrue="1">
      <formula>LEN(TRIM(AN45))&gt;0</formula>
    </cfRule>
  </conditionalFormatting>
  <conditionalFormatting sqref="E22:AN22">
    <cfRule type="containsBlanks" dxfId="2723" priority="1219" stopIfTrue="1">
      <formula>LEN(TRIM(E22))=0</formula>
    </cfRule>
  </conditionalFormatting>
  <conditionalFormatting sqref="E22:AN22">
    <cfRule type="notContainsBlanks" dxfId="2722" priority="1220" stopIfTrue="1">
      <formula>LEN(TRIM(E22))&gt;0</formula>
    </cfRule>
  </conditionalFormatting>
  <conditionalFormatting sqref="E23:AN23">
    <cfRule type="containsBlanks" dxfId="2721" priority="1221" stopIfTrue="1">
      <formula>LEN(TRIM(E23))=0</formula>
    </cfRule>
  </conditionalFormatting>
  <conditionalFormatting sqref="E23:AN23">
    <cfRule type="notContainsBlanks" dxfId="2720" priority="1222" stopIfTrue="1">
      <formula>LEN(TRIM(E23))&gt;0</formula>
    </cfRule>
  </conditionalFormatting>
  <conditionalFormatting sqref="E25:AN25">
    <cfRule type="containsBlanks" dxfId="2719" priority="1223" stopIfTrue="1">
      <formula>LEN(TRIM(E25))=0</formula>
    </cfRule>
  </conditionalFormatting>
  <conditionalFormatting sqref="E25:AN25">
    <cfRule type="notContainsBlanks" dxfId="2718" priority="1224" stopIfTrue="1">
      <formula>LEN(TRIM(E25))&gt;0</formula>
    </cfRule>
  </conditionalFormatting>
  <conditionalFormatting sqref="E26:AN26">
    <cfRule type="containsBlanks" dxfId="2717" priority="1225" stopIfTrue="1">
      <formula>LEN(TRIM(E26))=0</formula>
    </cfRule>
  </conditionalFormatting>
  <conditionalFormatting sqref="E26:AN26">
    <cfRule type="notContainsBlanks" dxfId="2716" priority="1226" stopIfTrue="1">
      <formula>LEN(TRIM(E26))&gt;0</formula>
    </cfRule>
  </conditionalFormatting>
  <conditionalFormatting sqref="E29:AN29">
    <cfRule type="containsBlanks" dxfId="2715" priority="1227" stopIfTrue="1">
      <formula>LEN(TRIM(E29))=0</formula>
    </cfRule>
  </conditionalFormatting>
  <conditionalFormatting sqref="E29:AN29">
    <cfRule type="notContainsBlanks" dxfId="2714" priority="1228" stopIfTrue="1">
      <formula>LEN(TRIM(E29))&gt;0</formula>
    </cfRule>
  </conditionalFormatting>
  <conditionalFormatting sqref="E30:AN30">
    <cfRule type="containsBlanks" dxfId="2713" priority="1229" stopIfTrue="1">
      <formula>LEN(TRIM(E30))=0</formula>
    </cfRule>
  </conditionalFormatting>
  <conditionalFormatting sqref="E30:AN30">
    <cfRule type="notContainsBlanks" dxfId="2712" priority="1230" stopIfTrue="1">
      <formula>LEN(TRIM(E30))&gt;0</formula>
    </cfRule>
  </conditionalFormatting>
  <conditionalFormatting sqref="E33:AN33">
    <cfRule type="containsBlanks" dxfId="2711" priority="1231" stopIfTrue="1">
      <formula>LEN(TRIM(E33))=0</formula>
    </cfRule>
  </conditionalFormatting>
  <conditionalFormatting sqref="E33:AN33">
    <cfRule type="notContainsBlanks" dxfId="2710" priority="1232" stopIfTrue="1">
      <formula>LEN(TRIM(E33))&gt;0</formula>
    </cfRule>
  </conditionalFormatting>
  <conditionalFormatting sqref="E34:AN34">
    <cfRule type="containsBlanks" dxfId="2709" priority="1233" stopIfTrue="1">
      <formula>LEN(TRIM(E34))=0</formula>
    </cfRule>
  </conditionalFormatting>
  <conditionalFormatting sqref="E34:AN34">
    <cfRule type="notContainsBlanks" dxfId="2708" priority="1234" stopIfTrue="1">
      <formula>LEN(TRIM(E34))&gt;0</formula>
    </cfRule>
  </conditionalFormatting>
  <conditionalFormatting sqref="E36:AN36">
    <cfRule type="containsBlanks" dxfId="2707" priority="1235" stopIfTrue="1">
      <formula>LEN(TRIM(E36))=0</formula>
    </cfRule>
  </conditionalFormatting>
  <conditionalFormatting sqref="E36:AN36">
    <cfRule type="notContainsBlanks" dxfId="2706" priority="1236" stopIfTrue="1">
      <formula>LEN(TRIM(E36))&gt;0</formula>
    </cfRule>
  </conditionalFormatting>
  <conditionalFormatting sqref="E37:AN37">
    <cfRule type="containsBlanks" dxfId="2705" priority="1237" stopIfTrue="1">
      <formula>LEN(TRIM(E37))=0</formula>
    </cfRule>
  </conditionalFormatting>
  <conditionalFormatting sqref="E37:AN37">
    <cfRule type="notContainsBlanks" dxfId="2704" priority="1238" stopIfTrue="1">
      <formula>LEN(TRIM(E37))&gt;0</formula>
    </cfRule>
  </conditionalFormatting>
  <conditionalFormatting sqref="E40:AN40">
    <cfRule type="containsBlanks" dxfId="2703" priority="1239" stopIfTrue="1">
      <formula>LEN(TRIM(E40))=0</formula>
    </cfRule>
  </conditionalFormatting>
  <conditionalFormatting sqref="E40:AN40">
    <cfRule type="notContainsBlanks" dxfId="2702" priority="1240" stopIfTrue="1">
      <formula>LEN(TRIM(E40))&gt;0</formula>
    </cfRule>
  </conditionalFormatting>
  <conditionalFormatting sqref="E41:AN41">
    <cfRule type="containsBlanks" dxfId="2701" priority="1241" stopIfTrue="1">
      <formula>LEN(TRIM(E41))=0</formula>
    </cfRule>
  </conditionalFormatting>
  <conditionalFormatting sqref="E41:AN41">
    <cfRule type="notContainsBlanks" dxfId="2700" priority="1242" stopIfTrue="1">
      <formula>LEN(TRIM(E41))&gt;0</formula>
    </cfRule>
  </conditionalFormatting>
  <conditionalFormatting sqref="E6:AN6">
    <cfRule type="containsBlanks" dxfId="2699" priority="1243" stopIfTrue="1">
      <formula>LEN(TRIM(E6))=0</formula>
    </cfRule>
  </conditionalFormatting>
  <conditionalFormatting sqref="E6:AN6">
    <cfRule type="notContainsBlanks" dxfId="2698" priority="1244" stopIfTrue="1">
      <formula>LEN(TRIM(E6))&gt;0</formula>
    </cfRule>
  </conditionalFormatting>
  <conditionalFormatting sqref="E7:AN7">
    <cfRule type="containsBlanks" dxfId="2697" priority="1245" stopIfTrue="1">
      <formula>LEN(TRIM(E7))=0</formula>
    </cfRule>
  </conditionalFormatting>
  <conditionalFormatting sqref="E7:AN7">
    <cfRule type="notContainsBlanks" dxfId="2696" priority="1246" stopIfTrue="1">
      <formula>LEN(TRIM(E7))&gt;0</formula>
    </cfRule>
  </conditionalFormatting>
  <conditionalFormatting sqref="E9:AN9">
    <cfRule type="containsBlanks" dxfId="2695" priority="1247" stopIfTrue="1">
      <formula>LEN(TRIM(E9))=0</formula>
    </cfRule>
  </conditionalFormatting>
  <conditionalFormatting sqref="E9:AN9">
    <cfRule type="notContainsBlanks" dxfId="2694" priority="1248" stopIfTrue="1">
      <formula>LEN(TRIM(E9))&gt;0</formula>
    </cfRule>
  </conditionalFormatting>
  <conditionalFormatting sqref="E10:AN10">
    <cfRule type="containsBlanks" dxfId="2693" priority="1249" stopIfTrue="1">
      <formula>LEN(TRIM(E10))=0</formula>
    </cfRule>
  </conditionalFormatting>
  <conditionalFormatting sqref="E10:AN10">
    <cfRule type="notContainsBlanks" dxfId="2692" priority="1250" stopIfTrue="1">
      <formula>LEN(TRIM(E10))&gt;0</formula>
    </cfRule>
  </conditionalFormatting>
  <conditionalFormatting sqref="E12:AN12">
    <cfRule type="containsBlanks" dxfId="2691" priority="1251" stopIfTrue="1">
      <formula>LEN(TRIM(E12))=0</formula>
    </cfRule>
  </conditionalFormatting>
  <conditionalFormatting sqref="E12:AN12">
    <cfRule type="notContainsBlanks" dxfId="2690" priority="1252" stopIfTrue="1">
      <formula>LEN(TRIM(E12))&gt;0</formula>
    </cfRule>
  </conditionalFormatting>
  <conditionalFormatting sqref="E13:AN13">
    <cfRule type="containsBlanks" dxfId="2689" priority="1253" stopIfTrue="1">
      <formula>LEN(TRIM(E13))=0</formula>
    </cfRule>
  </conditionalFormatting>
  <conditionalFormatting sqref="E13:AN13">
    <cfRule type="notContainsBlanks" dxfId="2688" priority="1254" stopIfTrue="1">
      <formula>LEN(TRIM(E13))&gt;0</formula>
    </cfRule>
  </conditionalFormatting>
  <conditionalFormatting sqref="E16:AN16">
    <cfRule type="containsBlanks" dxfId="2687" priority="1255" stopIfTrue="1">
      <formula>LEN(TRIM(E16))=0</formula>
    </cfRule>
  </conditionalFormatting>
  <conditionalFormatting sqref="E16:AN16">
    <cfRule type="notContainsBlanks" dxfId="2686" priority="1256" stopIfTrue="1">
      <formula>LEN(TRIM(E16))&gt;0</formula>
    </cfRule>
  </conditionalFormatting>
  <conditionalFormatting sqref="E17:AN17">
    <cfRule type="containsBlanks" dxfId="2685" priority="1257" stopIfTrue="1">
      <formula>LEN(TRIM(E17))=0</formula>
    </cfRule>
  </conditionalFormatting>
  <conditionalFormatting sqref="E17:AN17">
    <cfRule type="notContainsBlanks" dxfId="2684" priority="1258" stopIfTrue="1">
      <formula>LEN(TRIM(E17))&gt;0</formula>
    </cfRule>
  </conditionalFormatting>
  <conditionalFormatting sqref="E283:E284">
    <cfRule type="containsBlanks" dxfId="2683" priority="35" stopIfTrue="1">
      <formula>LEN(TRIM(E283))=0</formula>
    </cfRule>
    <cfRule type="notContainsBlanks" dxfId="2682" priority="36" stopIfTrue="1">
      <formula>LEN(TRIM(E283))&gt;0</formula>
    </cfRule>
  </conditionalFormatting>
  <conditionalFormatting sqref="E297:E298">
    <cfRule type="containsBlanks" dxfId="2681" priority="33" stopIfTrue="1">
      <formula>LEN(TRIM(E297))=0</formula>
    </cfRule>
    <cfRule type="notContainsBlanks" dxfId="2680" priority="34" stopIfTrue="1">
      <formula>LEN(TRIM(E297))&gt;0</formula>
    </cfRule>
  </conditionalFormatting>
  <conditionalFormatting sqref="E311:E312">
    <cfRule type="containsBlanks" dxfId="2679" priority="27" stopIfTrue="1">
      <formula>LEN(TRIM(E311))=0</formula>
    </cfRule>
    <cfRule type="notContainsBlanks" dxfId="2678" priority="28" stopIfTrue="1">
      <formula>LEN(TRIM(E311))&gt;0</formula>
    </cfRule>
  </conditionalFormatting>
  <conditionalFormatting sqref="E325:E326">
    <cfRule type="containsBlanks" dxfId="2677" priority="21" stopIfTrue="1">
      <formula>LEN(TRIM(E325))=0</formula>
    </cfRule>
    <cfRule type="notContainsBlanks" dxfId="2676" priority="22" stopIfTrue="1">
      <formula>LEN(TRIM(E325))&gt;0</formula>
    </cfRule>
  </conditionalFormatting>
  <conditionalFormatting sqref="E339:E340">
    <cfRule type="containsBlanks" dxfId="2675" priority="15" stopIfTrue="1">
      <formula>LEN(TRIM(E339))=0</formula>
    </cfRule>
    <cfRule type="notContainsBlanks" dxfId="2674" priority="16" stopIfTrue="1">
      <formula>LEN(TRIM(E339))&gt;0</formula>
    </cfRule>
  </conditionalFormatting>
  <conditionalFormatting sqref="F325:X326">
    <cfRule type="containsBlanks" dxfId="2673" priority="9" stopIfTrue="1">
      <formula>LEN(TRIM(F325))=0</formula>
    </cfRule>
    <cfRule type="notContainsBlanks" dxfId="2672" priority="10" stopIfTrue="1">
      <formula>LEN(TRIM(F325))&gt;0</formula>
    </cfRule>
  </conditionalFormatting>
  <conditionalFormatting sqref="F339:X340">
    <cfRule type="containsBlanks" dxfId="2671" priority="7" stopIfTrue="1">
      <formula>LEN(TRIM(F339))=0</formula>
    </cfRule>
    <cfRule type="notContainsBlanks" dxfId="2670" priority="8" stopIfTrue="1">
      <formula>LEN(TRIM(F339))&gt;0</formula>
    </cfRule>
  </conditionalFormatting>
  <conditionalFormatting sqref="F311:X312">
    <cfRule type="containsBlanks" dxfId="2669" priority="5" stopIfTrue="1">
      <formula>LEN(TRIM(F311))=0</formula>
    </cfRule>
    <cfRule type="notContainsBlanks" dxfId="2668" priority="6" stopIfTrue="1">
      <formula>LEN(TRIM(F311))&gt;0</formula>
    </cfRule>
  </conditionalFormatting>
  <conditionalFormatting sqref="F297:X298">
    <cfRule type="containsBlanks" dxfId="2667" priority="3" stopIfTrue="1">
      <formula>LEN(TRIM(F297))=0</formula>
    </cfRule>
    <cfRule type="notContainsBlanks" dxfId="2666" priority="4" stopIfTrue="1">
      <formula>LEN(TRIM(F297))&gt;0</formula>
    </cfRule>
  </conditionalFormatting>
  <conditionalFormatting sqref="F283:X284">
    <cfRule type="containsBlanks" dxfId="2665" priority="1" stopIfTrue="1">
      <formula>LEN(TRIM(F283))=0</formula>
    </cfRule>
    <cfRule type="notContainsBlanks" dxfId="2664" priority="2" stopIfTrue="1">
      <formula>LEN(TRIM(F283))&gt;0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2:AO345"/>
  <sheetViews>
    <sheetView zoomScale="85" zoomScaleNormal="85" workbookViewId="0">
      <selection activeCell="B6" sqref="B6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31.81640625" style="6" bestFit="1" customWidth="1"/>
    <col min="4" max="4" width="10.81640625" style="6" bestFit="1" customWidth="1"/>
    <col min="5" max="25" width="6.81640625" style="6" bestFit="1" customWidth="1"/>
    <col min="26" max="26" width="8.453125" style="6" bestFit="1" customWidth="1"/>
    <col min="27" max="28" width="6.81640625" style="6" bestFit="1" customWidth="1"/>
    <col min="29" max="29" width="25.36328125" style="6" bestFit="1" customWidth="1"/>
    <col min="30" max="30" width="8.08984375" style="6" bestFit="1" customWidth="1"/>
    <col min="31" max="40" width="6.81640625" style="6" bestFit="1" customWidth="1"/>
    <col min="41" max="41" width="3.453125" style="6" customWidth="1"/>
    <col min="42" max="16384" width="9.1796875" style="6"/>
  </cols>
  <sheetData>
    <row r="2" spans="2:41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</row>
    <row r="3" spans="2:41" x14ac:dyDescent="0.35">
      <c r="B3" s="8"/>
      <c r="C3" s="23" t="s">
        <v>104</v>
      </c>
      <c r="D3" s="24"/>
      <c r="E3" s="26">
        <f t="array" ref="E3:AN3">_yS</f>
        <v>2024</v>
      </c>
      <c r="F3" s="26">
        <v>2025</v>
      </c>
      <c r="G3" s="26">
        <v>2026</v>
      </c>
      <c r="H3" s="26">
        <v>2027</v>
      </c>
      <c r="I3" s="26">
        <v>2028</v>
      </c>
      <c r="J3" s="26">
        <v>2029</v>
      </c>
      <c r="K3" s="26">
        <v>2030</v>
      </c>
      <c r="L3" s="26">
        <v>2031</v>
      </c>
      <c r="M3" s="26">
        <v>2032</v>
      </c>
      <c r="N3" s="26">
        <v>2033</v>
      </c>
      <c r="O3" s="26">
        <v>2034</v>
      </c>
      <c r="P3" s="26">
        <v>2035</v>
      </c>
      <c r="Q3" s="26">
        <v>2036</v>
      </c>
      <c r="R3" s="26">
        <v>2037</v>
      </c>
      <c r="S3" s="26">
        <v>2038</v>
      </c>
      <c r="T3" s="26">
        <v>2039</v>
      </c>
      <c r="U3" s="26">
        <v>2040</v>
      </c>
      <c r="V3" s="26">
        <v>2041</v>
      </c>
      <c r="W3" s="26">
        <v>2042</v>
      </c>
      <c r="X3" s="26">
        <v>2043</v>
      </c>
      <c r="Y3" s="26">
        <v>2044</v>
      </c>
      <c r="Z3" s="26">
        <v>2045</v>
      </c>
      <c r="AA3" s="26">
        <v>2046</v>
      </c>
      <c r="AB3" s="26">
        <v>2047</v>
      </c>
      <c r="AC3" s="26">
        <v>2048</v>
      </c>
      <c r="AD3" s="26">
        <v>2049</v>
      </c>
      <c r="AE3" s="26">
        <v>2050</v>
      </c>
      <c r="AF3" s="26">
        <v>2051</v>
      </c>
      <c r="AG3" s="26">
        <v>2052</v>
      </c>
      <c r="AH3" s="26">
        <v>2053</v>
      </c>
      <c r="AI3" s="26">
        <v>2054</v>
      </c>
      <c r="AJ3" s="26">
        <v>2055</v>
      </c>
      <c r="AK3" s="26">
        <v>2056</v>
      </c>
      <c r="AL3" s="26">
        <v>2057</v>
      </c>
      <c r="AM3" s="26">
        <v>2058</v>
      </c>
      <c r="AN3" s="27">
        <v>2059</v>
      </c>
      <c r="AO3" s="8"/>
    </row>
    <row r="4" spans="2:41" x14ac:dyDescent="0.35">
      <c r="B4" s="8"/>
      <c r="C4" s="57" t="str">
        <f ca="1">"Stds Case (CSL " &amp; stdCSL1 &amp; ",CSL " &amp; stdCSL2 &amp; "): " &amp; INDEX(_doName,2,stdCSL1+1) &amp; "," &amp; INDEX(_doName,2,stdCSL2+1)</f>
        <v>Stds Case (CSL 1,CSL 2): Tier 1,Tier 2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8"/>
      <c r="AO4" s="8"/>
    </row>
    <row r="5" spans="2:41" x14ac:dyDescent="0.35">
      <c r="B5" s="8"/>
      <c r="C5" s="10" t="s">
        <v>105</v>
      </c>
      <c r="D5" s="11" t="str">
        <f>"mi " &amp; _yearDol &amp; "$"</f>
        <v>mi 2021$</v>
      </c>
      <c r="E5" s="32">
        <f t="array" aca="1" ref="E5:AN5" ca="1">tnet_Res+tnet_Com</f>
        <v>17.356128555567778</v>
      </c>
      <c r="F5" s="32">
        <f ca="1"/>
        <v>18.201034402435681</v>
      </c>
      <c r="G5" s="32">
        <f ca="1"/>
        <v>62.082626196921794</v>
      </c>
      <c r="H5" s="32">
        <f ca="1"/>
        <v>65.440567874147831</v>
      </c>
      <c r="I5" s="32">
        <f ca="1"/>
        <v>69.074994287633686</v>
      </c>
      <c r="J5" s="32">
        <f ca="1"/>
        <v>72.861511697425868</v>
      </c>
      <c r="K5" s="32">
        <f ca="1"/>
        <v>76.801766951183836</v>
      </c>
      <c r="L5" s="32">
        <f ca="1"/>
        <v>80.873015137918799</v>
      </c>
      <c r="M5" s="32">
        <f ca="1"/>
        <v>85.047691065745497</v>
      </c>
      <c r="N5" s="32">
        <f ca="1"/>
        <v>89.353661283628284</v>
      </c>
      <c r="O5" s="32">
        <f ca="1"/>
        <v>93.747672613507007</v>
      </c>
      <c r="P5" s="32">
        <f ca="1"/>
        <v>98.289678494222542</v>
      </c>
      <c r="Q5" s="32">
        <f ca="1"/>
        <v>103.0903457388191</v>
      </c>
      <c r="R5" s="32">
        <f ca="1"/>
        <v>108.13564734567402</v>
      </c>
      <c r="S5" s="32">
        <f ca="1"/>
        <v>113.47382047639593</v>
      </c>
      <c r="T5" s="32">
        <f ca="1"/>
        <v>119.10445623983534</v>
      </c>
      <c r="U5" s="32">
        <f ca="1"/>
        <v>124.97618966577809</v>
      </c>
      <c r="V5" s="32">
        <f ca="1"/>
        <v>131.10561323544243</v>
      </c>
      <c r="W5" s="32">
        <f ca="1"/>
        <v>137.54699634489222</v>
      </c>
      <c r="X5" s="32">
        <f ca="1"/>
        <v>144.26884571992477</v>
      </c>
      <c r="Y5" s="32">
        <f ca="1"/>
        <v>151.30551518544806</v>
      </c>
      <c r="Z5" s="32">
        <f ca="1"/>
        <v>158.76594409547437</v>
      </c>
      <c r="AA5" s="32">
        <f ca="1"/>
        <v>166.56436336483071</v>
      </c>
      <c r="AB5" s="32">
        <f ca="1"/>
        <v>174.74966738865064</v>
      </c>
      <c r="AC5" s="32">
        <f ca="1"/>
        <v>183.37765955115316</v>
      </c>
      <c r="AD5" s="32">
        <f ca="1"/>
        <v>192.39199379436442</v>
      </c>
      <c r="AE5" s="32">
        <f ca="1"/>
        <v>201.87829572633171</v>
      </c>
      <c r="AF5" s="32">
        <f ca="1"/>
        <v>211.97150814440221</v>
      </c>
      <c r="AG5" s="32">
        <f ca="1"/>
        <v>222.55983817885067</v>
      </c>
      <c r="AH5" s="32">
        <f ca="1"/>
        <v>233.66738247440014</v>
      </c>
      <c r="AI5" s="32">
        <f ca="1"/>
        <v>245.31968694522828</v>
      </c>
      <c r="AJ5" s="32">
        <f ca="1"/>
        <v>257.54370368566725</v>
      </c>
      <c r="AK5" s="32">
        <f ca="1"/>
        <v>270.36776301641311</v>
      </c>
      <c r="AL5" s="32">
        <f ca="1"/>
        <v>283.8214660815467</v>
      </c>
      <c r="AM5" s="32">
        <f ca="1"/>
        <v>0</v>
      </c>
      <c r="AN5" s="55">
        <f ca="1"/>
        <v>0</v>
      </c>
      <c r="AO5" s="8"/>
    </row>
    <row r="6" spans="2:41" x14ac:dyDescent="0.35">
      <c r="B6" s="8"/>
      <c r="C6" s="20" t="str">
        <f>INDEX(_Sector,2,1)</f>
        <v>Residential</v>
      </c>
      <c r="D6" s="8"/>
      <c r="E6" s="32">
        <f t="array" aca="1" ref="E6:AN6" ca="1">tecs_Res-tiec_Res</f>
        <v>9.0675778487379119</v>
      </c>
      <c r="F6" s="32">
        <f ca="1"/>
        <v>9.5170810194343858</v>
      </c>
      <c r="G6" s="32">
        <f ca="1"/>
        <v>32.597469535118961</v>
      </c>
      <c r="H6" s="32">
        <f ca="1"/>
        <v>34.388651056700837</v>
      </c>
      <c r="I6" s="32">
        <f ca="1"/>
        <v>36.328483791967869</v>
      </c>
      <c r="J6" s="32">
        <f ca="1"/>
        <v>38.351043483681565</v>
      </c>
      <c r="K6" s="32">
        <f ca="1"/>
        <v>40.458614269637906</v>
      </c>
      <c r="L6" s="32">
        <f ca="1"/>
        <v>42.63840233627721</v>
      </c>
      <c r="M6" s="32">
        <f ca="1"/>
        <v>44.879201765550704</v>
      </c>
      <c r="N6" s="32">
        <f ca="1"/>
        <v>47.190521972717818</v>
      </c>
      <c r="O6" s="32">
        <f ca="1"/>
        <v>49.556563281491066</v>
      </c>
      <c r="P6" s="32">
        <f ca="1"/>
        <v>52.006852965860702</v>
      </c>
      <c r="Q6" s="32">
        <f ca="1"/>
        <v>54.594500191893729</v>
      </c>
      <c r="R6" s="32">
        <f ca="1"/>
        <v>57.314475014853343</v>
      </c>
      <c r="S6" s="32">
        <f ca="1"/>
        <v>60.191955166511036</v>
      </c>
      <c r="T6" s="32">
        <f ca="1"/>
        <v>63.224308469474295</v>
      </c>
      <c r="U6" s="32">
        <f ca="1"/>
        <v>66.393369307119343</v>
      </c>
      <c r="V6" s="32">
        <f ca="1"/>
        <v>69.703901422228995</v>
      </c>
      <c r="W6" s="32">
        <f ca="1"/>
        <v>73.17825671878839</v>
      </c>
      <c r="X6" s="32">
        <f ca="1"/>
        <v>76.804501831192908</v>
      </c>
      <c r="Y6" s="32">
        <f ca="1"/>
        <v>80.603690674857432</v>
      </c>
      <c r="Z6" s="32">
        <f ca="1"/>
        <v>84.619449676612646</v>
      </c>
      <c r="AA6" s="32">
        <f ca="1"/>
        <v>88.817312065599026</v>
      </c>
      <c r="AB6" s="32">
        <f ca="1"/>
        <v>93.221326999554037</v>
      </c>
      <c r="AC6" s="32">
        <f ca="1"/>
        <v>97.851016408453631</v>
      </c>
      <c r="AD6" s="32">
        <f ca="1"/>
        <v>102.68798247508715</v>
      </c>
      <c r="AE6" s="32">
        <f ca="1"/>
        <v>107.77390481227582</v>
      </c>
      <c r="AF6" s="32">
        <f ca="1"/>
        <v>113.16937306671281</v>
      </c>
      <c r="AG6" s="32">
        <f ca="1"/>
        <v>118.82977906798595</v>
      </c>
      <c r="AH6" s="32">
        <f ca="1"/>
        <v>124.76802927605894</v>
      </c>
      <c r="AI6" s="32">
        <f ca="1"/>
        <v>130.99780642925776</v>
      </c>
      <c r="AJ6" s="32">
        <f ca="1"/>
        <v>137.5335467221505</v>
      </c>
      <c r="AK6" s="32">
        <f ca="1"/>
        <v>144.39042505030591</v>
      </c>
      <c r="AL6" s="32">
        <f ca="1"/>
        <v>151.58429780760645</v>
      </c>
      <c r="AM6" s="32">
        <f ca="1"/>
        <v>0</v>
      </c>
      <c r="AN6" s="55">
        <f ca="1"/>
        <v>0</v>
      </c>
      <c r="AO6" s="8"/>
    </row>
    <row r="7" spans="2:41" x14ac:dyDescent="0.35">
      <c r="B7" s="8"/>
      <c r="C7" s="20" t="str">
        <f>INDEX(_Sector,2,2)</f>
        <v>Commercial</v>
      </c>
      <c r="D7" s="8"/>
      <c r="E7" s="32">
        <f t="array" aca="1" ref="E7:AN7" ca="1">tecs_Com-tiec_Com</f>
        <v>8.2885507068298665</v>
      </c>
      <c r="F7" s="32">
        <f ca="1"/>
        <v>8.6839533830012954</v>
      </c>
      <c r="G7" s="32">
        <f ca="1"/>
        <v>29.485156661802833</v>
      </c>
      <c r="H7" s="32">
        <f ca="1"/>
        <v>31.051916817446994</v>
      </c>
      <c r="I7" s="32">
        <f ca="1"/>
        <v>32.746510495665817</v>
      </c>
      <c r="J7" s="32">
        <f ca="1"/>
        <v>34.510468213744304</v>
      </c>
      <c r="K7" s="32">
        <f ca="1"/>
        <v>36.343152681545931</v>
      </c>
      <c r="L7" s="32">
        <f ca="1"/>
        <v>38.234612801641589</v>
      </c>
      <c r="M7" s="32">
        <f ca="1"/>
        <v>40.168489300194793</v>
      </c>
      <c r="N7" s="32">
        <f ca="1"/>
        <v>42.163139310910466</v>
      </c>
      <c r="O7" s="32">
        <f ca="1"/>
        <v>44.191109332015941</v>
      </c>
      <c r="P7" s="32">
        <f ca="1"/>
        <v>46.28282552836184</v>
      </c>
      <c r="Q7" s="32">
        <f ca="1"/>
        <v>48.495845546925366</v>
      </c>
      <c r="R7" s="32">
        <f ca="1"/>
        <v>50.821172330820673</v>
      </c>
      <c r="S7" s="32">
        <f ca="1"/>
        <v>53.281865309884893</v>
      </c>
      <c r="T7" s="32">
        <f ca="1"/>
        <v>55.880147770361049</v>
      </c>
      <c r="U7" s="32">
        <f ca="1"/>
        <v>58.582820358658751</v>
      </c>
      <c r="V7" s="32">
        <f ca="1"/>
        <v>61.401711813213439</v>
      </c>
      <c r="W7" s="32">
        <f ca="1"/>
        <v>64.368739626103832</v>
      </c>
      <c r="X7" s="32">
        <f ca="1"/>
        <v>67.464343888731861</v>
      </c>
      <c r="Y7" s="32">
        <f ca="1"/>
        <v>70.701824510590626</v>
      </c>
      <c r="Z7" s="32">
        <f ca="1"/>
        <v>74.146494418861721</v>
      </c>
      <c r="AA7" s="32">
        <f ca="1"/>
        <v>77.747051299231686</v>
      </c>
      <c r="AB7" s="32">
        <f ca="1"/>
        <v>81.528340389096599</v>
      </c>
      <c r="AC7" s="32">
        <f ca="1"/>
        <v>85.526643142699527</v>
      </c>
      <c r="AD7" s="32">
        <f ca="1"/>
        <v>89.704011319277271</v>
      </c>
      <c r="AE7" s="32">
        <f ca="1"/>
        <v>94.104390914055898</v>
      </c>
      <c r="AF7" s="32">
        <f ca="1"/>
        <v>98.8021350776894</v>
      </c>
      <c r="AG7" s="32">
        <f ca="1"/>
        <v>103.73005911086472</v>
      </c>
      <c r="AH7" s="32">
        <f ca="1"/>
        <v>108.8993531983412</v>
      </c>
      <c r="AI7" s="32">
        <f ca="1"/>
        <v>114.32188051597052</v>
      </c>
      <c r="AJ7" s="32">
        <f ca="1"/>
        <v>120.01015696351675</v>
      </c>
      <c r="AK7" s="32">
        <f ca="1"/>
        <v>125.9773379661072</v>
      </c>
      <c r="AL7" s="32">
        <f ca="1"/>
        <v>132.23716827394026</v>
      </c>
      <c r="AM7" s="32">
        <f ca="1"/>
        <v>0</v>
      </c>
      <c r="AN7" s="55">
        <f ca="1"/>
        <v>0</v>
      </c>
      <c r="AO7" s="8"/>
    </row>
    <row r="8" spans="2:41" x14ac:dyDescent="0.35">
      <c r="B8" s="8"/>
      <c r="C8" s="10" t="s">
        <v>106</v>
      </c>
      <c r="D8" s="11" t="str">
        <f>"mi " &amp; _yearDol &amp; "$"</f>
        <v>mi 2021$</v>
      </c>
      <c r="E8" s="32">
        <f t="array" aca="1" ref="E8:AN8" ca="1">tiec_Res+tiec_Com</f>
        <v>1.0732175939430135</v>
      </c>
      <c r="F8" s="32">
        <f ca="1"/>
        <v>1.107534699017009</v>
      </c>
      <c r="G8" s="32">
        <f ca="1"/>
        <v>4.1529447879624257</v>
      </c>
      <c r="H8" s="32">
        <f ca="1"/>
        <v>4.3141921467134523</v>
      </c>
      <c r="I8" s="32">
        <f ca="1"/>
        <v>4.489904615992387</v>
      </c>
      <c r="J8" s="32">
        <f ca="1"/>
        <v>4.6746789860678177</v>
      </c>
      <c r="K8" s="32">
        <f ca="1"/>
        <v>4.8665955305962001</v>
      </c>
      <c r="L8" s="32">
        <f ca="1"/>
        <v>5.063598838941914</v>
      </c>
      <c r="M8" s="32">
        <f ca="1"/>
        <v>5.2654315400921661</v>
      </c>
      <c r="N8" s="32">
        <f ca="1"/>
        <v>5.4730255366107059</v>
      </c>
      <c r="O8" s="32">
        <f ca="1"/>
        <v>5.6873735941649102</v>
      </c>
      <c r="P8" s="32">
        <f ca="1"/>
        <v>5.9105543984696141</v>
      </c>
      <c r="Q8" s="32">
        <f ca="1"/>
        <v>6.1438357329972888</v>
      </c>
      <c r="R8" s="32">
        <f ca="1"/>
        <v>6.3878588970825092</v>
      </c>
      <c r="S8" s="32">
        <f ca="1"/>
        <v>6.6433433558881916</v>
      </c>
      <c r="T8" s="32">
        <f ca="1"/>
        <v>6.9092865880483885</v>
      </c>
      <c r="U8" s="32">
        <f ca="1"/>
        <v>7.1863366084564575</v>
      </c>
      <c r="V8" s="32">
        <f ca="1"/>
        <v>7.4745427054789388</v>
      </c>
      <c r="W8" s="32">
        <f ca="1"/>
        <v>7.7741444095625241</v>
      </c>
      <c r="X8" s="32">
        <f ca="1"/>
        <v>8.0855706194996344</v>
      </c>
      <c r="Y8" s="32">
        <f ca="1"/>
        <v>8.4093046762894517</v>
      </c>
      <c r="Z8" s="32">
        <f ca="1"/>
        <v>8.7460249467307563</v>
      </c>
      <c r="AA8" s="32">
        <f ca="1"/>
        <v>9.0963461187600103</v>
      </c>
      <c r="AB8" s="32">
        <f ca="1"/>
        <v>9.4608590823718544</v>
      </c>
      <c r="AC8" s="32">
        <f ca="1"/>
        <v>9.8401263022286116</v>
      </c>
      <c r="AD8" s="32">
        <f ca="1"/>
        <v>10.23469258269111</v>
      </c>
      <c r="AE8" s="32">
        <f ca="1"/>
        <v>10.645106902273312</v>
      </c>
      <c r="AF8" s="32">
        <f ca="1"/>
        <v>11.071940813342223</v>
      </c>
      <c r="AG8" s="32">
        <f ca="1"/>
        <v>11.515801044121076</v>
      </c>
      <c r="AH8" s="32">
        <f ca="1"/>
        <v>11.977334844292841</v>
      </c>
      <c r="AI8" s="32">
        <f ca="1"/>
        <v>12.457227944790418</v>
      </c>
      <c r="AJ8" s="32">
        <f ca="1"/>
        <v>12.956199616601282</v>
      </c>
      <c r="AK8" s="32">
        <f ca="1"/>
        <v>13.474998724159889</v>
      </c>
      <c r="AL8" s="32">
        <f ca="1"/>
        <v>14.014396076650485</v>
      </c>
      <c r="AM8" s="32">
        <f ca="1"/>
        <v>0</v>
      </c>
      <c r="AN8" s="55">
        <f ca="1"/>
        <v>0</v>
      </c>
      <c r="AO8" s="8"/>
    </row>
    <row r="9" spans="2:41" x14ac:dyDescent="0.35">
      <c r="B9" s="8"/>
      <c r="C9" s="20" t="str">
        <f>INDEX(_Sector,2,1)</f>
        <v>Residential</v>
      </c>
      <c r="D9" s="8"/>
      <c r="E9" s="32">
        <f t="array" ref="E9:AN9" ca="1">tlccQmPol_Res*tShpmedStd_Res-tlccQmBC_Res*IF(bStdShipm,tShpmedStd_Res,tShpmedBC_Res)</f>
        <v>0.64622011370424559</v>
      </c>
      <c r="F9" s="32">
        <f ca="1"/>
        <v>0.66685369067423039</v>
      </c>
      <c r="G9" s="32">
        <f ca="1"/>
        <v>2.5005582009863474</v>
      </c>
      <c r="H9" s="32">
        <f ca="1"/>
        <v>2.5974956004375542</v>
      </c>
      <c r="I9" s="32">
        <f ca="1"/>
        <v>2.7031322034615073</v>
      </c>
      <c r="J9" s="32">
        <f ca="1"/>
        <v>2.8142215962670321</v>
      </c>
      <c r="K9" s="32">
        <f ca="1"/>
        <v>2.9295997575383694</v>
      </c>
      <c r="L9" s="32">
        <f ca="1"/>
        <v>3.0480287676422506</v>
      </c>
      <c r="M9" s="32">
        <f ca="1"/>
        <v>3.1693532557009689</v>
      </c>
      <c r="N9" s="32">
        <f ca="1"/>
        <v>3.2941336641189878</v>
      </c>
      <c r="O9" s="32">
        <f ca="1"/>
        <v>3.4229700612620206</v>
      </c>
      <c r="P9" s="32">
        <f ca="1"/>
        <v>3.5571098068070626</v>
      </c>
      <c r="Q9" s="32">
        <f ca="1"/>
        <v>3.6973149038262534</v>
      </c>
      <c r="R9" s="32">
        <f ca="1"/>
        <v>3.8439701915708326</v>
      </c>
      <c r="S9" s="32">
        <f ca="1"/>
        <v>3.9975074481828301</v>
      </c>
      <c r="T9" s="32">
        <f ca="1"/>
        <v>4.1573222761840043</v>
      </c>
      <c r="U9" s="32">
        <f ca="1"/>
        <v>4.3238034606285112</v>
      </c>
      <c r="V9" s="32">
        <f ca="1"/>
        <v>4.4969794880411484</v>
      </c>
      <c r="W9" s="32">
        <f ca="1"/>
        <v>4.6769932817088886</v>
      </c>
      <c r="X9" s="32">
        <f ca="1"/>
        <v>4.8641016401792854</v>
      </c>
      <c r="Y9" s="32">
        <f ca="1"/>
        <v>5.0585944241642551</v>
      </c>
      <c r="Z9" s="32">
        <f ca="1"/>
        <v>5.2608779834443453</v>
      </c>
      <c r="AA9" s="32">
        <f ca="1"/>
        <v>5.4713206142596391</v>
      </c>
      <c r="AB9" s="32">
        <f ca="1"/>
        <v>5.6902761986003156</v>
      </c>
      <c r="AC9" s="32">
        <f ca="1"/>
        <v>5.9180814240792756</v>
      </c>
      <c r="AD9" s="32">
        <f ca="1"/>
        <v>6.1550622611994754</v>
      </c>
      <c r="AE9" s="32">
        <f ca="1"/>
        <v>6.4015470946325763</v>
      </c>
      <c r="AF9" s="32">
        <f ca="1"/>
        <v>6.6578777843422472</v>
      </c>
      <c r="AG9" s="32">
        <f ca="1"/>
        <v>6.924417236574925</v>
      </c>
      <c r="AH9" s="32">
        <f ca="1"/>
        <v>7.2015526090848994</v>
      </c>
      <c r="AI9" s="32">
        <f ca="1"/>
        <v>7.4896940745840652</v>
      </c>
      <c r="AJ9" s="32">
        <f ca="1"/>
        <v>7.7892718404272046</v>
      </c>
      <c r="AK9" s="32">
        <f ca="1"/>
        <v>8.1007337670565676</v>
      </c>
      <c r="AL9" s="32">
        <f ca="1"/>
        <v>8.4245407617758588</v>
      </c>
      <c r="AM9" s="32">
        <f ca="1"/>
        <v>0</v>
      </c>
      <c r="AN9" s="55">
        <f ca="1"/>
        <v>0</v>
      </c>
      <c r="AO9" s="8"/>
    </row>
    <row r="10" spans="2:41" x14ac:dyDescent="0.35">
      <c r="B10" s="8"/>
      <c r="C10" s="20" t="str">
        <f>INDEX(_Sector,2,2)</f>
        <v>Commercial</v>
      </c>
      <c r="D10" s="8"/>
      <c r="E10" s="32">
        <f t="array" aca="1" ref="E10:AN10" ca="1">tlccQmPol_Com*tShpmedStd_Com-tlccQmBC_Com*IF(bStdShipm,tShpmedStd_Com,tShpmedBC_Com)</f>
        <v>0.42699748023876793</v>
      </c>
      <c r="F10" s="32">
        <f ca="1"/>
        <v>0.44068100834277857</v>
      </c>
      <c r="G10" s="32">
        <f ca="1"/>
        <v>1.6523865869760783</v>
      </c>
      <c r="H10" s="32">
        <f ca="1"/>
        <v>1.7166965462758981</v>
      </c>
      <c r="I10" s="32">
        <f ca="1"/>
        <v>1.7867724125308797</v>
      </c>
      <c r="J10" s="32">
        <f ca="1"/>
        <v>1.8604573898007857</v>
      </c>
      <c r="K10" s="32">
        <f ca="1"/>
        <v>1.9369957730578307</v>
      </c>
      <c r="L10" s="32">
        <f ca="1"/>
        <v>2.0155700712996634</v>
      </c>
      <c r="M10" s="32">
        <f ca="1"/>
        <v>2.0960782843911971</v>
      </c>
      <c r="N10" s="32">
        <f ca="1"/>
        <v>2.1788918724917181</v>
      </c>
      <c r="O10" s="32">
        <f ca="1"/>
        <v>2.2644035329028895</v>
      </c>
      <c r="P10" s="32">
        <f ca="1"/>
        <v>2.3534445916625515</v>
      </c>
      <c r="Q10" s="32">
        <f ca="1"/>
        <v>2.4465208291710354</v>
      </c>
      <c r="R10" s="32">
        <f ca="1"/>
        <v>2.5438887055116766</v>
      </c>
      <c r="S10" s="32">
        <f ca="1"/>
        <v>2.6458359077053615</v>
      </c>
      <c r="T10" s="32">
        <f ca="1"/>
        <v>2.7519643118643842</v>
      </c>
      <c r="U10" s="32">
        <f ca="1"/>
        <v>2.8625331478279463</v>
      </c>
      <c r="V10" s="32">
        <f ca="1"/>
        <v>2.9775632174377904</v>
      </c>
      <c r="W10" s="32">
        <f ca="1"/>
        <v>3.0971511278536354</v>
      </c>
      <c r="X10" s="32">
        <f ca="1"/>
        <v>3.221468979320349</v>
      </c>
      <c r="Y10" s="32">
        <f ca="1"/>
        <v>3.3507102521251966</v>
      </c>
      <c r="Z10" s="32">
        <f ca="1"/>
        <v>3.4851469632864109</v>
      </c>
      <c r="AA10" s="32">
        <f ca="1"/>
        <v>3.6250255045003712</v>
      </c>
      <c r="AB10" s="32">
        <f ca="1"/>
        <v>3.7705828837715387</v>
      </c>
      <c r="AC10" s="32">
        <f ca="1"/>
        <v>3.922044878149336</v>
      </c>
      <c r="AD10" s="32">
        <f ca="1"/>
        <v>4.079630321491635</v>
      </c>
      <c r="AE10" s="32">
        <f ca="1"/>
        <v>4.2435598076407359</v>
      </c>
      <c r="AF10" s="32">
        <f ca="1"/>
        <v>4.4140630289999763</v>
      </c>
      <c r="AG10" s="32">
        <f ca="1"/>
        <v>4.5913838075461513</v>
      </c>
      <c r="AH10" s="32">
        <f ca="1"/>
        <v>4.7757822352079415</v>
      </c>
      <c r="AI10" s="32">
        <f ca="1"/>
        <v>4.9675338702063527</v>
      </c>
      <c r="AJ10" s="32">
        <f ca="1"/>
        <v>5.1669277761740773</v>
      </c>
      <c r="AK10" s="32">
        <f ca="1"/>
        <v>5.3742649571033212</v>
      </c>
      <c r="AL10" s="32">
        <f ca="1"/>
        <v>5.5898553148746259</v>
      </c>
      <c r="AM10" s="32">
        <f ca="1"/>
        <v>0</v>
      </c>
      <c r="AN10" s="55">
        <f ca="1"/>
        <v>0</v>
      </c>
      <c r="AO10" s="8"/>
    </row>
    <row r="11" spans="2:41" x14ac:dyDescent="0.35">
      <c r="B11" s="8"/>
      <c r="C11" s="10" t="str">
        <f>zEO&amp;" Costs Savings"</f>
        <v>Operating Costs Savings</v>
      </c>
      <c r="D11" s="11" t="str">
        <f>"mi " &amp; _yearDol &amp; "$"</f>
        <v>mi 2021$</v>
      </c>
      <c r="E11" s="32">
        <f t="array" aca="1" ref="E11:AN11" ca="1">tecs_Res+tecs_Com</f>
        <v>18.429346149510792</v>
      </c>
      <c r="F11" s="32">
        <f ca="1"/>
        <v>19.30856910145269</v>
      </c>
      <c r="G11" s="32">
        <f ca="1"/>
        <v>66.23557098488422</v>
      </c>
      <c r="H11" s="32">
        <f ca="1"/>
        <v>69.754760020861283</v>
      </c>
      <c r="I11" s="32">
        <f ca="1"/>
        <v>73.564898903626073</v>
      </c>
      <c r="J11" s="32">
        <f ca="1"/>
        <v>77.536190683493686</v>
      </c>
      <c r="K11" s="32">
        <f ca="1"/>
        <v>81.668362481780036</v>
      </c>
      <c r="L11" s="32">
        <f ca="1"/>
        <v>85.936613976860713</v>
      </c>
      <c r="M11" s="32">
        <f ca="1"/>
        <v>90.313122605837663</v>
      </c>
      <c r="N11" s="32">
        <f ca="1"/>
        <v>94.82668682023899</v>
      </c>
      <c r="O11" s="32">
        <f ca="1"/>
        <v>99.435046207671917</v>
      </c>
      <c r="P11" s="32">
        <f ca="1"/>
        <v>104.20023289269216</v>
      </c>
      <c r="Q11" s="32">
        <f ca="1"/>
        <v>109.23418147181638</v>
      </c>
      <c r="R11" s="32">
        <f ca="1"/>
        <v>114.52350624275653</v>
      </c>
      <c r="S11" s="32">
        <f ca="1"/>
        <v>120.11716383228412</v>
      </c>
      <c r="T11" s="32">
        <f ca="1"/>
        <v>126.01374282788373</v>
      </c>
      <c r="U11" s="32">
        <f ca="1"/>
        <v>132.16252627423455</v>
      </c>
      <c r="V11" s="32">
        <f ca="1"/>
        <v>138.58015594092137</v>
      </c>
      <c r="W11" s="32">
        <f ca="1"/>
        <v>145.32114075445475</v>
      </c>
      <c r="X11" s="32">
        <f ca="1"/>
        <v>152.3544163394244</v>
      </c>
      <c r="Y11" s="32">
        <f ca="1"/>
        <v>159.71481986173751</v>
      </c>
      <c r="Z11" s="32">
        <f ca="1"/>
        <v>167.51196904220512</v>
      </c>
      <c r="AA11" s="32">
        <f ca="1"/>
        <v>175.66070948359072</v>
      </c>
      <c r="AB11" s="32">
        <f ca="1"/>
        <v>184.21052647102249</v>
      </c>
      <c r="AC11" s="32">
        <f ca="1"/>
        <v>193.21778585338177</v>
      </c>
      <c r="AD11" s="32">
        <f ca="1"/>
        <v>202.62668637705553</v>
      </c>
      <c r="AE11" s="32">
        <f ca="1"/>
        <v>212.52340262860503</v>
      </c>
      <c r="AF11" s="32">
        <f ca="1"/>
        <v>223.04344895774443</v>
      </c>
      <c r="AG11" s="32">
        <f ca="1"/>
        <v>234.07563922297174</v>
      </c>
      <c r="AH11" s="32">
        <f ca="1"/>
        <v>245.64471731869298</v>
      </c>
      <c r="AI11" s="32">
        <f ca="1"/>
        <v>257.7769148900187</v>
      </c>
      <c r="AJ11" s="32">
        <f ca="1"/>
        <v>270.49990330226854</v>
      </c>
      <c r="AK11" s="32">
        <f ca="1"/>
        <v>283.842761740573</v>
      </c>
      <c r="AL11" s="32">
        <f ca="1"/>
        <v>297.83586215819719</v>
      </c>
      <c r="AM11" s="32">
        <f ca="1"/>
        <v>0</v>
      </c>
      <c r="AN11" s="55">
        <f ca="1"/>
        <v>0</v>
      </c>
      <c r="AO11" s="8"/>
    </row>
    <row r="12" spans="2:41" x14ac:dyDescent="0.35">
      <c r="B12" s="8"/>
      <c r="C12" s="20" t="str">
        <f>INDEX(_Sector,2,1)</f>
        <v>Residential</v>
      </c>
      <c r="D12" s="8"/>
      <c r="E12" s="32">
        <f t="array" ref="E12:AN12" ca="1">tlccEmBC_Res*IF(bStdShipm,tShpmedStd_Res,tShpmedBC_Res)-tlccEmPol_Res*tShpmedStd_Res</f>
        <v>9.7137979624421575</v>
      </c>
      <c r="F12" s="32">
        <f ca="1"/>
        <v>10.183934710108616</v>
      </c>
      <c r="G12" s="32">
        <f ca="1"/>
        <v>35.098027736105308</v>
      </c>
      <c r="H12" s="32">
        <f ca="1"/>
        <v>36.986146657138391</v>
      </c>
      <c r="I12" s="32">
        <f ca="1"/>
        <v>39.031615995429377</v>
      </c>
      <c r="J12" s="32">
        <f ca="1"/>
        <v>41.165265079948597</v>
      </c>
      <c r="K12" s="32">
        <f ca="1"/>
        <v>43.388214027176275</v>
      </c>
      <c r="L12" s="32">
        <f ca="1"/>
        <v>45.68643110391946</v>
      </c>
      <c r="M12" s="32">
        <f ca="1"/>
        <v>48.048555021251673</v>
      </c>
      <c r="N12" s="32">
        <f ca="1"/>
        <v>50.484655636836806</v>
      </c>
      <c r="O12" s="32">
        <f ca="1"/>
        <v>52.979533342753086</v>
      </c>
      <c r="P12" s="32">
        <f ca="1"/>
        <v>55.563962772667765</v>
      </c>
      <c r="Q12" s="32">
        <f ca="1"/>
        <v>58.291815095719983</v>
      </c>
      <c r="R12" s="32">
        <f ca="1"/>
        <v>61.158445206424176</v>
      </c>
      <c r="S12" s="32">
        <f ca="1"/>
        <v>64.189462614693866</v>
      </c>
      <c r="T12" s="32">
        <f ca="1"/>
        <v>67.381630745658299</v>
      </c>
      <c r="U12" s="32">
        <f ca="1"/>
        <v>70.717172767747854</v>
      </c>
      <c r="V12" s="32">
        <f ca="1"/>
        <v>74.200880910270143</v>
      </c>
      <c r="W12" s="32">
        <f ca="1"/>
        <v>77.855250000497279</v>
      </c>
      <c r="X12" s="32">
        <f ca="1"/>
        <v>81.668603471372194</v>
      </c>
      <c r="Y12" s="32">
        <f ca="1"/>
        <v>85.662285099021688</v>
      </c>
      <c r="Z12" s="32">
        <f ca="1"/>
        <v>89.880327660056992</v>
      </c>
      <c r="AA12" s="32">
        <f ca="1"/>
        <v>94.288632679858665</v>
      </c>
      <c r="AB12" s="32">
        <f ca="1"/>
        <v>98.911603198154353</v>
      </c>
      <c r="AC12" s="32">
        <f ca="1"/>
        <v>103.76909783253291</v>
      </c>
      <c r="AD12" s="32">
        <f ca="1"/>
        <v>108.84304473628663</v>
      </c>
      <c r="AE12" s="32">
        <f ca="1"/>
        <v>114.17545190690839</v>
      </c>
      <c r="AF12" s="32">
        <f ca="1"/>
        <v>119.82725085105506</v>
      </c>
      <c r="AG12" s="32">
        <f ca="1"/>
        <v>125.75419630456088</v>
      </c>
      <c r="AH12" s="32">
        <f ca="1"/>
        <v>131.96958188514384</v>
      </c>
      <c r="AI12" s="32">
        <f ca="1"/>
        <v>138.48750050384183</v>
      </c>
      <c r="AJ12" s="32">
        <f ca="1"/>
        <v>145.32281856257771</v>
      </c>
      <c r="AK12" s="32">
        <f ca="1"/>
        <v>152.49115881736248</v>
      </c>
      <c r="AL12" s="32">
        <f ca="1"/>
        <v>160.00883856938231</v>
      </c>
      <c r="AM12" s="32">
        <f ca="1"/>
        <v>0</v>
      </c>
      <c r="AN12" s="55">
        <f ca="1"/>
        <v>0</v>
      </c>
      <c r="AO12" s="8"/>
    </row>
    <row r="13" spans="2:41" x14ac:dyDescent="0.35">
      <c r="B13" s="8"/>
      <c r="C13" s="20" t="str">
        <f>INDEX(_Sector,2,2)</f>
        <v>Commercial</v>
      </c>
      <c r="D13" s="8"/>
      <c r="E13" s="32">
        <f t="array" aca="1" ref="E13:AN13" ca="1">tlccEmBC_Com*IF(bStdShipm,tShpmedStd_Com,tShpmedBC_Com)-tlccEmPol_Com*tShpmedStd_Com</f>
        <v>8.7155481870686344</v>
      </c>
      <c r="F13" s="32">
        <f ca="1"/>
        <v>9.1246343913440739</v>
      </c>
      <c r="G13" s="32">
        <f ca="1"/>
        <v>31.137543248778911</v>
      </c>
      <c r="H13" s="32">
        <f ca="1"/>
        <v>32.768613363722892</v>
      </c>
      <c r="I13" s="32">
        <f ca="1"/>
        <v>34.533282908196696</v>
      </c>
      <c r="J13" s="32">
        <f ca="1"/>
        <v>36.370925603545089</v>
      </c>
      <c r="K13" s="32">
        <f ca="1"/>
        <v>38.280148454603761</v>
      </c>
      <c r="L13" s="32">
        <f ca="1"/>
        <v>40.250182872941252</v>
      </c>
      <c r="M13" s="32">
        <f ca="1"/>
        <v>42.26456758458599</v>
      </c>
      <c r="N13" s="32">
        <f ca="1"/>
        <v>44.342031183402185</v>
      </c>
      <c r="O13" s="32">
        <f ca="1"/>
        <v>46.45551286491883</v>
      </c>
      <c r="P13" s="32">
        <f ca="1"/>
        <v>48.636270120024392</v>
      </c>
      <c r="Q13" s="32">
        <f ca="1"/>
        <v>50.942366376096402</v>
      </c>
      <c r="R13" s="32">
        <f ca="1"/>
        <v>53.365061036332349</v>
      </c>
      <c r="S13" s="32">
        <f ca="1"/>
        <v>55.927701217590254</v>
      </c>
      <c r="T13" s="32">
        <f ca="1"/>
        <v>58.632112082225433</v>
      </c>
      <c r="U13" s="32">
        <f ca="1"/>
        <v>61.445353506486697</v>
      </c>
      <c r="V13" s="32">
        <f ca="1"/>
        <v>64.379275030651229</v>
      </c>
      <c r="W13" s="32">
        <f ca="1"/>
        <v>67.465890753957467</v>
      </c>
      <c r="X13" s="32">
        <f ca="1"/>
        <v>70.68581286805221</v>
      </c>
      <c r="Y13" s="32">
        <f ca="1"/>
        <v>74.052534762715823</v>
      </c>
      <c r="Z13" s="32">
        <f ca="1"/>
        <v>77.631641382148132</v>
      </c>
      <c r="AA13" s="32">
        <f ca="1"/>
        <v>81.372076803732057</v>
      </c>
      <c r="AB13" s="32">
        <f ca="1"/>
        <v>85.298923272868137</v>
      </c>
      <c r="AC13" s="32">
        <f ca="1"/>
        <v>89.448688020848863</v>
      </c>
      <c r="AD13" s="32">
        <f ca="1"/>
        <v>93.783641640768906</v>
      </c>
      <c r="AE13" s="32">
        <f ca="1"/>
        <v>98.347950721696634</v>
      </c>
      <c r="AF13" s="32">
        <f ca="1"/>
        <v>103.21619810668938</v>
      </c>
      <c r="AG13" s="32">
        <f ca="1"/>
        <v>108.32144291841087</v>
      </c>
      <c r="AH13" s="32">
        <f ca="1"/>
        <v>113.67513543354914</v>
      </c>
      <c r="AI13" s="32">
        <f ca="1"/>
        <v>119.28941438617687</v>
      </c>
      <c r="AJ13" s="32">
        <f ca="1"/>
        <v>125.17708473969083</v>
      </c>
      <c r="AK13" s="32">
        <f ca="1"/>
        <v>131.35160292321052</v>
      </c>
      <c r="AL13" s="32">
        <f ca="1"/>
        <v>137.82702358881488</v>
      </c>
      <c r="AM13" s="32">
        <f ca="1"/>
        <v>0</v>
      </c>
      <c r="AN13" s="55">
        <f ca="1"/>
        <v>0</v>
      </c>
      <c r="AO13" s="8"/>
    </row>
    <row r="14" spans="2:41" x14ac:dyDescent="0.35">
      <c r="B14" s="8"/>
      <c r="C14" s="10" t="s">
        <v>107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8"/>
      <c r="AO14" s="8"/>
    </row>
    <row r="15" spans="2:41" x14ac:dyDescent="0.35">
      <c r="B15" s="8"/>
      <c r="C15" s="20" t="str">
        <f>INDEX(_fuel,1)</f>
        <v>Electricity</v>
      </c>
      <c r="D15" s="11" t="s">
        <v>108</v>
      </c>
      <c r="E15" s="40">
        <f t="array" ref="E15:AN15" ca="1">tsavElec_Res+tsavElec_Com</f>
        <v>1.0344648880468634</v>
      </c>
      <c r="F15" s="40">
        <f ca="1"/>
        <v>1.0767683380373443</v>
      </c>
      <c r="G15" s="40">
        <f ca="1"/>
        <v>3.4897833603345809</v>
      </c>
      <c r="H15" s="40">
        <f ca="1"/>
        <v>3.6589780326020476</v>
      </c>
      <c r="I15" s="40">
        <f ca="1"/>
        <v>3.8458100583179053</v>
      </c>
      <c r="J15" s="40">
        <f ca="1"/>
        <v>4.0439588083529729</v>
      </c>
      <c r="K15" s="40">
        <f ca="1"/>
        <v>4.251835116004866</v>
      </c>
      <c r="L15" s="40">
        <f ca="1"/>
        <v>4.4665501431521548</v>
      </c>
      <c r="M15" s="40">
        <f ca="1"/>
        <v>4.6886747831001863</v>
      </c>
      <c r="N15" s="40">
        <f ca="1"/>
        <v>4.9192358004540537</v>
      </c>
      <c r="O15" s="40">
        <f ca="1"/>
        <v>5.1584091272469408</v>
      </c>
      <c r="P15" s="40">
        <f ca="1"/>
        <v>5.4097987453275209</v>
      </c>
      <c r="Q15" s="40">
        <f ca="1"/>
        <v>5.6736554198193474</v>
      </c>
      <c r="R15" s="40">
        <f ca="1"/>
        <v>5.951927969935733</v>
      </c>
      <c r="S15" s="40">
        <f ca="1"/>
        <v>6.2458271956187978</v>
      </c>
      <c r="T15" s="40">
        <f ca="1"/>
        <v>6.5542082082998494</v>
      </c>
      <c r="U15" s="40">
        <f ca="1"/>
        <v>6.8774481966199623</v>
      </c>
      <c r="V15" s="40">
        <f ca="1"/>
        <v>7.216635962230157</v>
      </c>
      <c r="W15" s="40">
        <f ca="1"/>
        <v>7.5728104270666901</v>
      </c>
      <c r="X15" s="40">
        <f ca="1"/>
        <v>7.9465443115888004</v>
      </c>
      <c r="Y15" s="40">
        <f ca="1"/>
        <v>8.3387618326828861</v>
      </c>
      <c r="Z15" s="40">
        <f ca="1"/>
        <v>8.7520431645250749</v>
      </c>
      <c r="AA15" s="40">
        <f ca="1"/>
        <v>9.1868374181069505</v>
      </c>
      <c r="AB15" s="40">
        <f ca="1"/>
        <v>9.6433619329467923</v>
      </c>
      <c r="AC15" s="40">
        <f ca="1"/>
        <v>10.122728710020489</v>
      </c>
      <c r="AD15" s="40">
        <f ca="1"/>
        <v>10.625384434946248</v>
      </c>
      <c r="AE15" s="40">
        <f ca="1"/>
        <v>11.151904004498515</v>
      </c>
      <c r="AF15" s="40">
        <f ca="1"/>
        <v>11.703839847001426</v>
      </c>
      <c r="AG15" s="40">
        <f ca="1"/>
        <v>12.282641205063324</v>
      </c>
      <c r="AH15" s="40">
        <f ca="1"/>
        <v>12.889605849044614</v>
      </c>
      <c r="AI15" s="40">
        <f ca="1"/>
        <v>13.526109575312699</v>
      </c>
      <c r="AJ15" s="40">
        <f ca="1"/>
        <v>14.193603682888625</v>
      </c>
      <c r="AK15" s="40">
        <f ca="1"/>
        <v>14.893613296613339</v>
      </c>
      <c r="AL15" s="40">
        <f ca="1"/>
        <v>15.627731327428943</v>
      </c>
      <c r="AM15" s="40">
        <f ca="1"/>
        <v>0</v>
      </c>
      <c r="AN15" s="41">
        <f ca="1"/>
        <v>0</v>
      </c>
      <c r="AO15" s="8"/>
    </row>
    <row r="16" spans="2:41" x14ac:dyDescent="0.35">
      <c r="B16" s="8"/>
      <c r="C16" s="50" t="str">
        <f>INDEX(_Sector,2,1)</f>
        <v>Residential</v>
      </c>
      <c r="D16" s="8"/>
      <c r="E16" s="40">
        <f t="array" ref="E16:AN16" ca="1">tlccFmElecBC_Res*IF(bStdShipm,tShpmedStd_Res,tShpmedBC_Res)-tlccFmElecPol_Res*tShpmedStd_Res</f>
        <v>0.42895562766567519</v>
      </c>
      <c r="F16" s="40">
        <f ca="1"/>
        <v>0.44655052851536592</v>
      </c>
      <c r="G16" s="40">
        <f ca="1"/>
        <v>1.4499533360853434</v>
      </c>
      <c r="H16" s="40">
        <f ca="1"/>
        <v>1.5202538250077859</v>
      </c>
      <c r="I16" s="40">
        <f ca="1"/>
        <v>1.5977998341028687</v>
      </c>
      <c r="J16" s="40">
        <f ca="1"/>
        <v>1.6800122566763465</v>
      </c>
      <c r="K16" s="40">
        <f ca="1"/>
        <v>1.7662500826745067</v>
      </c>
      <c r="L16" s="40">
        <f ca="1"/>
        <v>1.8552958173723457</v>
      </c>
      <c r="M16" s="40">
        <f ca="1"/>
        <v>1.9473835965903028</v>
      </c>
      <c r="N16" s="40">
        <f ca="1"/>
        <v>2.0429602668963156</v>
      </c>
      <c r="O16" s="40">
        <f ca="1"/>
        <v>2.1420761792431442</v>
      </c>
      <c r="P16" s="40">
        <f ca="1"/>
        <v>2.2462996390374173</v>
      </c>
      <c r="Q16" s="40">
        <f ca="1"/>
        <v>2.3557016962742168</v>
      </c>
      <c r="R16" s="40">
        <f ca="1"/>
        <v>2.4710955097946048</v>
      </c>
      <c r="S16" s="40">
        <f ca="1"/>
        <v>2.592969767889878</v>
      </c>
      <c r="T16" s="40">
        <f ca="1"/>
        <v>2.7208338999905415</v>
      </c>
      <c r="U16" s="40">
        <f ca="1"/>
        <v>2.8548494081872562</v>
      </c>
      <c r="V16" s="40">
        <f ca="1"/>
        <v>2.9954928284110558</v>
      </c>
      <c r="W16" s="40">
        <f ca="1"/>
        <v>3.1431890651851244</v>
      </c>
      <c r="X16" s="40">
        <f ca="1"/>
        <v>3.2981726621611447</v>
      </c>
      <c r="Y16" s="40">
        <f ca="1"/>
        <v>3.4608408366116894</v>
      </c>
      <c r="Z16" s="40">
        <f ca="1"/>
        <v>3.6322739622066234</v>
      </c>
      <c r="AA16" s="40">
        <f ca="1"/>
        <v>3.8126546976919791</v>
      </c>
      <c r="AB16" s="40">
        <f ca="1"/>
        <v>4.002061717362718</v>
      </c>
      <c r="AC16" s="40">
        <f ca="1"/>
        <v>4.2009707982969928</v>
      </c>
      <c r="AD16" s="40">
        <f ca="1"/>
        <v>4.4095584341945973</v>
      </c>
      <c r="AE16" s="40">
        <f ca="1"/>
        <v>4.6280552713804362</v>
      </c>
      <c r="AF16" s="40">
        <f ca="1"/>
        <v>4.8571093353588068</v>
      </c>
      <c r="AG16" s="40">
        <f ca="1"/>
        <v>5.0973126191426275</v>
      </c>
      <c r="AH16" s="40">
        <f ca="1"/>
        <v>5.3492036987802933</v>
      </c>
      <c r="AI16" s="40">
        <f ca="1"/>
        <v>5.6133535311918017</v>
      </c>
      <c r="AJ16" s="40">
        <f ca="1"/>
        <v>5.8903644069717807</v>
      </c>
      <c r="AK16" s="40">
        <f ca="1"/>
        <v>6.1808692544992994</v>
      </c>
      <c r="AL16" s="40">
        <f ca="1"/>
        <v>6.485529133444853</v>
      </c>
      <c r="AM16" s="40">
        <f ca="1"/>
        <v>0</v>
      </c>
      <c r="AN16" s="41">
        <f ca="1"/>
        <v>0</v>
      </c>
      <c r="AO16" s="8"/>
    </row>
    <row r="17" spans="2:41" x14ac:dyDescent="0.35">
      <c r="B17" s="8"/>
      <c r="C17" s="58" t="str">
        <f>INDEX(_Sector,2,2)</f>
        <v>Commercial</v>
      </c>
      <c r="D17" s="56"/>
      <c r="E17" s="48">
        <f t="array" aca="1" ref="E17:AN17" ca="1">tlccFmElecBC_Com*IF(bStdShipm,tShpmedStd_Com,tShpmedBC_Com)-tlccFmElecPol_Com*tShpmedStd_Com</f>
        <v>0.60550926038118824</v>
      </c>
      <c r="F17" s="48">
        <f ca="1"/>
        <v>0.63021780952197837</v>
      </c>
      <c r="G17" s="48">
        <f ca="1"/>
        <v>2.0398300242492375</v>
      </c>
      <c r="H17" s="48">
        <f ca="1"/>
        <v>2.1387242075942616</v>
      </c>
      <c r="I17" s="48">
        <f ca="1"/>
        <v>2.2480102242150366</v>
      </c>
      <c r="J17" s="48">
        <f ca="1"/>
        <v>2.3639465516766265</v>
      </c>
      <c r="K17" s="48">
        <f ca="1"/>
        <v>2.4855850333303593</v>
      </c>
      <c r="L17" s="48">
        <f ca="1"/>
        <v>2.6112543257798091</v>
      </c>
      <c r="M17" s="48">
        <f ca="1"/>
        <v>2.7412911865098835</v>
      </c>
      <c r="N17" s="48">
        <f ca="1"/>
        <v>2.8762755335577381</v>
      </c>
      <c r="O17" s="48">
        <f ca="1"/>
        <v>3.0163329480037966</v>
      </c>
      <c r="P17" s="48">
        <f ca="1"/>
        <v>3.1634991062901037</v>
      </c>
      <c r="Q17" s="48">
        <f ca="1"/>
        <v>3.3179537235451306</v>
      </c>
      <c r="R17" s="48">
        <f ca="1"/>
        <v>3.4808324601411282</v>
      </c>
      <c r="S17" s="48">
        <f ca="1"/>
        <v>3.6528574277289199</v>
      </c>
      <c r="T17" s="48">
        <f ca="1"/>
        <v>3.8333743083093079</v>
      </c>
      <c r="U17" s="48">
        <f ca="1"/>
        <v>4.0225987884327061</v>
      </c>
      <c r="V17" s="48">
        <f ca="1"/>
        <v>4.2211431338191012</v>
      </c>
      <c r="W17" s="48">
        <f ca="1"/>
        <v>4.4296213618815656</v>
      </c>
      <c r="X17" s="48">
        <f ca="1"/>
        <v>4.6483716494276557</v>
      </c>
      <c r="Y17" s="48">
        <f ca="1"/>
        <v>4.8779209960711967</v>
      </c>
      <c r="Z17" s="48">
        <f ca="1"/>
        <v>5.1197692023184516</v>
      </c>
      <c r="AA17" s="48">
        <f ca="1"/>
        <v>5.3741827204149715</v>
      </c>
      <c r="AB17" s="48">
        <f ca="1"/>
        <v>5.6413002155840744</v>
      </c>
      <c r="AC17" s="48">
        <f ca="1"/>
        <v>5.9217579117234962</v>
      </c>
      <c r="AD17" s="48">
        <f ca="1"/>
        <v>6.215826000751651</v>
      </c>
      <c r="AE17" s="48">
        <f ca="1"/>
        <v>6.5238487331180792</v>
      </c>
      <c r="AF17" s="48">
        <f ca="1"/>
        <v>6.8467305116426189</v>
      </c>
      <c r="AG17" s="48">
        <f ca="1"/>
        <v>7.185328585920697</v>
      </c>
      <c r="AH17" s="48">
        <f ca="1"/>
        <v>7.5404021502643204</v>
      </c>
      <c r="AI17" s="48">
        <f ca="1"/>
        <v>7.9127560441208971</v>
      </c>
      <c r="AJ17" s="48">
        <f ca="1"/>
        <v>8.3032392759168445</v>
      </c>
      <c r="AK17" s="48">
        <f ca="1"/>
        <v>8.7127440421140392</v>
      </c>
      <c r="AL17" s="48">
        <f ca="1"/>
        <v>9.1422021939840903</v>
      </c>
      <c r="AM17" s="48">
        <f ca="1"/>
        <v>0</v>
      </c>
      <c r="AN17" s="49">
        <f ca="1"/>
        <v>0</v>
      </c>
      <c r="AO17" s="8"/>
    </row>
    <row r="18" spans="2:41" x14ac:dyDescent="0.3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2:41" x14ac:dyDescent="0.35">
      <c r="B19" s="8"/>
      <c r="C19" s="23" t="s">
        <v>103</v>
      </c>
      <c r="D19" s="24"/>
      <c r="E19" s="26">
        <f t="array" ref="E19:AN19">_yS</f>
        <v>2024</v>
      </c>
      <c r="F19" s="26">
        <v>2025</v>
      </c>
      <c r="G19" s="26">
        <v>2026</v>
      </c>
      <c r="H19" s="26">
        <v>2027</v>
      </c>
      <c r="I19" s="26">
        <v>2028</v>
      </c>
      <c r="J19" s="26">
        <v>2029</v>
      </c>
      <c r="K19" s="26">
        <v>2030</v>
      </c>
      <c r="L19" s="26">
        <v>2031</v>
      </c>
      <c r="M19" s="26">
        <v>2032</v>
      </c>
      <c r="N19" s="26">
        <v>2033</v>
      </c>
      <c r="O19" s="26">
        <v>2034</v>
      </c>
      <c r="P19" s="26">
        <v>2035</v>
      </c>
      <c r="Q19" s="26">
        <v>2036</v>
      </c>
      <c r="R19" s="26">
        <v>2037</v>
      </c>
      <c r="S19" s="26">
        <v>2038</v>
      </c>
      <c r="T19" s="26">
        <v>2039</v>
      </c>
      <c r="U19" s="26">
        <v>2040</v>
      </c>
      <c r="V19" s="26">
        <v>2041</v>
      </c>
      <c r="W19" s="26">
        <v>2042</v>
      </c>
      <c r="X19" s="26">
        <v>2043</v>
      </c>
      <c r="Y19" s="26">
        <v>2044</v>
      </c>
      <c r="Z19" s="26">
        <v>2045</v>
      </c>
      <c r="AA19" s="26">
        <v>2046</v>
      </c>
      <c r="AB19" s="26">
        <v>2047</v>
      </c>
      <c r="AC19" s="26">
        <v>2048</v>
      </c>
      <c r="AD19" s="26">
        <v>2049</v>
      </c>
      <c r="AE19" s="26">
        <v>2050</v>
      </c>
      <c r="AF19" s="26">
        <v>2051</v>
      </c>
      <c r="AG19" s="26">
        <v>2052</v>
      </c>
      <c r="AH19" s="26">
        <v>2053</v>
      </c>
      <c r="AI19" s="26">
        <v>2054</v>
      </c>
      <c r="AJ19" s="26">
        <v>2055</v>
      </c>
      <c r="AK19" s="26">
        <v>2056</v>
      </c>
      <c r="AL19" s="26">
        <v>2057</v>
      </c>
      <c r="AM19" s="26">
        <v>2058</v>
      </c>
      <c r="AN19" s="27">
        <v>2059</v>
      </c>
      <c r="AO19" s="8"/>
    </row>
    <row r="20" spans="2:41" x14ac:dyDescent="0.35">
      <c r="B20" s="8"/>
      <c r="C20" s="9" t="str">
        <f>"No-Stds Case (CSL 0): " &amp; INDEX(_doName,2,1)</f>
        <v>No-Stds Case (CSL 0): Baseline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18"/>
      <c r="AO20" s="8"/>
    </row>
    <row r="21" spans="2:41" x14ac:dyDescent="0.35">
      <c r="B21" s="8"/>
      <c r="C21" s="10" t="s">
        <v>70</v>
      </c>
      <c r="D21" s="11" t="str">
        <f>_yearDol &amp; "$"</f>
        <v>2021$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55"/>
      <c r="AO21" s="8"/>
    </row>
    <row r="22" spans="2:41" x14ac:dyDescent="0.35">
      <c r="B22" s="8"/>
      <c r="C22" s="20" t="str">
        <f>INDEX(_Sector,2,1)</f>
        <v>Residential</v>
      </c>
      <c r="D22" s="8"/>
      <c r="E22" s="32">
        <f>SUMPRODUCT(INDEX(bcEff_Res,,1),INDEX(tlccQu_Res,,1))</f>
        <v>94.897568015616727</v>
      </c>
      <c r="F22" s="32">
        <f ca="1">SUMPRODUCT(INDEX(bcEff_Res,,2),INDEX(tlccQu_Res,,2))</f>
        <v>94.249422954524434</v>
      </c>
      <c r="G22" s="32">
        <f ca="1">SUMPRODUCT(INDEX(bcEff_Res,,3),INDEX(tlccQu_Res,,3))</f>
        <v>93.630801592631997</v>
      </c>
      <c r="H22" s="32">
        <f ca="1">SUMPRODUCT(INDEX(bcEff_Res,,4),INDEX(tlccQu_Res,,4))</f>
        <v>93.03687243125917</v>
      </c>
      <c r="I22" s="32">
        <f ca="1">SUMPRODUCT(INDEX(bcEff_Res,,5),INDEX(tlccQu_Res,,5))</f>
        <v>92.464171067102001</v>
      </c>
      <c r="J22" s="32">
        <f ca="1">SUMPRODUCT(INDEX(bcEff_Res,,6),INDEX(tlccQu_Res,,6))</f>
        <v>91.910362926687398</v>
      </c>
      <c r="K22" s="32">
        <f ca="1">SUMPRODUCT(INDEX(bcEff_Res,,7),INDEX(tlccQu_Res,,7))</f>
        <v>91.373836737422479</v>
      </c>
      <c r="L22" s="32">
        <f ca="1">SUMPRODUCT(INDEX(bcEff_Res,,8),INDEX(tlccQu_Res,,8))</f>
        <v>90.853410069889804</v>
      </c>
      <c r="M22" s="32">
        <f ca="1">SUMPRODUCT(INDEX(bcEff_Res,,9),INDEX(tlccQu_Res,,9))</f>
        <v>90.348055896679924</v>
      </c>
      <c r="N22" s="32">
        <f ca="1">SUMPRODUCT(INDEX(bcEff_Res,,10),INDEX(tlccQu_Res,,10))</f>
        <v>89.856771727900167</v>
      </c>
      <c r="O22" s="32">
        <f ca="1">SUMPRODUCT(INDEX(bcEff_Res,,11),INDEX(tlccQu_Res,,11))</f>
        <v>89.378548480947472</v>
      </c>
      <c r="P22" s="32">
        <f ca="1">SUMPRODUCT(INDEX(bcEff_Res,,12),INDEX(tlccQu_Res,,12))</f>
        <v>88.912375307590196</v>
      </c>
      <c r="Q22" s="32">
        <f ca="1">SUMPRODUCT(INDEX(bcEff_Res,,13),INDEX(tlccQu_Res,,13))</f>
        <v>88.457285424752072</v>
      </c>
      <c r="R22" s="32">
        <f ca="1">SUMPRODUCT(INDEX(bcEff_Res,,14),INDEX(tlccQu_Res,,14))</f>
        <v>88.012404055944344</v>
      </c>
      <c r="S22" s="32">
        <f ca="1">SUMPRODUCT(INDEX(bcEff_Res,,15),INDEX(tlccQu_Res,,15))</f>
        <v>87.576934262595643</v>
      </c>
      <c r="T22" s="32">
        <f ca="1">SUMPRODUCT(INDEX(bcEff_Res,,16),INDEX(tlccQu_Res,,16))</f>
        <v>87.150254066893964</v>
      </c>
      <c r="U22" s="32">
        <f ca="1">SUMPRODUCT(INDEX(bcEff_Res,,17),INDEX(tlccQu_Res,,17))</f>
        <v>86.731787259163198</v>
      </c>
      <c r="V22" s="32">
        <f ca="1">SUMPRODUCT(INDEX(bcEff_Res,,18),INDEX(tlccQu_Res,,18))</f>
        <v>86.321033046053898</v>
      </c>
      <c r="W22" s="32">
        <f ca="1">SUMPRODUCT(INDEX(bcEff_Res,,19),INDEX(tlccQu_Res,,19))</f>
        <v>85.917545064536355</v>
      </c>
      <c r="X22" s="32">
        <f ca="1">SUMPRODUCT(INDEX(bcEff_Res,,20),INDEX(tlccQu_Res,,20))</f>
        <v>85.520915410365291</v>
      </c>
      <c r="Y22" s="32">
        <f ca="1">SUMPRODUCT(INDEX(bcEff_Res,,21),INDEX(tlccQu_Res,,21))</f>
        <v>85.130766641090872</v>
      </c>
      <c r="Z22" s="32">
        <f ca="1">SUMPRODUCT(INDEX(bcEff_Res,,22),INDEX(tlccQu_Res,,22))</f>
        <v>84.746745311169093</v>
      </c>
      <c r="AA22" s="32">
        <f ca="1">SUMPRODUCT(INDEX(bcEff_Res,,23),INDEX(tlccQu_Res,,23))</f>
        <v>84.368522133861006</v>
      </c>
      <c r="AB22" s="32">
        <f ca="1">SUMPRODUCT(INDEX(bcEff_Res,,24),INDEX(tlccQu_Res,,24))</f>
        <v>83.995791896090836</v>
      </c>
      <c r="AC22" s="32">
        <f ca="1">SUMPRODUCT(INDEX(bcEff_Res,,25),INDEX(tlccQu_Res,,25))</f>
        <v>83.628273195820228</v>
      </c>
      <c r="AD22" s="32">
        <f ca="1">SUMPRODUCT(INDEX(bcEff_Res,,26),INDEX(tlccQu_Res,,26))</f>
        <v>83.265707494406456</v>
      </c>
      <c r="AE22" s="32">
        <f ca="1">SUMPRODUCT(INDEX(bcEff_Res,,27),INDEX(tlccQu_Res,,27))</f>
        <v>82.907857332020683</v>
      </c>
      <c r="AF22" s="32">
        <f ca="1">SUMPRODUCT(INDEX(bcEff_Res,,28),INDEX(tlccQu_Res,,28))</f>
        <v>82.55450410679012</v>
      </c>
      <c r="AG22" s="32">
        <f ca="1">SUMPRODUCT(INDEX(bcEff_Res,,29),INDEX(tlccQu_Res,,29))</f>
        <v>82.20544577829196</v>
      </c>
      <c r="AH22" s="32">
        <f ca="1">SUMPRODUCT(INDEX(bcEff_Res,,30),INDEX(tlccQu_Res,,30))</f>
        <v>81.860494784230582</v>
      </c>
      <c r="AI22" s="32">
        <f ca="1">SUMPRODUCT(INDEX(bcEff_Res,,31),INDEX(tlccQu_Res,,31))</f>
        <v>81.519476360050987</v>
      </c>
      <c r="AJ22" s="32">
        <f ca="1">SUMPRODUCT(INDEX(bcEff_Res,,32),INDEX(tlccQu_Res,,32))</f>
        <v>81.18222725784203</v>
      </c>
      <c r="AK22" s="32">
        <f ca="1">SUMPRODUCT(INDEX(bcEff_Res,,33),INDEX(tlccQu_Res,,33))</f>
        <v>80.848594751640249</v>
      </c>
      <c r="AL22" s="32">
        <f ca="1">SUMPRODUCT(INDEX(bcEff_Res,,34),INDEX(tlccQu_Res,,34))</f>
        <v>80.518435950997741</v>
      </c>
      <c r="AM22" s="32">
        <f ca="1">SUMPRODUCT(INDEX(bcEff_Res,,35),INDEX(tlccQu_Res,,35))</f>
        <v>80.191617040111367</v>
      </c>
      <c r="AN22" s="55">
        <f ca="1">SUMPRODUCT(INDEX(bcEff_Res,,36),INDEX(tlccQu_Res,,36))</f>
        <v>79.868012721882806</v>
      </c>
      <c r="AO22" s="8"/>
    </row>
    <row r="23" spans="2:41" x14ac:dyDescent="0.35">
      <c r="B23" s="8"/>
      <c r="C23" s="20" t="str">
        <f>INDEX(_Sector,2,2)</f>
        <v>Commercial</v>
      </c>
      <c r="D23" s="8"/>
      <c r="E23" s="32">
        <f>SUMPRODUCT(INDEX(bcEff_Com,,1),INDEX(tlccQu_Com,,1))</f>
        <v>91.754260338857563</v>
      </c>
      <c r="F23" s="32">
        <f ca="1">SUMPRODUCT(INDEX(bcEff_Com,,2),INDEX(tlccQu_Com,,2))</f>
        <v>91.127595527792806</v>
      </c>
      <c r="G23" s="32">
        <f ca="1">SUMPRODUCT(INDEX(bcEff_Com,,3),INDEX(tlccQu_Com,,3))</f>
        <v>90.529475967616463</v>
      </c>
      <c r="H23" s="32">
        <f ca="1">SUMPRODUCT(INDEX(bcEff_Com,,4),INDEX(tlccQu_Com,,4))</f>
        <v>89.95523028090193</v>
      </c>
      <c r="I23" s="32">
        <f ca="1">SUMPRODUCT(INDEX(bcEff_Com,,5),INDEX(tlccQu_Com,,5))</f>
        <v>89.401508878533647</v>
      </c>
      <c r="J23" s="32">
        <f ca="1">SUMPRODUCT(INDEX(bcEff_Com,,6),INDEX(tlccQu_Com,,6))</f>
        <v>88.866054557406514</v>
      </c>
      <c r="K23" s="32">
        <f ca="1">SUMPRODUCT(INDEX(bcEff_Com,,7),INDEX(tlccQu_Com,,7))</f>
        <v>88.347309444298062</v>
      </c>
      <c r="L23" s="32">
        <f ca="1">SUMPRODUCT(INDEX(bcEff_Com,,8),INDEX(tlccQu_Com,,8))</f>
        <v>87.84413029682014</v>
      </c>
      <c r="M23" s="32">
        <f ca="1">SUMPRODUCT(INDEX(bcEff_Com,,9),INDEX(tlccQu_Com,,9))</f>
        <v>87.355524124396823</v>
      </c>
      <c r="N23" s="32">
        <f ca="1">SUMPRODUCT(INDEX(bcEff_Com,,10),INDEX(tlccQu_Com,,10))</f>
        <v>86.880521660768323</v>
      </c>
      <c r="O23" s="32">
        <f ca="1">SUMPRODUCT(INDEX(bcEff_Com,,11),INDEX(tlccQu_Com,,11))</f>
        <v>86.418147265454181</v>
      </c>
      <c r="P23" s="32">
        <f ca="1">SUMPRODUCT(INDEX(bcEff_Com,,12),INDEX(tlccQu_Com,,12))</f>
        <v>85.96742359086025</v>
      </c>
      <c r="Q23" s="32">
        <f ca="1">SUMPRODUCT(INDEX(bcEff_Com,,13),INDEX(tlccQu_Com,,13))</f>
        <v>85.527415894179455</v>
      </c>
      <c r="R23" s="32">
        <f ca="1">SUMPRODUCT(INDEX(bcEff_Com,,14),INDEX(tlccQu_Com,,14))</f>
        <v>85.097278389991274</v>
      </c>
      <c r="S23" s="32">
        <f ca="1">SUMPRODUCT(INDEX(bcEff_Com,,15),INDEX(tlccQu_Com,,15))</f>
        <v>84.676240551157164</v>
      </c>
      <c r="T23" s="32">
        <f ca="1">SUMPRODUCT(INDEX(bcEff_Com,,16),INDEX(tlccQu_Com,,16))</f>
        <v>84.263701012903397</v>
      </c>
      <c r="U23" s="32">
        <f ca="1">SUMPRODUCT(INDEX(bcEff_Com,,17),INDEX(tlccQu_Com,,17))</f>
        <v>83.859102661784988</v>
      </c>
      <c r="V23" s="32">
        <f ca="1">SUMPRODUCT(INDEX(bcEff_Com,,18),INDEX(tlccQu_Com,,18))</f>
        <v>83.461961301302466</v>
      </c>
      <c r="W23" s="32">
        <f ca="1">SUMPRODUCT(INDEX(bcEff_Com,,19),INDEX(tlccQu_Com,,19))</f>
        <v>83.071845361394693</v>
      </c>
      <c r="X23" s="32">
        <f ca="1">SUMPRODUCT(INDEX(bcEff_Com,,20),INDEX(tlccQu_Com,,20))</f>
        <v>82.68836045621785</v>
      </c>
      <c r="Y23" s="32">
        <f ca="1">SUMPRODUCT(INDEX(bcEff_Com,,21),INDEX(tlccQu_Com,,21))</f>
        <v>82.311141652185825</v>
      </c>
      <c r="Z23" s="32">
        <f ca="1">SUMPRODUCT(INDEX(bcEff_Com,,22),INDEX(tlccQu_Com,,22))</f>
        <v>81.939847217333963</v>
      </c>
      <c r="AA23" s="32">
        <f ca="1">SUMPRODUCT(INDEX(bcEff_Com,,23),INDEX(tlccQu_Com,,23))</f>
        <v>81.574158777853057</v>
      </c>
      <c r="AB23" s="32">
        <f ca="1">SUMPRODUCT(INDEX(bcEff_Com,,24),INDEX(tlccQu_Com,,24))</f>
        <v>81.213781235768963</v>
      </c>
      <c r="AC23" s="32">
        <f ca="1">SUMPRODUCT(INDEX(bcEff_Com,,25),INDEX(tlccQu_Com,,25))</f>
        <v>80.85844251502067</v>
      </c>
      <c r="AD23" s="32">
        <f ca="1">SUMPRODUCT(INDEX(bcEff_Com,,26),INDEX(tlccQu_Com,,26))</f>
        <v>80.507892645224345</v>
      </c>
      <c r="AE23" s="32">
        <f ca="1">SUMPRODUCT(INDEX(bcEff_Com,,27),INDEX(tlccQu_Com,,27))</f>
        <v>80.16190203623465</v>
      </c>
      <c r="AF23" s="32">
        <f ca="1">SUMPRODUCT(INDEX(bcEff_Com,,28),INDEX(tlccQu_Com,,28))</f>
        <v>79.820259330888604</v>
      </c>
      <c r="AG23" s="32">
        <f ca="1">SUMPRODUCT(INDEX(bcEff_Com,,29),INDEX(tlccQu_Com,,29))</f>
        <v>79.482769184608316</v>
      </c>
      <c r="AH23" s="32">
        <f ca="1">SUMPRODUCT(INDEX(bcEff_Com,,30),INDEX(tlccQu_Com,,30))</f>
        <v>79.149250251121742</v>
      </c>
      <c r="AI23" s="32">
        <f ca="1">SUMPRODUCT(INDEX(bcEff_Com,,31),INDEX(tlccQu_Com,,31))</f>
        <v>78.819533557766121</v>
      </c>
      <c r="AJ23" s="32">
        <f ca="1">SUMPRODUCT(INDEX(bcEff_Com,,32),INDEX(tlccQu_Com,,32))</f>
        <v>78.493461266848129</v>
      </c>
      <c r="AK23" s="32">
        <f ca="1">SUMPRODUCT(INDEX(bcEff_Com,,33),INDEX(tlccQu_Com,,33))</f>
        <v>78.170885713913009</v>
      </c>
      <c r="AL23" s="32">
        <f ca="1">SUMPRODUCT(INDEX(bcEff_Com,,34),INDEX(tlccQu_Com,,34))</f>
        <v>77.851668744061627</v>
      </c>
      <c r="AM23" s="32">
        <f ca="1">SUMPRODUCT(INDEX(bcEff_Com,,35),INDEX(tlccQu_Com,,35))</f>
        <v>77.535680976295808</v>
      </c>
      <c r="AN23" s="55">
        <f ca="1">SUMPRODUCT(INDEX(bcEff_Com,,36),INDEX(tlccQu_Com,,36))</f>
        <v>77.222801266002676</v>
      </c>
      <c r="AO23" s="8"/>
    </row>
    <row r="24" spans="2:41" x14ac:dyDescent="0.35">
      <c r="B24" s="8"/>
      <c r="C24" s="10" t="str">
        <f>zEO&amp;" Costs"</f>
        <v>Operating Costs</v>
      </c>
      <c r="D24" s="11" t="str">
        <f>_yearDol &amp; "$"</f>
        <v>2021$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55"/>
      <c r="AO24" s="8"/>
    </row>
    <row r="25" spans="2:41" x14ac:dyDescent="0.35">
      <c r="B25" s="8"/>
      <c r="C25" s="20" t="str">
        <f>INDEX(_Sector,2,1)</f>
        <v>Residential</v>
      </c>
      <c r="D25" s="8"/>
      <c r="E25" s="32">
        <f ca="1">SUMPRODUCT(INDEX(bcEff_Res,,1),INDEX(tlccEu_Res,,1))</f>
        <v>199.2353180963174</v>
      </c>
      <c r="F25" s="32">
        <f ca="1">SUMPRODUCT(INDEX(bcEff_Res,,2),INDEX(tlccEu_Res,,2))</f>
        <v>199.37016831544679</v>
      </c>
      <c r="G25" s="32">
        <f ca="1">SUMPRODUCT(INDEX(bcEff_Res,,3),INDEX(tlccEu_Res,,3))</f>
        <v>199.58218273884626</v>
      </c>
      <c r="H25" s="32">
        <f ca="1">SUMPRODUCT(INDEX(bcEff_Res,,4),INDEX(tlccEu_Res,,4))</f>
        <v>199.82792925227108</v>
      </c>
      <c r="I25" s="32">
        <f ca="1">SUMPRODUCT(INDEX(bcEff_Res,,5),INDEX(tlccEu_Res,,5))</f>
        <v>200.05842727207505</v>
      </c>
      <c r="J25" s="32">
        <f ca="1">SUMPRODUCT(INDEX(bcEff_Res,,6),INDEX(tlccEu_Res,,6))</f>
        <v>200.25177679327021</v>
      </c>
      <c r="K25" s="32">
        <f ca="1">SUMPRODUCT(INDEX(bcEff_Res,,7),INDEX(tlccEu_Res,,7))</f>
        <v>200.40167879402961</v>
      </c>
      <c r="L25" s="32">
        <f ca="1">SUMPRODUCT(INDEX(bcEff_Res,,8),INDEX(tlccEu_Res,,8))</f>
        <v>200.5210144978968</v>
      </c>
      <c r="M25" s="32">
        <f ca="1">SUMPRODUCT(INDEX(bcEff_Res,,9),INDEX(tlccEu_Res,,9))</f>
        <v>200.58233853269488</v>
      </c>
      <c r="N25" s="32">
        <f ca="1">SUMPRODUCT(INDEX(bcEff_Res,,10),INDEX(tlccEu_Res,,10))</f>
        <v>200.59353309197328</v>
      </c>
      <c r="O25" s="32">
        <f ca="1">SUMPRODUCT(INDEX(bcEff_Res,,11),INDEX(tlccEu_Res,,11))</f>
        <v>200.5136717629473</v>
      </c>
      <c r="P25" s="32">
        <f ca="1">SUMPRODUCT(INDEX(bcEff_Res,,12),INDEX(tlccEu_Res,,12))</f>
        <v>200.35872171943191</v>
      </c>
      <c r="Q25" s="32">
        <f ca="1">SUMPRODUCT(INDEX(bcEff_Res,,13),INDEX(tlccEu_Res,,13))</f>
        <v>200.23542800208929</v>
      </c>
      <c r="R25" s="32">
        <f ca="1">SUMPRODUCT(INDEX(bcEff_Res,,14),INDEX(tlccEu_Res,,14))</f>
        <v>200.10736541886001</v>
      </c>
      <c r="S25" s="32">
        <f ca="1">SUMPRODUCT(INDEX(bcEff_Res,,15),INDEX(tlccEu_Res,,15))</f>
        <v>200.00969693967878</v>
      </c>
      <c r="T25" s="32">
        <f ca="1">SUMPRODUCT(INDEX(bcEff_Res,,16),INDEX(tlccEu_Res,,16))</f>
        <v>199.94508458716604</v>
      </c>
      <c r="U25" s="32">
        <f ca="1">SUMPRODUCT(INDEX(bcEff_Res,,17),INDEX(tlccEu_Res,,17))</f>
        <v>199.85379425627772</v>
      </c>
      <c r="V25" s="32">
        <f ca="1">SUMPRODUCT(INDEX(bcEff_Res,,18),INDEX(tlccEu_Res,,18))</f>
        <v>199.74140509064662</v>
      </c>
      <c r="W25" s="32">
        <f ca="1">SUMPRODUCT(INDEX(bcEff_Res,,19),INDEX(tlccEu_Res,,19))</f>
        <v>199.64162083480531</v>
      </c>
      <c r="X25" s="32">
        <f ca="1">SUMPRODUCT(INDEX(bcEff_Res,,20),INDEX(tlccEu_Res,,20))</f>
        <v>199.51890271104836</v>
      </c>
      <c r="Y25" s="32">
        <f ca="1">SUMPRODUCT(INDEX(bcEff_Res,,21),INDEX(tlccEu_Res,,21))</f>
        <v>199.39985100554284</v>
      </c>
      <c r="Z25" s="32">
        <f ca="1">SUMPRODUCT(INDEX(bcEff_Res,,22),INDEX(tlccEu_Res,,22))</f>
        <v>199.33510608014987</v>
      </c>
      <c r="AA25" s="32">
        <f ca="1">SUMPRODUCT(INDEX(bcEff_Res,,23),INDEX(tlccEu_Res,,23))</f>
        <v>199.25010845180256</v>
      </c>
      <c r="AB25" s="32">
        <f ca="1">SUMPRODUCT(INDEX(bcEff_Res,,24),INDEX(tlccEu_Res,,24))</f>
        <v>199.167640322788</v>
      </c>
      <c r="AC25" s="32">
        <f ca="1">SUMPRODUCT(INDEX(bcEff_Res,,25),INDEX(tlccEu_Res,,25))</f>
        <v>199.10025197316816</v>
      </c>
      <c r="AD25" s="32">
        <f ca="1">SUMPRODUCT(INDEX(bcEff_Res,,26),INDEX(tlccEu_Res,,26))</f>
        <v>199.00854783377017</v>
      </c>
      <c r="AE25" s="32">
        <f ca="1">SUMPRODUCT(INDEX(bcEff_Res,,27),INDEX(tlccEu_Res,,27))</f>
        <v>198.93458844462546</v>
      </c>
      <c r="AF25" s="32">
        <f ca="1">SUMPRODUCT(INDEX(bcEff_Res,,28),INDEX(tlccEu_Res,,28))</f>
        <v>198.93458844462546</v>
      </c>
      <c r="AG25" s="32">
        <f ca="1">SUMPRODUCT(INDEX(bcEff_Res,,29),INDEX(tlccEu_Res,,29))</f>
        <v>198.93458844462546</v>
      </c>
      <c r="AH25" s="32">
        <f ca="1">SUMPRODUCT(INDEX(bcEff_Res,,30),INDEX(tlccEu_Res,,30))</f>
        <v>198.93458844462546</v>
      </c>
      <c r="AI25" s="32">
        <f ca="1">SUMPRODUCT(INDEX(bcEff_Res,,31),INDEX(tlccEu_Res,,31))</f>
        <v>198.93458844462546</v>
      </c>
      <c r="AJ25" s="32">
        <f ca="1">SUMPRODUCT(INDEX(bcEff_Res,,32),INDEX(tlccEu_Res,,32))</f>
        <v>198.93458844462546</v>
      </c>
      <c r="AK25" s="32">
        <f ca="1">SUMPRODUCT(INDEX(bcEff_Res,,33),INDEX(tlccEu_Res,,33))</f>
        <v>198.93458844462546</v>
      </c>
      <c r="AL25" s="32">
        <f ca="1">SUMPRODUCT(INDEX(bcEff_Res,,34),INDEX(tlccEu_Res,,34))</f>
        <v>198.93458844462546</v>
      </c>
      <c r="AM25" s="32">
        <f ca="1">SUMPRODUCT(INDEX(bcEff_Res,,35),INDEX(tlccEu_Res,,35))</f>
        <v>198.93458844462546</v>
      </c>
      <c r="AN25" s="55">
        <f ca="1">SUMPRODUCT(INDEX(bcEff_Res,,36),INDEX(tlccEu_Res,,36))</f>
        <v>198.93458844462546</v>
      </c>
      <c r="AO25" s="8"/>
    </row>
    <row r="26" spans="2:41" x14ac:dyDescent="0.35">
      <c r="B26" s="8"/>
      <c r="C26" s="20" t="str">
        <f>INDEX(_Sector,2,2)</f>
        <v>Commercial</v>
      </c>
      <c r="D26" s="8"/>
      <c r="E26" s="32">
        <f ca="1">SUMPRODUCT(INDEX(bcEff_Com,,1),INDEX(tlccEu_Com,,1))</f>
        <v>249.52779157287287</v>
      </c>
      <c r="F26" s="32">
        <f ca="1">SUMPRODUCT(INDEX(bcEff_Com,,2),INDEX(tlccEu_Com,,2))</f>
        <v>249.48247956255261</v>
      </c>
      <c r="G26" s="32">
        <f ca="1">SUMPRODUCT(INDEX(bcEff_Com,,3),INDEX(tlccEu_Com,,3))</f>
        <v>249.515949321151</v>
      </c>
      <c r="H26" s="32">
        <f ca="1">SUMPRODUCT(INDEX(bcEff_Com,,4),INDEX(tlccEu_Com,,4))</f>
        <v>249.59258940827425</v>
      </c>
      <c r="I26" s="32">
        <f ca="1">SUMPRODUCT(INDEX(bcEff_Com,,5),INDEX(tlccEu_Com,,5))</f>
        <v>249.6423154189315</v>
      </c>
      <c r="J26" s="32">
        <f ca="1">SUMPRODUCT(INDEX(bcEff_Com,,6),INDEX(tlccEu_Com,,6))</f>
        <v>249.63957819984265</v>
      </c>
      <c r="K26" s="32">
        <f ca="1">SUMPRODUCT(INDEX(bcEff_Com,,7),INDEX(tlccEu_Com,,7))</f>
        <v>249.57047358373723</v>
      </c>
      <c r="L26" s="32">
        <f ca="1">SUMPRODUCT(INDEX(bcEff_Com,,8),INDEX(tlccEu_Com,,8))</f>
        <v>249.46200042464324</v>
      </c>
      <c r="M26" s="32">
        <f ca="1">SUMPRODUCT(INDEX(bcEff_Com,,9),INDEX(tlccEu_Com,,9))</f>
        <v>249.25216868043555</v>
      </c>
      <c r="N26" s="32">
        <f ca="1">SUMPRODUCT(INDEX(bcEff_Com,,10),INDEX(tlccEu_Com,,10))</f>
        <v>248.99712787324833</v>
      </c>
      <c r="O26" s="32">
        <f ca="1">SUMPRODUCT(INDEX(bcEff_Com,,11),INDEX(tlccEu_Com,,11))</f>
        <v>248.58818602071463</v>
      </c>
      <c r="P26" s="32">
        <f ca="1">SUMPRODUCT(INDEX(bcEff_Com,,12),INDEX(tlccEu_Com,,12))</f>
        <v>248.0695305109908</v>
      </c>
      <c r="Q26" s="32">
        <f ca="1">SUMPRODUCT(INDEX(bcEff_Com,,13),INDEX(tlccEu_Com,,13))</f>
        <v>247.62036900594595</v>
      </c>
      <c r="R26" s="32">
        <f ca="1">SUMPRODUCT(INDEX(bcEff_Com,,14),INDEX(tlccEu_Com,,14))</f>
        <v>247.17637604259602</v>
      </c>
      <c r="S26" s="32">
        <f ca="1">SUMPRODUCT(INDEX(bcEff_Com,,15),INDEX(tlccEu_Com,,15))</f>
        <v>246.78594943615133</v>
      </c>
      <c r="T26" s="32">
        <f ca="1">SUMPRODUCT(INDEX(bcEff_Com,,16),INDEX(tlccEu_Com,,16))</f>
        <v>246.46659905497032</v>
      </c>
      <c r="U26" s="32">
        <f ca="1">SUMPRODUCT(INDEX(bcEff_Com,,17),INDEX(tlccEu_Com,,17))</f>
        <v>246.0887254879022</v>
      </c>
      <c r="V26" s="32">
        <f ca="1">SUMPRODUCT(INDEX(bcEff_Com,,18),INDEX(tlccEu_Com,,18))</f>
        <v>245.68600299773965</v>
      </c>
      <c r="W26" s="32">
        <f ca="1">SUMPRODUCT(INDEX(bcEff_Com,,19),INDEX(tlccEu_Com,,19))</f>
        <v>245.33580647799894</v>
      </c>
      <c r="X26" s="32">
        <f ca="1">SUMPRODUCT(INDEX(bcEff_Com,,20),INDEX(tlccEu_Com,,20))</f>
        <v>244.96612475901068</v>
      </c>
      <c r="Y26" s="32">
        <f ca="1">SUMPRODUCT(INDEX(bcEff_Com,,21),INDEX(tlccEu_Com,,21))</f>
        <v>244.59848051027811</v>
      </c>
      <c r="Z26" s="32">
        <f ca="1">SUMPRODUCT(INDEX(bcEff_Com,,22),INDEX(tlccEu_Com,,22))</f>
        <v>244.36191791981395</v>
      </c>
      <c r="AA26" s="32">
        <f ca="1">SUMPRODUCT(INDEX(bcEff_Com,,23),INDEX(tlccEu_Com,,23))</f>
        <v>244.10759697339034</v>
      </c>
      <c r="AB26" s="32">
        <f ca="1">SUMPRODUCT(INDEX(bcEff_Com,,24),INDEX(tlccEu_Com,,24))</f>
        <v>243.87249529682603</v>
      </c>
      <c r="AC26" s="32">
        <f ca="1">SUMPRODUCT(INDEX(bcEff_Com,,25),INDEX(tlccEu_Com,,25))</f>
        <v>243.70971091138264</v>
      </c>
      <c r="AD26" s="32">
        <f ca="1">SUMPRODUCT(INDEX(bcEff_Com,,26),INDEX(tlccEu_Com,,26))</f>
        <v>243.52094415436096</v>
      </c>
      <c r="AE26" s="32">
        <f ca="1">SUMPRODUCT(INDEX(bcEff_Com,,27),INDEX(tlccEu_Com,,27))</f>
        <v>243.37330799242881</v>
      </c>
      <c r="AF26" s="32">
        <f ca="1">SUMPRODUCT(INDEX(bcEff_Com,,28),INDEX(tlccEu_Com,,28))</f>
        <v>243.37330799242881</v>
      </c>
      <c r="AG26" s="32">
        <f ca="1">SUMPRODUCT(INDEX(bcEff_Com,,29),INDEX(tlccEu_Com,,29))</f>
        <v>243.37330799242881</v>
      </c>
      <c r="AH26" s="32">
        <f ca="1">SUMPRODUCT(INDEX(bcEff_Com,,30),INDEX(tlccEu_Com,,30))</f>
        <v>243.37330799242881</v>
      </c>
      <c r="AI26" s="32">
        <f ca="1">SUMPRODUCT(INDEX(bcEff_Com,,31),INDEX(tlccEu_Com,,31))</f>
        <v>243.37330799242881</v>
      </c>
      <c r="AJ26" s="32">
        <f ca="1">SUMPRODUCT(INDEX(bcEff_Com,,32),INDEX(tlccEu_Com,,32))</f>
        <v>243.37330799242881</v>
      </c>
      <c r="AK26" s="32">
        <f ca="1">SUMPRODUCT(INDEX(bcEff_Com,,33),INDEX(tlccEu_Com,,33))</f>
        <v>243.37330799242881</v>
      </c>
      <c r="AL26" s="32">
        <f ca="1">SUMPRODUCT(INDEX(bcEff_Com,,34),INDEX(tlccEu_Com,,34))</f>
        <v>243.37330799242881</v>
      </c>
      <c r="AM26" s="32">
        <f ca="1">SUMPRODUCT(INDEX(bcEff_Com,,35),INDEX(tlccEu_Com,,35))</f>
        <v>243.37330799242881</v>
      </c>
      <c r="AN26" s="55">
        <f ca="1">SUMPRODUCT(INDEX(bcEff_Com,,36),INDEX(tlccEu_Com,,36))</f>
        <v>243.37330799242881</v>
      </c>
      <c r="AO26" s="8"/>
    </row>
    <row r="27" spans="2:41" x14ac:dyDescent="0.35">
      <c r="B27" s="8"/>
      <c r="C27" s="10" t="s">
        <v>78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18"/>
      <c r="AO27" s="8"/>
    </row>
    <row r="28" spans="2:41" x14ac:dyDescent="0.35">
      <c r="B28" s="8"/>
      <c r="C28" s="20" t="str">
        <f>INDEX(_fuel,1)</f>
        <v>Electricity</v>
      </c>
      <c r="D28" s="11" t="s">
        <v>80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1"/>
      <c r="AO28" s="8"/>
    </row>
    <row r="29" spans="2:41" x14ac:dyDescent="0.35">
      <c r="B29" s="8"/>
      <c r="C29" s="50" t="str">
        <f>INDEX(_Sector,2,1)</f>
        <v>Residential</v>
      </c>
      <c r="D29" s="8"/>
      <c r="E29" s="40">
        <f ca="1">SUMPRODUCT(INDEX(bcEff_Res,,1),INDEX(tlccFuElec_Res,,1))</f>
        <v>5.923502385343431</v>
      </c>
      <c r="F29" s="40">
        <f ca="1">SUMPRODUCT(INDEX(bcEff_Res,,2),INDEX(tlccFuElec_Res,,2))</f>
        <v>5.8942267850541032</v>
      </c>
      <c r="G29" s="40">
        <f ca="1">SUMPRODUCT(INDEX(bcEff_Res,,3),INDEX(tlccFuElec_Res,,3))</f>
        <v>5.8729917197404529</v>
      </c>
      <c r="H29" s="40">
        <f ca="1">SUMPRODUCT(INDEX(bcEff_Res,,4),INDEX(tlccFuElec_Res,,4))</f>
        <v>5.8563829915870018</v>
      </c>
      <c r="I29" s="40">
        <f ca="1">SUMPRODUCT(INDEX(bcEff_Res,,5),INDEX(tlccFuElec_Res,,5))</f>
        <v>5.8448239535822575</v>
      </c>
      <c r="J29" s="40">
        <f ca="1">SUMPRODUCT(INDEX(bcEff_Res,,6),INDEX(tlccFuElec_Res,,6))</f>
        <v>5.8357070002769413</v>
      </c>
      <c r="K29" s="40">
        <f ca="1">SUMPRODUCT(INDEX(bcEff_Res,,7),INDEX(tlccFuElec_Res,,7))</f>
        <v>5.827808505399922</v>
      </c>
      <c r="L29" s="40">
        <f ca="1">SUMPRODUCT(INDEX(bcEff_Res,,8),INDEX(tlccFuElec_Res,,8))</f>
        <v>5.8192870957572431</v>
      </c>
      <c r="M29" s="40">
        <f ca="1">SUMPRODUCT(INDEX(bcEff_Res,,9),INDEX(tlccFuElec_Res,,9))</f>
        <v>5.8110858341664855</v>
      </c>
      <c r="N29" s="40">
        <f ca="1">SUMPRODUCT(INDEX(bcEff_Res,,10),INDEX(tlccFuElec_Res,,10))</f>
        <v>5.8033177268984568</v>
      </c>
      <c r="O29" s="40">
        <f ca="1">SUMPRODUCT(INDEX(bcEff_Res,,11),INDEX(tlccFuElec_Res,,11))</f>
        <v>5.7952053672474522</v>
      </c>
      <c r="P29" s="40">
        <f ca="1">SUMPRODUCT(INDEX(bcEff_Res,,12),INDEX(tlccFuElec_Res,,12))</f>
        <v>5.7883504235061585</v>
      </c>
      <c r="Q29" s="40">
        <f ca="1">SUMPRODUCT(INDEX(bcEff_Res,,13),INDEX(tlccFuElec_Res,,13))</f>
        <v>5.7813181864516601</v>
      </c>
      <c r="R29" s="40">
        <f ca="1">SUMPRODUCT(INDEX(bcEff_Res,,14),INDEX(tlccFuElec_Res,,14))</f>
        <v>5.7751887140714731</v>
      </c>
      <c r="S29" s="40">
        <f ca="1">SUMPRODUCT(INDEX(bcEff_Res,,15),INDEX(tlccFuElec_Res,,15))</f>
        <v>5.7700254655708116</v>
      </c>
      <c r="T29" s="40">
        <f ca="1">SUMPRODUCT(INDEX(bcEff_Res,,16),INDEX(tlccFuElec_Res,,16))</f>
        <v>5.7652182165965762</v>
      </c>
      <c r="U29" s="40">
        <f ca="1">SUMPRODUCT(INDEX(bcEff_Res,,17),INDEX(tlccFuElec_Res,,17))</f>
        <v>5.7602777439316588</v>
      </c>
      <c r="V29" s="40">
        <f ca="1">SUMPRODUCT(INDEX(bcEff_Res,,18),INDEX(tlccFuElec_Res,,18))</f>
        <v>5.7558530979801841</v>
      </c>
      <c r="W29" s="40">
        <f ca="1">SUMPRODUCT(INDEX(bcEff_Res,,19),INDEX(tlccFuElec_Res,,19))</f>
        <v>5.752233994638515</v>
      </c>
      <c r="X29" s="40">
        <f ca="1">SUMPRODUCT(INDEX(bcEff_Res,,20),INDEX(tlccFuElec_Res,,20))</f>
        <v>5.7491738168562954</v>
      </c>
      <c r="Y29" s="40">
        <f ca="1">SUMPRODUCT(INDEX(bcEff_Res,,21),INDEX(tlccFuElec_Res,,21))</f>
        <v>5.7467121978080113</v>
      </c>
      <c r="Z29" s="40">
        <f ca="1">SUMPRODUCT(INDEX(bcEff_Res,,22),INDEX(tlccFuElec_Res,,22))</f>
        <v>5.7457578049736844</v>
      </c>
      <c r="AA29" s="40">
        <f ca="1">SUMPRODUCT(INDEX(bcEff_Res,,23),INDEX(tlccFuElec_Res,,23))</f>
        <v>5.7457322654702905</v>
      </c>
      <c r="AB29" s="40">
        <f ca="1">SUMPRODUCT(INDEX(bcEff_Res,,24),INDEX(tlccFuElec_Res,,24))</f>
        <v>5.7459949147029832</v>
      </c>
      <c r="AC29" s="40">
        <f ca="1">SUMPRODUCT(INDEX(bcEff_Res,,25),INDEX(tlccFuElec_Res,,25))</f>
        <v>5.7465573402164889</v>
      </c>
      <c r="AD29" s="40">
        <f ca="1">SUMPRODUCT(INDEX(bcEff_Res,,26),INDEX(tlccFuElec_Res,,26))</f>
        <v>5.7470294229815861</v>
      </c>
      <c r="AE29" s="40">
        <f ca="1">SUMPRODUCT(INDEX(bcEff_Res,,27),INDEX(tlccFuElec_Res,,27))</f>
        <v>5.7471408401232793</v>
      </c>
      <c r="AF29" s="40">
        <f ca="1">SUMPRODUCT(INDEX(bcEff_Res,,28),INDEX(tlccFuElec_Res,,28))</f>
        <v>5.7471408401232793</v>
      </c>
      <c r="AG29" s="40">
        <f ca="1">SUMPRODUCT(INDEX(bcEff_Res,,29),INDEX(tlccFuElec_Res,,29))</f>
        <v>5.7471408401232793</v>
      </c>
      <c r="AH29" s="40">
        <f ca="1">SUMPRODUCT(INDEX(bcEff_Res,,30),INDEX(tlccFuElec_Res,,30))</f>
        <v>5.7471408401232793</v>
      </c>
      <c r="AI29" s="40">
        <f ca="1">SUMPRODUCT(INDEX(bcEff_Res,,31),INDEX(tlccFuElec_Res,,31))</f>
        <v>5.7471408401232793</v>
      </c>
      <c r="AJ29" s="40">
        <f ca="1">SUMPRODUCT(INDEX(bcEff_Res,,32),INDEX(tlccFuElec_Res,,32))</f>
        <v>5.7471408401232793</v>
      </c>
      <c r="AK29" s="40">
        <f ca="1">SUMPRODUCT(INDEX(bcEff_Res,,33),INDEX(tlccFuElec_Res,,33))</f>
        <v>5.7471408401232793</v>
      </c>
      <c r="AL29" s="40">
        <f ca="1">SUMPRODUCT(INDEX(bcEff_Res,,34),INDEX(tlccFuElec_Res,,34))</f>
        <v>5.7471408401232793</v>
      </c>
      <c r="AM29" s="40">
        <f ca="1">SUMPRODUCT(INDEX(bcEff_Res,,35),INDEX(tlccFuElec_Res,,35))</f>
        <v>5.7471408401232793</v>
      </c>
      <c r="AN29" s="41">
        <f ca="1">SUMPRODUCT(INDEX(bcEff_Res,,36),INDEX(tlccFuElec_Res,,36))</f>
        <v>5.7471408401232793</v>
      </c>
      <c r="AO29" s="8"/>
    </row>
    <row r="30" spans="2:41" x14ac:dyDescent="0.35">
      <c r="B30" s="8"/>
      <c r="C30" s="50" t="str">
        <f>INDEX(_Sector,2,2)</f>
        <v>Commercial</v>
      </c>
      <c r="D30" s="8"/>
      <c r="E30" s="40">
        <f ca="1">SUMPRODUCT(INDEX(bcEff_Com,,1),INDEX(tlccFuElec_Com,,1))</f>
        <v>12.151647509648695</v>
      </c>
      <c r="F30" s="40">
        <f ca="1">SUMPRODUCT(INDEX(bcEff_Com,,2),INDEX(tlccFuElec_Com,,2))</f>
        <v>12.089276623815742</v>
      </c>
      <c r="G30" s="40">
        <f ca="1">SUMPRODUCT(INDEX(bcEff_Com,,3),INDEX(tlccFuElec_Com,,3))</f>
        <v>12.04467344837982</v>
      </c>
      <c r="H30" s="40">
        <f ca="1">SUMPRODUCT(INDEX(bcEff_Com,,4),INDEX(tlccFuElec_Com,,4))</f>
        <v>12.010384816824374</v>
      </c>
      <c r="I30" s="40">
        <f ca="1">SUMPRODUCT(INDEX(bcEff_Com,,5),INDEX(tlccFuElec_Com,,5))</f>
        <v>11.987516445107957</v>
      </c>
      <c r="J30" s="40">
        <f ca="1">SUMPRODUCT(INDEX(bcEff_Com,,6),INDEX(tlccFuElec_Com,,6))</f>
        <v>11.970126761308444</v>
      </c>
      <c r="K30" s="40">
        <f ca="1">SUMPRODUCT(INDEX(bcEff_Com,,7),INDEX(tlccFuElec_Com,,7))</f>
        <v>11.955286014473845</v>
      </c>
      <c r="L30" s="40">
        <f ca="1">SUMPRODUCT(INDEX(bcEff_Com,,8),INDEX(tlccFuElec_Com,,8))</f>
        <v>11.93939333683085</v>
      </c>
      <c r="M30" s="40">
        <f ca="1">SUMPRODUCT(INDEX(bcEff_Com,,9),INDEX(tlccFuElec_Com,,9))</f>
        <v>11.924375019137241</v>
      </c>
      <c r="N30" s="40">
        <f ca="1">SUMPRODUCT(INDEX(bcEff_Com,,10),INDEX(tlccFuElec_Com,,10))</f>
        <v>11.910220309951482</v>
      </c>
      <c r="O30" s="40">
        <f ca="1">SUMPRODUCT(INDEX(bcEff_Com,,11),INDEX(tlccFuElec_Com,,11))</f>
        <v>11.895588405526729</v>
      </c>
      <c r="P30" s="40">
        <f ca="1">SUMPRODUCT(INDEX(bcEff_Com,,12),INDEX(tlccFuElec_Com,,12))</f>
        <v>11.883036418843945</v>
      </c>
      <c r="Q30" s="40">
        <f ca="1">SUMPRODUCT(INDEX(bcEff_Com,,13),INDEX(tlccFuElec_Com,,13))</f>
        <v>11.869962282908407</v>
      </c>
      <c r="R30" s="40">
        <f ca="1">SUMPRODUCT(INDEX(bcEff_Com,,14),INDEX(tlccFuElec_Com,,14))</f>
        <v>11.858562819553793</v>
      </c>
      <c r="S30" s="40">
        <f ca="1">SUMPRODUCT(INDEX(bcEff_Com,,15),INDEX(tlccFuElec_Com,,15))</f>
        <v>11.849093906914941</v>
      </c>
      <c r="T30" s="40">
        <f ca="1">SUMPRODUCT(INDEX(bcEff_Com,,16),INDEX(tlccFuElec_Com,,16))</f>
        <v>11.840415539791442</v>
      </c>
      <c r="U30" s="40">
        <f ca="1">SUMPRODUCT(INDEX(bcEff_Com,,17),INDEX(tlccFuElec_Com,,17))</f>
        <v>11.831472214666908</v>
      </c>
      <c r="V30" s="40">
        <f ca="1">SUMPRODUCT(INDEX(bcEff_Com,,18),INDEX(tlccFuElec_Com,,18))</f>
        <v>11.823422236402171</v>
      </c>
      <c r="W30" s="40">
        <f ca="1">SUMPRODUCT(INDEX(bcEff_Com,,19),INDEX(tlccFuElec_Com,,19))</f>
        <v>11.81691744979077</v>
      </c>
      <c r="X30" s="40">
        <f ca="1">SUMPRODUCT(INDEX(bcEff_Com,,20),INDEX(tlccFuElec_Com,,20))</f>
        <v>11.811479665142633</v>
      </c>
      <c r="Y30" s="40">
        <f ca="1">SUMPRODUCT(INDEX(bcEff_Com,,21),INDEX(tlccFuElec_Com,,21))</f>
        <v>11.807120221464203</v>
      </c>
      <c r="Z30" s="40">
        <f ca="1">SUMPRODUCT(INDEX(bcEff_Com,,22),INDEX(tlccFuElec_Com,,22))</f>
        <v>11.805666066020205</v>
      </c>
      <c r="AA30" s="40">
        <f ca="1">SUMPRODUCT(INDEX(bcEff_Com,,23),INDEX(tlccFuElec_Com,,23))</f>
        <v>11.805971299601351</v>
      </c>
      <c r="AB30" s="40">
        <f ca="1">SUMPRODUCT(INDEX(bcEff_Com,,24),INDEX(tlccFuElec_Com,,24))</f>
        <v>11.806795539888967</v>
      </c>
      <c r="AC30" s="40">
        <f ca="1">SUMPRODUCT(INDEX(bcEff_Com,,25),INDEX(tlccFuElec_Com,,25))</f>
        <v>11.808102011060251</v>
      </c>
      <c r="AD30" s="40">
        <f ca="1">SUMPRODUCT(INDEX(bcEff_Com,,26),INDEX(tlccFuElec_Com,,26))</f>
        <v>11.809146867017406</v>
      </c>
      <c r="AE30" s="40">
        <f ca="1">SUMPRODUCT(INDEX(bcEff_Com,,27),INDEX(tlccFuElec_Com,,27))</f>
        <v>11.809419045936377</v>
      </c>
      <c r="AF30" s="40">
        <f ca="1">SUMPRODUCT(INDEX(bcEff_Com,,28),INDEX(tlccFuElec_Com,,28))</f>
        <v>11.809419045936377</v>
      </c>
      <c r="AG30" s="40">
        <f ca="1">SUMPRODUCT(INDEX(bcEff_Com,,29),INDEX(tlccFuElec_Com,,29))</f>
        <v>11.809419045936377</v>
      </c>
      <c r="AH30" s="40">
        <f ca="1">SUMPRODUCT(INDEX(bcEff_Com,,30),INDEX(tlccFuElec_Com,,30))</f>
        <v>11.809419045936377</v>
      </c>
      <c r="AI30" s="40">
        <f ca="1">SUMPRODUCT(INDEX(bcEff_Com,,31),INDEX(tlccFuElec_Com,,31))</f>
        <v>11.809419045936377</v>
      </c>
      <c r="AJ30" s="40">
        <f ca="1">SUMPRODUCT(INDEX(bcEff_Com,,32),INDEX(tlccFuElec_Com,,32))</f>
        <v>11.809419045936377</v>
      </c>
      <c r="AK30" s="40">
        <f ca="1">SUMPRODUCT(INDEX(bcEff_Com,,33),INDEX(tlccFuElec_Com,,33))</f>
        <v>11.809419045936377</v>
      </c>
      <c r="AL30" s="40">
        <f ca="1">SUMPRODUCT(INDEX(bcEff_Com,,34),INDEX(tlccFuElec_Com,,34))</f>
        <v>11.809419045936377</v>
      </c>
      <c r="AM30" s="40">
        <f ca="1">SUMPRODUCT(INDEX(bcEff_Com,,35),INDEX(tlccFuElec_Com,,35))</f>
        <v>11.809419045936377</v>
      </c>
      <c r="AN30" s="41">
        <f ca="1">SUMPRODUCT(INDEX(bcEff_Com,,36),INDEX(tlccFuElec_Com,,36))</f>
        <v>11.809419045936377</v>
      </c>
      <c r="AO30" s="8"/>
    </row>
    <row r="31" spans="2:41" x14ac:dyDescent="0.35">
      <c r="B31" s="8"/>
      <c r="C31" s="42" t="str">
        <f ca="1">"Stds Case (CSL " &amp; stdCSL1 &amp; ",CSL " &amp; stdCSL2 &amp; "): " &amp; INDEX(_doName,2,stdCSL1+1) &amp; "," &amp; INDEX(_doName,2,stdCSL2+1)</f>
        <v>Stds Case (CSL 1,CSL 2): Tier 1,Tier 2</v>
      </c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8"/>
      <c r="AO31" s="8"/>
    </row>
    <row r="32" spans="2:41" x14ac:dyDescent="0.35">
      <c r="B32" s="8"/>
      <c r="C32" s="10" t="s">
        <v>70</v>
      </c>
      <c r="D32" s="11" t="str">
        <f>_yearDol &amp; "$"</f>
        <v>2021$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55"/>
      <c r="AO32" s="8"/>
    </row>
    <row r="33" spans="2:41" x14ac:dyDescent="0.35">
      <c r="B33" s="8"/>
      <c r="C33" s="20" t="str">
        <f>INDEX(_Sector,2,1)</f>
        <v>Residential</v>
      </c>
      <c r="D33" s="8"/>
      <c r="E33" s="32">
        <f ca="1">SUMPRODUCT(INDEX(polEff_Res,,1),INDEX(tlccQu_Res,,1))</f>
        <v>95.445458291748082</v>
      </c>
      <c r="F33" s="32">
        <f ca="1">SUMPRODUCT(INDEX(polEff_Res,,2),INDEX(tlccQu_Res,,2))</f>
        <v>94.789113407358158</v>
      </c>
      <c r="G33" s="32">
        <f ca="1">SUMPRODUCT(INDEX(polEff_Res,,3),INDEX(tlccQu_Res,,3))</f>
        <v>95.569187122224989</v>
      </c>
      <c r="H33" s="32">
        <f ca="1">SUMPRODUCT(INDEX(polEff_Res,,4),INDEX(tlccQu_Res,,4))</f>
        <v>94.95143143663536</v>
      </c>
      <c r="I33" s="32">
        <f ca="1">SUMPRODUCT(INDEX(polEff_Res,,5),INDEX(tlccQu_Res,,5))</f>
        <v>94.355734533288413</v>
      </c>
      <c r="J33" s="32">
        <f ca="1">SUMPRODUCT(INDEX(polEff_Res,,6),INDEX(tlccQu_Res,,6))</f>
        <v>93.780257779580296</v>
      </c>
      <c r="K33" s="32">
        <f ca="1">SUMPRODUCT(INDEX(polEff_Res,,7),INDEX(tlccQu_Res,,7))</f>
        <v>93.222734316769248</v>
      </c>
      <c r="L33" s="32">
        <f ca="1">SUMPRODUCT(INDEX(polEff_Res,,8),INDEX(tlccQu_Res,,8))</f>
        <v>92.681935873433801</v>
      </c>
      <c r="M33" s="32">
        <f ca="1">SUMPRODUCT(INDEX(polEff_Res,,9),INDEX(tlccQu_Res,,9))</f>
        <v>92.156795603186652</v>
      </c>
      <c r="N33" s="32">
        <f ca="1">SUMPRODUCT(INDEX(polEff_Res,,10),INDEX(tlccQu_Res,,10))</f>
        <v>91.646272149130056</v>
      </c>
      <c r="O33" s="32">
        <f ca="1">SUMPRODUCT(INDEX(polEff_Res,,11),INDEX(tlccQu_Res,,11))</f>
        <v>91.149503232856091</v>
      </c>
      <c r="P33" s="32">
        <f ca="1">SUMPRODUCT(INDEX(polEff_Res,,12),INDEX(tlccQu_Res,,12))</f>
        <v>90.665251238998806</v>
      </c>
      <c r="Q33" s="32">
        <f ca="1">SUMPRODUCT(INDEX(polEff_Res,,13),INDEX(tlccQu_Res,,13))</f>
        <v>90.192511932900985</v>
      </c>
      <c r="R33" s="32">
        <f ca="1">SUMPRODUCT(INDEX(polEff_Res,,14),INDEX(tlccQu_Res,,14))</f>
        <v>89.730376650395613</v>
      </c>
      <c r="S33" s="32">
        <f ca="1">SUMPRODUCT(INDEX(polEff_Res,,15),INDEX(tlccQu_Res,,15))</f>
        <v>89.278017580290168</v>
      </c>
      <c r="T33" s="32">
        <f ca="1">SUMPRODUCT(INDEX(polEff_Res,,16),INDEX(tlccQu_Res,,16))</f>
        <v>88.83478865080447</v>
      </c>
      <c r="U33" s="32">
        <f ca="1">SUMPRODUCT(INDEX(polEff_Res,,17),INDEX(tlccQu_Res,,17))</f>
        <v>88.400091331041921</v>
      </c>
      <c r="V33" s="32">
        <f ca="1">SUMPRODUCT(INDEX(polEff_Res,,18),INDEX(tlccQu_Res,,18))</f>
        <v>87.973405428128871</v>
      </c>
      <c r="W33" s="32">
        <f ca="1">SUMPRODUCT(INDEX(polEff_Res,,19),INDEX(tlccQu_Res,,19))</f>
        <v>87.554267288113451</v>
      </c>
      <c r="X33" s="32">
        <f ca="1">SUMPRODUCT(INDEX(polEff_Res,,20),INDEX(tlccQu_Res,,20))</f>
        <v>87.142253205613059</v>
      </c>
      <c r="Y33" s="32">
        <f ca="1">SUMPRODUCT(INDEX(polEff_Res,,21),INDEX(tlccQu_Res,,21))</f>
        <v>86.736985974222947</v>
      </c>
      <c r="Z33" s="32">
        <f ca="1">SUMPRODUCT(INDEX(polEff_Res,,22),INDEX(tlccQu_Res,,22))</f>
        <v>86.338083475777211</v>
      </c>
      <c r="AA33" s="32">
        <f ca="1">SUMPRODUCT(INDEX(polEff_Res,,23),INDEX(tlccQu_Res,,23))</f>
        <v>85.945203668269144</v>
      </c>
      <c r="AB33" s="32">
        <f ca="1">SUMPRODUCT(INDEX(polEff_Res,,24),INDEX(tlccQu_Res,,24))</f>
        <v>85.558029515790551</v>
      </c>
      <c r="AC33" s="32">
        <f ca="1">SUMPRODUCT(INDEX(polEff_Res,,25),INDEX(tlccQu_Res,,25))</f>
        <v>85.176268715774981</v>
      </c>
      <c r="AD33" s="32">
        <f ca="1">SUMPRODUCT(INDEX(polEff_Res,,26),INDEX(tlccQu_Res,,26))</f>
        <v>84.799652714677123</v>
      </c>
      <c r="AE33" s="32">
        <f ca="1">SUMPRODUCT(INDEX(polEff_Res,,27),INDEX(tlccQu_Res,,27))</f>
        <v>84.42793485427643</v>
      </c>
      <c r="AF33" s="32">
        <f ca="1">SUMPRODUCT(INDEX(polEff_Res,,28),INDEX(tlccQu_Res,,28))</f>
        <v>84.060888064792508</v>
      </c>
      <c r="AG33" s="32">
        <f ca="1">SUMPRODUCT(INDEX(polEff_Res,,29),INDEX(tlccQu_Res,,29))</f>
        <v>83.698302479416171</v>
      </c>
      <c r="AH33" s="32">
        <f ca="1">SUMPRODUCT(INDEX(polEff_Res,,30),INDEX(tlccQu_Res,,30))</f>
        <v>83.339983270279404</v>
      </c>
      <c r="AI33" s="32">
        <f ca="1">SUMPRODUCT(INDEX(polEff_Res,,31),INDEX(tlccQu_Res,,31))</f>
        <v>82.985748902972958</v>
      </c>
      <c r="AJ33" s="32">
        <f ca="1">SUMPRODUCT(INDEX(polEff_Res,,32),INDEX(tlccQu_Res,,32))</f>
        <v>82.635429805823634</v>
      </c>
      <c r="AK33" s="32">
        <f ca="1">SUMPRODUCT(INDEX(polEff_Res,,33),INDEX(tlccQu_Res,,33))</f>
        <v>82.288867336669398</v>
      </c>
      <c r="AL33" s="32">
        <f ca="1">SUMPRODUCT(INDEX(polEff_Res,,34),INDEX(tlccQu_Res,,34))</f>
        <v>81.945913069842774</v>
      </c>
      <c r="AM33" s="32">
        <f ca="1">SUMPRODUCT(INDEX(polEff_Res,,35),INDEX(tlccQu_Res,,35))</f>
        <v>81.603634644434365</v>
      </c>
      <c r="AN33" s="55">
        <f ca="1">SUMPRODUCT(INDEX(polEff_Res,,36),INDEX(tlccQu_Res,,36))</f>
        <v>81.267500694555892</v>
      </c>
      <c r="AO33" s="8"/>
    </row>
    <row r="34" spans="2:41" x14ac:dyDescent="0.35">
      <c r="B34" s="8"/>
      <c r="C34" s="20" t="str">
        <f>INDEX(_Sector,2,2)</f>
        <v>Commercial</v>
      </c>
      <c r="D34" s="8"/>
      <c r="E34" s="32">
        <f ca="1">SUMPRODUCT(INDEX(polEff_Com,,1),INDEX(tlccQu_Com,,1))</f>
        <v>92.297335460007389</v>
      </c>
      <c r="F34" s="32">
        <f ca="1">SUMPRODUCT(INDEX(polEff_Com,,2),INDEX(tlccQu_Com,,2))</f>
        <v>91.662594772092334</v>
      </c>
      <c r="G34" s="32">
        <f ca="1">SUMPRODUCT(INDEX(polEff_Com,,3),INDEX(tlccQu_Com,,3))</f>
        <v>92.451124378302268</v>
      </c>
      <c r="H34" s="32">
        <f ca="1">SUMPRODUCT(INDEX(polEff_Com,,4),INDEX(tlccQu_Com,,4))</f>
        <v>91.853497911659133</v>
      </c>
      <c r="I34" s="32">
        <f ca="1">SUMPRODUCT(INDEX(polEff_Com,,5),INDEX(tlccQu_Com,,5))</f>
        <v>91.277210520926531</v>
      </c>
      <c r="J34" s="32">
        <f ca="1">SUMPRODUCT(INDEX(polEff_Com,,6),INDEX(tlccQu_Com,,6))</f>
        <v>90.72051316935449</v>
      </c>
      <c r="K34" s="32">
        <f ca="1">SUMPRODUCT(INDEX(polEff_Com,,7),INDEX(tlccQu_Com,,7))</f>
        <v>90.181183025747742</v>
      </c>
      <c r="L34" s="32">
        <f ca="1">SUMPRODUCT(INDEX(polEff_Com,,8),INDEX(tlccQu_Com,,8))</f>
        <v>89.658031918223173</v>
      </c>
      <c r="M34" s="32">
        <f ca="1">SUMPRODUCT(INDEX(polEff_Com,,9),INDEX(tlccQu_Com,,9))</f>
        <v>89.150027829647343</v>
      </c>
      <c r="N34" s="32">
        <f ca="1">SUMPRODUCT(INDEX(polEff_Com,,10),INDEX(tlccQu_Com,,10))</f>
        <v>88.656163400493526</v>
      </c>
      <c r="O34" s="32">
        <f ca="1">SUMPRODUCT(INDEX(polEff_Com,,11),INDEX(tlccQu_Com,,11))</f>
        <v>88.175613859647669</v>
      </c>
      <c r="P34" s="32">
        <f ca="1">SUMPRODUCT(INDEX(polEff_Com,,12),INDEX(tlccQu_Com,,12))</f>
        <v>87.707172553680905</v>
      </c>
      <c r="Q34" s="32">
        <f ca="1">SUMPRODUCT(INDEX(polEff_Com,,13),INDEX(tlccQu_Com,,13))</f>
        <v>87.249868037301951</v>
      </c>
      <c r="R34" s="32">
        <f ca="1">SUMPRODUCT(INDEX(polEff_Com,,14),INDEX(tlccQu_Com,,14))</f>
        <v>86.802821315229806</v>
      </c>
      <c r="S34" s="32">
        <f ca="1">SUMPRODUCT(INDEX(polEff_Com,,15),INDEX(tlccQu_Com,,15))</f>
        <v>86.365231605221737</v>
      </c>
      <c r="T34" s="32">
        <f ca="1">SUMPRODUCT(INDEX(polEff_Com,,16),INDEX(tlccQu_Com,,16))</f>
        <v>85.936473930430907</v>
      </c>
      <c r="U34" s="32">
        <f ca="1">SUMPRODUCT(INDEX(polEff_Com,,17),INDEX(tlccQu_Com,,17))</f>
        <v>85.515969302635554</v>
      </c>
      <c r="V34" s="32">
        <f ca="1">SUMPRODUCT(INDEX(polEff_Com,,18),INDEX(tlccQu_Com,,18))</f>
        <v>85.103214513808254</v>
      </c>
      <c r="W34" s="32">
        <f ca="1">SUMPRODUCT(INDEX(polEff_Com,,19),INDEX(tlccQu_Com,,19))</f>
        <v>84.697761048783221</v>
      </c>
      <c r="X34" s="32">
        <f ca="1">SUMPRODUCT(INDEX(polEff_Com,,20),INDEX(tlccQu_Com,,20))</f>
        <v>84.299199036599617</v>
      </c>
      <c r="Y34" s="32">
        <f ca="1">SUMPRODUCT(INDEX(polEff_Com,,21),INDEX(tlccQu_Com,,21))</f>
        <v>83.907164335632302</v>
      </c>
      <c r="Z34" s="32">
        <f ca="1">SUMPRODUCT(INDEX(polEff_Com,,22),INDEX(tlccQu_Com,,22))</f>
        <v>83.52128655001512</v>
      </c>
      <c r="AA34" s="32">
        <f ca="1">SUMPRODUCT(INDEX(polEff_Com,,23),INDEX(tlccQu_Com,,23))</f>
        <v>83.141234805892637</v>
      </c>
      <c r="AB34" s="32">
        <f ca="1">SUMPRODUCT(INDEX(polEff_Com,,24),INDEX(tlccQu_Com,,24))</f>
        <v>82.766702419023531</v>
      </c>
      <c r="AC34" s="32">
        <f ca="1">SUMPRODUCT(INDEX(polEff_Com,,25),INDEX(tlccQu_Com,,25))</f>
        <v>82.397406630929794</v>
      </c>
      <c r="AD34" s="32">
        <f ca="1">SUMPRODUCT(INDEX(polEff_Com,,26),INDEX(tlccQu_Com,,26))</f>
        <v>82.033087656715736</v>
      </c>
      <c r="AE34" s="32">
        <f ca="1">SUMPRODUCT(INDEX(polEff_Com,,27),INDEX(tlccQu_Com,,27))</f>
        <v>81.673506891897262</v>
      </c>
      <c r="AF34" s="32">
        <f ca="1">SUMPRODUCT(INDEX(polEff_Com,,28),INDEX(tlccQu_Com,,28))</f>
        <v>81.318444680840528</v>
      </c>
      <c r="AG34" s="32">
        <f ca="1">SUMPRODUCT(INDEX(polEff_Com,,29),INDEX(tlccQu_Com,,29))</f>
        <v>80.967698009181689</v>
      </c>
      <c r="AH34" s="32">
        <f ca="1">SUMPRODUCT(INDEX(polEff_Com,,30),INDEX(tlccQu_Com,,30))</f>
        <v>80.621078410455482</v>
      </c>
      <c r="AI34" s="32">
        <f ca="1">SUMPRODUCT(INDEX(polEff_Com,,31),INDEX(tlccQu_Com,,31))</f>
        <v>80.278410277605374</v>
      </c>
      <c r="AJ34" s="32">
        <f ca="1">SUMPRODUCT(INDEX(polEff_Com,,32),INDEX(tlccQu_Com,,32))</f>
        <v>79.939529575710679</v>
      </c>
      <c r="AK34" s="32">
        <f ca="1">SUMPRODUCT(INDEX(polEff_Com,,33),INDEX(tlccQu_Com,,33))</f>
        <v>79.604282842498023</v>
      </c>
      <c r="AL34" s="32">
        <f ca="1">SUMPRODUCT(INDEX(polEff_Com,,34),INDEX(tlccQu_Com,,34))</f>
        <v>79.272526498605629</v>
      </c>
      <c r="AM34" s="32">
        <f ca="1">SUMPRODUCT(INDEX(polEff_Com,,35),INDEX(tlccQu_Com,,35))</f>
        <v>78.941282089375392</v>
      </c>
      <c r="AN34" s="55">
        <f ca="1">SUMPRODUCT(INDEX(polEff_Com,,36),INDEX(tlccQu_Com,,36))</f>
        <v>78.616123843198039</v>
      </c>
      <c r="AO34" s="8"/>
    </row>
    <row r="35" spans="2:41" x14ac:dyDescent="0.35">
      <c r="B35" s="8"/>
      <c r="C35" s="10" t="str">
        <f>zEO&amp;" Costs"</f>
        <v>Operating Costs</v>
      </c>
      <c r="D35" s="11" t="str">
        <f>_yearDol &amp; "$"</f>
        <v>2021$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55"/>
      <c r="AO35" s="8"/>
    </row>
    <row r="36" spans="2:41" x14ac:dyDescent="0.35">
      <c r="B36" s="8"/>
      <c r="C36" s="20" t="str">
        <f>INDEX(_Sector,2,1)</f>
        <v>Residential</v>
      </c>
      <c r="D36" s="8"/>
      <c r="E36" s="32">
        <f ca="1">SUMPRODUCT(INDEX(polEff_Res,,1),INDEX(tlccEu_Res,,1))</f>
        <v>190.9995864391588</v>
      </c>
      <c r="F36" s="32">
        <f ca="1">SUMPRODUCT(INDEX(polEff_Res,,2),INDEX(tlccEu_Res,,2))</f>
        <v>191.12822197520734</v>
      </c>
      <c r="G36" s="32">
        <f ca="1">SUMPRODUCT(INDEX(polEff_Res,,3),INDEX(tlccEu_Res,,3))</f>
        <v>172.37485396958027</v>
      </c>
      <c r="H36" s="32">
        <f ca="1">SUMPRODUCT(INDEX(polEff_Res,,4),INDEX(tlccEu_Res,,4))</f>
        <v>172.56622372920492</v>
      </c>
      <c r="I36" s="32">
        <f ca="1">SUMPRODUCT(INDEX(polEff_Res,,5),INDEX(tlccEu_Res,,5))</f>
        <v>172.74537956074718</v>
      </c>
      <c r="J36" s="32">
        <f ca="1">SUMPRODUCT(INDEX(polEff_Res,,6),INDEX(tlccEu_Res,,6))</f>
        <v>172.89973124253191</v>
      </c>
      <c r="K36" s="32">
        <f ca="1">SUMPRODUCT(INDEX(polEff_Res,,7),INDEX(tlccEu_Res,,7))</f>
        <v>173.01897449095731</v>
      </c>
      <c r="L36" s="32">
        <f ca="1">SUMPRODUCT(INDEX(polEff_Res,,8),INDEX(tlccEu_Res,,8))</f>
        <v>173.11352443999579</v>
      </c>
      <c r="M36" s="32">
        <f ca="1">SUMPRODUCT(INDEX(polEff_Res,,9),INDEX(tlccEu_Res,,9))</f>
        <v>173.16118276506839</v>
      </c>
      <c r="N36" s="32">
        <f ca="1">SUMPRODUCT(INDEX(polEff_Res,,10),INDEX(tlccEu_Res,,10))</f>
        <v>173.16832156767805</v>
      </c>
      <c r="O36" s="32">
        <f ca="1">SUMPRODUCT(INDEX(polEff_Res,,11),INDEX(tlccEu_Res,,11))</f>
        <v>173.10345354659012</v>
      </c>
      <c r="P36" s="32">
        <f ca="1">SUMPRODUCT(INDEX(polEff_Res,,12),INDEX(tlccEu_Res,,12))</f>
        <v>172.97785964665863</v>
      </c>
      <c r="Q36" s="32">
        <f ca="1">SUMPRODUCT(INDEX(polEff_Res,,13),INDEX(tlccEu_Res,,13))</f>
        <v>172.87787112817205</v>
      </c>
      <c r="R36" s="32">
        <f ca="1">SUMPRODUCT(INDEX(polEff_Res,,14),INDEX(tlccEu_Res,,14))</f>
        <v>172.77402838771346</v>
      </c>
      <c r="S36" s="32">
        <f ca="1">SUMPRODUCT(INDEX(polEff_Res,,15),INDEX(tlccEu_Res,,15))</f>
        <v>172.69476996555451</v>
      </c>
      <c r="T36" s="32">
        <f ca="1">SUMPRODUCT(INDEX(polEff_Res,,16),INDEX(tlccEu_Res,,16))</f>
        <v>172.64224882637038</v>
      </c>
      <c r="U36" s="32">
        <f ca="1">SUMPRODUCT(INDEX(polEff_Res,,17),INDEX(tlccEu_Res,,17))</f>
        <v>172.56815364970029</v>
      </c>
      <c r="V36" s="32">
        <f ca="1">SUMPRODUCT(INDEX(polEff_Res,,18),INDEX(tlccEu_Res,,18))</f>
        <v>172.47699646529807</v>
      </c>
      <c r="W36" s="32">
        <f ca="1">SUMPRODUCT(INDEX(polEff_Res,,19),INDEX(tlccEu_Res,,19))</f>
        <v>172.39603585688437</v>
      </c>
      <c r="X36" s="32">
        <f ca="1">SUMPRODUCT(INDEX(polEff_Res,,20),INDEX(tlccEu_Res,,20))</f>
        <v>172.29652881995537</v>
      </c>
      <c r="Y36" s="32">
        <f ca="1">SUMPRODUCT(INDEX(polEff_Res,,21),INDEX(tlccEu_Res,,21))</f>
        <v>172.20011785653625</v>
      </c>
      <c r="Z36" s="32">
        <f ca="1">SUMPRODUCT(INDEX(polEff_Res,,22),INDEX(tlccEu_Res,,22))</f>
        <v>172.147629749576</v>
      </c>
      <c r="AA36" s="32">
        <f ca="1">SUMPRODUCT(INDEX(polEff_Res,,23),INDEX(tlccEu_Res,,23))</f>
        <v>172.07876234872995</v>
      </c>
      <c r="AB36" s="32">
        <f ca="1">SUMPRODUCT(INDEX(polEff_Res,,24),INDEX(tlccEu_Res,,24))</f>
        <v>172.01194134652781</v>
      </c>
      <c r="AC36" s="32">
        <f ca="1">SUMPRODUCT(INDEX(polEff_Res,,25),INDEX(tlccEu_Res,,25))</f>
        <v>171.95731711915857</v>
      </c>
      <c r="AD36" s="32">
        <f ca="1">SUMPRODUCT(INDEX(polEff_Res,,26),INDEX(tlccEu_Res,,26))</f>
        <v>171.88302722199361</v>
      </c>
      <c r="AE36" s="32">
        <f ca="1">SUMPRODUCT(INDEX(polEff_Res,,27),INDEX(tlccEu_Res,,27))</f>
        <v>171.82308938487432</v>
      </c>
      <c r="AF36" s="32">
        <f ca="1">SUMPRODUCT(INDEX(polEff_Res,,28),INDEX(tlccEu_Res,,28))</f>
        <v>171.82296905772961</v>
      </c>
      <c r="AG36" s="32">
        <f ca="1">SUMPRODUCT(INDEX(polEff_Res,,29),INDEX(tlccEu_Res,,29))</f>
        <v>171.82284918429565</v>
      </c>
      <c r="AH36" s="32">
        <f ca="1">SUMPRODUCT(INDEX(polEff_Res,,30),INDEX(tlccEu_Res,,30))</f>
        <v>171.82272972384936</v>
      </c>
      <c r="AI36" s="32">
        <f ca="1">SUMPRODUCT(INDEX(polEff_Res,,31),INDEX(tlccEu_Res,,31))</f>
        <v>171.82261063824842</v>
      </c>
      <c r="AJ36" s="32">
        <f ca="1">SUMPRODUCT(INDEX(polEff_Res,,32),INDEX(tlccEu_Res,,32))</f>
        <v>171.82249189165375</v>
      </c>
      <c r="AK36" s="32">
        <f ca="1">SUMPRODUCT(INDEX(polEff_Res,,33),INDEX(tlccEu_Res,,33))</f>
        <v>171.82237345033153</v>
      </c>
      <c r="AL36" s="32">
        <f ca="1">SUMPRODUCT(INDEX(polEff_Res,,34),INDEX(tlccEu_Res,,34))</f>
        <v>171.82225528254881</v>
      </c>
      <c r="AM36" s="32">
        <f ca="1">SUMPRODUCT(INDEX(polEff_Res,,35),INDEX(tlccEu_Res,,35))</f>
        <v>171.79804106641905</v>
      </c>
      <c r="AN36" s="55">
        <f ca="1">SUMPRODUCT(INDEX(polEff_Res,,36),INDEX(tlccEu_Res,,36))</f>
        <v>171.79804106641905</v>
      </c>
      <c r="AO36" s="8"/>
    </row>
    <row r="37" spans="2:41" x14ac:dyDescent="0.35">
      <c r="B37" s="8"/>
      <c r="C37" s="20" t="str">
        <f>INDEX(_Sector,2,2)</f>
        <v>Commercial</v>
      </c>
      <c r="D37" s="8"/>
      <c r="E37" s="32">
        <f ca="1">SUMPRODUCT(INDEX(polEff_Com,,1),INDEX(tlccEu_Com,,1))</f>
        <v>238.44295476087845</v>
      </c>
      <c r="F37" s="32">
        <f ca="1">SUMPRODUCT(INDEX(polEff_Com,,2),INDEX(tlccEu_Com,,2))</f>
        <v>238.40491458593479</v>
      </c>
      <c r="G37" s="32">
        <f ca="1">SUMPRODUCT(INDEX(polEff_Com,,3),INDEX(tlccEu_Com,,3))</f>
        <v>213.30444108918357</v>
      </c>
      <c r="H37" s="32">
        <f ca="1">SUMPRODUCT(INDEX(polEff_Com,,4),INDEX(tlccEu_Com,,4))</f>
        <v>213.35811442893444</v>
      </c>
      <c r="I37" s="32">
        <f ca="1">SUMPRODUCT(INDEX(polEff_Com,,5),INDEX(tlccEu_Com,,5))</f>
        <v>213.3902807368124</v>
      </c>
      <c r="J37" s="32">
        <f ca="1">SUMPRODUCT(INDEX(polEff_Com,,6),INDEX(tlccEu_Com,,6))</f>
        <v>213.38592542619017</v>
      </c>
      <c r="K37" s="32">
        <f ca="1">SUMPRODUCT(INDEX(polEff_Com,,7),INDEX(tlccEu_Com,,7))</f>
        <v>213.32829178793116</v>
      </c>
      <c r="L37" s="32">
        <f ca="1">SUMPRODUCT(INDEX(polEff_Com,,8),INDEX(tlccEu_Com,,8))</f>
        <v>213.23906130949791</v>
      </c>
      <c r="M37" s="32">
        <f ca="1">SUMPRODUCT(INDEX(polEff_Com,,9),INDEX(tlccEu_Com,,9))</f>
        <v>213.06844229190546</v>
      </c>
      <c r="N37" s="32">
        <f ca="1">SUMPRODUCT(INDEX(polEff_Com,,10),INDEX(tlccEu_Com,,10))</f>
        <v>212.86152959621896</v>
      </c>
      <c r="O37" s="32">
        <f ca="1">SUMPRODUCT(INDEX(polEff_Com,,11),INDEX(tlccEu_Com,,11))</f>
        <v>212.53276975329891</v>
      </c>
      <c r="P37" s="32">
        <f ca="1">SUMPRODUCT(INDEX(polEff_Com,,12),INDEX(tlccEu_Com,,12))</f>
        <v>212.11589013358849</v>
      </c>
      <c r="Q37" s="32">
        <f ca="1">SUMPRODUCT(INDEX(polEff_Com,,13),INDEX(tlccEu_Com,,13))</f>
        <v>211.75483003566464</v>
      </c>
      <c r="R37" s="32">
        <f ca="1">SUMPRODUCT(INDEX(polEff_Com,,14),INDEX(tlccEu_Com,,14))</f>
        <v>211.39792311411699</v>
      </c>
      <c r="S37" s="32">
        <f ca="1">SUMPRODUCT(INDEX(polEff_Com,,15),INDEX(tlccEu_Com,,15))</f>
        <v>211.08404261879718</v>
      </c>
      <c r="T37" s="32">
        <f ca="1">SUMPRODUCT(INDEX(polEff_Com,,16),INDEX(tlccEu_Com,,16))</f>
        <v>210.82725272851349</v>
      </c>
      <c r="U37" s="32">
        <f ca="1">SUMPRODUCT(INDEX(polEff_Com,,17),INDEX(tlccEu_Com,,17))</f>
        <v>210.523458221943</v>
      </c>
      <c r="V37" s="32">
        <f ca="1">SUMPRODUCT(INDEX(polEff_Com,,18),INDEX(tlccEu_Com,,18))</f>
        <v>210.1997062353243</v>
      </c>
      <c r="W37" s="32">
        <f ca="1">SUMPRODUCT(INDEX(polEff_Com,,19),INDEX(tlccEu_Com,,19))</f>
        <v>209.91814501679696</v>
      </c>
      <c r="X37" s="32">
        <f ca="1">SUMPRODUCT(INDEX(polEff_Com,,20),INDEX(tlccEu_Com,,20))</f>
        <v>209.62093435536875</v>
      </c>
      <c r="Y37" s="32">
        <f ca="1">SUMPRODUCT(INDEX(polEff_Com,,21),INDEX(tlccEu_Com,,21))</f>
        <v>209.32550363230396</v>
      </c>
      <c r="Z37" s="32">
        <f ca="1">SUMPRODUCT(INDEX(polEff_Com,,22),INDEX(tlccEu_Com,,22))</f>
        <v>209.13536006282231</v>
      </c>
      <c r="AA37" s="32">
        <f ca="1">SUMPRODUCT(INDEX(polEff_Com,,23),INDEX(tlccEu_Com,,23))</f>
        <v>208.93095318078358</v>
      </c>
      <c r="AB37" s="32">
        <f ca="1">SUMPRODUCT(INDEX(polEff_Com,,24),INDEX(tlccEu_Com,,24))</f>
        <v>208.74198392964271</v>
      </c>
      <c r="AC37" s="32">
        <f ca="1">SUMPRODUCT(INDEX(polEff_Com,,25),INDEX(tlccEu_Com,,25))</f>
        <v>208.61110154916832</v>
      </c>
      <c r="AD37" s="32">
        <f ca="1">SUMPRODUCT(INDEX(polEff_Com,,26),INDEX(tlccEu_Com,,26))</f>
        <v>208.45935005931122</v>
      </c>
      <c r="AE37" s="32">
        <f ca="1">SUMPRODUCT(INDEX(polEff_Com,,27),INDEX(tlccEu_Com,,27))</f>
        <v>208.34063575632428</v>
      </c>
      <c r="AF37" s="32">
        <f ca="1">SUMPRODUCT(INDEX(polEff_Com,,28),INDEX(tlccEu_Com,,28))</f>
        <v>208.34050604437621</v>
      </c>
      <c r="AG37" s="32">
        <f ca="1">SUMPRODUCT(INDEX(polEff_Com,,29),INDEX(tlccEu_Com,,29))</f>
        <v>208.34037682153345</v>
      </c>
      <c r="AH37" s="32">
        <f ca="1">SUMPRODUCT(INDEX(polEff_Com,,30),INDEX(tlccEu_Com,,30))</f>
        <v>208.34024804389665</v>
      </c>
      <c r="AI37" s="32">
        <f ca="1">SUMPRODUCT(INDEX(polEff_Com,,31),INDEX(tlccEu_Com,,31))</f>
        <v>208.34011967034857</v>
      </c>
      <c r="AJ37" s="32">
        <f ca="1">SUMPRODUCT(INDEX(polEff_Com,,32),INDEX(tlccEu_Com,,32))</f>
        <v>208.33999166225476</v>
      </c>
      <c r="AK37" s="32">
        <f ca="1">SUMPRODUCT(INDEX(polEff_Com,,33),INDEX(tlccEu_Com,,33))</f>
        <v>208.33986398325038</v>
      </c>
      <c r="AL37" s="32">
        <f ca="1">SUMPRODUCT(INDEX(polEff_Com,,34),INDEX(tlccEu_Com,,34))</f>
        <v>208.33973659912741</v>
      </c>
      <c r="AM37" s="32">
        <f ca="1">SUMPRODUCT(INDEX(polEff_Com,,35),INDEX(tlccEu_Com,,35))</f>
        <v>208.31287489442337</v>
      </c>
      <c r="AN37" s="55">
        <f ca="1">SUMPRODUCT(INDEX(polEff_Com,,36),INDEX(tlccEu_Com,,36))</f>
        <v>208.31287489442337</v>
      </c>
      <c r="AO37" s="8"/>
    </row>
    <row r="38" spans="2:41" x14ac:dyDescent="0.35">
      <c r="B38" s="8"/>
      <c r="C38" s="10" t="s">
        <v>78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18"/>
      <c r="AO38" s="8"/>
    </row>
    <row r="39" spans="2:41" x14ac:dyDescent="0.35">
      <c r="B39" s="8"/>
      <c r="C39" s="20" t="str">
        <f>INDEX(_fuel,1)</f>
        <v>Electricity</v>
      </c>
      <c r="D39" s="11" t="s">
        <v>80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1"/>
      <c r="AO39" s="8"/>
    </row>
    <row r="40" spans="2:41" x14ac:dyDescent="0.35">
      <c r="B40" s="8"/>
      <c r="C40" s="50" t="str">
        <f>INDEX(_Sector,2,1)</f>
        <v>Residential</v>
      </c>
      <c r="D40" s="8"/>
      <c r="E40" s="40">
        <f ca="1">SUMPRODUCT(INDEX(polEff_Res,,1),INDEX(tlccFuElec_Res,,1))</f>
        <v>5.5598172998658697</v>
      </c>
      <c r="F40" s="40">
        <f ca="1">SUMPRODUCT(INDEX(polEff_Res,,2),INDEX(tlccFuElec_Res,,2))</f>
        <v>5.5328295845618429</v>
      </c>
      <c r="G40" s="40">
        <f ca="1">SUMPRODUCT(INDEX(polEff_Res,,3),INDEX(tlccFuElec_Res,,3))</f>
        <v>4.7490152555476666</v>
      </c>
      <c r="H40" s="40">
        <f ca="1">SUMPRODUCT(INDEX(polEff_Res,,4),INDEX(tlccFuElec_Res,,4))</f>
        <v>4.7358360883945787</v>
      </c>
      <c r="I40" s="40">
        <f ca="1">SUMPRODUCT(INDEX(polEff_Res,,5),INDEX(tlccFuElec_Res,,5))</f>
        <v>4.7267359116443126</v>
      </c>
      <c r="J40" s="40">
        <f ca="1">SUMPRODUCT(INDEX(polEff_Res,,6),INDEX(tlccFuElec_Res,,6))</f>
        <v>4.7194316239088954</v>
      </c>
      <c r="K40" s="40">
        <f ca="1">SUMPRODUCT(INDEX(polEff_Res,,7),INDEX(tlccFuElec_Res,,7))</f>
        <v>4.7131116960576493</v>
      </c>
      <c r="L40" s="40">
        <f ca="1">SUMPRODUCT(INDEX(polEff_Res,,8),INDEX(tlccFuElec_Res,,8))</f>
        <v>4.7062870114776123</v>
      </c>
      <c r="M40" s="40">
        <f ca="1">SUMPRODUCT(INDEX(polEff_Res,,9),INDEX(tlccFuElec_Res,,9))</f>
        <v>4.6997202807631622</v>
      </c>
      <c r="N40" s="40">
        <f ca="1">SUMPRODUCT(INDEX(polEff_Res,,10),INDEX(tlccFuElec_Res,,10))</f>
        <v>4.6935029376601989</v>
      </c>
      <c r="O40" s="40">
        <f ca="1">SUMPRODUCT(INDEX(polEff_Res,,11),INDEX(tlccFuElec_Res,,11))</f>
        <v>4.6869514472052023</v>
      </c>
      <c r="P40" s="40">
        <f ca="1">SUMPRODUCT(INDEX(polEff_Res,,12),INDEX(tlccFuElec_Res,,12))</f>
        <v>4.6814167650440073</v>
      </c>
      <c r="Q40" s="40">
        <f ca="1">SUMPRODUCT(INDEX(polEff_Res,,13),INDEX(tlccFuElec_Res,,13))</f>
        <v>4.6757385604273356</v>
      </c>
      <c r="R40" s="40">
        <f ca="1">SUMPRODUCT(INDEX(polEff_Res,,14),INDEX(tlccFuElec_Res,,14))</f>
        <v>4.6707903570270064</v>
      </c>
      <c r="S40" s="40">
        <f ca="1">SUMPRODUCT(INDEX(polEff_Res,,15),INDEX(tlccFuElec_Res,,15))</f>
        <v>4.6666234900601031</v>
      </c>
      <c r="T40" s="40">
        <f ca="1">SUMPRODUCT(INDEX(polEff_Res,,16),INDEX(tlccFuElec_Res,,16))</f>
        <v>4.6627444372923632</v>
      </c>
      <c r="U40" s="40">
        <f ca="1">SUMPRODUCT(INDEX(polEff_Res,,17),INDEX(tlccFuElec_Res,,17))</f>
        <v>4.6587575347806487</v>
      </c>
      <c r="V40" s="40">
        <f ca="1">SUMPRODUCT(INDEX(polEff_Res,,18),INDEX(tlccFuElec_Res,,18))</f>
        <v>4.6551877216908837</v>
      </c>
      <c r="W40" s="40">
        <f ca="1">SUMPRODUCT(INDEX(polEff_Res,,19),INDEX(tlccFuElec_Res,,19))</f>
        <v>4.6522693194672673</v>
      </c>
      <c r="X40" s="40">
        <f ca="1">SUMPRODUCT(INDEX(polEff_Res,,20),INDEX(tlccFuElec_Res,,20))</f>
        <v>4.6498028768572439</v>
      </c>
      <c r="Y40" s="40">
        <f ca="1">SUMPRODUCT(INDEX(polEff_Res,,21),INDEX(tlccFuElec_Res,,21))</f>
        <v>4.6478161419975912</v>
      </c>
      <c r="Z40" s="40">
        <f ca="1">SUMPRODUCT(INDEX(polEff_Res,,22),INDEX(tlccFuElec_Res,,22))</f>
        <v>4.6470483883018749</v>
      </c>
      <c r="AA40" s="40">
        <f ca="1">SUMPRODUCT(INDEX(polEff_Res,,23),INDEX(tlccFuElec_Res,,23))</f>
        <v>4.6470318450894599</v>
      </c>
      <c r="AB40" s="40">
        <f ca="1">SUMPRODUCT(INDEX(polEff_Res,,24),INDEX(tlccFuElec_Res,,24))</f>
        <v>4.6472483595248661</v>
      </c>
      <c r="AC40" s="40">
        <f ca="1">SUMPRODUCT(INDEX(polEff_Res,,25),INDEX(tlccFuElec_Res,,25))</f>
        <v>4.6477073060204415</v>
      </c>
      <c r="AD40" s="40">
        <f ca="1">SUMPRODUCT(INDEX(polEff_Res,,26),INDEX(tlccFuElec_Res,,26))</f>
        <v>4.6480931658658209</v>
      </c>
      <c r="AE40" s="40">
        <f ca="1">SUMPRODUCT(INDEX(polEff_Res,,27),INDEX(tlccFuElec_Res,,27))</f>
        <v>4.6481873081433021</v>
      </c>
      <c r="AF40" s="40">
        <f ca="1">SUMPRODUCT(INDEX(polEff_Res,,28),INDEX(tlccFuElec_Res,,28))</f>
        <v>4.6481913216663333</v>
      </c>
      <c r="AG40" s="40">
        <f ca="1">SUMPRODUCT(INDEX(polEff_Res,,29),INDEX(tlccFuElec_Res,,29))</f>
        <v>4.6481953200557982</v>
      </c>
      <c r="AH40" s="40">
        <f ca="1">SUMPRODUCT(INDEX(polEff_Res,,30),INDEX(tlccFuElec_Res,,30))</f>
        <v>4.6481993046700234</v>
      </c>
      <c r="AI40" s="40">
        <f ca="1">SUMPRODUCT(INDEX(polEff_Res,,31),INDEX(tlccFuElec_Res,,31))</f>
        <v>4.6482032767812465</v>
      </c>
      <c r="AJ40" s="40">
        <f ca="1">SUMPRODUCT(INDEX(polEff_Res,,32),INDEX(tlccFuElec_Res,,32))</f>
        <v>4.6482072375848853</v>
      </c>
      <c r="AK40" s="40">
        <f ca="1">SUMPRODUCT(INDEX(polEff_Res,,33),INDEX(tlccFuElec_Res,,33))</f>
        <v>4.6482111882061341</v>
      </c>
      <c r="AL40" s="40">
        <f ca="1">SUMPRODUCT(INDEX(polEff_Res,,34),INDEX(tlccFuElec_Res,,34))</f>
        <v>4.6482151297034449</v>
      </c>
      <c r="AM40" s="40">
        <f ca="1">SUMPRODUCT(INDEX(polEff_Res,,35),INDEX(tlccFuElec_Res,,35))</f>
        <v>4.6490227971199953</v>
      </c>
      <c r="AN40" s="41">
        <f ca="1">SUMPRODUCT(INDEX(polEff_Res,,36),INDEX(tlccFuElec_Res,,36))</f>
        <v>4.6490227971199953</v>
      </c>
      <c r="AO40" s="8"/>
    </row>
    <row r="41" spans="2:41" x14ac:dyDescent="0.35">
      <c r="B41" s="8"/>
      <c r="C41" s="58" t="str">
        <f>INDEX(_Sector,2,2)</f>
        <v>Commercial</v>
      </c>
      <c r="D41" s="56"/>
      <c r="E41" s="48">
        <f ca="1">SUMPRODUCT(INDEX(polEff_Com,,1),INDEX(tlccFuElec_Com,,1))</f>
        <v>11.381532859897169</v>
      </c>
      <c r="F41" s="48">
        <f ca="1">SUMPRODUCT(INDEX(polEff_Com,,2),INDEX(tlccFuElec_Com,,2))</f>
        <v>11.324174326563796</v>
      </c>
      <c r="G41" s="48">
        <f ca="1">SUMPRODUCT(INDEX(polEff_Com,,3),INDEX(tlccFuElec_Com,,3))</f>
        <v>9.6724464192672315</v>
      </c>
      <c r="H41" s="48">
        <f ca="1">SUMPRODUCT(INDEX(polEff_Com,,4),INDEX(tlccFuElec_Com,,4))</f>
        <v>9.6454526200419615</v>
      </c>
      <c r="I41" s="48">
        <f ca="1">SUMPRODUCT(INDEX(polEff_Com,,5),INDEX(tlccFuElec_Com,,5))</f>
        <v>9.6276207806659748</v>
      </c>
      <c r="J41" s="48">
        <f ca="1">SUMPRODUCT(INDEX(polEff_Com,,6),INDEX(tlccFuElec_Com,,6))</f>
        <v>9.6138024160296371</v>
      </c>
      <c r="K41" s="48">
        <f ca="1">SUMPRODUCT(INDEX(polEff_Com,,7),INDEX(tlccFuElec_Com,,7))</f>
        <v>9.6020290840906561</v>
      </c>
      <c r="L41" s="48">
        <f ca="1">SUMPRODUCT(INDEX(polEff_Com,,8),INDEX(tlccFuElec_Com,,8))</f>
        <v>9.5894088223388803</v>
      </c>
      <c r="M41" s="48">
        <f ca="1">SUMPRODUCT(INDEX(polEff_Com,,9),INDEX(tlccFuElec_Com,,9))</f>
        <v>9.5774888231422377</v>
      </c>
      <c r="N41" s="48">
        <f ca="1">SUMPRODUCT(INDEX(polEff_Com,,10),INDEX(tlccFuElec_Com,,10))</f>
        <v>9.5662605399354597</v>
      </c>
      <c r="O41" s="48">
        <f ca="1">SUMPRODUCT(INDEX(polEff_Com,,11),INDEX(tlccFuElec_Com,,11))</f>
        <v>9.5545284680844027</v>
      </c>
      <c r="P41" s="48">
        <f ca="1">SUMPRODUCT(INDEX(polEff_Com,,12),INDEX(tlccFuElec_Com,,12))</f>
        <v>9.5444666863973051</v>
      </c>
      <c r="Q41" s="48">
        <f ca="1">SUMPRODUCT(INDEX(polEff_Com,,13),INDEX(tlccFuElec_Com,,13))</f>
        <v>9.5339852359285864</v>
      </c>
      <c r="R41" s="48">
        <f ca="1">SUMPRODUCT(INDEX(polEff_Com,,14),INDEX(tlccFuElec_Com,,14))</f>
        <v>9.5248486269982582</v>
      </c>
      <c r="S41" s="48">
        <f ca="1">SUMPRODUCT(INDEX(polEff_Com,,15),INDEX(tlccFuElec_Com,,15))</f>
        <v>9.5172624054828674</v>
      </c>
      <c r="T41" s="48">
        <f ca="1">SUMPRODUCT(INDEX(polEff_Com,,16),INDEX(tlccFuElec_Com,,16))</f>
        <v>9.5103109312250051</v>
      </c>
      <c r="U41" s="48">
        <f ca="1">SUMPRODUCT(INDEX(polEff_Com,,17),INDEX(tlccFuElec_Com,,17))</f>
        <v>9.5031464284179989</v>
      </c>
      <c r="V41" s="48">
        <f ca="1">SUMPRODUCT(INDEX(polEff_Com,,18),INDEX(tlccFuElec_Com,,18))</f>
        <v>9.4966992676825068</v>
      </c>
      <c r="W41" s="48">
        <f ca="1">SUMPRODUCT(INDEX(polEff_Com,,19),INDEX(tlccFuElec_Com,,19))</f>
        <v>9.4914930309747039</v>
      </c>
      <c r="X41" s="48">
        <f ca="1">SUMPRODUCT(INDEX(polEff_Com,,20),INDEX(tlccFuElec_Com,,20))</f>
        <v>9.487143644241204</v>
      </c>
      <c r="Y41" s="48">
        <f ca="1">SUMPRODUCT(INDEX(polEff_Com,,21),INDEX(tlccFuElec_Com,,21))</f>
        <v>9.4836508755690705</v>
      </c>
      <c r="Z41" s="48">
        <f ca="1">SUMPRODUCT(INDEX(polEff_Com,,22),INDEX(tlccFuElec_Com,,22))</f>
        <v>9.4824916128082979</v>
      </c>
      <c r="AA41" s="48">
        <f ca="1">SUMPRODUCT(INDEX(polEff_Com,,23),INDEX(tlccFuElec_Com,,23))</f>
        <v>9.4827454627040755</v>
      </c>
      <c r="AB41" s="48">
        <f ca="1">SUMPRODUCT(INDEX(polEff_Com,,24),INDEX(tlccFuElec_Com,,24))</f>
        <v>9.4834161378384429</v>
      </c>
      <c r="AC41" s="48">
        <f ca="1">SUMPRODUCT(INDEX(polEff_Com,,25),INDEX(tlccFuElec_Com,,25))</f>
        <v>9.484474104603537</v>
      </c>
      <c r="AD41" s="48">
        <f ca="1">SUMPRODUCT(INDEX(polEff_Com,,26),INDEX(tlccFuElec_Com,,26))</f>
        <v>9.4853218972150923</v>
      </c>
      <c r="AE41" s="48">
        <f ca="1">SUMPRODUCT(INDEX(polEff_Com,,27),INDEX(tlccFuElec_Com,,27))</f>
        <v>9.4855490241604059</v>
      </c>
      <c r="AF41" s="48">
        <f ca="1">SUMPRODUCT(INDEX(polEff_Com,,28),INDEX(tlccFuElec_Com,,28))</f>
        <v>9.4855574970142449</v>
      </c>
      <c r="AG41" s="48">
        <f ca="1">SUMPRODUCT(INDEX(polEff_Com,,29),INDEX(tlccFuElec_Com,,29))</f>
        <v>9.485565937919457</v>
      </c>
      <c r="AH41" s="48">
        <f ca="1">SUMPRODUCT(INDEX(polEff_Com,,30),INDEX(tlccFuElec_Com,,30))</f>
        <v>9.4855743497435832</v>
      </c>
      <c r="AI41" s="48">
        <f ca="1">SUMPRODUCT(INDEX(polEff_Com,,31),INDEX(tlccFuElec_Com,,31))</f>
        <v>9.4855827351724198</v>
      </c>
      <c r="AJ41" s="48">
        <f ca="1">SUMPRODUCT(INDEX(polEff_Com,,32),INDEX(tlccFuElec_Com,,32))</f>
        <v>9.4855910967295873</v>
      </c>
      <c r="AK41" s="48">
        <f ca="1">SUMPRODUCT(INDEX(polEff_Com,,33),INDEX(tlccFuElec_Com,,33))</f>
        <v>9.485599436790455</v>
      </c>
      <c r="AL41" s="48">
        <f ca="1">SUMPRODUCT(INDEX(polEff_Com,,34),INDEX(tlccFuElec_Com,,34))</f>
        <v>9.4856077575895075</v>
      </c>
      <c r="AM41" s="48">
        <f ca="1">SUMPRODUCT(INDEX(polEff_Com,,35),INDEX(tlccFuElec_Com,,35))</f>
        <v>9.4873623785105075</v>
      </c>
      <c r="AN41" s="49">
        <f ca="1">SUMPRODUCT(INDEX(polEff_Com,,36),INDEX(tlccFuElec_Com,,36))</f>
        <v>9.4873623785105075</v>
      </c>
      <c r="AO41" s="8"/>
    </row>
    <row r="42" spans="2:4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</row>
    <row r="43" spans="2:41" x14ac:dyDescent="0.35">
      <c r="B43" s="8"/>
      <c r="C43" s="132" t="s">
        <v>13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4"/>
      <c r="AO43" s="8"/>
    </row>
    <row r="44" spans="2:41" x14ac:dyDescent="0.35">
      <c r="B44" s="8"/>
      <c r="C44" s="23" t="s">
        <v>98</v>
      </c>
      <c r="D44" s="24"/>
      <c r="E44" s="26">
        <f t="array" ref="E44:AN44">_yS</f>
        <v>2024</v>
      </c>
      <c r="F44" s="26">
        <v>2025</v>
      </c>
      <c r="G44" s="26">
        <v>2026</v>
      </c>
      <c r="H44" s="26">
        <v>2027</v>
      </c>
      <c r="I44" s="26">
        <v>2028</v>
      </c>
      <c r="J44" s="26">
        <v>2029</v>
      </c>
      <c r="K44" s="26">
        <v>2030</v>
      </c>
      <c r="L44" s="26">
        <v>2031</v>
      </c>
      <c r="M44" s="26">
        <v>2032</v>
      </c>
      <c r="N44" s="26">
        <v>2033</v>
      </c>
      <c r="O44" s="26">
        <v>2034</v>
      </c>
      <c r="P44" s="26">
        <v>2035</v>
      </c>
      <c r="Q44" s="26">
        <v>2036</v>
      </c>
      <c r="R44" s="26">
        <v>2037</v>
      </c>
      <c r="S44" s="26">
        <v>2038</v>
      </c>
      <c r="T44" s="26">
        <v>2039</v>
      </c>
      <c r="U44" s="26">
        <v>2040</v>
      </c>
      <c r="V44" s="26">
        <v>2041</v>
      </c>
      <c r="W44" s="26">
        <v>2042</v>
      </c>
      <c r="X44" s="26">
        <v>2043</v>
      </c>
      <c r="Y44" s="26">
        <v>2044</v>
      </c>
      <c r="Z44" s="26">
        <v>2045</v>
      </c>
      <c r="AA44" s="26">
        <v>2046</v>
      </c>
      <c r="AB44" s="26">
        <v>2047</v>
      </c>
      <c r="AC44" s="26">
        <v>2048</v>
      </c>
      <c r="AD44" s="26">
        <v>2049</v>
      </c>
      <c r="AE44" s="26">
        <v>2050</v>
      </c>
      <c r="AF44" s="26">
        <v>2051</v>
      </c>
      <c r="AG44" s="26">
        <v>2052</v>
      </c>
      <c r="AH44" s="26">
        <v>2053</v>
      </c>
      <c r="AI44" s="26">
        <v>2054</v>
      </c>
      <c r="AJ44" s="26">
        <v>2055</v>
      </c>
      <c r="AK44" s="26">
        <v>2056</v>
      </c>
      <c r="AL44" s="26">
        <v>2057</v>
      </c>
      <c r="AM44" s="26">
        <v>2058</v>
      </c>
      <c r="AN44" s="27">
        <v>2059</v>
      </c>
      <c r="AO44" s="8"/>
    </row>
    <row r="45" spans="2:41" x14ac:dyDescent="0.35">
      <c r="B45" s="8"/>
      <c r="C45" s="19" t="str">
        <f>"EL 0: " &amp; INDEX(_doName,2,1)</f>
        <v>EL 0: Baseline</v>
      </c>
      <c r="D45" s="11" t="s">
        <v>63</v>
      </c>
      <c r="E45" s="43">
        <f t="array" aca="1" ref="E45:AN49" ca="1">IF(_yS&lt;yearC,bcEff_Res,IF(_yS&lt;year2nd,MMULT(mRoll1_Res,refEff_Res),MMULT(mRoll2_Res,refEff_Res)))</f>
        <v>0</v>
      </c>
      <c r="F45" s="43">
        <f ca="1"/>
        <v>0</v>
      </c>
      <c r="G45" s="43">
        <f ca="1"/>
        <v>0</v>
      </c>
      <c r="H45" s="43">
        <f ca="1"/>
        <v>0</v>
      </c>
      <c r="I45" s="43">
        <f ca="1"/>
        <v>0</v>
      </c>
      <c r="J45" s="43">
        <f ca="1"/>
        <v>0</v>
      </c>
      <c r="K45" s="43">
        <f ca="1"/>
        <v>0</v>
      </c>
      <c r="L45" s="43">
        <f ca="1"/>
        <v>0</v>
      </c>
      <c r="M45" s="43">
        <f ca="1"/>
        <v>0</v>
      </c>
      <c r="N45" s="43">
        <f ca="1"/>
        <v>0</v>
      </c>
      <c r="O45" s="43">
        <f ca="1"/>
        <v>0</v>
      </c>
      <c r="P45" s="43">
        <f ca="1"/>
        <v>0</v>
      </c>
      <c r="Q45" s="43">
        <f ca="1"/>
        <v>0</v>
      </c>
      <c r="R45" s="43">
        <f ca="1"/>
        <v>0</v>
      </c>
      <c r="S45" s="43">
        <f ca="1"/>
        <v>0</v>
      </c>
      <c r="T45" s="43">
        <f ca="1"/>
        <v>0</v>
      </c>
      <c r="U45" s="43">
        <f ca="1"/>
        <v>0</v>
      </c>
      <c r="V45" s="43">
        <f ca="1"/>
        <v>0</v>
      </c>
      <c r="W45" s="43">
        <f ca="1"/>
        <v>0</v>
      </c>
      <c r="X45" s="43">
        <f ca="1"/>
        <v>0</v>
      </c>
      <c r="Y45" s="43">
        <f ca="1"/>
        <v>0</v>
      </c>
      <c r="Z45" s="43">
        <f ca="1"/>
        <v>0</v>
      </c>
      <c r="AA45" s="43">
        <f ca="1"/>
        <v>0</v>
      </c>
      <c r="AB45" s="43">
        <f ca="1"/>
        <v>0</v>
      </c>
      <c r="AC45" s="43">
        <f ca="1"/>
        <v>0</v>
      </c>
      <c r="AD45" s="43">
        <f ca="1"/>
        <v>0</v>
      </c>
      <c r="AE45" s="43">
        <f ca="1"/>
        <v>0</v>
      </c>
      <c r="AF45" s="43">
        <f ca="1"/>
        <v>0</v>
      </c>
      <c r="AG45" s="43">
        <f ca="1"/>
        <v>0</v>
      </c>
      <c r="AH45" s="43">
        <f ca="1"/>
        <v>0</v>
      </c>
      <c r="AI45" s="43">
        <f ca="1"/>
        <v>0</v>
      </c>
      <c r="AJ45" s="43">
        <f ca="1"/>
        <v>0</v>
      </c>
      <c r="AK45" s="43">
        <f ca="1"/>
        <v>0</v>
      </c>
      <c r="AL45" s="43">
        <f ca="1"/>
        <v>0</v>
      </c>
      <c r="AM45" s="43">
        <f ca="1"/>
        <v>0</v>
      </c>
      <c r="AN45" s="44">
        <f ca="1"/>
        <v>0</v>
      </c>
      <c r="AO45" s="8"/>
    </row>
    <row r="46" spans="2:41" x14ac:dyDescent="0.35">
      <c r="B46" s="8"/>
      <c r="C46" s="19" t="str">
        <f>"EL 1: " &amp; INDEX(_doName,2,2)</f>
        <v>EL 1: Tier 1</v>
      </c>
      <c r="D46" s="11" t="s">
        <v>63</v>
      </c>
      <c r="E46" s="43">
        <f ca="1"/>
        <v>0.60832716961380828</v>
      </c>
      <c r="F46" s="43">
        <f ca="1"/>
        <v>0.60856844370293273</v>
      </c>
      <c r="G46" s="43">
        <f ca="1"/>
        <v>0</v>
      </c>
      <c r="H46" s="43">
        <f ca="1"/>
        <v>0</v>
      </c>
      <c r="I46" s="43">
        <f ca="1"/>
        <v>0</v>
      </c>
      <c r="J46" s="43">
        <f ca="1"/>
        <v>0</v>
      </c>
      <c r="K46" s="43">
        <f ca="1"/>
        <v>0</v>
      </c>
      <c r="L46" s="43">
        <f ca="1"/>
        <v>0</v>
      </c>
      <c r="M46" s="43">
        <f ca="1"/>
        <v>0</v>
      </c>
      <c r="N46" s="43">
        <f ca="1"/>
        <v>0</v>
      </c>
      <c r="O46" s="43">
        <f ca="1"/>
        <v>0</v>
      </c>
      <c r="P46" s="43">
        <f ca="1"/>
        <v>0</v>
      </c>
      <c r="Q46" s="43">
        <f ca="1"/>
        <v>0</v>
      </c>
      <c r="R46" s="43">
        <f ca="1"/>
        <v>0</v>
      </c>
      <c r="S46" s="43">
        <f ca="1"/>
        <v>0</v>
      </c>
      <c r="T46" s="43">
        <f ca="1"/>
        <v>0</v>
      </c>
      <c r="U46" s="43">
        <f ca="1"/>
        <v>0</v>
      </c>
      <c r="V46" s="43">
        <f ca="1"/>
        <v>0</v>
      </c>
      <c r="W46" s="43">
        <f ca="1"/>
        <v>0</v>
      </c>
      <c r="X46" s="43">
        <f ca="1"/>
        <v>0</v>
      </c>
      <c r="Y46" s="43">
        <f ca="1"/>
        <v>0</v>
      </c>
      <c r="Z46" s="43">
        <f ca="1"/>
        <v>0</v>
      </c>
      <c r="AA46" s="43">
        <f ca="1"/>
        <v>0</v>
      </c>
      <c r="AB46" s="43">
        <f ca="1"/>
        <v>0</v>
      </c>
      <c r="AC46" s="43">
        <f ca="1"/>
        <v>0</v>
      </c>
      <c r="AD46" s="43">
        <f ca="1"/>
        <v>0</v>
      </c>
      <c r="AE46" s="43">
        <f ca="1"/>
        <v>0</v>
      </c>
      <c r="AF46" s="43">
        <f ca="1"/>
        <v>0</v>
      </c>
      <c r="AG46" s="43">
        <f ca="1"/>
        <v>0</v>
      </c>
      <c r="AH46" s="43">
        <f ca="1"/>
        <v>0</v>
      </c>
      <c r="AI46" s="43">
        <f ca="1"/>
        <v>0</v>
      </c>
      <c r="AJ46" s="43">
        <f ca="1"/>
        <v>0</v>
      </c>
      <c r="AK46" s="43">
        <f ca="1"/>
        <v>0</v>
      </c>
      <c r="AL46" s="43">
        <f ca="1"/>
        <v>0</v>
      </c>
      <c r="AM46" s="43">
        <f ca="1"/>
        <v>0</v>
      </c>
      <c r="AN46" s="44">
        <f ca="1"/>
        <v>0</v>
      </c>
      <c r="AO46" s="8"/>
    </row>
    <row r="47" spans="2:41" x14ac:dyDescent="0.35">
      <c r="B47" s="8"/>
      <c r="C47" s="19" t="str">
        <f>"EL 2: " &amp; INDEX(_doName,2,3)</f>
        <v>EL 2: Tier 2</v>
      </c>
      <c r="D47" s="11" t="s">
        <v>63</v>
      </c>
      <c r="E47" s="43">
        <f ca="1"/>
        <v>0.28200443787805807</v>
      </c>
      <c r="F47" s="43">
        <f ca="1"/>
        <v>0.28183072053388841</v>
      </c>
      <c r="G47" s="43">
        <f ca="1"/>
        <v>0.88996800998470149</v>
      </c>
      <c r="H47" s="43">
        <f ca="1"/>
        <v>0.89005927359506254</v>
      </c>
      <c r="I47" s="43">
        <f ca="1"/>
        <v>0.89014933610559122</v>
      </c>
      <c r="J47" s="43">
        <f ca="1"/>
        <v>0.89017438258134307</v>
      </c>
      <c r="K47" s="43">
        <f ca="1"/>
        <v>0.89019912676556001</v>
      </c>
      <c r="L47" s="43">
        <f ca="1"/>
        <v>0.89022357915229056</v>
      </c>
      <c r="M47" s="43">
        <f ca="1"/>
        <v>0.89024774917845595</v>
      </c>
      <c r="N47" s="43">
        <f ca="1"/>
        <v>0.89027164579957663</v>
      </c>
      <c r="O47" s="43">
        <f ca="1"/>
        <v>0.89027512870860526</v>
      </c>
      <c r="P47" s="43">
        <f ca="1"/>
        <v>0.89027856764883984</v>
      </c>
      <c r="Q47" s="43">
        <f ca="1"/>
        <v>0.8902819655696963</v>
      </c>
      <c r="R47" s="43">
        <f ca="1"/>
        <v>0.89028532516441317</v>
      </c>
      <c r="S47" s="43">
        <f ca="1"/>
        <v>0.89028864891040205</v>
      </c>
      <c r="T47" s="43">
        <f ca="1"/>
        <v>0.89029193868139478</v>
      </c>
      <c r="U47" s="43">
        <f ca="1"/>
        <v>0.89029519623033493</v>
      </c>
      <c r="V47" s="43">
        <f ca="1"/>
        <v>0.89029842306673412</v>
      </c>
      <c r="W47" s="43">
        <f ca="1"/>
        <v>0.89030162053015816</v>
      </c>
      <c r="X47" s="43">
        <f ca="1"/>
        <v>0.89030478984666106</v>
      </c>
      <c r="Y47" s="43">
        <f ca="1"/>
        <v>0.89030633420776351</v>
      </c>
      <c r="Z47" s="43">
        <f ca="1"/>
        <v>0.89030786810972828</v>
      </c>
      <c r="AA47" s="43">
        <f ca="1"/>
        <v>0.89030939241166729</v>
      </c>
      <c r="AB47" s="43">
        <f ca="1"/>
        <v>0.89031090791764333</v>
      </c>
      <c r="AC47" s="43">
        <f ca="1"/>
        <v>0.89031241537346162</v>
      </c>
      <c r="AD47" s="43">
        <f ca="1"/>
        <v>0.89031391546639838</v>
      </c>
      <c r="AE47" s="43">
        <f ca="1"/>
        <v>0.89031540882866933</v>
      </c>
      <c r="AF47" s="43">
        <f ca="1"/>
        <v>0.89031689604314046</v>
      </c>
      <c r="AG47" s="43">
        <f ca="1"/>
        <v>0.89031837764985511</v>
      </c>
      <c r="AH47" s="43">
        <f ca="1"/>
        <v>0.89031985415214243</v>
      </c>
      <c r="AI47" s="43">
        <f ca="1"/>
        <v>0.89032132602143177</v>
      </c>
      <c r="AJ47" s="43">
        <f ca="1"/>
        <v>0.89032279370068568</v>
      </c>
      <c r="AK47" s="43">
        <f ca="1"/>
        <v>0.89032425760684575</v>
      </c>
      <c r="AL47" s="43">
        <f ca="1"/>
        <v>0.89032571813212336</v>
      </c>
      <c r="AM47" s="43">
        <f ca="1"/>
        <v>0.890625</v>
      </c>
      <c r="AN47" s="44">
        <f ca="1"/>
        <v>0.890625</v>
      </c>
      <c r="AO47" s="8"/>
    </row>
    <row r="48" spans="2:41" x14ac:dyDescent="0.35">
      <c r="B48" s="8"/>
      <c r="C48" s="19" t="str">
        <f>"EL 3: " &amp; INDEX(_doName,2,4)</f>
        <v>EL 3: EL 3</v>
      </c>
      <c r="D48" s="11" t="s">
        <v>63</v>
      </c>
      <c r="E48" s="43">
        <f ca="1"/>
        <v>0.10575166420427178</v>
      </c>
      <c r="F48" s="43">
        <f ca="1"/>
        <v>0.10568652020020815</v>
      </c>
      <c r="G48" s="43">
        <f ca="1"/>
        <v>0.10610227608618071</v>
      </c>
      <c r="H48" s="43">
        <f ca="1"/>
        <v>0.10601427189047527</v>
      </c>
      <c r="I48" s="43">
        <f ca="1"/>
        <v>0.10592742589818005</v>
      </c>
      <c r="J48" s="43">
        <f ca="1"/>
        <v>0.10590327393941917</v>
      </c>
      <c r="K48" s="43">
        <f ca="1"/>
        <v>0.10587941347606719</v>
      </c>
      <c r="L48" s="43">
        <f ca="1"/>
        <v>0.10585583438886265</v>
      </c>
      <c r="M48" s="43">
        <f ca="1"/>
        <v>0.1058325275779175</v>
      </c>
      <c r="N48" s="43">
        <f ca="1"/>
        <v>0.10580948440755114</v>
      </c>
      <c r="O48" s="43">
        <f ca="1"/>
        <v>0.10580612588813057</v>
      </c>
      <c r="P48" s="43">
        <f ca="1"/>
        <v>0.1058028097671901</v>
      </c>
      <c r="Q48" s="43">
        <f ca="1"/>
        <v>0.10579953320064989</v>
      </c>
      <c r="R48" s="43">
        <f ca="1"/>
        <v>0.10579629359145877</v>
      </c>
      <c r="S48" s="43">
        <f ca="1"/>
        <v>0.10579308855068376</v>
      </c>
      <c r="T48" s="43">
        <f ca="1"/>
        <v>0.10578991627151238</v>
      </c>
      <c r="U48" s="43">
        <f ca="1"/>
        <v>0.10578677506360562</v>
      </c>
      <c r="V48" s="43">
        <f ca="1"/>
        <v>0.1057836634713637</v>
      </c>
      <c r="W48" s="43">
        <f ca="1"/>
        <v>0.10578058020306186</v>
      </c>
      <c r="X48" s="43">
        <f ca="1"/>
        <v>0.10577752407643394</v>
      </c>
      <c r="Y48" s="43">
        <f ca="1"/>
        <v>0.10577603487108519</v>
      </c>
      <c r="Z48" s="43">
        <f ca="1"/>
        <v>0.10577455575133343</v>
      </c>
      <c r="AA48" s="43">
        <f ca="1"/>
        <v>0.10577308588874942</v>
      </c>
      <c r="AB48" s="43">
        <f ca="1"/>
        <v>0.10577162450798683</v>
      </c>
      <c r="AC48" s="43">
        <f ca="1"/>
        <v>0.10577017088987638</v>
      </c>
      <c r="AD48" s="43">
        <f ca="1"/>
        <v>0.10576872437168712</v>
      </c>
      <c r="AE48" s="43">
        <f ca="1"/>
        <v>0.10576728434378321</v>
      </c>
      <c r="AF48" s="43">
        <f ca="1"/>
        <v>0.10576585024411463</v>
      </c>
      <c r="AG48" s="43">
        <f ca="1"/>
        <v>0.10576442155192541</v>
      </c>
      <c r="AH48" s="43">
        <f ca="1"/>
        <v>0.10576299778186257</v>
      </c>
      <c r="AI48" s="43">
        <f ca="1"/>
        <v>0.10576157847933355</v>
      </c>
      <c r="AJ48" s="43">
        <f ca="1"/>
        <v>0.10576016321719599</v>
      </c>
      <c r="AK48" s="43">
        <f ca="1"/>
        <v>0.10575875159339879</v>
      </c>
      <c r="AL48" s="43">
        <f ca="1"/>
        <v>0.10575734322973815</v>
      </c>
      <c r="AM48" s="43">
        <f ca="1"/>
        <v>0.10546875</v>
      </c>
      <c r="AN48" s="44">
        <f ca="1"/>
        <v>0.10546875</v>
      </c>
      <c r="AO48" s="8"/>
    </row>
    <row r="49" spans="2:41" x14ac:dyDescent="0.35">
      <c r="B49" s="8"/>
      <c r="C49" s="35" t="str">
        <f>"EL 4: " &amp; INDEX(_doName,2,5)</f>
        <v>EL 4: EL 4</v>
      </c>
      <c r="D49" s="15" t="s">
        <v>63</v>
      </c>
      <c r="E49" s="45">
        <f ca="1"/>
        <v>3.9167283038619178E-3</v>
      </c>
      <c r="F49" s="45">
        <f ca="1"/>
        <v>3.9143155629706725E-3</v>
      </c>
      <c r="G49" s="45">
        <f ca="1"/>
        <v>3.929713929117804E-3</v>
      </c>
      <c r="H49" s="45">
        <f ca="1"/>
        <v>3.926454514462047E-3</v>
      </c>
      <c r="I49" s="45">
        <f ca="1"/>
        <v>3.9232379962288906E-3</v>
      </c>
      <c r="J49" s="45">
        <f ca="1"/>
        <v>3.9223434792377467E-3</v>
      </c>
      <c r="K49" s="45">
        <f ca="1"/>
        <v>3.9214597583728588E-3</v>
      </c>
      <c r="L49" s="45">
        <f ca="1"/>
        <v>3.9205864588467646E-3</v>
      </c>
      <c r="M49" s="45">
        <f ca="1"/>
        <v>3.9197232436265737E-3</v>
      </c>
      <c r="N49" s="45">
        <f ca="1"/>
        <v>3.9188697928722645E-3</v>
      </c>
      <c r="O49" s="45">
        <f ca="1"/>
        <v>3.9187454032640952E-3</v>
      </c>
      <c r="P49" s="45">
        <f ca="1"/>
        <v>3.9186225839700044E-3</v>
      </c>
      <c r="Q49" s="45">
        <f ca="1"/>
        <v>3.9185012296536993E-3</v>
      </c>
      <c r="R49" s="45">
        <f ca="1"/>
        <v>3.9183812441281026E-3</v>
      </c>
      <c r="S49" s="45">
        <f ca="1"/>
        <v>3.9182625389142132E-3</v>
      </c>
      <c r="T49" s="45">
        <f ca="1"/>
        <v>3.9181450470930504E-3</v>
      </c>
      <c r="U49" s="45">
        <f ca="1"/>
        <v>3.9180287060594675E-3</v>
      </c>
      <c r="V49" s="45">
        <f ca="1"/>
        <v>3.9179134619023595E-3</v>
      </c>
      <c r="W49" s="45">
        <f ca="1"/>
        <v>3.917799266780069E-3</v>
      </c>
      <c r="X49" s="45">
        <f ca="1"/>
        <v>3.9176860769049617E-3</v>
      </c>
      <c r="Y49" s="45">
        <f ca="1"/>
        <v>3.9176309211513037E-3</v>
      </c>
      <c r="Z49" s="45">
        <f ca="1"/>
        <v>3.9175761389382748E-3</v>
      </c>
      <c r="AA49" s="45">
        <f ca="1"/>
        <v>3.9175216995833125E-3</v>
      </c>
      <c r="AB49" s="45">
        <f ca="1"/>
        <v>3.9174675743698824E-3</v>
      </c>
      <c r="AC49" s="45">
        <f ca="1"/>
        <v>3.9174137366620879E-3</v>
      </c>
      <c r="AD49" s="45">
        <f ca="1"/>
        <v>3.9173601619143378E-3</v>
      </c>
      <c r="AE49" s="45">
        <f ca="1"/>
        <v>3.9173068275475268E-3</v>
      </c>
      <c r="AF49" s="45">
        <f ca="1"/>
        <v>3.9172537127449862E-3</v>
      </c>
      <c r="AG49" s="45">
        <f ca="1"/>
        <v>3.9172007982194593E-3</v>
      </c>
      <c r="AH49" s="45">
        <f ca="1"/>
        <v>3.9171480659949106E-3</v>
      </c>
      <c r="AI49" s="45">
        <f ca="1"/>
        <v>3.9170954992345762E-3</v>
      </c>
      <c r="AJ49" s="45">
        <f ca="1"/>
        <v>3.9170430821183697E-3</v>
      </c>
      <c r="AK49" s="45">
        <f ca="1"/>
        <v>3.9169907997555105E-3</v>
      </c>
      <c r="AL49" s="45">
        <f ca="1"/>
        <v>3.9169386381384492E-3</v>
      </c>
      <c r="AM49" s="45">
        <f ca="1"/>
        <v>3.90625E-3</v>
      </c>
      <c r="AN49" s="46">
        <f ca="1"/>
        <v>3.90625E-3</v>
      </c>
      <c r="AO49" s="8"/>
    </row>
    <row r="50" spans="2:41" hidden="1" x14ac:dyDescent="0.35">
      <c r="B50" s="8"/>
      <c r="C50" s="23" t="s">
        <v>97</v>
      </c>
      <c r="D50" s="24"/>
      <c r="E50" s="26">
        <f t="array" ref="E50:AN50">_yS</f>
        <v>2024</v>
      </c>
      <c r="F50" s="26">
        <v>2025</v>
      </c>
      <c r="G50" s="26">
        <v>2026</v>
      </c>
      <c r="H50" s="26">
        <v>2027</v>
      </c>
      <c r="I50" s="26">
        <v>2028</v>
      </c>
      <c r="J50" s="26">
        <v>2029</v>
      </c>
      <c r="K50" s="26">
        <v>2030</v>
      </c>
      <c r="L50" s="26">
        <v>2031</v>
      </c>
      <c r="M50" s="26">
        <v>2032</v>
      </c>
      <c r="N50" s="26">
        <v>2033</v>
      </c>
      <c r="O50" s="26">
        <v>2034</v>
      </c>
      <c r="P50" s="26">
        <v>2035</v>
      </c>
      <c r="Q50" s="26">
        <v>2036</v>
      </c>
      <c r="R50" s="26">
        <v>2037</v>
      </c>
      <c r="S50" s="26">
        <v>2038</v>
      </c>
      <c r="T50" s="26">
        <v>2039</v>
      </c>
      <c r="U50" s="26">
        <v>2040</v>
      </c>
      <c r="V50" s="26">
        <v>2041</v>
      </c>
      <c r="W50" s="26">
        <v>2042</v>
      </c>
      <c r="X50" s="26">
        <v>2043</v>
      </c>
      <c r="Y50" s="26">
        <v>2044</v>
      </c>
      <c r="Z50" s="26">
        <v>2045</v>
      </c>
      <c r="AA50" s="26">
        <v>2046</v>
      </c>
      <c r="AB50" s="26">
        <v>2047</v>
      </c>
      <c r="AC50" s="26">
        <v>2048</v>
      </c>
      <c r="AD50" s="26">
        <v>2049</v>
      </c>
      <c r="AE50" s="26">
        <v>2050</v>
      </c>
      <c r="AF50" s="26">
        <v>2051</v>
      </c>
      <c r="AG50" s="26">
        <v>2052</v>
      </c>
      <c r="AH50" s="26">
        <v>2053</v>
      </c>
      <c r="AI50" s="26">
        <v>2054</v>
      </c>
      <c r="AJ50" s="26">
        <v>2055</v>
      </c>
      <c r="AK50" s="26">
        <v>2056</v>
      </c>
      <c r="AL50" s="26">
        <v>2057</v>
      </c>
      <c r="AM50" s="26">
        <v>2058</v>
      </c>
      <c r="AN50" s="27">
        <v>2059</v>
      </c>
      <c r="AO50" s="8"/>
    </row>
    <row r="51" spans="2:41" hidden="1" x14ac:dyDescent="0.35">
      <c r="B51" s="8"/>
      <c r="C51" s="19" t="str">
        <f>"EL 0: " &amp; INDEX(_doName,2,1)</f>
        <v>EL 0: Baseline</v>
      </c>
      <c r="D51" s="11" t="s">
        <v>63</v>
      </c>
      <c r="E51" s="43">
        <f t="array" aca="1" ref="E51:AN55" ca="1">IF(_yS&lt;yearC,'CADR 100-149'!bcEff_Res,IF(OR(bElast,bRepair),IF(tShpmedStd_Res&gt;0,elShpStd_Res/tShpmedStd_Res,'CADR 100-149'!bcEff_Res),'CADR 100-149'!bcEff_Res))</f>
        <v>0.24172140037233283</v>
      </c>
      <c r="F51" s="43">
        <f ca="1"/>
        <v>0.24218850700887781</v>
      </c>
      <c r="G51" s="43">
        <f ca="1"/>
        <v>0.2417895662643762</v>
      </c>
      <c r="H51" s="43">
        <f ca="1"/>
        <v>0.2420622476303084</v>
      </c>
      <c r="I51" s="43">
        <f ca="1"/>
        <v>0.24233122682522207</v>
      </c>
      <c r="J51" s="43">
        <f ca="1"/>
        <v>0.24240620616444977</v>
      </c>
      <c r="K51" s="43">
        <f ca="1"/>
        <v>0.24248025024475195</v>
      </c>
      <c r="L51" s="43">
        <f ca="1"/>
        <v>0.24255339178726362</v>
      </c>
      <c r="M51" s="43">
        <f ca="1"/>
        <v>0.24262566022150703</v>
      </c>
      <c r="N51" s="43">
        <f ca="1"/>
        <v>0.24269708346828334</v>
      </c>
      <c r="O51" s="43">
        <f ca="1"/>
        <v>0.24270766053373347</v>
      </c>
      <c r="P51" s="43">
        <f ca="1"/>
        <v>0.24271810078861433</v>
      </c>
      <c r="Q51" s="43">
        <f ca="1"/>
        <v>0.24272841339999027</v>
      </c>
      <c r="R51" s="43">
        <f ca="1"/>
        <v>0.24273860673699743</v>
      </c>
      <c r="S51" s="43">
        <f ca="1"/>
        <v>0.24274868849629311</v>
      </c>
      <c r="T51" s="43">
        <f ca="1"/>
        <v>0.24275866450517847</v>
      </c>
      <c r="U51" s="43">
        <f ca="1"/>
        <v>0.24276854021400932</v>
      </c>
      <c r="V51" s="43">
        <f ca="1"/>
        <v>0.24277832031801105</v>
      </c>
      <c r="W51" s="43">
        <f ca="1"/>
        <v>0.24278800898474928</v>
      </c>
      <c r="X51" s="43">
        <f ca="1"/>
        <v>0.24279761002873465</v>
      </c>
      <c r="Y51" s="43">
        <f ca="1"/>
        <v>0.24280237513488512</v>
      </c>
      <c r="Z51" s="43">
        <f ca="1"/>
        <v>0.24280710723197804</v>
      </c>
      <c r="AA51" s="43">
        <f ca="1"/>
        <v>0.24281180898473068</v>
      </c>
      <c r="AB51" s="43">
        <f ca="1"/>
        <v>0.24281648288637359</v>
      </c>
      <c r="AC51" s="43">
        <f ca="1"/>
        <v>0.24282113124891078</v>
      </c>
      <c r="AD51" s="43">
        <f ca="1"/>
        <v>0.24282575620244204</v>
      </c>
      <c r="AE51" s="43">
        <f ca="1"/>
        <v>0.24283035970600417</v>
      </c>
      <c r="AF51" s="43">
        <f ca="1"/>
        <v>0.24283494356532087</v>
      </c>
      <c r="AG51" s="43">
        <f ca="1"/>
        <v>0.2428395094530364</v>
      </c>
      <c r="AH51" s="43">
        <f ca="1"/>
        <v>0.24284405892764713</v>
      </c>
      <c r="AI51" s="43">
        <f ca="1"/>
        <v>0.24284859344842682</v>
      </c>
      <c r="AJ51" s="43">
        <f ca="1"/>
        <v>0.2428531143860797</v>
      </c>
      <c r="AK51" s="43">
        <f ca="1"/>
        <v>0.2428576230303463</v>
      </c>
      <c r="AL51" s="43">
        <f ca="1"/>
        <v>0.24286212059404033</v>
      </c>
      <c r="AM51" s="43">
        <f ca="1"/>
        <v>0.24375000000000002</v>
      </c>
      <c r="AN51" s="44">
        <f ca="1"/>
        <v>0.24375000000000002</v>
      </c>
      <c r="AO51" s="8"/>
    </row>
    <row r="52" spans="2:41" hidden="1" x14ac:dyDescent="0.35">
      <c r="B52" s="8"/>
      <c r="C52" s="19" t="str">
        <f>"EL 1: " &amp; INDEX(_doName,2,2)</f>
        <v>EL 1: Tier 1</v>
      </c>
      <c r="D52" s="11" t="s">
        <v>63</v>
      </c>
      <c r="E52" s="43">
        <f ca="1"/>
        <v>0.36660576924147548</v>
      </c>
      <c r="F52" s="43">
        <f ca="1"/>
        <v>0.36637993669405489</v>
      </c>
      <c r="G52" s="43">
        <f ca="1"/>
        <v>0.36523904082384334</v>
      </c>
      <c r="H52" s="43">
        <f ca="1"/>
        <v>0.36529230092348686</v>
      </c>
      <c r="I52" s="43">
        <f ca="1"/>
        <v>0.36534497355188889</v>
      </c>
      <c r="J52" s="43">
        <f ca="1"/>
        <v>0.3653594459117756</v>
      </c>
      <c r="K52" s="43">
        <f ca="1"/>
        <v>0.36537377391796211</v>
      </c>
      <c r="L52" s="43">
        <f ca="1"/>
        <v>0.36538796232805987</v>
      </c>
      <c r="M52" s="43">
        <f ca="1"/>
        <v>0.36540201541583561</v>
      </c>
      <c r="N52" s="43">
        <f ca="1"/>
        <v>0.36541593724449029</v>
      </c>
      <c r="O52" s="43">
        <f ca="1"/>
        <v>0.36541779913985689</v>
      </c>
      <c r="P52" s="43">
        <f ca="1"/>
        <v>0.36541964081438522</v>
      </c>
      <c r="Q52" s="43">
        <f ca="1"/>
        <v>0.36542146363463968</v>
      </c>
      <c r="R52" s="43">
        <f ca="1"/>
        <v>0.36542326885019233</v>
      </c>
      <c r="S52" s="43">
        <f ca="1"/>
        <v>0.36542505761228555</v>
      </c>
      <c r="T52" s="43">
        <f ca="1"/>
        <v>0.36542683078551658</v>
      </c>
      <c r="U52" s="43">
        <f ca="1"/>
        <v>0.36542858918004401</v>
      </c>
      <c r="V52" s="43">
        <f ca="1"/>
        <v>0.36543033349175313</v>
      </c>
      <c r="W52" s="43">
        <f ca="1"/>
        <v>0.36543206433724379</v>
      </c>
      <c r="X52" s="43">
        <f ca="1"/>
        <v>0.36543378228076917</v>
      </c>
      <c r="Y52" s="43">
        <f ca="1"/>
        <v>0.36543453274998461</v>
      </c>
      <c r="Z52" s="43">
        <f ca="1"/>
        <v>0.36543527887419441</v>
      </c>
      <c r="AA52" s="43">
        <f ca="1"/>
        <v>0.36543602105693818</v>
      </c>
      <c r="AB52" s="43">
        <f ca="1"/>
        <v>0.3654367596766383</v>
      </c>
      <c r="AC52" s="43">
        <f ca="1"/>
        <v>0.36543749508488044</v>
      </c>
      <c r="AD52" s="43">
        <f ca="1"/>
        <v>0.36543822760612404</v>
      </c>
      <c r="AE52" s="43">
        <f ca="1"/>
        <v>0.36543895753924316</v>
      </c>
      <c r="AF52" s="43">
        <f ca="1"/>
        <v>0.36543968516018055</v>
      </c>
      <c r="AG52" s="43">
        <f ca="1"/>
        <v>0.36544041072501771</v>
      </c>
      <c r="AH52" s="43">
        <f ca="1"/>
        <v>0.36544113447286181</v>
      </c>
      <c r="AI52" s="43">
        <f ca="1"/>
        <v>0.36544185662811551</v>
      </c>
      <c r="AJ52" s="43">
        <f ca="1"/>
        <v>0.3654425774020833</v>
      </c>
      <c r="AK52" s="43">
        <f ca="1"/>
        <v>0.36544329699410261</v>
      </c>
      <c r="AL52" s="43">
        <f ca="1"/>
        <v>0.3654440155921147</v>
      </c>
      <c r="AM52" s="43">
        <f ca="1"/>
        <v>0.36562499999999998</v>
      </c>
      <c r="AN52" s="44">
        <f ca="1"/>
        <v>0.36562499999999998</v>
      </c>
      <c r="AO52" s="8"/>
    </row>
    <row r="53" spans="2:41" hidden="1" x14ac:dyDescent="0.35">
      <c r="B53" s="8"/>
      <c r="C53" s="19" t="str">
        <f>"EL 2: " &amp; INDEX(_doName,2,3)</f>
        <v>EL 2: Tier 2</v>
      </c>
      <c r="D53" s="11" t="s">
        <v>63</v>
      </c>
      <c r="E53" s="43">
        <f ca="1"/>
        <v>0.28200443787805807</v>
      </c>
      <c r="F53" s="43">
        <f ca="1"/>
        <v>0.28183072053388841</v>
      </c>
      <c r="G53" s="43">
        <f ca="1"/>
        <v>0.2829394028964819</v>
      </c>
      <c r="H53" s="43">
        <f ca="1"/>
        <v>0.28270472504126737</v>
      </c>
      <c r="I53" s="43">
        <f ca="1"/>
        <v>0.28247313572848015</v>
      </c>
      <c r="J53" s="43">
        <f ca="1"/>
        <v>0.28240873050511778</v>
      </c>
      <c r="K53" s="43">
        <f ca="1"/>
        <v>0.2823451026028459</v>
      </c>
      <c r="L53" s="43">
        <f ca="1"/>
        <v>0.28228222503696704</v>
      </c>
      <c r="M53" s="43">
        <f ca="1"/>
        <v>0.28222007354111334</v>
      </c>
      <c r="N53" s="43">
        <f ca="1"/>
        <v>0.28215862508680301</v>
      </c>
      <c r="O53" s="43">
        <f ca="1"/>
        <v>0.28214966903501487</v>
      </c>
      <c r="P53" s="43">
        <f ca="1"/>
        <v>0.28214082604584029</v>
      </c>
      <c r="Q53" s="43">
        <f ca="1"/>
        <v>0.28213208853506638</v>
      </c>
      <c r="R53" s="43">
        <f ca="1"/>
        <v>0.28212344957722335</v>
      </c>
      <c r="S53" s="43">
        <f ca="1"/>
        <v>0.28211490280182339</v>
      </c>
      <c r="T53" s="43">
        <f ca="1"/>
        <v>0.28210644339069962</v>
      </c>
      <c r="U53" s="43">
        <f ca="1"/>
        <v>0.28209806683628164</v>
      </c>
      <c r="V53" s="43">
        <f ca="1"/>
        <v>0.28208976925696988</v>
      </c>
      <c r="W53" s="43">
        <f ca="1"/>
        <v>0.28208154720816497</v>
      </c>
      <c r="X53" s="43">
        <f ca="1"/>
        <v>0.28207339753715721</v>
      </c>
      <c r="Y53" s="43">
        <f ca="1"/>
        <v>0.28206942632289383</v>
      </c>
      <c r="Z53" s="43">
        <f ca="1"/>
        <v>0.2820654820035558</v>
      </c>
      <c r="AA53" s="43">
        <f ca="1"/>
        <v>0.28206156236999846</v>
      </c>
      <c r="AB53" s="43">
        <f ca="1"/>
        <v>0.2820576653546315</v>
      </c>
      <c r="AC53" s="43">
        <f ca="1"/>
        <v>0.28205378903967032</v>
      </c>
      <c r="AD53" s="43">
        <f ca="1"/>
        <v>0.28204993165783238</v>
      </c>
      <c r="AE53" s="43">
        <f ca="1"/>
        <v>0.28204609158342192</v>
      </c>
      <c r="AF53" s="43">
        <f ca="1"/>
        <v>0.28204226731763898</v>
      </c>
      <c r="AG53" s="43">
        <f ca="1"/>
        <v>0.28203845747180106</v>
      </c>
      <c r="AH53" s="43">
        <f ca="1"/>
        <v>0.28203466075163358</v>
      </c>
      <c r="AI53" s="43">
        <f ca="1"/>
        <v>0.28203087594488946</v>
      </c>
      <c r="AJ53" s="43">
        <f ca="1"/>
        <v>0.28202710191252262</v>
      </c>
      <c r="AK53" s="43">
        <f ca="1"/>
        <v>0.28202333758239678</v>
      </c>
      <c r="AL53" s="43">
        <f ca="1"/>
        <v>0.28201958194596838</v>
      </c>
      <c r="AM53" s="43">
        <f ca="1"/>
        <v>0.28125</v>
      </c>
      <c r="AN53" s="44">
        <f ca="1"/>
        <v>0.28125</v>
      </c>
      <c r="AO53" s="8"/>
    </row>
    <row r="54" spans="2:41" hidden="1" x14ac:dyDescent="0.35">
      <c r="B54" s="8"/>
      <c r="C54" s="19" t="str">
        <f>"EL 3: " &amp; INDEX(_doName,2,4)</f>
        <v>EL 3: EL 3</v>
      </c>
      <c r="D54" s="11" t="s">
        <v>63</v>
      </c>
      <c r="E54" s="43">
        <f ca="1"/>
        <v>0.10575166420427178</v>
      </c>
      <c r="F54" s="43">
        <f ca="1"/>
        <v>0.10568652020020815</v>
      </c>
      <c r="G54" s="43">
        <f ca="1"/>
        <v>0.10610227608618071</v>
      </c>
      <c r="H54" s="43">
        <f ca="1"/>
        <v>0.10601427189047527</v>
      </c>
      <c r="I54" s="43">
        <f ca="1"/>
        <v>0.10592742589818005</v>
      </c>
      <c r="J54" s="43">
        <f ca="1"/>
        <v>0.10590327393941917</v>
      </c>
      <c r="K54" s="43">
        <f ca="1"/>
        <v>0.10587941347606719</v>
      </c>
      <c r="L54" s="43">
        <f ca="1"/>
        <v>0.10585583438886265</v>
      </c>
      <c r="M54" s="43">
        <f ca="1"/>
        <v>0.1058325275779175</v>
      </c>
      <c r="N54" s="43">
        <f ca="1"/>
        <v>0.10580948440755114</v>
      </c>
      <c r="O54" s="43">
        <f ca="1"/>
        <v>0.10580612588813057</v>
      </c>
      <c r="P54" s="43">
        <f ca="1"/>
        <v>0.1058028097671901</v>
      </c>
      <c r="Q54" s="43">
        <f ca="1"/>
        <v>0.10579953320064989</v>
      </c>
      <c r="R54" s="43">
        <f ca="1"/>
        <v>0.10579629359145877</v>
      </c>
      <c r="S54" s="43">
        <f ca="1"/>
        <v>0.10579308855068376</v>
      </c>
      <c r="T54" s="43">
        <f ca="1"/>
        <v>0.10578991627151238</v>
      </c>
      <c r="U54" s="43">
        <f ca="1"/>
        <v>0.10578677506360562</v>
      </c>
      <c r="V54" s="43">
        <f ca="1"/>
        <v>0.1057836634713637</v>
      </c>
      <c r="W54" s="43">
        <f ca="1"/>
        <v>0.10578058020306186</v>
      </c>
      <c r="X54" s="43">
        <f ca="1"/>
        <v>0.10577752407643394</v>
      </c>
      <c r="Y54" s="43">
        <f ca="1"/>
        <v>0.10577603487108519</v>
      </c>
      <c r="Z54" s="43">
        <f ca="1"/>
        <v>0.10577455575133343</v>
      </c>
      <c r="AA54" s="43">
        <f ca="1"/>
        <v>0.10577308588874942</v>
      </c>
      <c r="AB54" s="43">
        <f ca="1"/>
        <v>0.10577162450798683</v>
      </c>
      <c r="AC54" s="43">
        <f ca="1"/>
        <v>0.10577017088987638</v>
      </c>
      <c r="AD54" s="43">
        <f ca="1"/>
        <v>0.10576872437168712</v>
      </c>
      <c r="AE54" s="43">
        <f ca="1"/>
        <v>0.10576728434378321</v>
      </c>
      <c r="AF54" s="43">
        <f ca="1"/>
        <v>0.10576585024411463</v>
      </c>
      <c r="AG54" s="43">
        <f ca="1"/>
        <v>0.10576442155192541</v>
      </c>
      <c r="AH54" s="43">
        <f ca="1"/>
        <v>0.10576299778186257</v>
      </c>
      <c r="AI54" s="43">
        <f ca="1"/>
        <v>0.10576157847933355</v>
      </c>
      <c r="AJ54" s="43">
        <f ca="1"/>
        <v>0.10576016321719599</v>
      </c>
      <c r="AK54" s="43">
        <f ca="1"/>
        <v>0.10575875159339879</v>
      </c>
      <c r="AL54" s="43">
        <f ca="1"/>
        <v>0.10575734322973815</v>
      </c>
      <c r="AM54" s="43">
        <f ca="1"/>
        <v>0.10546875</v>
      </c>
      <c r="AN54" s="44">
        <f ca="1"/>
        <v>0.10546875</v>
      </c>
      <c r="AO54" s="8"/>
    </row>
    <row r="55" spans="2:41" hidden="1" x14ac:dyDescent="0.35">
      <c r="B55" s="8"/>
      <c r="C55" s="35" t="str">
        <f>"EL 4: " &amp; INDEX(_doName,2,5)</f>
        <v>EL 4: EL 4</v>
      </c>
      <c r="D55" s="15" t="s">
        <v>63</v>
      </c>
      <c r="E55" s="45">
        <f ca="1"/>
        <v>3.9167283038619178E-3</v>
      </c>
      <c r="F55" s="45">
        <f ca="1"/>
        <v>3.9143155629706725E-3</v>
      </c>
      <c r="G55" s="45">
        <f ca="1"/>
        <v>3.929713929117804E-3</v>
      </c>
      <c r="H55" s="45">
        <f ca="1"/>
        <v>3.926454514462047E-3</v>
      </c>
      <c r="I55" s="45">
        <f ca="1"/>
        <v>3.9232379962288906E-3</v>
      </c>
      <c r="J55" s="45">
        <f ca="1"/>
        <v>3.9223434792377467E-3</v>
      </c>
      <c r="K55" s="45">
        <f ca="1"/>
        <v>3.9214597583728588E-3</v>
      </c>
      <c r="L55" s="45">
        <f ca="1"/>
        <v>3.9205864588467646E-3</v>
      </c>
      <c r="M55" s="45">
        <f ca="1"/>
        <v>3.9197232436265737E-3</v>
      </c>
      <c r="N55" s="45">
        <f ca="1"/>
        <v>3.9188697928722645E-3</v>
      </c>
      <c r="O55" s="45">
        <f ca="1"/>
        <v>3.9187454032640952E-3</v>
      </c>
      <c r="P55" s="45">
        <f ca="1"/>
        <v>3.9186225839700044E-3</v>
      </c>
      <c r="Q55" s="45">
        <f ca="1"/>
        <v>3.9185012296536993E-3</v>
      </c>
      <c r="R55" s="45">
        <f ca="1"/>
        <v>3.9183812441281026E-3</v>
      </c>
      <c r="S55" s="45">
        <f ca="1"/>
        <v>3.9182625389142132E-3</v>
      </c>
      <c r="T55" s="45">
        <f ca="1"/>
        <v>3.9181450470930504E-3</v>
      </c>
      <c r="U55" s="45">
        <f ca="1"/>
        <v>3.9180287060594675E-3</v>
      </c>
      <c r="V55" s="45">
        <f ca="1"/>
        <v>3.9179134619023595E-3</v>
      </c>
      <c r="W55" s="45">
        <f ca="1"/>
        <v>3.917799266780069E-3</v>
      </c>
      <c r="X55" s="45">
        <f ca="1"/>
        <v>3.9176860769049617E-3</v>
      </c>
      <c r="Y55" s="45">
        <f ca="1"/>
        <v>3.9176309211513037E-3</v>
      </c>
      <c r="Z55" s="45">
        <f ca="1"/>
        <v>3.9175761389382748E-3</v>
      </c>
      <c r="AA55" s="45">
        <f ca="1"/>
        <v>3.9175216995833125E-3</v>
      </c>
      <c r="AB55" s="45">
        <f ca="1"/>
        <v>3.9174675743698824E-3</v>
      </c>
      <c r="AC55" s="45">
        <f ca="1"/>
        <v>3.9174137366620879E-3</v>
      </c>
      <c r="AD55" s="45">
        <f ca="1"/>
        <v>3.9173601619143378E-3</v>
      </c>
      <c r="AE55" s="45">
        <f ca="1"/>
        <v>3.9173068275475268E-3</v>
      </c>
      <c r="AF55" s="45">
        <f ca="1"/>
        <v>3.9172537127449862E-3</v>
      </c>
      <c r="AG55" s="45">
        <f ca="1"/>
        <v>3.9172007982194593E-3</v>
      </c>
      <c r="AH55" s="45">
        <f ca="1"/>
        <v>3.9171480659949106E-3</v>
      </c>
      <c r="AI55" s="45">
        <f ca="1"/>
        <v>3.9170954992345762E-3</v>
      </c>
      <c r="AJ55" s="45">
        <f ca="1"/>
        <v>3.9170430821183697E-3</v>
      </c>
      <c r="AK55" s="45">
        <f ca="1"/>
        <v>3.9169907997555105E-3</v>
      </c>
      <c r="AL55" s="45">
        <f ca="1"/>
        <v>3.9169386381384492E-3</v>
      </c>
      <c r="AM55" s="45">
        <f ca="1"/>
        <v>3.90625E-3</v>
      </c>
      <c r="AN55" s="46">
        <f ca="1"/>
        <v>3.90625E-3</v>
      </c>
      <c r="AO55" s="8"/>
    </row>
    <row r="56" spans="2:41" x14ac:dyDescent="0.35">
      <c r="B56" s="8"/>
      <c r="C56" s="23" t="s">
        <v>96</v>
      </c>
      <c r="D56" s="24"/>
      <c r="E56" s="26">
        <f t="array" ref="E56:AN56">_yS</f>
        <v>2024</v>
      </c>
      <c r="F56" s="26">
        <v>2025</v>
      </c>
      <c r="G56" s="26">
        <v>2026</v>
      </c>
      <c r="H56" s="26">
        <v>2027</v>
      </c>
      <c r="I56" s="26">
        <v>2028</v>
      </c>
      <c r="J56" s="26">
        <v>2029</v>
      </c>
      <c r="K56" s="26">
        <v>2030</v>
      </c>
      <c r="L56" s="26">
        <v>2031</v>
      </c>
      <c r="M56" s="26">
        <v>2032</v>
      </c>
      <c r="N56" s="26">
        <v>2033</v>
      </c>
      <c r="O56" s="26">
        <v>2034</v>
      </c>
      <c r="P56" s="26">
        <v>2035</v>
      </c>
      <c r="Q56" s="26">
        <v>2036</v>
      </c>
      <c r="R56" s="26">
        <v>2037</v>
      </c>
      <c r="S56" s="26">
        <v>2038</v>
      </c>
      <c r="T56" s="26">
        <v>2039</v>
      </c>
      <c r="U56" s="26">
        <v>2040</v>
      </c>
      <c r="V56" s="26">
        <v>2041</v>
      </c>
      <c r="W56" s="26">
        <v>2042</v>
      </c>
      <c r="X56" s="26">
        <v>2043</v>
      </c>
      <c r="Y56" s="26">
        <v>2044</v>
      </c>
      <c r="Z56" s="26">
        <v>2045</v>
      </c>
      <c r="AA56" s="26">
        <v>2046</v>
      </c>
      <c r="AB56" s="26">
        <v>2047</v>
      </c>
      <c r="AC56" s="26">
        <v>2048</v>
      </c>
      <c r="AD56" s="26">
        <v>2049</v>
      </c>
      <c r="AE56" s="26">
        <v>2050</v>
      </c>
      <c r="AF56" s="26">
        <v>2051</v>
      </c>
      <c r="AG56" s="26">
        <v>2052</v>
      </c>
      <c r="AH56" s="26">
        <v>2053</v>
      </c>
      <c r="AI56" s="26">
        <v>2054</v>
      </c>
      <c r="AJ56" s="26">
        <v>2055</v>
      </c>
      <c r="AK56" s="26">
        <v>2056</v>
      </c>
      <c r="AL56" s="26">
        <v>2057</v>
      </c>
      <c r="AM56" s="26">
        <v>2058</v>
      </c>
      <c r="AN56" s="27">
        <v>2059</v>
      </c>
      <c r="AO56" s="8"/>
    </row>
    <row r="57" spans="2:41" x14ac:dyDescent="0.35">
      <c r="B57" s="8"/>
      <c r="C57" s="19" t="str">
        <f>"EL 0: " &amp; INDEX(_doName,2,1)</f>
        <v>EL 0: Baseline</v>
      </c>
      <c r="D57" s="11" t="s">
        <v>63</v>
      </c>
      <c r="E57" s="43">
        <f t="array" ref="E57:E61">TRANSPOSE(bcmed_Res)</f>
        <v>0.24375000000000002</v>
      </c>
      <c r="F57" s="43">
        <f t="array" ref="F57:F61" ca="1">eff0BC_Res+IF(_el=0,0,pullBC_Res)-pushBC_Res</f>
        <v>0.24375000000000002</v>
      </c>
      <c r="G57" s="43">
        <f t="array" ref="G57:G61" ca="1">eff0BC_Res+IF(_el=0,0,pullBC_Res)-pushBC_Res</f>
        <v>0.24375000000000002</v>
      </c>
      <c r="H57" s="43">
        <f t="array" ref="H57:H61" ca="1">eff0BC_Res+IF(_el=0,0,pullBC_Res)-pushBC_Res</f>
        <v>0.24375000000000002</v>
      </c>
      <c r="I57" s="43">
        <f t="array" ref="I57:I61" ca="1">eff0BC_Res+IF(_el=0,0,pullBC_Res)-pushBC_Res</f>
        <v>0.24375000000000002</v>
      </c>
      <c r="J57" s="43">
        <f t="array" ref="J57:J61" ca="1">eff0BC_Res+IF(_el=0,0,pullBC_Res)-pushBC_Res</f>
        <v>0.24375000000000002</v>
      </c>
      <c r="K57" s="43">
        <f t="array" ref="K57:K61" ca="1">eff0BC_Res+IF(_el=0,0,pullBC_Res)-pushBC_Res</f>
        <v>0.24375000000000002</v>
      </c>
      <c r="L57" s="43">
        <f t="array" ref="L57:L61" ca="1">eff0BC_Res+IF(_el=0,0,pullBC_Res)-pushBC_Res</f>
        <v>0.24375000000000002</v>
      </c>
      <c r="M57" s="43">
        <f t="array" ref="M57:M61" ca="1">eff0BC_Res+IF(_el=0,0,pullBC_Res)-pushBC_Res</f>
        <v>0.24375000000000002</v>
      </c>
      <c r="N57" s="43">
        <f t="array" ref="N57:N61" ca="1">eff0BC_Res+IF(_el=0,0,pullBC_Res)-pushBC_Res</f>
        <v>0.24375000000000002</v>
      </c>
      <c r="O57" s="43">
        <f t="array" ref="O57:O61" ca="1">eff0BC_Res+IF(_el=0,0,pullBC_Res)-pushBC_Res</f>
        <v>0.24375000000000002</v>
      </c>
      <c r="P57" s="43">
        <f t="array" ref="P57:P61" ca="1">eff0BC_Res+IF(_el=0,0,pullBC_Res)-pushBC_Res</f>
        <v>0.24375000000000002</v>
      </c>
      <c r="Q57" s="43">
        <f t="array" ref="Q57:Q61" ca="1">eff0BC_Res+IF(_el=0,0,pullBC_Res)-pushBC_Res</f>
        <v>0.24375000000000002</v>
      </c>
      <c r="R57" s="43">
        <f t="array" ref="R57:R61" ca="1">eff0BC_Res+IF(_el=0,0,pullBC_Res)-pushBC_Res</f>
        <v>0.24375000000000002</v>
      </c>
      <c r="S57" s="43">
        <f t="array" ref="S57:S61" ca="1">eff0BC_Res+IF(_el=0,0,pullBC_Res)-pushBC_Res</f>
        <v>0.24375000000000002</v>
      </c>
      <c r="T57" s="43">
        <f t="array" ref="T57:T61" ca="1">eff0BC_Res+IF(_el=0,0,pullBC_Res)-pushBC_Res</f>
        <v>0.24375000000000002</v>
      </c>
      <c r="U57" s="43">
        <f t="array" ref="U57:U61" ca="1">eff0BC_Res+IF(_el=0,0,pullBC_Res)-pushBC_Res</f>
        <v>0.24375000000000002</v>
      </c>
      <c r="V57" s="43">
        <f t="array" ref="V57:V61" ca="1">eff0BC_Res+IF(_el=0,0,pullBC_Res)-pushBC_Res</f>
        <v>0.24375000000000002</v>
      </c>
      <c r="W57" s="43">
        <f t="array" ref="W57:W61" ca="1">eff0BC_Res+IF(_el=0,0,pullBC_Res)-pushBC_Res</f>
        <v>0.24375000000000002</v>
      </c>
      <c r="X57" s="43">
        <f t="array" ref="X57:X61" ca="1">eff0BC_Res+IF(_el=0,0,pullBC_Res)-pushBC_Res</f>
        <v>0.24375000000000002</v>
      </c>
      <c r="Y57" s="43">
        <f t="array" ref="Y57:Y61" ca="1">eff0BC_Res+IF(_el=0,0,pullBC_Res)-pushBC_Res</f>
        <v>0.24375000000000002</v>
      </c>
      <c r="Z57" s="43">
        <f t="array" ref="Z57:Z61" ca="1">eff0BC_Res+IF(_el=0,0,pullBC_Res)-pushBC_Res</f>
        <v>0.24375000000000002</v>
      </c>
      <c r="AA57" s="43">
        <f t="array" ref="AA57:AA61" ca="1">eff0BC_Res+IF(_el=0,0,pullBC_Res)-pushBC_Res</f>
        <v>0.24375000000000002</v>
      </c>
      <c r="AB57" s="43">
        <f t="array" ref="AB57:AB61" ca="1">eff0BC_Res+IF(_el=0,0,pullBC_Res)-pushBC_Res</f>
        <v>0.24375000000000002</v>
      </c>
      <c r="AC57" s="43">
        <f t="array" ref="AC57:AC61" ca="1">eff0BC_Res+IF(_el=0,0,pullBC_Res)-pushBC_Res</f>
        <v>0.24375000000000002</v>
      </c>
      <c r="AD57" s="43">
        <f t="array" ref="AD57:AD61" ca="1">eff0BC_Res+IF(_el=0,0,pullBC_Res)-pushBC_Res</f>
        <v>0.24375000000000002</v>
      </c>
      <c r="AE57" s="43">
        <f t="array" ref="AE57:AE61" ca="1">eff0BC_Res+IF(_el=0,0,pullBC_Res)-pushBC_Res</f>
        <v>0.24375000000000002</v>
      </c>
      <c r="AF57" s="43">
        <f t="array" ref="AF57:AF61" ca="1">eff0BC_Res+IF(_el=0,0,pullBC_Res)-pushBC_Res</f>
        <v>0.24375000000000002</v>
      </c>
      <c r="AG57" s="43">
        <f t="array" ref="AG57:AG61" ca="1">eff0BC_Res+IF(_el=0,0,pullBC_Res)-pushBC_Res</f>
        <v>0.24375000000000002</v>
      </c>
      <c r="AH57" s="43">
        <f t="array" ref="AH57:AH61" ca="1">eff0BC_Res+IF(_el=0,0,pullBC_Res)-pushBC_Res</f>
        <v>0.24375000000000002</v>
      </c>
      <c r="AI57" s="43">
        <f t="array" ref="AI57:AI61" ca="1">eff0BC_Res+IF(_el=0,0,pullBC_Res)-pushBC_Res</f>
        <v>0.24375000000000002</v>
      </c>
      <c r="AJ57" s="43">
        <f t="array" ref="AJ57:AJ61" ca="1">eff0BC_Res+IF(_el=0,0,pullBC_Res)-pushBC_Res</f>
        <v>0.24375000000000002</v>
      </c>
      <c r="AK57" s="43">
        <f t="array" ref="AK57:AK61" ca="1">eff0BC_Res+IF(_el=0,0,pullBC_Res)-pushBC_Res</f>
        <v>0.24375000000000002</v>
      </c>
      <c r="AL57" s="43">
        <f t="array" ref="AL57:AL61" ca="1">eff0BC_Res+IF(_el=0,0,pullBC_Res)-pushBC_Res</f>
        <v>0.24375000000000002</v>
      </c>
      <c r="AM57" s="43">
        <f t="array" ref="AM57:AM61" ca="1">eff0BC_Res+IF(_el=0,0,pullBC_Res)-pushBC_Res</f>
        <v>0.24375000000000002</v>
      </c>
      <c r="AN57" s="44">
        <f t="array" ref="AN57:AN61" ca="1">eff0BC_Res+IF(_el=0,0,pullBC_Res)-pushBC_Res</f>
        <v>0.24375000000000002</v>
      </c>
      <c r="AO57" s="8"/>
    </row>
    <row r="58" spans="2:41" x14ac:dyDescent="0.35">
      <c r="B58" s="8"/>
      <c r="C58" s="19" t="str">
        <f>"EL 1: " &amp; INDEX(_doName,2,2)</f>
        <v>EL 1: Tier 1</v>
      </c>
      <c r="D58" s="11" t="s">
        <v>63</v>
      </c>
      <c r="E58" s="43">
        <v>0.36562499999999998</v>
      </c>
      <c r="F58" s="43">
        <f ca="1"/>
        <v>0.36562499999999998</v>
      </c>
      <c r="G58" s="43">
        <f ca="1"/>
        <v>0.36562499999999998</v>
      </c>
      <c r="H58" s="43">
        <f ca="1"/>
        <v>0.36562499999999998</v>
      </c>
      <c r="I58" s="43">
        <f ca="1"/>
        <v>0.36562499999999998</v>
      </c>
      <c r="J58" s="43">
        <f ca="1"/>
        <v>0.36562499999999998</v>
      </c>
      <c r="K58" s="43">
        <f ca="1"/>
        <v>0.36562499999999998</v>
      </c>
      <c r="L58" s="43">
        <f ca="1"/>
        <v>0.36562499999999998</v>
      </c>
      <c r="M58" s="43">
        <f ca="1"/>
        <v>0.36562499999999998</v>
      </c>
      <c r="N58" s="43">
        <f ca="1"/>
        <v>0.36562499999999998</v>
      </c>
      <c r="O58" s="43">
        <f ca="1"/>
        <v>0.36562499999999998</v>
      </c>
      <c r="P58" s="43">
        <f ca="1"/>
        <v>0.36562499999999998</v>
      </c>
      <c r="Q58" s="43">
        <f ca="1"/>
        <v>0.36562499999999998</v>
      </c>
      <c r="R58" s="43">
        <f ca="1"/>
        <v>0.36562499999999998</v>
      </c>
      <c r="S58" s="43">
        <f ca="1"/>
        <v>0.36562499999999998</v>
      </c>
      <c r="T58" s="43">
        <f ca="1"/>
        <v>0.36562499999999998</v>
      </c>
      <c r="U58" s="43">
        <f ca="1"/>
        <v>0.36562499999999998</v>
      </c>
      <c r="V58" s="43">
        <f ca="1"/>
        <v>0.36562499999999998</v>
      </c>
      <c r="W58" s="43">
        <f ca="1"/>
        <v>0.36562499999999998</v>
      </c>
      <c r="X58" s="43">
        <f ca="1"/>
        <v>0.36562499999999998</v>
      </c>
      <c r="Y58" s="43">
        <f ca="1"/>
        <v>0.36562499999999998</v>
      </c>
      <c r="Z58" s="43">
        <f ca="1"/>
        <v>0.36562499999999998</v>
      </c>
      <c r="AA58" s="43">
        <f ca="1"/>
        <v>0.36562499999999998</v>
      </c>
      <c r="AB58" s="43">
        <f ca="1"/>
        <v>0.36562499999999998</v>
      </c>
      <c r="AC58" s="43">
        <f ca="1"/>
        <v>0.36562499999999998</v>
      </c>
      <c r="AD58" s="43">
        <f ca="1"/>
        <v>0.36562499999999998</v>
      </c>
      <c r="AE58" s="43">
        <f ca="1"/>
        <v>0.36562499999999998</v>
      </c>
      <c r="AF58" s="43">
        <f ca="1"/>
        <v>0.36562499999999998</v>
      </c>
      <c r="AG58" s="43">
        <f ca="1"/>
        <v>0.36562499999999998</v>
      </c>
      <c r="AH58" s="43">
        <f ca="1"/>
        <v>0.36562499999999998</v>
      </c>
      <c r="AI58" s="43">
        <f ca="1"/>
        <v>0.36562499999999998</v>
      </c>
      <c r="AJ58" s="43">
        <f ca="1"/>
        <v>0.36562499999999998</v>
      </c>
      <c r="AK58" s="43">
        <f ca="1"/>
        <v>0.36562499999999998</v>
      </c>
      <c r="AL58" s="43">
        <f ca="1"/>
        <v>0.36562499999999998</v>
      </c>
      <c r="AM58" s="43">
        <f ca="1"/>
        <v>0.36562499999999998</v>
      </c>
      <c r="AN58" s="44">
        <f ca="1"/>
        <v>0.36562499999999998</v>
      </c>
      <c r="AO58" s="8"/>
    </row>
    <row r="59" spans="2:41" x14ac:dyDescent="0.35">
      <c r="B59" s="8"/>
      <c r="C59" s="19" t="str">
        <f>"EL 2: " &amp; INDEX(_doName,2,3)</f>
        <v>EL 2: Tier 2</v>
      </c>
      <c r="D59" s="11" t="s">
        <v>63</v>
      </c>
      <c r="E59" s="43">
        <v>0.28125</v>
      </c>
      <c r="F59" s="43">
        <f ca="1"/>
        <v>0.28125</v>
      </c>
      <c r="G59" s="43">
        <f ca="1"/>
        <v>0.28125</v>
      </c>
      <c r="H59" s="43">
        <f ca="1"/>
        <v>0.28125</v>
      </c>
      <c r="I59" s="43">
        <f ca="1"/>
        <v>0.28125</v>
      </c>
      <c r="J59" s="43">
        <f ca="1"/>
        <v>0.28125</v>
      </c>
      <c r="K59" s="43">
        <f ca="1"/>
        <v>0.28125</v>
      </c>
      <c r="L59" s="43">
        <f ca="1"/>
        <v>0.28125</v>
      </c>
      <c r="M59" s="43">
        <f ca="1"/>
        <v>0.28125</v>
      </c>
      <c r="N59" s="43">
        <f ca="1"/>
        <v>0.28125</v>
      </c>
      <c r="O59" s="43">
        <f ca="1"/>
        <v>0.28125</v>
      </c>
      <c r="P59" s="43">
        <f ca="1"/>
        <v>0.28125</v>
      </c>
      <c r="Q59" s="43">
        <f ca="1"/>
        <v>0.28125</v>
      </c>
      <c r="R59" s="43">
        <f ca="1"/>
        <v>0.28125</v>
      </c>
      <c r="S59" s="43">
        <f ca="1"/>
        <v>0.28125</v>
      </c>
      <c r="T59" s="43">
        <f ca="1"/>
        <v>0.28125</v>
      </c>
      <c r="U59" s="43">
        <f ca="1"/>
        <v>0.28125</v>
      </c>
      <c r="V59" s="43">
        <f ca="1"/>
        <v>0.28125</v>
      </c>
      <c r="W59" s="43">
        <f ca="1"/>
        <v>0.28125</v>
      </c>
      <c r="X59" s="43">
        <f ca="1"/>
        <v>0.28125</v>
      </c>
      <c r="Y59" s="43">
        <f ca="1"/>
        <v>0.28125</v>
      </c>
      <c r="Z59" s="43">
        <f ca="1"/>
        <v>0.28125</v>
      </c>
      <c r="AA59" s="43">
        <f ca="1"/>
        <v>0.28125</v>
      </c>
      <c r="AB59" s="43">
        <f ca="1"/>
        <v>0.28125</v>
      </c>
      <c r="AC59" s="43">
        <f ca="1"/>
        <v>0.28125</v>
      </c>
      <c r="AD59" s="43">
        <f ca="1"/>
        <v>0.28125</v>
      </c>
      <c r="AE59" s="43">
        <f ca="1"/>
        <v>0.28125</v>
      </c>
      <c r="AF59" s="43">
        <f ca="1"/>
        <v>0.28125</v>
      </c>
      <c r="AG59" s="43">
        <f ca="1"/>
        <v>0.28125</v>
      </c>
      <c r="AH59" s="43">
        <f ca="1"/>
        <v>0.28125</v>
      </c>
      <c r="AI59" s="43">
        <f ca="1"/>
        <v>0.28125</v>
      </c>
      <c r="AJ59" s="43">
        <f ca="1"/>
        <v>0.28125</v>
      </c>
      <c r="AK59" s="43">
        <f ca="1"/>
        <v>0.28125</v>
      </c>
      <c r="AL59" s="43">
        <f ca="1"/>
        <v>0.28125</v>
      </c>
      <c r="AM59" s="43">
        <f ca="1"/>
        <v>0.28125</v>
      </c>
      <c r="AN59" s="44">
        <f ca="1"/>
        <v>0.28125</v>
      </c>
      <c r="AO59" s="8"/>
    </row>
    <row r="60" spans="2:41" x14ac:dyDescent="0.35">
      <c r="B60" s="8"/>
      <c r="C60" s="19" t="str">
        <f>"EL 3: " &amp; INDEX(_doName,2,4)</f>
        <v>EL 3: EL 3</v>
      </c>
      <c r="D60" s="11" t="s">
        <v>63</v>
      </c>
      <c r="E60" s="43">
        <v>0.10546875</v>
      </c>
      <c r="F60" s="43">
        <f ca="1"/>
        <v>0.10546875</v>
      </c>
      <c r="G60" s="43">
        <f ca="1"/>
        <v>0.10546875</v>
      </c>
      <c r="H60" s="43">
        <f ca="1"/>
        <v>0.10546875</v>
      </c>
      <c r="I60" s="43">
        <f ca="1"/>
        <v>0.10546875</v>
      </c>
      <c r="J60" s="43">
        <f ca="1"/>
        <v>0.10546875</v>
      </c>
      <c r="K60" s="43">
        <f ca="1"/>
        <v>0.10546875</v>
      </c>
      <c r="L60" s="43">
        <f ca="1"/>
        <v>0.10546875</v>
      </c>
      <c r="M60" s="43">
        <f ca="1"/>
        <v>0.10546875</v>
      </c>
      <c r="N60" s="43">
        <f ca="1"/>
        <v>0.10546875</v>
      </c>
      <c r="O60" s="43">
        <f ca="1"/>
        <v>0.10546875</v>
      </c>
      <c r="P60" s="43">
        <f ca="1"/>
        <v>0.10546875</v>
      </c>
      <c r="Q60" s="43">
        <f ca="1"/>
        <v>0.10546875</v>
      </c>
      <c r="R60" s="43">
        <f ca="1"/>
        <v>0.10546875</v>
      </c>
      <c r="S60" s="43">
        <f ca="1"/>
        <v>0.10546875</v>
      </c>
      <c r="T60" s="43">
        <f ca="1"/>
        <v>0.10546875</v>
      </c>
      <c r="U60" s="43">
        <f ca="1"/>
        <v>0.10546875</v>
      </c>
      <c r="V60" s="43">
        <f ca="1"/>
        <v>0.10546875</v>
      </c>
      <c r="W60" s="43">
        <f ca="1"/>
        <v>0.10546875</v>
      </c>
      <c r="X60" s="43">
        <f ca="1"/>
        <v>0.10546875</v>
      </c>
      <c r="Y60" s="43">
        <f ca="1"/>
        <v>0.10546875</v>
      </c>
      <c r="Z60" s="43">
        <f ca="1"/>
        <v>0.10546875</v>
      </c>
      <c r="AA60" s="43">
        <f ca="1"/>
        <v>0.10546875</v>
      </c>
      <c r="AB60" s="43">
        <f ca="1"/>
        <v>0.10546875</v>
      </c>
      <c r="AC60" s="43">
        <f ca="1"/>
        <v>0.10546875</v>
      </c>
      <c r="AD60" s="43">
        <f ca="1"/>
        <v>0.10546875</v>
      </c>
      <c r="AE60" s="43">
        <f ca="1"/>
        <v>0.10546875</v>
      </c>
      <c r="AF60" s="43">
        <f ca="1"/>
        <v>0.10546875</v>
      </c>
      <c r="AG60" s="43">
        <f ca="1"/>
        <v>0.10546875</v>
      </c>
      <c r="AH60" s="43">
        <f ca="1"/>
        <v>0.10546875</v>
      </c>
      <c r="AI60" s="43">
        <f ca="1"/>
        <v>0.10546875</v>
      </c>
      <c r="AJ60" s="43">
        <f ca="1"/>
        <v>0.10546875</v>
      </c>
      <c r="AK60" s="43">
        <f ca="1"/>
        <v>0.10546875</v>
      </c>
      <c r="AL60" s="43">
        <f ca="1"/>
        <v>0.10546875</v>
      </c>
      <c r="AM60" s="43">
        <f ca="1"/>
        <v>0.10546875</v>
      </c>
      <c r="AN60" s="44">
        <f ca="1"/>
        <v>0.10546875</v>
      </c>
      <c r="AO60" s="8"/>
    </row>
    <row r="61" spans="2:41" x14ac:dyDescent="0.35">
      <c r="B61" s="8"/>
      <c r="C61" s="35" t="str">
        <f>"EL 4: " &amp; INDEX(_doName,2,5)</f>
        <v>EL 4: EL 4</v>
      </c>
      <c r="D61" s="15" t="s">
        <v>63</v>
      </c>
      <c r="E61" s="45">
        <v>3.90625E-3</v>
      </c>
      <c r="F61" s="45">
        <f ca="1"/>
        <v>3.90625E-3</v>
      </c>
      <c r="G61" s="45">
        <f ca="1"/>
        <v>3.90625E-3</v>
      </c>
      <c r="H61" s="45">
        <f ca="1"/>
        <v>3.90625E-3</v>
      </c>
      <c r="I61" s="45">
        <f ca="1"/>
        <v>3.90625E-3</v>
      </c>
      <c r="J61" s="45">
        <f ca="1"/>
        <v>3.90625E-3</v>
      </c>
      <c r="K61" s="45">
        <f ca="1"/>
        <v>3.90625E-3</v>
      </c>
      <c r="L61" s="45">
        <f ca="1"/>
        <v>3.90625E-3</v>
      </c>
      <c r="M61" s="45">
        <f ca="1"/>
        <v>3.90625E-3</v>
      </c>
      <c r="N61" s="45">
        <f ca="1"/>
        <v>3.90625E-3</v>
      </c>
      <c r="O61" s="45">
        <f ca="1"/>
        <v>3.90625E-3</v>
      </c>
      <c r="P61" s="45">
        <f ca="1"/>
        <v>3.90625E-3</v>
      </c>
      <c r="Q61" s="45">
        <f ca="1"/>
        <v>3.90625E-3</v>
      </c>
      <c r="R61" s="45">
        <f ca="1"/>
        <v>3.90625E-3</v>
      </c>
      <c r="S61" s="45">
        <f ca="1"/>
        <v>3.90625E-3</v>
      </c>
      <c r="T61" s="45">
        <f ca="1"/>
        <v>3.90625E-3</v>
      </c>
      <c r="U61" s="45">
        <f ca="1"/>
        <v>3.90625E-3</v>
      </c>
      <c r="V61" s="45">
        <f ca="1"/>
        <v>3.90625E-3</v>
      </c>
      <c r="W61" s="45">
        <f ca="1"/>
        <v>3.90625E-3</v>
      </c>
      <c r="X61" s="45">
        <f ca="1"/>
        <v>3.90625E-3</v>
      </c>
      <c r="Y61" s="45">
        <f ca="1"/>
        <v>3.90625E-3</v>
      </c>
      <c r="Z61" s="45">
        <f ca="1"/>
        <v>3.90625E-3</v>
      </c>
      <c r="AA61" s="45">
        <f ca="1"/>
        <v>3.90625E-3</v>
      </c>
      <c r="AB61" s="45">
        <f ca="1"/>
        <v>3.90625E-3</v>
      </c>
      <c r="AC61" s="45">
        <f ca="1"/>
        <v>3.90625E-3</v>
      </c>
      <c r="AD61" s="45">
        <f ca="1"/>
        <v>3.90625E-3</v>
      </c>
      <c r="AE61" s="45">
        <f ca="1"/>
        <v>3.90625E-3</v>
      </c>
      <c r="AF61" s="45">
        <f ca="1"/>
        <v>3.90625E-3</v>
      </c>
      <c r="AG61" s="45">
        <f ca="1"/>
        <v>3.90625E-3</v>
      </c>
      <c r="AH61" s="45">
        <f ca="1"/>
        <v>3.90625E-3</v>
      </c>
      <c r="AI61" s="45">
        <f ca="1"/>
        <v>3.90625E-3</v>
      </c>
      <c r="AJ61" s="45">
        <f ca="1"/>
        <v>3.90625E-3</v>
      </c>
      <c r="AK61" s="45">
        <f ca="1"/>
        <v>3.90625E-3</v>
      </c>
      <c r="AL61" s="45">
        <f ca="1"/>
        <v>3.90625E-3</v>
      </c>
      <c r="AM61" s="45">
        <f ca="1"/>
        <v>3.90625E-3</v>
      </c>
      <c r="AN61" s="46">
        <f ca="1"/>
        <v>3.90625E-3</v>
      </c>
      <c r="AO61" s="8"/>
    </row>
    <row r="62" spans="2:41" x14ac:dyDescent="0.35">
      <c r="B62" s="8"/>
      <c r="C62" s="23" t="s">
        <v>92</v>
      </c>
      <c r="D62" s="24"/>
      <c r="E62" s="26">
        <f t="array" ref="E62:AN62">_yS</f>
        <v>2024</v>
      </c>
      <c r="F62" s="26">
        <v>2025</v>
      </c>
      <c r="G62" s="26">
        <v>2026</v>
      </c>
      <c r="H62" s="26">
        <v>2027</v>
      </c>
      <c r="I62" s="26">
        <v>2028</v>
      </c>
      <c r="J62" s="26">
        <v>2029</v>
      </c>
      <c r="K62" s="26">
        <v>2030</v>
      </c>
      <c r="L62" s="26">
        <v>2031</v>
      </c>
      <c r="M62" s="26">
        <v>2032</v>
      </c>
      <c r="N62" s="26">
        <v>2033</v>
      </c>
      <c r="O62" s="26">
        <v>2034</v>
      </c>
      <c r="P62" s="26">
        <v>2035</v>
      </c>
      <c r="Q62" s="26">
        <v>2036</v>
      </c>
      <c r="R62" s="26">
        <v>2037</v>
      </c>
      <c r="S62" s="26">
        <v>2038</v>
      </c>
      <c r="T62" s="26">
        <v>2039</v>
      </c>
      <c r="U62" s="26">
        <v>2040</v>
      </c>
      <c r="V62" s="26">
        <v>2041</v>
      </c>
      <c r="W62" s="26">
        <v>2042</v>
      </c>
      <c r="X62" s="26">
        <v>2043</v>
      </c>
      <c r="Y62" s="26">
        <v>2044</v>
      </c>
      <c r="Z62" s="26">
        <v>2045</v>
      </c>
      <c r="AA62" s="26">
        <v>2046</v>
      </c>
      <c r="AB62" s="26">
        <v>2047</v>
      </c>
      <c r="AC62" s="26">
        <v>2048</v>
      </c>
      <c r="AD62" s="26">
        <v>2049</v>
      </c>
      <c r="AE62" s="26">
        <v>2050</v>
      </c>
      <c r="AF62" s="26">
        <v>2051</v>
      </c>
      <c r="AG62" s="26">
        <v>2052</v>
      </c>
      <c r="AH62" s="26">
        <v>2053</v>
      </c>
      <c r="AI62" s="26">
        <v>2054</v>
      </c>
      <c r="AJ62" s="26">
        <v>2055</v>
      </c>
      <c r="AK62" s="26">
        <v>2056</v>
      </c>
      <c r="AL62" s="26">
        <v>2057</v>
      </c>
      <c r="AM62" s="26">
        <v>2058</v>
      </c>
      <c r="AN62" s="27">
        <v>2059</v>
      </c>
      <c r="AO62" s="8"/>
    </row>
    <row r="63" spans="2:41" x14ac:dyDescent="0.35">
      <c r="B63" s="8"/>
      <c r="C63" s="19" t="s">
        <v>65</v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18"/>
      <c r="AO63" s="8"/>
    </row>
    <row r="64" spans="2:41" x14ac:dyDescent="0.35">
      <c r="B64" s="8"/>
      <c r="C64" s="10" t="s">
        <v>93</v>
      </c>
      <c r="D64" s="11" t="str">
        <f>CHOOSE(MATCH(LEFT(effTrend,1),{"L","G"},0),"CADR/watt","%")</f>
        <v>CADR/watt</v>
      </c>
      <c r="E64" s="8">
        <v>0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18"/>
      <c r="AO64" s="8"/>
    </row>
    <row r="65" spans="2:41" x14ac:dyDescent="0.35">
      <c r="B65" s="8"/>
      <c r="C65" s="10" t="s">
        <v>94</v>
      </c>
      <c r="D65" s="11" t="s">
        <v>74</v>
      </c>
      <c r="E65" s="33">
        <f>SUMPRODUCT(doEff,INDEX(bcEff_Res,,1))</f>
        <v>2.3591484375</v>
      </c>
      <c r="F65" s="33">
        <f>MIN(maxEff,(1+effTrendG*trendGrowthBC_Res)*E$65+effTrendL*trendGrowthBC_Res)</f>
        <v>2.3591484375</v>
      </c>
      <c r="G65" s="33">
        <f>MIN(maxEff,(1+effTrendG*trendGrowthBC_Res)*F$65+effTrendL*trendGrowthBC_Res)</f>
        <v>2.3591484375</v>
      </c>
      <c r="H65" s="33">
        <f>MIN(maxEff,(1+effTrendG*trendGrowthBC_Res)*G$65+effTrendL*trendGrowthBC_Res)</f>
        <v>2.3591484375</v>
      </c>
      <c r="I65" s="33">
        <f>MIN(maxEff,(1+effTrendG*trendGrowthBC_Res)*H$65+effTrendL*trendGrowthBC_Res)</f>
        <v>2.3591484375</v>
      </c>
      <c r="J65" s="33">
        <f>MIN(maxEff,(1+effTrendG*trendGrowthBC_Res)*I$65+effTrendL*trendGrowthBC_Res)</f>
        <v>2.3591484375</v>
      </c>
      <c r="K65" s="33">
        <f>MIN(maxEff,(1+effTrendG*trendGrowthBC_Res)*J$65+effTrendL*trendGrowthBC_Res)</f>
        <v>2.3591484375</v>
      </c>
      <c r="L65" s="33">
        <f>MIN(maxEff,(1+effTrendG*trendGrowthBC_Res)*K$65+effTrendL*trendGrowthBC_Res)</f>
        <v>2.3591484375</v>
      </c>
      <c r="M65" s="33">
        <f>MIN(maxEff,(1+effTrendG*trendGrowthBC_Res)*L$65+effTrendL*trendGrowthBC_Res)</f>
        <v>2.3591484375</v>
      </c>
      <c r="N65" s="33">
        <f>MIN(maxEff,(1+effTrendG*trendGrowthBC_Res)*M$65+effTrendL*trendGrowthBC_Res)</f>
        <v>2.3591484375</v>
      </c>
      <c r="O65" s="33">
        <f>MIN(maxEff,(1+effTrendG*trendGrowthBC_Res)*N$65+effTrendL*trendGrowthBC_Res)</f>
        <v>2.3591484375</v>
      </c>
      <c r="P65" s="33">
        <f>MIN(maxEff,(1+effTrendG*trendGrowthBC_Res)*O$65+effTrendL*trendGrowthBC_Res)</f>
        <v>2.3591484375</v>
      </c>
      <c r="Q65" s="33">
        <f>MIN(maxEff,(1+effTrendG*trendGrowthBC_Res)*P$65+effTrendL*trendGrowthBC_Res)</f>
        <v>2.3591484375</v>
      </c>
      <c r="R65" s="33">
        <f>MIN(maxEff,(1+effTrendG*trendGrowthBC_Res)*Q$65+effTrendL*trendGrowthBC_Res)</f>
        <v>2.3591484375</v>
      </c>
      <c r="S65" s="33">
        <f>MIN(maxEff,(1+effTrendG*trendGrowthBC_Res)*R$65+effTrendL*trendGrowthBC_Res)</f>
        <v>2.3591484375</v>
      </c>
      <c r="T65" s="33">
        <f>MIN(maxEff,(1+effTrendG*trendGrowthBC_Res)*S$65+effTrendL*trendGrowthBC_Res)</f>
        <v>2.3591484375</v>
      </c>
      <c r="U65" s="33">
        <f>MIN(maxEff,(1+effTrendG*trendGrowthBC_Res)*T$65+effTrendL*trendGrowthBC_Res)</f>
        <v>2.3591484375</v>
      </c>
      <c r="V65" s="33">
        <f>MIN(maxEff,(1+effTrendG*trendGrowthBC_Res)*U$65+effTrendL*trendGrowthBC_Res)</f>
        <v>2.3591484375</v>
      </c>
      <c r="W65" s="33">
        <f>MIN(maxEff,(1+effTrendG*trendGrowthBC_Res)*V$65+effTrendL*trendGrowthBC_Res)</f>
        <v>2.3591484375</v>
      </c>
      <c r="X65" s="33">
        <f>MIN(maxEff,(1+effTrendG*trendGrowthBC_Res)*W$65+effTrendL*trendGrowthBC_Res)</f>
        <v>2.3591484375</v>
      </c>
      <c r="Y65" s="33">
        <f>MIN(maxEff,(1+effTrendG*trendGrowthBC_Res)*X$65+effTrendL*trendGrowthBC_Res)</f>
        <v>2.3591484375</v>
      </c>
      <c r="Z65" s="33">
        <f>MIN(maxEff,(1+effTrendG*trendGrowthBC_Res)*Y$65+effTrendL*trendGrowthBC_Res)</f>
        <v>2.3591484375</v>
      </c>
      <c r="AA65" s="33">
        <f>MIN(maxEff,(1+effTrendG*trendGrowthBC_Res)*Z$65+effTrendL*trendGrowthBC_Res)</f>
        <v>2.3591484375</v>
      </c>
      <c r="AB65" s="33">
        <f>MIN(maxEff,(1+effTrendG*trendGrowthBC_Res)*AA$65+effTrendL*trendGrowthBC_Res)</f>
        <v>2.3591484375</v>
      </c>
      <c r="AC65" s="33">
        <f>MIN(maxEff,(1+effTrendG*trendGrowthBC_Res)*AB$65+effTrendL*trendGrowthBC_Res)</f>
        <v>2.3591484375</v>
      </c>
      <c r="AD65" s="33">
        <f>MIN(maxEff,(1+effTrendG*trendGrowthBC_Res)*AC$65+effTrendL*trendGrowthBC_Res)</f>
        <v>2.3591484375</v>
      </c>
      <c r="AE65" s="33">
        <f>MIN(maxEff,(1+effTrendG*trendGrowthBC_Res)*AD$65+effTrendL*trendGrowthBC_Res)</f>
        <v>2.3591484375</v>
      </c>
      <c r="AF65" s="33">
        <f>MIN(maxEff,(1+effTrendG*trendGrowthBC_Res)*AE$65+effTrendL*trendGrowthBC_Res)</f>
        <v>2.3591484375</v>
      </c>
      <c r="AG65" s="33">
        <f>MIN(maxEff,(1+effTrendG*trendGrowthBC_Res)*AF$65+effTrendL*trendGrowthBC_Res)</f>
        <v>2.3591484375</v>
      </c>
      <c r="AH65" s="33">
        <f>MIN(maxEff,(1+effTrendG*trendGrowthBC_Res)*AG$65+effTrendL*trendGrowthBC_Res)</f>
        <v>2.3591484375</v>
      </c>
      <c r="AI65" s="33">
        <f>MIN(maxEff,(1+effTrendG*trendGrowthBC_Res)*AH$65+effTrendL*trendGrowthBC_Res)</f>
        <v>2.3591484375</v>
      </c>
      <c r="AJ65" s="33">
        <f>MIN(maxEff,(1+effTrendG*trendGrowthBC_Res)*AI$65+effTrendL*trendGrowthBC_Res)</f>
        <v>2.3591484375</v>
      </c>
      <c r="AK65" s="33">
        <f>MIN(maxEff,(1+effTrendG*trendGrowthBC_Res)*AJ$65+effTrendL*trendGrowthBC_Res)</f>
        <v>2.3591484375</v>
      </c>
      <c r="AL65" s="33">
        <f>MIN(maxEff,(1+effTrendG*trendGrowthBC_Res)*AK$65+effTrendL*trendGrowthBC_Res)</f>
        <v>2.3591484375</v>
      </c>
      <c r="AM65" s="33">
        <f>MIN(maxEff,(1+effTrendG*trendGrowthBC_Res)*AL$65+effTrendL*trendGrowthBC_Res)</f>
        <v>2.3591484375</v>
      </c>
      <c r="AN65" s="34">
        <f>MIN(maxEff,(1+effTrendG*trendGrowthBC_Res)*AM$65+effTrendL*trendGrowthBC_Res)</f>
        <v>2.3591484375</v>
      </c>
      <c r="AO65" s="8"/>
    </row>
    <row r="66" spans="2:41" x14ac:dyDescent="0.35">
      <c r="B66" s="8"/>
      <c r="C66" s="19" t="s">
        <v>95</v>
      </c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18"/>
      <c r="AO66" s="8"/>
    </row>
    <row r="67" spans="2:41" x14ac:dyDescent="0.35">
      <c r="B67" s="8"/>
      <c r="C67" s="14" t="s">
        <v>94</v>
      </c>
      <c r="D67" s="15" t="s">
        <v>74</v>
      </c>
      <c r="E67" s="21">
        <f ca="1">IF(E$62&lt;yearC,E$65,IF(E$62=yearC,SUMPRODUCT(doEff,INDEX(polEff_Res,,1)),MIN(maxEff,MAX(0,E$65))))</f>
        <v>2.4508095013721016</v>
      </c>
      <c r="F67" s="21">
        <f ca="1">IF(F$62&lt;yearC,F$65,IF(F$62=yearC,SUMPRODUCT(doEff,INDEX(polEff_Res,,2)),MIN(maxEff,MAX(INDEX(trendEffPol_Res,1),F$65))))</f>
        <v>2.4508095013721016</v>
      </c>
      <c r="G67" s="21">
        <f ca="1">IF(G$62&lt;yearC,G$65,IF(G$62=yearC,SUMPRODUCT(doEff,INDEX(polEff_Res,,3)),MIN(maxEff,MAX(INDEX(trendEffPol_Res,2),G$65))))</f>
        <v>2.4508095013721016</v>
      </c>
      <c r="H67" s="21">
        <f ca="1">IF(H$62&lt;yearC,H$65,IF(H$62=yearC,SUMPRODUCT(doEff,INDEX(polEff_Res,,4)),MIN(maxEff,MAX(INDEX(trendEffPol_Res,3),H$65))))</f>
        <v>2.4508095013721016</v>
      </c>
      <c r="I67" s="21">
        <f ca="1">IF(I$62&lt;yearC,I$65,IF(I$62=yearC,SUMPRODUCT(doEff,INDEX(polEff_Res,,5)),MIN(maxEff,MAX(INDEX(trendEffPol_Res,4),I$65))))</f>
        <v>2.4508095013721016</v>
      </c>
      <c r="J67" s="21">
        <f ca="1">IF(J$62&lt;yearC,J$65,IF(J$62=yearC,SUMPRODUCT(doEff,INDEX(polEff_Res,,6)),MIN(maxEff,MAX(INDEX(trendEffPol_Res,5),J$65))))</f>
        <v>2.4508095013721016</v>
      </c>
      <c r="K67" s="21">
        <f ca="1">IF(K$62&lt;yearC,K$65,IF(K$62=yearC,SUMPRODUCT(doEff,INDEX(polEff_Res,,7)),MIN(maxEff,MAX(INDEX(trendEffPol_Res,6),K$65))))</f>
        <v>2.4508095013721016</v>
      </c>
      <c r="L67" s="21">
        <f ca="1">MIN(maxEff,MAX(INDEX(trendEffPol_Res,7),L$65))</f>
        <v>2.4508095013721016</v>
      </c>
      <c r="M67" s="21">
        <f ca="1">MIN(maxEff,MAX(INDEX(trendEffPol_Res,7),M$65))</f>
        <v>2.4508095013721016</v>
      </c>
      <c r="N67" s="21">
        <f ca="1">MIN(maxEff,MAX(INDEX(trendEffPol_Res,7),N$65))</f>
        <v>2.4508095013721016</v>
      </c>
      <c r="O67" s="21">
        <f ca="1">MIN(maxEff,MAX(INDEX(trendEffPol_Res,7),O$65))</f>
        <v>2.4508095013721016</v>
      </c>
      <c r="P67" s="21">
        <f ca="1">MIN(maxEff,MAX(INDEX(trendEffPol_Res,7),P$65))</f>
        <v>2.4508095013721016</v>
      </c>
      <c r="Q67" s="21">
        <f ca="1">MIN(maxEff,MAX(INDEX(trendEffPol_Res,7),Q$65))</f>
        <v>2.4508095013721016</v>
      </c>
      <c r="R67" s="21">
        <f ca="1">MIN(maxEff,MAX(INDEX(trendEffPol_Res,7),R$65))</f>
        <v>2.4508095013721016</v>
      </c>
      <c r="S67" s="21">
        <f ca="1">MIN(maxEff,MAX(INDEX(trendEffPol_Res,7),S$65))</f>
        <v>2.4508095013721016</v>
      </c>
      <c r="T67" s="21">
        <f ca="1">MIN(maxEff,MAX(INDEX(trendEffPol_Res,7),T$65))</f>
        <v>2.4508095013721016</v>
      </c>
      <c r="U67" s="21">
        <f ca="1">MIN(maxEff,MAX(INDEX(trendEffPol_Res,7),U$65))</f>
        <v>2.4508095013721016</v>
      </c>
      <c r="V67" s="21">
        <f ca="1">MIN(maxEff,MAX(INDEX(trendEffPol_Res,7),V$65))</f>
        <v>2.4508095013721016</v>
      </c>
      <c r="W67" s="21">
        <f ca="1">MIN(maxEff,MAX(INDEX(trendEffPol_Res,7),W$65))</f>
        <v>2.4508095013721016</v>
      </c>
      <c r="X67" s="21">
        <f ca="1">MIN(maxEff,MAX(INDEX(trendEffPol_Res,7),X$65))</f>
        <v>2.4508095013721016</v>
      </c>
      <c r="Y67" s="21">
        <f ca="1">MIN(maxEff,MAX(INDEX(trendEffPol_Res,7),Y$65))</f>
        <v>2.4508095013721016</v>
      </c>
      <c r="Z67" s="21">
        <f ca="1">MIN(maxEff,MAX(INDEX(trendEffPol_Res,7),Z$65))</f>
        <v>2.4508095013721016</v>
      </c>
      <c r="AA67" s="21">
        <f ca="1">MIN(maxEff,MAX(INDEX(trendEffPol_Res,7),AA$65))</f>
        <v>2.4508095013721016</v>
      </c>
      <c r="AB67" s="21">
        <f ca="1">MIN(maxEff,MAX(INDEX(trendEffPol_Res,7),AB$65))</f>
        <v>2.4508095013721016</v>
      </c>
      <c r="AC67" s="21">
        <f ca="1">MIN(maxEff,MAX(INDEX(trendEffPol_Res,7),AC$65))</f>
        <v>2.4508095013721016</v>
      </c>
      <c r="AD67" s="21">
        <f ca="1">MIN(maxEff,MAX(INDEX(trendEffPol_Res,7),AD$65))</f>
        <v>2.4508095013721016</v>
      </c>
      <c r="AE67" s="21">
        <f ca="1">MIN(maxEff,MAX(INDEX(trendEffPol_Res,7),AE$65))</f>
        <v>2.4508095013721016</v>
      </c>
      <c r="AF67" s="21">
        <f ca="1">MIN(maxEff,MAX(INDEX(trendEffPol_Res,7),AF$65))</f>
        <v>2.4508095013721016</v>
      </c>
      <c r="AG67" s="21">
        <f ca="1">MIN(maxEff,MAX(INDEX(trendEffPol_Res,7),AG$65))</f>
        <v>2.4508095013721016</v>
      </c>
      <c r="AH67" s="21">
        <f ca="1">MIN(maxEff,MAX(INDEX(trendEffPol_Res,7),AH$65))</f>
        <v>2.4508095013721016</v>
      </c>
      <c r="AI67" s="21">
        <f ca="1">MIN(maxEff,MAX(INDEX(trendEffPol_Res,7),AI$65))</f>
        <v>2.4508095013721016</v>
      </c>
      <c r="AJ67" s="21">
        <f ca="1">MIN(maxEff,MAX(INDEX(trendEffPol_Res,7),AJ$65))</f>
        <v>2.4508095013721016</v>
      </c>
      <c r="AK67" s="21">
        <f ca="1">MIN(maxEff,MAX(INDEX(trendEffPol_Res,7),AK$65))</f>
        <v>2.4508095013721016</v>
      </c>
      <c r="AL67" s="21">
        <f ca="1">MIN(maxEff,MAX(INDEX(trendEffPol_Res,7),AL$65))</f>
        <v>2.4508095013721016</v>
      </c>
      <c r="AM67" s="21">
        <f ca="1">MIN(maxEff,MAX(INDEX(trendEffPol_Res,7),AM$65))</f>
        <v>2.4508095013721016</v>
      </c>
      <c r="AN67" s="22">
        <f ca="1">MIN(maxEff,MAX(INDEX(trendEffPol_Res,7),AN$65))</f>
        <v>2.4508095013721016</v>
      </c>
      <c r="AO67" s="8"/>
    </row>
    <row r="68" spans="2:4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</row>
    <row r="69" spans="2:41" hidden="1" x14ac:dyDescent="0.35">
      <c r="B69" s="8"/>
      <c r="C69" s="23" t="s">
        <v>102</v>
      </c>
      <c r="D69" s="24"/>
      <c r="E69" s="26">
        <f t="array" ref="E69:AN69">_yS</f>
        <v>2024</v>
      </c>
      <c r="F69" s="26">
        <v>2025</v>
      </c>
      <c r="G69" s="26">
        <v>2026</v>
      </c>
      <c r="H69" s="26">
        <v>2027</v>
      </c>
      <c r="I69" s="26">
        <v>2028</v>
      </c>
      <c r="J69" s="26">
        <v>2029</v>
      </c>
      <c r="K69" s="26">
        <v>2030</v>
      </c>
      <c r="L69" s="26">
        <v>2031</v>
      </c>
      <c r="M69" s="26">
        <v>2032</v>
      </c>
      <c r="N69" s="26">
        <v>2033</v>
      </c>
      <c r="O69" s="26">
        <v>2034</v>
      </c>
      <c r="P69" s="26">
        <v>2035</v>
      </c>
      <c r="Q69" s="26">
        <v>2036</v>
      </c>
      <c r="R69" s="26">
        <v>2037</v>
      </c>
      <c r="S69" s="26">
        <v>2038</v>
      </c>
      <c r="T69" s="26">
        <v>2039</v>
      </c>
      <c r="U69" s="26">
        <v>2040</v>
      </c>
      <c r="V69" s="26">
        <v>2041</v>
      </c>
      <c r="W69" s="26">
        <v>2042</v>
      </c>
      <c r="X69" s="26">
        <v>2043</v>
      </c>
      <c r="Y69" s="26">
        <v>2044</v>
      </c>
      <c r="Z69" s="26">
        <v>2045</v>
      </c>
      <c r="AA69" s="26">
        <v>2046</v>
      </c>
      <c r="AB69" s="26">
        <v>2047</v>
      </c>
      <c r="AC69" s="26">
        <v>2048</v>
      </c>
      <c r="AD69" s="26">
        <v>2049</v>
      </c>
      <c r="AE69" s="26">
        <v>2050</v>
      </c>
      <c r="AF69" s="26">
        <v>2051</v>
      </c>
      <c r="AG69" s="26">
        <v>2052</v>
      </c>
      <c r="AH69" s="26">
        <v>2053</v>
      </c>
      <c r="AI69" s="26">
        <v>2054</v>
      </c>
      <c r="AJ69" s="26">
        <v>2055</v>
      </c>
      <c r="AK69" s="26">
        <v>2056</v>
      </c>
      <c r="AL69" s="26">
        <v>2057</v>
      </c>
      <c r="AM69" s="26">
        <v>2058</v>
      </c>
      <c r="AN69" s="27">
        <v>2059</v>
      </c>
      <c r="AO69" s="8"/>
    </row>
    <row r="70" spans="2:41" hidden="1" x14ac:dyDescent="0.35">
      <c r="B70" s="8"/>
      <c r="C70" s="19" t="s">
        <v>89</v>
      </c>
      <c r="D70" s="11"/>
      <c r="E70" s="43">
        <f>0</f>
        <v>0</v>
      </c>
      <c r="F70" s="43">
        <f t="array" ref="F70:AN70">$E$70</f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0</v>
      </c>
      <c r="AA70" s="43">
        <v>0</v>
      </c>
      <c r="AB70" s="43">
        <v>0</v>
      </c>
      <c r="AC70" s="43">
        <v>0</v>
      </c>
      <c r="AD70" s="43">
        <v>0</v>
      </c>
      <c r="AE70" s="43">
        <v>0</v>
      </c>
      <c r="AF70" s="43">
        <v>0</v>
      </c>
      <c r="AG70" s="43">
        <v>0</v>
      </c>
      <c r="AH70" s="43">
        <v>0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4">
        <v>0</v>
      </c>
      <c r="AO70" s="8"/>
    </row>
    <row r="71" spans="2:41" hidden="1" x14ac:dyDescent="0.35">
      <c r="B71" s="8"/>
      <c r="C71" s="19" t="str">
        <f>"EL 0: " &amp; INDEX(_doName,2,1)</f>
        <v>EL 0: Baseline</v>
      </c>
      <c r="D71" s="11"/>
      <c r="E71" s="43"/>
      <c r="F71" s="43">
        <f ca="1">(INDEX(teffSumPol_Res,1,2)&lt;INDEX(effGoalPol_Res,2)) * MIN(INDEX(polEff_Res,1,1),(INDEX(effGoalPol_Res,2)-INDEX(teffSumPol_Res,1,2))/(INDEX(doEff,2)-INDEX(doEff,1)))</f>
        <v>0</v>
      </c>
      <c r="G71" s="43">
        <f ca="1">(INDEX(teffSumPol_Res,1,3)&lt;INDEX(effGoalPol_Res,3)) * MIN(INDEX(polEff_Res,1,2),(INDEX(effGoalPol_Res,3)-INDEX(teffSumPol_Res,1,3))/(INDEX(doEff,2)-INDEX(doEff,1)))</f>
        <v>0</v>
      </c>
      <c r="H71" s="43">
        <f ca="1">(INDEX(teffSumPol_Res,1,4)&lt;INDEX(effGoalPol_Res,4)) * MIN(INDEX(polEff_Res,1,3),(INDEX(effGoalPol_Res,4)-INDEX(teffSumPol_Res,1,4))/(INDEX(doEff,2)-INDEX(doEff,1)))</f>
        <v>0</v>
      </c>
      <c r="I71" s="43">
        <f ca="1">(INDEX(teffSumPol_Res,1,5)&lt;INDEX(effGoalPol_Res,5)) * MIN(INDEX(polEff_Res,1,4),(INDEX(effGoalPol_Res,5)-INDEX(teffSumPol_Res,1,5))/(INDEX(doEff,2)-INDEX(doEff,1)))</f>
        <v>0</v>
      </c>
      <c r="J71" s="43">
        <f ca="1">(INDEX(teffSumPol_Res,1,6)&lt;INDEX(effGoalPol_Res,6)) * MIN(INDEX(polEff_Res,1,5),(INDEX(effGoalPol_Res,6)-INDEX(teffSumPol_Res,1,6))/(INDEX(doEff,2)-INDEX(doEff,1)))</f>
        <v>0</v>
      </c>
      <c r="K71" s="43">
        <f ca="1">(INDEX(teffSumPol_Res,1,7)&lt;INDEX(effGoalPol_Res,7)) * MIN(INDEX(polEff_Res,1,6),(INDEX(effGoalPol_Res,7)-INDEX(teffSumPol_Res,1,7))/(INDEX(doEff,2)-INDEX(doEff,1)))</f>
        <v>0</v>
      </c>
      <c r="L71" s="43">
        <f ca="1">(INDEX(teffSumPol_Res,1,8)&lt;INDEX(effGoalPol_Res,8)) * MIN(INDEX(polEff_Res,1,7),(INDEX(effGoalPol_Res,8)-INDEX(teffSumPol_Res,1,8))/(INDEX(doEff,2)-INDEX(doEff,1)))</f>
        <v>0</v>
      </c>
      <c r="M71" s="43">
        <f ca="1">(INDEX(teffSumPol_Res,1,9)&lt;INDEX(effGoalPol_Res,9)) * MIN(INDEX(polEff_Res,1,8),(INDEX(effGoalPol_Res,9)-INDEX(teffSumPol_Res,1,9))/(INDEX(doEff,2)-INDEX(doEff,1)))</f>
        <v>0</v>
      </c>
      <c r="N71" s="43">
        <f ca="1">(INDEX(teffSumPol_Res,1,10)&lt;INDEX(effGoalPol_Res,10)) * MIN(INDEX(polEff_Res,1,9),(INDEX(effGoalPol_Res,10)-INDEX(teffSumPol_Res,1,10))/(INDEX(doEff,2)-INDEX(doEff,1)))</f>
        <v>0</v>
      </c>
      <c r="O71" s="43">
        <f ca="1">(INDEX(teffSumPol_Res,1,11)&lt;INDEX(effGoalPol_Res,11)) * MIN(INDEX(polEff_Res,1,10),(INDEX(effGoalPol_Res,11)-INDEX(teffSumPol_Res,1,11))/(INDEX(doEff,2)-INDEX(doEff,1)))</f>
        <v>0</v>
      </c>
      <c r="P71" s="43">
        <f ca="1">(INDEX(teffSumPol_Res,1,12)&lt;INDEX(effGoalPol_Res,12)) * MIN(INDEX(polEff_Res,1,11),(INDEX(effGoalPol_Res,12)-INDEX(teffSumPol_Res,1,12))/(INDEX(doEff,2)-INDEX(doEff,1)))</f>
        <v>0</v>
      </c>
      <c r="Q71" s="43">
        <f ca="1">(INDEX(teffSumPol_Res,1,13)&lt;INDEX(effGoalPol_Res,13)) * MIN(INDEX(polEff_Res,1,12),(INDEX(effGoalPol_Res,13)-INDEX(teffSumPol_Res,1,13))/(INDEX(doEff,2)-INDEX(doEff,1)))</f>
        <v>0</v>
      </c>
      <c r="R71" s="43">
        <f ca="1">(INDEX(teffSumPol_Res,1,14)&lt;INDEX(effGoalPol_Res,14)) * MIN(INDEX(polEff_Res,1,13),(INDEX(effGoalPol_Res,14)-INDEX(teffSumPol_Res,1,14))/(INDEX(doEff,2)-INDEX(doEff,1)))</f>
        <v>0</v>
      </c>
      <c r="S71" s="43">
        <f ca="1">(INDEX(teffSumPol_Res,1,15)&lt;INDEX(effGoalPol_Res,15)) * MIN(INDEX(polEff_Res,1,14),(INDEX(effGoalPol_Res,15)-INDEX(teffSumPol_Res,1,15))/(INDEX(doEff,2)-INDEX(doEff,1)))</f>
        <v>0</v>
      </c>
      <c r="T71" s="43">
        <f ca="1">(INDEX(teffSumPol_Res,1,16)&lt;INDEX(effGoalPol_Res,16)) * MIN(INDEX(polEff_Res,1,15),(INDEX(effGoalPol_Res,16)-INDEX(teffSumPol_Res,1,16))/(INDEX(doEff,2)-INDEX(doEff,1)))</f>
        <v>0</v>
      </c>
      <c r="U71" s="43">
        <f ca="1">(INDEX(teffSumPol_Res,1,17)&lt;INDEX(effGoalPol_Res,17)) * MIN(INDEX(polEff_Res,1,16),(INDEX(effGoalPol_Res,17)-INDEX(teffSumPol_Res,1,17))/(INDEX(doEff,2)-INDEX(doEff,1)))</f>
        <v>0</v>
      </c>
      <c r="V71" s="43">
        <f ca="1">(INDEX(teffSumPol_Res,1,18)&lt;INDEX(effGoalPol_Res,18)) * MIN(INDEX(polEff_Res,1,17),(INDEX(effGoalPol_Res,18)-INDEX(teffSumPol_Res,1,18))/(INDEX(doEff,2)-INDEX(doEff,1)))</f>
        <v>0</v>
      </c>
      <c r="W71" s="43">
        <f ca="1">(INDEX(teffSumPol_Res,1,19)&lt;INDEX(effGoalPol_Res,19)) * MIN(INDEX(polEff_Res,1,18),(INDEX(effGoalPol_Res,19)-INDEX(teffSumPol_Res,1,19))/(INDEX(doEff,2)-INDEX(doEff,1)))</f>
        <v>0</v>
      </c>
      <c r="X71" s="43">
        <f ca="1">(INDEX(teffSumPol_Res,1,20)&lt;INDEX(effGoalPol_Res,20)) * MIN(INDEX(polEff_Res,1,19),(INDEX(effGoalPol_Res,20)-INDEX(teffSumPol_Res,1,20))/(INDEX(doEff,2)-INDEX(doEff,1)))</f>
        <v>0</v>
      </c>
      <c r="Y71" s="43">
        <f ca="1">(INDEX(teffSumPol_Res,1,21)&lt;INDEX(effGoalPol_Res,21)) * MIN(INDEX(polEff_Res,1,20),(INDEX(effGoalPol_Res,21)-INDEX(teffSumPol_Res,1,21))/(INDEX(doEff,2)-INDEX(doEff,1)))</f>
        <v>0</v>
      </c>
      <c r="Z71" s="43">
        <f ca="1">(INDEX(teffSumPol_Res,1,22)&lt;INDEX(effGoalPol_Res,22)) * MIN(INDEX(polEff_Res,1,21),(INDEX(effGoalPol_Res,22)-INDEX(teffSumPol_Res,1,22))/(INDEX(doEff,2)-INDEX(doEff,1)))</f>
        <v>0</v>
      </c>
      <c r="AA71" s="43">
        <f ca="1">(INDEX(teffSumPol_Res,1,23)&lt;INDEX(effGoalPol_Res,23)) * MIN(INDEX(polEff_Res,1,22),(INDEX(effGoalPol_Res,23)-INDEX(teffSumPol_Res,1,23))/(INDEX(doEff,2)-INDEX(doEff,1)))</f>
        <v>0</v>
      </c>
      <c r="AB71" s="43">
        <f ca="1">(INDEX(teffSumPol_Res,1,24)&lt;INDEX(effGoalPol_Res,24)) * MIN(INDEX(polEff_Res,1,23),(INDEX(effGoalPol_Res,24)-INDEX(teffSumPol_Res,1,24))/(INDEX(doEff,2)-INDEX(doEff,1)))</f>
        <v>0</v>
      </c>
      <c r="AC71" s="43">
        <f ca="1">(INDEX(teffSumPol_Res,1,25)&lt;INDEX(effGoalPol_Res,25)) * MIN(INDEX(polEff_Res,1,24),(INDEX(effGoalPol_Res,25)-INDEX(teffSumPol_Res,1,25))/(INDEX(doEff,2)-INDEX(doEff,1)))</f>
        <v>0</v>
      </c>
      <c r="AD71" s="43">
        <f ca="1">(INDEX(teffSumPol_Res,1,26)&lt;INDEX(effGoalPol_Res,26)) * MIN(INDEX(polEff_Res,1,25),(INDEX(effGoalPol_Res,26)-INDEX(teffSumPol_Res,1,26))/(INDEX(doEff,2)-INDEX(doEff,1)))</f>
        <v>0</v>
      </c>
      <c r="AE71" s="43">
        <f ca="1">(INDEX(teffSumPol_Res,1,27)&lt;INDEX(effGoalPol_Res,27)) * MIN(INDEX(polEff_Res,1,26),(INDEX(effGoalPol_Res,27)-INDEX(teffSumPol_Res,1,27))/(INDEX(doEff,2)-INDEX(doEff,1)))</f>
        <v>0</v>
      </c>
      <c r="AF71" s="43">
        <f ca="1">(INDEX(teffSumPol_Res,1,28)&lt;INDEX(effGoalPol_Res,28)) * MIN(INDEX(polEff_Res,1,27),(INDEX(effGoalPol_Res,28)-INDEX(teffSumPol_Res,1,28))/(INDEX(doEff,2)-INDEX(doEff,1)))</f>
        <v>0</v>
      </c>
      <c r="AG71" s="43">
        <f ca="1">(INDEX(teffSumPol_Res,1,29)&lt;INDEX(effGoalPol_Res,29)) * MIN(INDEX(polEff_Res,1,28),(INDEX(effGoalPol_Res,29)-INDEX(teffSumPol_Res,1,29))/(INDEX(doEff,2)-INDEX(doEff,1)))</f>
        <v>0</v>
      </c>
      <c r="AH71" s="43">
        <f ca="1">(INDEX(teffSumPol_Res,1,30)&lt;INDEX(effGoalPol_Res,30)) * MIN(INDEX(polEff_Res,1,29),(INDEX(effGoalPol_Res,30)-INDEX(teffSumPol_Res,1,30))/(INDEX(doEff,2)-INDEX(doEff,1)))</f>
        <v>0</v>
      </c>
      <c r="AI71" s="43">
        <f ca="1">(INDEX(teffSumPol_Res,1,31)&lt;INDEX(effGoalPol_Res,31)) * MIN(INDEX(polEff_Res,1,30),(INDEX(effGoalPol_Res,31)-INDEX(teffSumPol_Res,1,31))/(INDEX(doEff,2)-INDEX(doEff,1)))</f>
        <v>0</v>
      </c>
      <c r="AJ71" s="43">
        <f ca="1">(INDEX(teffSumPol_Res,1,32)&lt;INDEX(effGoalPol_Res,32)) * MIN(INDEX(polEff_Res,1,31),(INDEX(effGoalPol_Res,32)-INDEX(teffSumPol_Res,1,32))/(INDEX(doEff,2)-INDEX(doEff,1)))</f>
        <v>0</v>
      </c>
      <c r="AK71" s="43">
        <f ca="1">(INDEX(teffSumPol_Res,1,33)&lt;INDEX(effGoalPol_Res,33)) * MIN(INDEX(polEff_Res,1,32),(INDEX(effGoalPol_Res,33)-INDEX(teffSumPol_Res,1,33))/(INDEX(doEff,2)-INDEX(doEff,1)))</f>
        <v>0</v>
      </c>
      <c r="AL71" s="43">
        <f ca="1">(INDEX(teffSumPol_Res,1,34)&lt;INDEX(effGoalPol_Res,34)) * MIN(INDEX(polEff_Res,1,33),(INDEX(effGoalPol_Res,34)-INDEX(teffSumPol_Res,1,34))/(INDEX(doEff,2)-INDEX(doEff,1)))</f>
        <v>0</v>
      </c>
      <c r="AM71" s="43">
        <f ca="1">(INDEX(teffSumPol_Res,1,35)&lt;INDEX(effGoalPol_Res,35)) * MIN(INDEX(polEff_Res,1,34),(INDEX(effGoalPol_Res,35)-INDEX(teffSumPol_Res,1,35))/(INDEX(doEff,2)-INDEX(doEff,1)))</f>
        <v>0</v>
      </c>
      <c r="AN71" s="44">
        <f ca="1">(INDEX(teffSumPol_Res,1,36)&lt;INDEX(effGoalPol_Res,36)) * MIN(INDEX(polEff_Res,1,35),(INDEX(effGoalPol_Res,36)-INDEX(teffSumPol_Res,1,36))/(INDEX(doEff,2)-INDEX(doEff,1)))</f>
        <v>0</v>
      </c>
      <c r="AO71" s="8"/>
    </row>
    <row r="72" spans="2:41" hidden="1" x14ac:dyDescent="0.35">
      <c r="B72" s="8"/>
      <c r="C72" s="19" t="str">
        <f>"EL 1: " &amp; INDEX(_doName,2,2)</f>
        <v>EL 1: Tier 1</v>
      </c>
      <c r="D72" s="11"/>
      <c r="E72" s="43"/>
      <c r="F72" s="43">
        <f ca="1">(INDEX(teffSumPol_Res,2,2)&lt;INDEX(effGoalPol_Res,2)) * MIN(INDEX(polEff_Res,2,1)+INDEX(pushPol_Res,1),(INDEX(effGoalPol_Res,2)-INDEX(teffSumPol_Res,2,2))/(INDEX(doEff,3)-INDEX(doEff,2)))</f>
        <v>0</v>
      </c>
      <c r="G72" s="43">
        <f ca="1">(INDEX(teffSumPol_Res,2,3)&lt;INDEX(effGoalPol_Res,3)) * MIN(INDEX(polEff_Res,2,2)+INDEX(pushPol_Res,1),(INDEX(effGoalPol_Res,3)-INDEX(teffSumPol_Res,2,3))/(INDEX(doEff,3)-INDEX(doEff,2)))</f>
        <v>6.9245663578823471E-4</v>
      </c>
      <c r="H72" s="43">
        <f ca="1">(INDEX(teffSumPol_Res,2,4)&lt;INDEX(effGoalPol_Res,4)) * MIN(INDEX(polEff_Res,2,3)+INDEX(pushPol_Res,1),(INDEX(effGoalPol_Res,4)-INDEX(teffSumPol_Res,2,4))/(INDEX(doEff,3)-INDEX(doEff,2)))</f>
        <v>0</v>
      </c>
      <c r="I72" s="43">
        <f ca="1">(INDEX(teffSumPol_Res,2,5)&lt;INDEX(effGoalPol_Res,5)) * MIN(INDEX(polEff_Res,2,4)+INDEX(pushPol_Res,1),(INDEX(effGoalPol_Res,5)-INDEX(teffSumPol_Res,2,5))/(INDEX(doEff,3)-INDEX(doEff,2)))</f>
        <v>0</v>
      </c>
      <c r="J72" s="43">
        <f ca="1">(INDEX(teffSumPol_Res,2,6)&lt;INDEX(effGoalPol_Res,6)) * MIN(INDEX(polEff_Res,2,5)+INDEX(pushPol_Res,1),(INDEX(effGoalPol_Res,6)-INDEX(teffSumPol_Res,2,6))/(INDEX(doEff,3)-INDEX(doEff,2)))</f>
        <v>0</v>
      </c>
      <c r="K72" s="43">
        <f ca="1">(INDEX(teffSumPol_Res,2,7)&lt;INDEX(effGoalPol_Res,7)) * MIN(INDEX(polEff_Res,2,6)+INDEX(pushPol_Res,1),(INDEX(effGoalPol_Res,7)-INDEX(teffSumPol_Res,2,7))/(INDEX(doEff,3)-INDEX(doEff,2)))</f>
        <v>0</v>
      </c>
      <c r="L72" s="43">
        <f ca="1">(INDEX(teffSumPol_Res,2,8)&lt;INDEX(effGoalPol_Res,8)) * MIN(INDEX(polEff_Res,2,7)+INDEX(pushPol_Res,1),(INDEX(effGoalPol_Res,8)-INDEX(teffSumPol_Res,2,8))/(INDEX(doEff,3)-INDEX(doEff,2)))</f>
        <v>0</v>
      </c>
      <c r="M72" s="43">
        <f ca="1">(INDEX(teffSumPol_Res,2,9)&lt;INDEX(effGoalPol_Res,9)) * MIN(INDEX(polEff_Res,2,8)+INDEX(pushPol_Res,1),(INDEX(effGoalPol_Res,9)-INDEX(teffSumPol_Res,2,9))/(INDEX(doEff,3)-INDEX(doEff,2)))</f>
        <v>0</v>
      </c>
      <c r="N72" s="43">
        <f ca="1">(INDEX(teffSumPol_Res,2,10)&lt;INDEX(effGoalPol_Res,10)) * MIN(INDEX(polEff_Res,2,9)+INDEX(pushPol_Res,1),(INDEX(effGoalPol_Res,10)-INDEX(teffSumPol_Res,2,10))/(INDEX(doEff,3)-INDEX(doEff,2)))</f>
        <v>0</v>
      </c>
      <c r="O72" s="43">
        <f ca="1">(INDEX(teffSumPol_Res,2,11)&lt;INDEX(effGoalPol_Res,11)) * MIN(INDEX(polEff_Res,2,10)+INDEX(pushPol_Res,1),(INDEX(effGoalPol_Res,11)-INDEX(teffSumPol_Res,2,11))/(INDEX(doEff,3)-INDEX(doEff,2)))</f>
        <v>0</v>
      </c>
      <c r="P72" s="43">
        <f ca="1">(INDEX(teffSumPol_Res,2,12)&lt;INDEX(effGoalPol_Res,12)) * MIN(INDEX(polEff_Res,2,11)+INDEX(pushPol_Res,1),(INDEX(effGoalPol_Res,12)-INDEX(teffSumPol_Res,2,12))/(INDEX(doEff,3)-INDEX(doEff,2)))</f>
        <v>0</v>
      </c>
      <c r="Q72" s="43">
        <f ca="1">(INDEX(teffSumPol_Res,2,13)&lt;INDEX(effGoalPol_Res,13)) * MIN(INDEX(polEff_Res,2,12)+INDEX(pushPol_Res,1),(INDEX(effGoalPol_Res,13)-INDEX(teffSumPol_Res,2,13))/(INDEX(doEff,3)-INDEX(doEff,2)))</f>
        <v>0</v>
      </c>
      <c r="R72" s="43">
        <f ca="1">(INDEX(teffSumPol_Res,2,14)&lt;INDEX(effGoalPol_Res,14)) * MIN(INDEX(polEff_Res,2,13)+INDEX(pushPol_Res,1),(INDEX(effGoalPol_Res,14)-INDEX(teffSumPol_Res,2,14))/(INDEX(doEff,3)-INDEX(doEff,2)))</f>
        <v>0</v>
      </c>
      <c r="S72" s="43">
        <f ca="1">(INDEX(teffSumPol_Res,2,15)&lt;INDEX(effGoalPol_Res,15)) * MIN(INDEX(polEff_Res,2,14)+INDEX(pushPol_Res,1),(INDEX(effGoalPol_Res,15)-INDEX(teffSumPol_Res,2,15))/(INDEX(doEff,3)-INDEX(doEff,2)))</f>
        <v>0</v>
      </c>
      <c r="T72" s="43">
        <f ca="1">(INDEX(teffSumPol_Res,2,16)&lt;INDEX(effGoalPol_Res,16)) * MIN(INDEX(polEff_Res,2,15)+INDEX(pushPol_Res,1),(INDEX(effGoalPol_Res,16)-INDEX(teffSumPol_Res,2,16))/(INDEX(doEff,3)-INDEX(doEff,2)))</f>
        <v>0</v>
      </c>
      <c r="U72" s="43">
        <f ca="1">(INDEX(teffSumPol_Res,2,17)&lt;INDEX(effGoalPol_Res,17)) * MIN(INDEX(polEff_Res,2,16)+INDEX(pushPol_Res,1),(INDEX(effGoalPol_Res,17)-INDEX(teffSumPol_Res,2,17))/(INDEX(doEff,3)-INDEX(doEff,2)))</f>
        <v>0</v>
      </c>
      <c r="V72" s="43">
        <f ca="1">(INDEX(teffSumPol_Res,2,18)&lt;INDEX(effGoalPol_Res,18)) * MIN(INDEX(polEff_Res,2,17)+INDEX(pushPol_Res,1),(INDEX(effGoalPol_Res,18)-INDEX(teffSumPol_Res,2,18))/(INDEX(doEff,3)-INDEX(doEff,2)))</f>
        <v>0</v>
      </c>
      <c r="W72" s="43">
        <f ca="1">(INDEX(teffSumPol_Res,2,19)&lt;INDEX(effGoalPol_Res,19)) * MIN(INDEX(polEff_Res,2,18)+INDEX(pushPol_Res,1),(INDEX(effGoalPol_Res,19)-INDEX(teffSumPol_Res,2,19))/(INDEX(doEff,3)-INDEX(doEff,2)))</f>
        <v>0</v>
      </c>
      <c r="X72" s="43">
        <f ca="1">(INDEX(teffSumPol_Res,2,20)&lt;INDEX(effGoalPol_Res,20)) * MIN(INDEX(polEff_Res,2,19)+INDEX(pushPol_Res,1),(INDEX(effGoalPol_Res,20)-INDEX(teffSumPol_Res,2,20))/(INDEX(doEff,3)-INDEX(doEff,2)))</f>
        <v>0</v>
      </c>
      <c r="Y72" s="43">
        <f ca="1">(INDEX(teffSumPol_Res,2,21)&lt;INDEX(effGoalPol_Res,21)) * MIN(INDEX(polEff_Res,2,20)+INDEX(pushPol_Res,1),(INDEX(effGoalPol_Res,21)-INDEX(teffSumPol_Res,2,21))/(INDEX(doEff,3)-INDEX(doEff,2)))</f>
        <v>0</v>
      </c>
      <c r="Z72" s="43">
        <f ca="1">(INDEX(teffSumPol_Res,2,22)&lt;INDEX(effGoalPol_Res,22)) * MIN(INDEX(polEff_Res,2,21)+INDEX(pushPol_Res,1),(INDEX(effGoalPol_Res,22)-INDEX(teffSumPol_Res,2,22))/(INDEX(doEff,3)-INDEX(doEff,2)))</f>
        <v>0</v>
      </c>
      <c r="AA72" s="43">
        <f ca="1">(INDEX(teffSumPol_Res,2,23)&lt;INDEX(effGoalPol_Res,23)) * MIN(INDEX(polEff_Res,2,22)+INDEX(pushPol_Res,1),(INDEX(effGoalPol_Res,23)-INDEX(teffSumPol_Res,2,23))/(INDEX(doEff,3)-INDEX(doEff,2)))</f>
        <v>0</v>
      </c>
      <c r="AB72" s="43">
        <f ca="1">(INDEX(teffSumPol_Res,2,24)&lt;INDEX(effGoalPol_Res,24)) * MIN(INDEX(polEff_Res,2,23)+INDEX(pushPol_Res,1),(INDEX(effGoalPol_Res,24)-INDEX(teffSumPol_Res,2,24))/(INDEX(doEff,3)-INDEX(doEff,2)))</f>
        <v>0</v>
      </c>
      <c r="AC72" s="43">
        <f ca="1">(INDEX(teffSumPol_Res,2,25)&lt;INDEX(effGoalPol_Res,25)) * MIN(INDEX(polEff_Res,2,24)+INDEX(pushPol_Res,1),(INDEX(effGoalPol_Res,25)-INDEX(teffSumPol_Res,2,25))/(INDEX(doEff,3)-INDEX(doEff,2)))</f>
        <v>0</v>
      </c>
      <c r="AD72" s="43">
        <f ca="1">(INDEX(teffSumPol_Res,2,26)&lt;INDEX(effGoalPol_Res,26)) * MIN(INDEX(polEff_Res,2,25)+INDEX(pushPol_Res,1),(INDEX(effGoalPol_Res,26)-INDEX(teffSumPol_Res,2,26))/(INDEX(doEff,3)-INDEX(doEff,2)))</f>
        <v>0</v>
      </c>
      <c r="AE72" s="43">
        <f ca="1">(INDEX(teffSumPol_Res,2,27)&lt;INDEX(effGoalPol_Res,27)) * MIN(INDEX(polEff_Res,2,26)+INDEX(pushPol_Res,1),(INDEX(effGoalPol_Res,27)-INDEX(teffSumPol_Res,2,27))/(INDEX(doEff,3)-INDEX(doEff,2)))</f>
        <v>0</v>
      </c>
      <c r="AF72" s="43">
        <f ca="1">(INDEX(teffSumPol_Res,2,28)&lt;INDEX(effGoalPol_Res,28)) * MIN(INDEX(polEff_Res,2,27)+INDEX(pushPol_Res,1),(INDEX(effGoalPol_Res,28)-INDEX(teffSumPol_Res,2,28))/(INDEX(doEff,3)-INDEX(doEff,2)))</f>
        <v>0</v>
      </c>
      <c r="AG72" s="43">
        <f ca="1">(INDEX(teffSumPol_Res,2,29)&lt;INDEX(effGoalPol_Res,29)) * MIN(INDEX(polEff_Res,2,28)+INDEX(pushPol_Res,1),(INDEX(effGoalPol_Res,29)-INDEX(teffSumPol_Res,2,29))/(INDEX(doEff,3)-INDEX(doEff,2)))</f>
        <v>0</v>
      </c>
      <c r="AH72" s="43">
        <f ca="1">(INDEX(teffSumPol_Res,2,30)&lt;INDEX(effGoalPol_Res,30)) * MIN(INDEX(polEff_Res,2,29)+INDEX(pushPol_Res,1),(INDEX(effGoalPol_Res,30)-INDEX(teffSumPol_Res,2,30))/(INDEX(doEff,3)-INDEX(doEff,2)))</f>
        <v>0</v>
      </c>
      <c r="AI72" s="43">
        <f ca="1">(INDEX(teffSumPol_Res,2,31)&lt;INDEX(effGoalPol_Res,31)) * MIN(INDEX(polEff_Res,2,30)+INDEX(pushPol_Res,1),(INDEX(effGoalPol_Res,31)-INDEX(teffSumPol_Res,2,31))/(INDEX(doEff,3)-INDEX(doEff,2)))</f>
        <v>0</v>
      </c>
      <c r="AJ72" s="43">
        <f ca="1">(INDEX(teffSumPol_Res,2,32)&lt;INDEX(effGoalPol_Res,32)) * MIN(INDEX(polEff_Res,2,31)+INDEX(pushPol_Res,1),(INDEX(effGoalPol_Res,32)-INDEX(teffSumPol_Res,2,32))/(INDEX(doEff,3)-INDEX(doEff,2)))</f>
        <v>0</v>
      </c>
      <c r="AK72" s="43">
        <f ca="1">(INDEX(teffSumPol_Res,2,33)&lt;INDEX(effGoalPol_Res,33)) * MIN(INDEX(polEff_Res,2,32)+INDEX(pushPol_Res,1),(INDEX(effGoalPol_Res,33)-INDEX(teffSumPol_Res,2,33))/(INDEX(doEff,3)-INDEX(doEff,2)))</f>
        <v>0</v>
      </c>
      <c r="AL72" s="43">
        <f ca="1">(INDEX(teffSumPol_Res,2,34)&lt;INDEX(effGoalPol_Res,34)) * MIN(INDEX(polEff_Res,2,33)+INDEX(pushPol_Res,1),(INDEX(effGoalPol_Res,34)-INDEX(teffSumPol_Res,2,34))/(INDEX(doEff,3)-INDEX(doEff,2)))</f>
        <v>0</v>
      </c>
      <c r="AM72" s="43">
        <f ca="1">(INDEX(teffSumPol_Res,2,35)&lt;INDEX(effGoalPol_Res,35)) * MIN(INDEX(polEff_Res,2,34)+INDEX(pushPol_Res,1),(INDEX(effGoalPol_Res,35)-INDEX(teffSumPol_Res,2,35))/(INDEX(doEff,3)-INDEX(doEff,2)))</f>
        <v>0</v>
      </c>
      <c r="AN72" s="44">
        <f ca="1">(INDEX(teffSumPol_Res,2,36)&lt;INDEX(effGoalPol_Res,36)) * MIN(INDEX(polEff_Res,2,35)+INDEX(pushPol_Res,1),(INDEX(effGoalPol_Res,36)-INDEX(teffSumPol_Res,2,36))/(INDEX(doEff,3)-INDEX(doEff,2)))</f>
        <v>0</v>
      </c>
      <c r="AO72" s="8"/>
    </row>
    <row r="73" spans="2:41" hidden="1" x14ac:dyDescent="0.35">
      <c r="B73" s="8"/>
      <c r="C73" s="19" t="str">
        <f>"EL 2: " &amp; INDEX(_doName,2,3)</f>
        <v>EL 2: Tier 2</v>
      </c>
      <c r="D73" s="11"/>
      <c r="E73" s="43"/>
      <c r="F73" s="43">
        <f ca="1">(INDEX(teffSumPol_Res,3,2)&lt;INDEX(effGoalPol_Res,2)) * MIN(INDEX(polEff_Res,3,1)+INDEX(pushPol_Res,2),(INDEX(effGoalPol_Res,2)-INDEX(teffSumPol_Res,3,2))/(INDEX(doEff,4)-INDEX(doEff,3)))</f>
        <v>0</v>
      </c>
      <c r="G73" s="43">
        <f ca="1">(INDEX(teffSumPol_Res,3,3)&lt;INDEX(effGoalPol_Res,3)) * MIN(INDEX(polEff_Res,3,2)+INDEX(pushPol_Res,2),(INDEX(effGoalPol_Res,3)-INDEX(teffSumPol_Res,3,3))/(INDEX(doEff,4)-INDEX(doEff,3)))</f>
        <v>0.28252317716967662</v>
      </c>
      <c r="H73" s="43">
        <f ca="1">(INDEX(teffSumPol_Res,3,4)&lt;INDEX(effGoalPol_Res,4)) * MIN(INDEX(polEff_Res,3,3)+INDEX(pushPol_Res,2),(INDEX(effGoalPol_Res,4)-INDEX(teffSumPol_Res,3,4))/(INDEX(doEff,4)-INDEX(doEff,3)))</f>
        <v>0</v>
      </c>
      <c r="I73" s="43">
        <f ca="1">(INDEX(teffSumPol_Res,3,5)&lt;INDEX(effGoalPol_Res,5)) * MIN(INDEX(polEff_Res,3,4)+INDEX(pushPol_Res,2),(INDEX(effGoalPol_Res,5)-INDEX(teffSumPol_Res,3,5))/(INDEX(doEff,4)-INDEX(doEff,3)))</f>
        <v>0</v>
      </c>
      <c r="J73" s="43">
        <f ca="1">(INDEX(teffSumPol_Res,3,6)&lt;INDEX(effGoalPol_Res,6)) * MIN(INDEX(polEff_Res,3,5)+INDEX(pushPol_Res,2),(INDEX(effGoalPol_Res,6)-INDEX(teffSumPol_Res,3,6))/(INDEX(doEff,4)-INDEX(doEff,3)))</f>
        <v>0</v>
      </c>
      <c r="K73" s="43">
        <f ca="1">(INDEX(teffSumPol_Res,3,7)&lt;INDEX(effGoalPol_Res,7)) * MIN(INDEX(polEff_Res,3,6)+INDEX(pushPol_Res,2),(INDEX(effGoalPol_Res,7)-INDEX(teffSumPol_Res,3,7))/(INDEX(doEff,4)-INDEX(doEff,3)))</f>
        <v>0</v>
      </c>
      <c r="L73" s="43">
        <f ca="1">(INDEX(teffSumPol_Res,3,8)&lt;INDEX(effGoalPol_Res,8)) * MIN(INDEX(polEff_Res,3,7)+INDEX(pushPol_Res,2),(INDEX(effGoalPol_Res,8)-INDEX(teffSumPol_Res,3,8))/(INDEX(doEff,4)-INDEX(doEff,3)))</f>
        <v>0</v>
      </c>
      <c r="M73" s="43">
        <f ca="1">(INDEX(teffSumPol_Res,3,9)&lt;INDEX(effGoalPol_Res,9)) * MIN(INDEX(polEff_Res,3,8)+INDEX(pushPol_Res,2),(INDEX(effGoalPol_Res,9)-INDEX(teffSumPol_Res,3,9))/(INDEX(doEff,4)-INDEX(doEff,3)))</f>
        <v>0</v>
      </c>
      <c r="N73" s="43">
        <f ca="1">(INDEX(teffSumPol_Res,3,10)&lt;INDEX(effGoalPol_Res,10)) * MIN(INDEX(polEff_Res,3,9)+INDEX(pushPol_Res,2),(INDEX(effGoalPol_Res,10)-INDEX(teffSumPol_Res,3,10))/(INDEX(doEff,4)-INDEX(doEff,3)))</f>
        <v>0</v>
      </c>
      <c r="O73" s="43">
        <f ca="1">(INDEX(teffSumPol_Res,3,11)&lt;INDEX(effGoalPol_Res,11)) * MIN(INDEX(polEff_Res,3,10)+INDEX(pushPol_Res,2),(INDEX(effGoalPol_Res,11)-INDEX(teffSumPol_Res,3,11))/(INDEX(doEff,4)-INDEX(doEff,3)))</f>
        <v>0</v>
      </c>
      <c r="P73" s="43">
        <f ca="1">(INDEX(teffSumPol_Res,3,12)&lt;INDEX(effGoalPol_Res,12)) * MIN(INDEX(polEff_Res,3,11)+INDEX(pushPol_Res,2),(INDEX(effGoalPol_Res,12)-INDEX(teffSumPol_Res,3,12))/(INDEX(doEff,4)-INDEX(doEff,3)))</f>
        <v>0</v>
      </c>
      <c r="Q73" s="43">
        <f ca="1">(INDEX(teffSumPol_Res,3,13)&lt;INDEX(effGoalPol_Res,13)) * MIN(INDEX(polEff_Res,3,12)+INDEX(pushPol_Res,2),(INDEX(effGoalPol_Res,13)-INDEX(teffSumPol_Res,3,13))/(INDEX(doEff,4)-INDEX(doEff,3)))</f>
        <v>0</v>
      </c>
      <c r="R73" s="43">
        <f ca="1">(INDEX(teffSumPol_Res,3,14)&lt;INDEX(effGoalPol_Res,14)) * MIN(INDEX(polEff_Res,3,13)+INDEX(pushPol_Res,2),(INDEX(effGoalPol_Res,14)-INDEX(teffSumPol_Res,3,14))/(INDEX(doEff,4)-INDEX(doEff,3)))</f>
        <v>0</v>
      </c>
      <c r="S73" s="43">
        <f ca="1">(INDEX(teffSumPol_Res,3,15)&lt;INDEX(effGoalPol_Res,15)) * MIN(INDEX(polEff_Res,3,14)+INDEX(pushPol_Res,2),(INDEX(effGoalPol_Res,15)-INDEX(teffSumPol_Res,3,15))/(INDEX(doEff,4)-INDEX(doEff,3)))</f>
        <v>0</v>
      </c>
      <c r="T73" s="43">
        <f ca="1">(INDEX(teffSumPol_Res,3,16)&lt;INDEX(effGoalPol_Res,16)) * MIN(INDEX(polEff_Res,3,15)+INDEX(pushPol_Res,2),(INDEX(effGoalPol_Res,16)-INDEX(teffSumPol_Res,3,16))/(INDEX(doEff,4)-INDEX(doEff,3)))</f>
        <v>0</v>
      </c>
      <c r="U73" s="43">
        <f ca="1">(INDEX(teffSumPol_Res,3,17)&lt;INDEX(effGoalPol_Res,17)) * MIN(INDEX(polEff_Res,3,16)+INDEX(pushPol_Res,2),(INDEX(effGoalPol_Res,17)-INDEX(teffSumPol_Res,3,17))/(INDEX(doEff,4)-INDEX(doEff,3)))</f>
        <v>0</v>
      </c>
      <c r="V73" s="43">
        <f ca="1">(INDEX(teffSumPol_Res,3,18)&lt;INDEX(effGoalPol_Res,18)) * MIN(INDEX(polEff_Res,3,17)+INDEX(pushPol_Res,2),(INDEX(effGoalPol_Res,18)-INDEX(teffSumPol_Res,3,18))/(INDEX(doEff,4)-INDEX(doEff,3)))</f>
        <v>0</v>
      </c>
      <c r="W73" s="43">
        <f ca="1">(INDEX(teffSumPol_Res,3,19)&lt;INDEX(effGoalPol_Res,19)) * MIN(INDEX(polEff_Res,3,18)+INDEX(pushPol_Res,2),(INDEX(effGoalPol_Res,19)-INDEX(teffSumPol_Res,3,19))/(INDEX(doEff,4)-INDEX(doEff,3)))</f>
        <v>0</v>
      </c>
      <c r="X73" s="43">
        <f ca="1">(INDEX(teffSumPol_Res,3,20)&lt;INDEX(effGoalPol_Res,20)) * MIN(INDEX(polEff_Res,3,19)+INDEX(pushPol_Res,2),(INDEX(effGoalPol_Res,20)-INDEX(teffSumPol_Res,3,20))/(INDEX(doEff,4)-INDEX(doEff,3)))</f>
        <v>0</v>
      </c>
      <c r="Y73" s="43">
        <f ca="1">(INDEX(teffSumPol_Res,3,21)&lt;INDEX(effGoalPol_Res,21)) * MIN(INDEX(polEff_Res,3,20)+INDEX(pushPol_Res,2),(INDEX(effGoalPol_Res,21)-INDEX(teffSumPol_Res,3,21))/(INDEX(doEff,4)-INDEX(doEff,3)))</f>
        <v>0</v>
      </c>
      <c r="Z73" s="43">
        <f ca="1">(INDEX(teffSumPol_Res,3,22)&lt;INDEX(effGoalPol_Res,22)) * MIN(INDEX(polEff_Res,3,21)+INDEX(pushPol_Res,2),(INDEX(effGoalPol_Res,22)-INDEX(teffSumPol_Res,3,22))/(INDEX(doEff,4)-INDEX(doEff,3)))</f>
        <v>0</v>
      </c>
      <c r="AA73" s="43">
        <f ca="1">(INDEX(teffSumPol_Res,3,23)&lt;INDEX(effGoalPol_Res,23)) * MIN(INDEX(polEff_Res,3,22)+INDEX(pushPol_Res,2),(INDEX(effGoalPol_Res,23)-INDEX(teffSumPol_Res,3,23))/(INDEX(doEff,4)-INDEX(doEff,3)))</f>
        <v>0</v>
      </c>
      <c r="AB73" s="43">
        <f ca="1">(INDEX(teffSumPol_Res,3,24)&lt;INDEX(effGoalPol_Res,24)) * MIN(INDEX(polEff_Res,3,23)+INDEX(pushPol_Res,2),(INDEX(effGoalPol_Res,24)-INDEX(teffSumPol_Res,3,24))/(INDEX(doEff,4)-INDEX(doEff,3)))</f>
        <v>0</v>
      </c>
      <c r="AC73" s="43">
        <f ca="1">(INDEX(teffSumPol_Res,3,25)&lt;INDEX(effGoalPol_Res,25)) * MIN(INDEX(polEff_Res,3,24)+INDEX(pushPol_Res,2),(INDEX(effGoalPol_Res,25)-INDEX(teffSumPol_Res,3,25))/(INDEX(doEff,4)-INDEX(doEff,3)))</f>
        <v>0</v>
      </c>
      <c r="AD73" s="43">
        <f ca="1">(INDEX(teffSumPol_Res,3,26)&lt;INDEX(effGoalPol_Res,26)) * MIN(INDEX(polEff_Res,3,25)+INDEX(pushPol_Res,2),(INDEX(effGoalPol_Res,26)-INDEX(teffSumPol_Res,3,26))/(INDEX(doEff,4)-INDEX(doEff,3)))</f>
        <v>0</v>
      </c>
      <c r="AE73" s="43">
        <f ca="1">(INDEX(teffSumPol_Res,3,27)&lt;INDEX(effGoalPol_Res,27)) * MIN(INDEX(polEff_Res,3,26)+INDEX(pushPol_Res,2),(INDEX(effGoalPol_Res,27)-INDEX(teffSumPol_Res,3,27))/(INDEX(doEff,4)-INDEX(doEff,3)))</f>
        <v>0</v>
      </c>
      <c r="AF73" s="43">
        <f ca="1">(INDEX(teffSumPol_Res,3,28)&lt;INDEX(effGoalPol_Res,28)) * MIN(INDEX(polEff_Res,3,27)+INDEX(pushPol_Res,2),(INDEX(effGoalPol_Res,28)-INDEX(teffSumPol_Res,3,28))/(INDEX(doEff,4)-INDEX(doEff,3)))</f>
        <v>0</v>
      </c>
      <c r="AG73" s="43">
        <f ca="1">(INDEX(teffSumPol_Res,3,29)&lt;INDEX(effGoalPol_Res,29)) * MIN(INDEX(polEff_Res,3,28)+INDEX(pushPol_Res,2),(INDEX(effGoalPol_Res,29)-INDEX(teffSumPol_Res,3,29))/(INDEX(doEff,4)-INDEX(doEff,3)))</f>
        <v>0</v>
      </c>
      <c r="AH73" s="43">
        <f ca="1">(INDEX(teffSumPol_Res,3,30)&lt;INDEX(effGoalPol_Res,30)) * MIN(INDEX(polEff_Res,3,29)+INDEX(pushPol_Res,2),(INDEX(effGoalPol_Res,30)-INDEX(teffSumPol_Res,3,30))/(INDEX(doEff,4)-INDEX(doEff,3)))</f>
        <v>0</v>
      </c>
      <c r="AI73" s="43">
        <f ca="1">(INDEX(teffSumPol_Res,3,31)&lt;INDEX(effGoalPol_Res,31)) * MIN(INDEX(polEff_Res,3,30)+INDEX(pushPol_Res,2),(INDEX(effGoalPol_Res,31)-INDEX(teffSumPol_Res,3,31))/(INDEX(doEff,4)-INDEX(doEff,3)))</f>
        <v>0</v>
      </c>
      <c r="AJ73" s="43">
        <f ca="1">(INDEX(teffSumPol_Res,3,32)&lt;INDEX(effGoalPol_Res,32)) * MIN(INDEX(polEff_Res,3,31)+INDEX(pushPol_Res,2),(INDEX(effGoalPol_Res,32)-INDEX(teffSumPol_Res,3,32))/(INDEX(doEff,4)-INDEX(doEff,3)))</f>
        <v>0</v>
      </c>
      <c r="AK73" s="43">
        <f ca="1">(INDEX(teffSumPol_Res,3,33)&lt;INDEX(effGoalPol_Res,33)) * MIN(INDEX(polEff_Res,3,32)+INDEX(pushPol_Res,2),(INDEX(effGoalPol_Res,33)-INDEX(teffSumPol_Res,3,33))/(INDEX(doEff,4)-INDEX(doEff,3)))</f>
        <v>0</v>
      </c>
      <c r="AL73" s="43">
        <f ca="1">(INDEX(teffSumPol_Res,3,34)&lt;INDEX(effGoalPol_Res,34)) * MIN(INDEX(polEff_Res,3,33)+INDEX(pushPol_Res,2),(INDEX(effGoalPol_Res,34)-INDEX(teffSumPol_Res,3,34))/(INDEX(doEff,4)-INDEX(doEff,3)))</f>
        <v>0</v>
      </c>
      <c r="AM73" s="43">
        <f ca="1">(INDEX(teffSumPol_Res,3,35)&lt;INDEX(effGoalPol_Res,35)) * MIN(INDEX(polEff_Res,3,34)+INDEX(pushPol_Res,2),(INDEX(effGoalPol_Res,35)-INDEX(teffSumPol_Res,3,35))/(INDEX(doEff,4)-INDEX(doEff,3)))</f>
        <v>0</v>
      </c>
      <c r="AN73" s="44">
        <f ca="1">(INDEX(teffSumPol_Res,3,36)&lt;INDEX(effGoalPol_Res,36)) * MIN(INDEX(polEff_Res,3,35)+INDEX(pushPol_Res,2),(INDEX(effGoalPol_Res,36)-INDEX(teffSumPol_Res,3,36))/(INDEX(doEff,4)-INDEX(doEff,3)))</f>
        <v>0</v>
      </c>
      <c r="AO73" s="8"/>
    </row>
    <row r="74" spans="2:41" hidden="1" x14ac:dyDescent="0.35">
      <c r="B74" s="8"/>
      <c r="C74" s="19" t="str">
        <f>"EL 3: " &amp; INDEX(_doName,2,4)</f>
        <v>EL 3: EL 3</v>
      </c>
      <c r="D74" s="11"/>
      <c r="E74" s="43"/>
      <c r="F74" s="43">
        <f ca="1">(INDEX(teffSumPol_Res,4,2)&lt;INDEX(effGoalPol_Res,2)) * MIN(INDEX(polEff_Res,4,1)+INDEX(pushPol_Res,3),(INDEX(effGoalPol_Res,2)-INDEX(teffSumPol_Res,4,2))/(INDEX(doEff,5)-INDEX(doEff,4)))</f>
        <v>0</v>
      </c>
      <c r="G74" s="43">
        <f ca="1">(INDEX(teffSumPol_Res,4,3)&lt;INDEX(effGoalPol_Res,3)) * MIN(INDEX(polEff_Res,4,2)+INDEX(pushPol_Res,3),(INDEX(effGoalPol_Res,3)-INDEX(teffSumPol_Res,4,3))/(INDEX(doEff,5)-INDEX(doEff,4)))</f>
        <v>0</v>
      </c>
      <c r="H74" s="43">
        <f ca="1">(INDEX(teffSumPol_Res,4,4)&lt;INDEX(effGoalPol_Res,4)) * MIN(INDEX(polEff_Res,4,3)+INDEX(pushPol_Res,3),(INDEX(effGoalPol_Res,4)-INDEX(teffSumPol_Res,4,4))/(INDEX(doEff,5)-INDEX(doEff,4)))</f>
        <v>0</v>
      </c>
      <c r="I74" s="43">
        <f ca="1">(INDEX(teffSumPol_Res,4,5)&lt;INDEX(effGoalPol_Res,5)) * MIN(INDEX(polEff_Res,4,4)+INDEX(pushPol_Res,3),(INDEX(effGoalPol_Res,5)-INDEX(teffSumPol_Res,4,5))/(INDEX(doEff,5)-INDEX(doEff,4)))</f>
        <v>0</v>
      </c>
      <c r="J74" s="43">
        <f ca="1">(INDEX(teffSumPol_Res,4,6)&lt;INDEX(effGoalPol_Res,6)) * MIN(INDEX(polEff_Res,4,5)+INDEX(pushPol_Res,3),(INDEX(effGoalPol_Res,6)-INDEX(teffSumPol_Res,4,6))/(INDEX(doEff,5)-INDEX(doEff,4)))</f>
        <v>0</v>
      </c>
      <c r="K74" s="43">
        <f ca="1">(INDEX(teffSumPol_Res,4,7)&lt;INDEX(effGoalPol_Res,7)) * MIN(INDEX(polEff_Res,4,6)+INDEX(pushPol_Res,3),(INDEX(effGoalPol_Res,7)-INDEX(teffSumPol_Res,4,7))/(INDEX(doEff,5)-INDEX(doEff,4)))</f>
        <v>0</v>
      </c>
      <c r="L74" s="43">
        <f ca="1">(INDEX(teffSumPol_Res,4,8)&lt;INDEX(effGoalPol_Res,8)) * MIN(INDEX(polEff_Res,4,7)+INDEX(pushPol_Res,3),(INDEX(effGoalPol_Res,8)-INDEX(teffSumPol_Res,4,8))/(INDEX(doEff,5)-INDEX(doEff,4)))</f>
        <v>0</v>
      </c>
      <c r="M74" s="43">
        <f ca="1">(INDEX(teffSumPol_Res,4,9)&lt;INDEX(effGoalPol_Res,9)) * MIN(INDEX(polEff_Res,4,8)+INDEX(pushPol_Res,3),(INDEX(effGoalPol_Res,9)-INDEX(teffSumPol_Res,4,9))/(INDEX(doEff,5)-INDEX(doEff,4)))</f>
        <v>0</v>
      </c>
      <c r="N74" s="43">
        <f ca="1">(INDEX(teffSumPol_Res,4,10)&lt;INDEX(effGoalPol_Res,10)) * MIN(INDEX(polEff_Res,4,9)+INDEX(pushPol_Res,3),(INDEX(effGoalPol_Res,10)-INDEX(teffSumPol_Res,4,10))/(INDEX(doEff,5)-INDEX(doEff,4)))</f>
        <v>0</v>
      </c>
      <c r="O74" s="43">
        <f ca="1">(INDEX(teffSumPol_Res,4,11)&lt;INDEX(effGoalPol_Res,11)) * MIN(INDEX(polEff_Res,4,10)+INDEX(pushPol_Res,3),(INDEX(effGoalPol_Res,11)-INDEX(teffSumPol_Res,4,11))/(INDEX(doEff,5)-INDEX(doEff,4)))</f>
        <v>0</v>
      </c>
      <c r="P74" s="43">
        <f ca="1">(INDEX(teffSumPol_Res,4,12)&lt;INDEX(effGoalPol_Res,12)) * MIN(INDEX(polEff_Res,4,11)+INDEX(pushPol_Res,3),(INDEX(effGoalPol_Res,12)-INDEX(teffSumPol_Res,4,12))/(INDEX(doEff,5)-INDEX(doEff,4)))</f>
        <v>0</v>
      </c>
      <c r="Q74" s="43">
        <f ca="1">(INDEX(teffSumPol_Res,4,13)&lt;INDEX(effGoalPol_Res,13)) * MIN(INDEX(polEff_Res,4,12)+INDEX(pushPol_Res,3),(INDEX(effGoalPol_Res,13)-INDEX(teffSumPol_Res,4,13))/(INDEX(doEff,5)-INDEX(doEff,4)))</f>
        <v>0</v>
      </c>
      <c r="R74" s="43">
        <f ca="1">(INDEX(teffSumPol_Res,4,14)&lt;INDEX(effGoalPol_Res,14)) * MIN(INDEX(polEff_Res,4,13)+INDEX(pushPol_Res,3),(INDEX(effGoalPol_Res,14)-INDEX(teffSumPol_Res,4,14))/(INDEX(doEff,5)-INDEX(doEff,4)))</f>
        <v>0</v>
      </c>
      <c r="S74" s="43">
        <f ca="1">(INDEX(teffSumPol_Res,4,15)&lt;INDEX(effGoalPol_Res,15)) * MIN(INDEX(polEff_Res,4,14)+INDEX(pushPol_Res,3),(INDEX(effGoalPol_Res,15)-INDEX(teffSumPol_Res,4,15))/(INDEX(doEff,5)-INDEX(doEff,4)))</f>
        <v>0</v>
      </c>
      <c r="T74" s="43">
        <f ca="1">(INDEX(teffSumPol_Res,4,16)&lt;INDEX(effGoalPol_Res,16)) * MIN(INDEX(polEff_Res,4,15)+INDEX(pushPol_Res,3),(INDEX(effGoalPol_Res,16)-INDEX(teffSumPol_Res,4,16))/(INDEX(doEff,5)-INDEX(doEff,4)))</f>
        <v>0</v>
      </c>
      <c r="U74" s="43">
        <f ca="1">(INDEX(teffSumPol_Res,4,17)&lt;INDEX(effGoalPol_Res,17)) * MIN(INDEX(polEff_Res,4,16)+INDEX(pushPol_Res,3),(INDEX(effGoalPol_Res,17)-INDEX(teffSumPol_Res,4,17))/(INDEX(doEff,5)-INDEX(doEff,4)))</f>
        <v>0</v>
      </c>
      <c r="V74" s="43">
        <f ca="1">(INDEX(teffSumPol_Res,4,18)&lt;INDEX(effGoalPol_Res,18)) * MIN(INDEX(polEff_Res,4,17)+INDEX(pushPol_Res,3),(INDEX(effGoalPol_Res,18)-INDEX(teffSumPol_Res,4,18))/(INDEX(doEff,5)-INDEX(doEff,4)))</f>
        <v>0</v>
      </c>
      <c r="W74" s="43">
        <f ca="1">(INDEX(teffSumPol_Res,4,19)&lt;INDEX(effGoalPol_Res,19)) * MIN(INDEX(polEff_Res,4,18)+INDEX(pushPol_Res,3),(INDEX(effGoalPol_Res,19)-INDEX(teffSumPol_Res,4,19))/(INDEX(doEff,5)-INDEX(doEff,4)))</f>
        <v>0</v>
      </c>
      <c r="X74" s="43">
        <f ca="1">(INDEX(teffSumPol_Res,4,20)&lt;INDEX(effGoalPol_Res,20)) * MIN(INDEX(polEff_Res,4,19)+INDEX(pushPol_Res,3),(INDEX(effGoalPol_Res,20)-INDEX(teffSumPol_Res,4,20))/(INDEX(doEff,5)-INDEX(doEff,4)))</f>
        <v>0</v>
      </c>
      <c r="Y74" s="43">
        <f ca="1">(INDEX(teffSumPol_Res,4,21)&lt;INDEX(effGoalPol_Res,21)) * MIN(INDEX(polEff_Res,4,20)+INDEX(pushPol_Res,3),(INDEX(effGoalPol_Res,21)-INDEX(teffSumPol_Res,4,21))/(INDEX(doEff,5)-INDEX(doEff,4)))</f>
        <v>0</v>
      </c>
      <c r="Z74" s="43">
        <f ca="1">(INDEX(teffSumPol_Res,4,22)&lt;INDEX(effGoalPol_Res,22)) * MIN(INDEX(polEff_Res,4,21)+INDEX(pushPol_Res,3),(INDEX(effGoalPol_Res,22)-INDEX(teffSumPol_Res,4,22))/(INDEX(doEff,5)-INDEX(doEff,4)))</f>
        <v>0</v>
      </c>
      <c r="AA74" s="43">
        <f ca="1">(INDEX(teffSumPol_Res,4,23)&lt;INDEX(effGoalPol_Res,23)) * MIN(INDEX(polEff_Res,4,22)+INDEX(pushPol_Res,3),(INDEX(effGoalPol_Res,23)-INDEX(teffSumPol_Res,4,23))/(INDEX(doEff,5)-INDEX(doEff,4)))</f>
        <v>0</v>
      </c>
      <c r="AB74" s="43">
        <f ca="1">(INDEX(teffSumPol_Res,4,24)&lt;INDEX(effGoalPol_Res,24)) * MIN(INDEX(polEff_Res,4,23)+INDEX(pushPol_Res,3),(INDEX(effGoalPol_Res,24)-INDEX(teffSumPol_Res,4,24))/(INDEX(doEff,5)-INDEX(doEff,4)))</f>
        <v>0</v>
      </c>
      <c r="AC74" s="43">
        <f ca="1">(INDEX(teffSumPol_Res,4,25)&lt;INDEX(effGoalPol_Res,25)) * MIN(INDEX(polEff_Res,4,24)+INDEX(pushPol_Res,3),(INDEX(effGoalPol_Res,25)-INDEX(teffSumPol_Res,4,25))/(INDEX(doEff,5)-INDEX(doEff,4)))</f>
        <v>0</v>
      </c>
      <c r="AD74" s="43">
        <f ca="1">(INDEX(teffSumPol_Res,4,26)&lt;INDEX(effGoalPol_Res,26)) * MIN(INDEX(polEff_Res,4,25)+INDEX(pushPol_Res,3),(INDEX(effGoalPol_Res,26)-INDEX(teffSumPol_Res,4,26))/(INDEX(doEff,5)-INDEX(doEff,4)))</f>
        <v>0</v>
      </c>
      <c r="AE74" s="43">
        <f ca="1">(INDEX(teffSumPol_Res,4,27)&lt;INDEX(effGoalPol_Res,27)) * MIN(INDEX(polEff_Res,4,26)+INDEX(pushPol_Res,3),(INDEX(effGoalPol_Res,27)-INDEX(teffSumPol_Res,4,27))/(INDEX(doEff,5)-INDEX(doEff,4)))</f>
        <v>0</v>
      </c>
      <c r="AF74" s="43">
        <f ca="1">(INDEX(teffSumPol_Res,4,28)&lt;INDEX(effGoalPol_Res,28)) * MIN(INDEX(polEff_Res,4,27)+INDEX(pushPol_Res,3),(INDEX(effGoalPol_Res,28)-INDEX(teffSumPol_Res,4,28))/(INDEX(doEff,5)-INDEX(doEff,4)))</f>
        <v>0</v>
      </c>
      <c r="AG74" s="43">
        <f ca="1">(INDEX(teffSumPol_Res,4,29)&lt;INDEX(effGoalPol_Res,29)) * MIN(INDEX(polEff_Res,4,28)+INDEX(pushPol_Res,3),(INDEX(effGoalPol_Res,29)-INDEX(teffSumPol_Res,4,29))/(INDEX(doEff,5)-INDEX(doEff,4)))</f>
        <v>0</v>
      </c>
      <c r="AH74" s="43">
        <f ca="1">(INDEX(teffSumPol_Res,4,30)&lt;INDEX(effGoalPol_Res,30)) * MIN(INDEX(polEff_Res,4,29)+INDEX(pushPol_Res,3),(INDEX(effGoalPol_Res,30)-INDEX(teffSumPol_Res,4,30))/(INDEX(doEff,5)-INDEX(doEff,4)))</f>
        <v>0</v>
      </c>
      <c r="AI74" s="43">
        <f ca="1">(INDEX(teffSumPol_Res,4,31)&lt;INDEX(effGoalPol_Res,31)) * MIN(INDEX(polEff_Res,4,30)+INDEX(pushPol_Res,3),(INDEX(effGoalPol_Res,31)-INDEX(teffSumPol_Res,4,31))/(INDEX(doEff,5)-INDEX(doEff,4)))</f>
        <v>0</v>
      </c>
      <c r="AJ74" s="43">
        <f ca="1">(INDEX(teffSumPol_Res,4,32)&lt;INDEX(effGoalPol_Res,32)) * MIN(INDEX(polEff_Res,4,31)+INDEX(pushPol_Res,3),(INDEX(effGoalPol_Res,32)-INDEX(teffSumPol_Res,4,32))/(INDEX(doEff,5)-INDEX(doEff,4)))</f>
        <v>0</v>
      </c>
      <c r="AK74" s="43">
        <f ca="1">(INDEX(teffSumPol_Res,4,33)&lt;INDEX(effGoalPol_Res,33)) * MIN(INDEX(polEff_Res,4,32)+INDEX(pushPol_Res,3),(INDEX(effGoalPol_Res,33)-INDEX(teffSumPol_Res,4,33))/(INDEX(doEff,5)-INDEX(doEff,4)))</f>
        <v>0</v>
      </c>
      <c r="AL74" s="43">
        <f ca="1">(INDEX(teffSumPol_Res,4,34)&lt;INDEX(effGoalPol_Res,34)) * MIN(INDEX(polEff_Res,4,33)+INDEX(pushPol_Res,3),(INDEX(effGoalPol_Res,34)-INDEX(teffSumPol_Res,4,34))/(INDEX(doEff,5)-INDEX(doEff,4)))</f>
        <v>0</v>
      </c>
      <c r="AM74" s="43">
        <f ca="1">(INDEX(teffSumPol_Res,4,35)&lt;INDEX(effGoalPol_Res,35)) * MIN(INDEX(polEff_Res,4,34)+INDEX(pushPol_Res,3),(INDEX(effGoalPol_Res,35)-INDEX(teffSumPol_Res,4,35))/(INDEX(doEff,5)-INDEX(doEff,4)))</f>
        <v>0</v>
      </c>
      <c r="AN74" s="44">
        <f ca="1">(INDEX(teffSumPol_Res,4,36)&lt;INDEX(effGoalPol_Res,36)) * MIN(INDEX(polEff_Res,4,35)+INDEX(pushPol_Res,3),(INDEX(effGoalPol_Res,36)-INDEX(teffSumPol_Res,4,36))/(INDEX(doEff,5)-INDEX(doEff,4)))</f>
        <v>0</v>
      </c>
      <c r="AO74" s="8"/>
    </row>
    <row r="75" spans="2:41" hidden="1" x14ac:dyDescent="0.35">
      <c r="B75" s="8"/>
      <c r="C75" s="35" t="str">
        <f>"EL 4: " &amp; INDEX(_doName,2,5)</f>
        <v>EL 4: EL 4</v>
      </c>
      <c r="D75" s="15"/>
      <c r="E75" s="45"/>
      <c r="F75" s="45">
        <f>0</f>
        <v>0</v>
      </c>
      <c r="G75" s="45">
        <f>0</f>
        <v>0</v>
      </c>
      <c r="H75" s="45">
        <f>0</f>
        <v>0</v>
      </c>
      <c r="I75" s="45">
        <f>0</f>
        <v>0</v>
      </c>
      <c r="J75" s="45">
        <f>0</f>
        <v>0</v>
      </c>
      <c r="K75" s="45">
        <f>0</f>
        <v>0</v>
      </c>
      <c r="L75" s="45">
        <f>0</f>
        <v>0</v>
      </c>
      <c r="M75" s="45">
        <f>0</f>
        <v>0</v>
      </c>
      <c r="N75" s="45">
        <f>0</f>
        <v>0</v>
      </c>
      <c r="O75" s="45">
        <f>0</f>
        <v>0</v>
      </c>
      <c r="P75" s="45">
        <f>0</f>
        <v>0</v>
      </c>
      <c r="Q75" s="45">
        <f>0</f>
        <v>0</v>
      </c>
      <c r="R75" s="45">
        <f>0</f>
        <v>0</v>
      </c>
      <c r="S75" s="45">
        <f>0</f>
        <v>0</v>
      </c>
      <c r="T75" s="45">
        <f>0</f>
        <v>0</v>
      </c>
      <c r="U75" s="45">
        <f>0</f>
        <v>0</v>
      </c>
      <c r="V75" s="45">
        <f>0</f>
        <v>0</v>
      </c>
      <c r="W75" s="45">
        <f>0</f>
        <v>0</v>
      </c>
      <c r="X75" s="45">
        <f>0</f>
        <v>0</v>
      </c>
      <c r="Y75" s="45">
        <f>0</f>
        <v>0</v>
      </c>
      <c r="Z75" s="45">
        <f>0</f>
        <v>0</v>
      </c>
      <c r="AA75" s="45">
        <f>0</f>
        <v>0</v>
      </c>
      <c r="AB75" s="45">
        <f>0</f>
        <v>0</v>
      </c>
      <c r="AC75" s="45">
        <f>0</f>
        <v>0</v>
      </c>
      <c r="AD75" s="45">
        <f>0</f>
        <v>0</v>
      </c>
      <c r="AE75" s="45">
        <f>0</f>
        <v>0</v>
      </c>
      <c r="AF75" s="45">
        <f>0</f>
        <v>0</v>
      </c>
      <c r="AG75" s="45">
        <f>0</f>
        <v>0</v>
      </c>
      <c r="AH75" s="45">
        <f>0</f>
        <v>0</v>
      </c>
      <c r="AI75" s="45">
        <f>0</f>
        <v>0</v>
      </c>
      <c r="AJ75" s="45">
        <f>0</f>
        <v>0</v>
      </c>
      <c r="AK75" s="45">
        <f>0</f>
        <v>0</v>
      </c>
      <c r="AL75" s="45">
        <f>0</f>
        <v>0</v>
      </c>
      <c r="AM75" s="45">
        <f>0</f>
        <v>0</v>
      </c>
      <c r="AN75" s="46">
        <f>0</f>
        <v>0</v>
      </c>
      <c r="AO75" s="8"/>
    </row>
    <row r="76" spans="2:41" hidden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</row>
    <row r="77" spans="2:41" hidden="1" x14ac:dyDescent="0.35">
      <c r="B77" s="8"/>
      <c r="C77" s="23" t="s">
        <v>101</v>
      </c>
      <c r="D77" s="24"/>
      <c r="E77" s="26">
        <f t="array" ref="E77:AN77">_yS</f>
        <v>2024</v>
      </c>
      <c r="F77" s="26">
        <v>2025</v>
      </c>
      <c r="G77" s="26">
        <v>2026</v>
      </c>
      <c r="H77" s="26">
        <v>2027</v>
      </c>
      <c r="I77" s="26">
        <v>2028</v>
      </c>
      <c r="J77" s="26">
        <v>2029</v>
      </c>
      <c r="K77" s="26">
        <v>2030</v>
      </c>
      <c r="L77" s="26">
        <v>2031</v>
      </c>
      <c r="M77" s="26">
        <v>2032</v>
      </c>
      <c r="N77" s="26">
        <v>2033</v>
      </c>
      <c r="O77" s="26">
        <v>2034</v>
      </c>
      <c r="P77" s="26">
        <v>2035</v>
      </c>
      <c r="Q77" s="26">
        <v>2036</v>
      </c>
      <c r="R77" s="26">
        <v>2037</v>
      </c>
      <c r="S77" s="26">
        <v>2038</v>
      </c>
      <c r="T77" s="26">
        <v>2039</v>
      </c>
      <c r="U77" s="26">
        <v>2040</v>
      </c>
      <c r="V77" s="26">
        <v>2041</v>
      </c>
      <c r="W77" s="26">
        <v>2042</v>
      </c>
      <c r="X77" s="26">
        <v>2043</v>
      </c>
      <c r="Y77" s="26">
        <v>2044</v>
      </c>
      <c r="Z77" s="26">
        <v>2045</v>
      </c>
      <c r="AA77" s="26">
        <v>2046</v>
      </c>
      <c r="AB77" s="26">
        <v>2047</v>
      </c>
      <c r="AC77" s="26">
        <v>2048</v>
      </c>
      <c r="AD77" s="26">
        <v>2049</v>
      </c>
      <c r="AE77" s="26">
        <v>2050</v>
      </c>
      <c r="AF77" s="26">
        <v>2051</v>
      </c>
      <c r="AG77" s="26">
        <v>2052</v>
      </c>
      <c r="AH77" s="26">
        <v>2053</v>
      </c>
      <c r="AI77" s="26">
        <v>2054</v>
      </c>
      <c r="AJ77" s="26">
        <v>2055</v>
      </c>
      <c r="AK77" s="26">
        <v>2056</v>
      </c>
      <c r="AL77" s="26">
        <v>2057</v>
      </c>
      <c r="AM77" s="26">
        <v>2058</v>
      </c>
      <c r="AN77" s="27">
        <v>2059</v>
      </c>
      <c r="AO77" s="8"/>
    </row>
    <row r="78" spans="2:41" hidden="1" x14ac:dyDescent="0.35">
      <c r="B78" s="8"/>
      <c r="C78" s="19" t="str">
        <f>"EL 0: " &amp; INDEX(_doName,2,1)</f>
        <v>EL 0: Baseline</v>
      </c>
      <c r="D78" s="11"/>
      <c r="E78" s="33"/>
      <c r="F78" s="33">
        <f ca="1">0 + INDEX(doEff,1)*(INDEX(eff0Pol_Res,1)+0) + SUMPRODUCT(doEff,INDEX(polEff_Res,,1),N(_el&gt;0))</f>
        <v>2.4508095013721016</v>
      </c>
      <c r="G78" s="33">
        <f ca="1">0 + INDEX(doEff,1)*(INDEX(eff0Pol_Res,1)+0) + SUMPRODUCT(doEff,INDEX(polEff_Res,,2),N(_el&gt;0))</f>
        <v>2.4504701976205654</v>
      </c>
      <c r="H78" s="33">
        <f ca="1">0 + INDEX(doEff,1)*(INDEX(eff0Pol_Res,1)+0) + SUMPRODUCT(doEff,INDEX(polEff_Res,,3),N(_el&gt;0))</f>
        <v>2.7500796873250644</v>
      </c>
      <c r="I78" s="33">
        <f ca="1">0 + INDEX(doEff,1)*(INDEX(eff0Pol_Res,1)+0) + SUMPRODUCT(doEff,INDEX(polEff_Res,,4),N(_el&gt;0))</f>
        <v>2.7497810271601573</v>
      </c>
      <c r="J78" s="33">
        <f ca="1">0 + INDEX(doEff,1)*(INDEX(eff0Pol_Res,1)+0) + SUMPRODUCT(doEff,INDEX(polEff_Res,,5),N(_el&gt;0))</f>
        <v>2.7494862975944541</v>
      </c>
      <c r="K78" s="33">
        <f ca="1">0 + INDEX(doEff,1)*(INDEX(eff0Pol_Res,1)+0) + SUMPRODUCT(doEff,INDEX(polEff_Res,,6),N(_el&gt;0))</f>
        <v>2.7494043330025546</v>
      </c>
      <c r="L78" s="33">
        <f ca="1">0 + INDEX(doEff,1)*(INDEX(eff0Pol_Res,1)+0) + SUMPRODUCT(doEff,INDEX(polEff_Res,,7),N(_el&gt;0))</f>
        <v>2.7493233576597054</v>
      </c>
      <c r="M78" s="33">
        <f ca="1">0 + INDEX(doEff,1)*(INDEX(eff0Pol_Res,1)+0) + SUMPRODUCT(doEff,INDEX(polEff_Res,,8),N(_el&gt;0))</f>
        <v>2.7492433372241294</v>
      </c>
      <c r="N78" s="33">
        <f ca="1">0 + INDEX(doEff,1)*(INDEX(eff0Pol_Res,1)+0) + SUMPRODUCT(doEff,INDEX(polEff_Res,,9),N(_el&gt;0))</f>
        <v>2.7491642408135033</v>
      </c>
      <c r="O78" s="33">
        <f ca="1">0 + INDEX(doEff,1)*(INDEX(eff0Pol_Res,1)+0) + SUMPRODUCT(doEff,INDEX(polEff_Res,,10),N(_el&gt;0))</f>
        <v>2.7490860391208858</v>
      </c>
      <c r="P78" s="33">
        <f ca="1">0 + INDEX(doEff,1)*(INDEX(eff0Pol_Res,1)+0) + SUMPRODUCT(doEff,INDEX(polEff_Res,,11),N(_el&gt;0))</f>
        <v>2.7490746413010894</v>
      </c>
      <c r="Q78" s="33">
        <f ca="1">0 + INDEX(doEff,1)*(INDEX(eff0Pol_Res,1)+0) + SUMPRODUCT(doEff,INDEX(polEff_Res,,12),N(_el&gt;0))</f>
        <v>2.7490633873691714</v>
      </c>
      <c r="R78" s="33">
        <f ca="1">0 + INDEX(doEff,1)*(INDEX(eff0Pol_Res,1)+0) + SUMPRODUCT(doEff,INDEX(polEff_Res,,13),N(_el&gt;0))</f>
        <v>2.7490522676731683</v>
      </c>
      <c r="S78" s="33">
        <f ca="1">0 + INDEX(doEff,1)*(INDEX(eff0Pol_Res,1)+0) + SUMPRODUCT(doEff,INDEX(polEff_Res,,14),N(_el&gt;0))</f>
        <v>2.7490412733994583</v>
      </c>
      <c r="T78" s="33">
        <f ca="1">0 + INDEX(doEff,1)*(INDEX(eff0Pol_Res,1)+0) + SUMPRODUCT(doEff,INDEX(polEff_Res,,15),N(_el&gt;0))</f>
        <v>2.7490303964407099</v>
      </c>
      <c r="U78" s="33">
        <f ca="1">0 + INDEX(doEff,1)*(INDEX(eff0Pol_Res,1)+0) + SUMPRODUCT(doEff,INDEX(polEff_Res,,16),N(_el&gt;0))</f>
        <v>2.7490196306651371</v>
      </c>
      <c r="V78" s="33">
        <f ca="1">0 + INDEX(doEff,1)*(INDEX(eff0Pol_Res,1)+0) + SUMPRODUCT(doEff,INDEX(polEff_Res,,17),N(_el&gt;0))</f>
        <v>2.7490089703362295</v>
      </c>
      <c r="W78" s="33">
        <f ca="1">0 + INDEX(doEff,1)*(INDEX(eff0Pol_Res,1)+0) + SUMPRODUCT(doEff,INDEX(polEff_Res,,18),N(_el&gt;0))</f>
        <v>2.7489984105141141</v>
      </c>
      <c r="X78" s="33">
        <f ca="1">0 + INDEX(doEff,1)*(INDEX(eff0Pol_Res,1)+0) + SUMPRODUCT(doEff,INDEX(polEff_Res,,19),N(_el&gt;0))</f>
        <v>2.748987946815058</v>
      </c>
      <c r="Y78" s="33">
        <f ca="1">0 + INDEX(doEff,1)*(INDEX(eff0Pol_Res,1)+0) + SUMPRODUCT(doEff,INDEX(polEff_Res,,20),N(_el&gt;0))</f>
        <v>2.7489775752268013</v>
      </c>
      <c r="Z78" s="33">
        <f ca="1">0 + INDEX(doEff,1)*(INDEX(eff0Pol_Res,1)+0) + SUMPRODUCT(doEff,INDEX(polEff_Res,,21),N(_el&gt;0))</f>
        <v>2.748972521305094</v>
      </c>
      <c r="AA78" s="33">
        <f ca="1">0 + INDEX(doEff,1)*(INDEX(eff0Pol_Res,1)+0) + SUMPRODUCT(doEff,INDEX(polEff_Res,,22),N(_el&gt;0))</f>
        <v>2.7489675016109145</v>
      </c>
      <c r="AB78" s="33">
        <f ca="1">0 + INDEX(doEff,1)*(INDEX(eff0Pol_Res,1)+0) + SUMPRODUCT(doEff,INDEX(polEff_Res,,23),N(_el&gt;0))</f>
        <v>2.7489625133328195</v>
      </c>
      <c r="AC78" s="33">
        <f ca="1">0 + INDEX(doEff,1)*(INDEX(eff0Pol_Res,1)+0) + SUMPRODUCT(doEff,INDEX(polEff_Res,,24),N(_el&gt;0))</f>
        <v>2.7489575538395123</v>
      </c>
      <c r="AD78" s="33">
        <f ca="1">0 + INDEX(doEff,1)*(INDEX(eff0Pol_Res,1)+0) + SUMPRODUCT(doEff,INDEX(polEff_Res,,25),N(_el&gt;0))</f>
        <v>2.7489526206903472</v>
      </c>
      <c r="AE78" s="33">
        <f ca="1">0 + INDEX(doEff,1)*(INDEX(eff0Pol_Res,1)+0) + SUMPRODUCT(doEff,INDEX(polEff_Res,,26),N(_el&gt;0))</f>
        <v>2.7489477116362107</v>
      </c>
      <c r="AF78" s="33">
        <f ca="1">0 + INDEX(doEff,1)*(INDEX(eff0Pol_Res,1)+0) + SUMPRODUCT(doEff,INDEX(polEff_Res,,27),N(_el&gt;0))</f>
        <v>2.74894282460818</v>
      </c>
      <c r="AG78" s="33">
        <f ca="1">0 + INDEX(doEff,1)*(INDEX(eff0Pol_Res,1)+0) + SUMPRODUCT(doEff,INDEX(polEff_Res,,28),N(_el&gt;0))</f>
        <v>2.7489379576988231</v>
      </c>
      <c r="AH78" s="33">
        <f ca="1">0 + INDEX(doEff,1)*(INDEX(eff0Pol_Res,1)+0) + SUMPRODUCT(doEff,INDEX(polEff_Res,,29),N(_el&gt;0))</f>
        <v>2.7489331091408493</v>
      </c>
      <c r="AI78" s="33">
        <f ca="1">0 + INDEX(doEff,1)*(INDEX(eff0Pol_Res,1)+0) + SUMPRODUCT(doEff,INDEX(polEff_Res,,30),N(_el&gt;0))</f>
        <v>2.7489282772871135</v>
      </c>
      <c r="AJ78" s="33">
        <f ca="1">0 + INDEX(doEff,1)*(INDEX(eff0Pol_Res,1)+0) + SUMPRODUCT(doEff,INDEX(polEff_Res,,31),N(_el&gt;0))</f>
        <v>2.7489234605948645</v>
      </c>
      <c r="AK78" s="33">
        <f ca="1">0 + INDEX(doEff,1)*(INDEX(eff0Pol_Res,1)+0) + SUMPRODUCT(doEff,INDEX(polEff_Res,,32),N(_el&gt;0))</f>
        <v>2.7489186576145062</v>
      </c>
      <c r="AL78" s="33">
        <f ca="1">0 + INDEX(doEff,1)*(INDEX(eff0Pol_Res,1)+0) + SUMPRODUCT(doEff,INDEX(polEff_Res,,33),N(_el&gt;0))</f>
        <v>2.748913866981598</v>
      </c>
      <c r="AM78" s="33">
        <f ca="1">0 + INDEX(doEff,1)*(INDEX(eff0Pol_Res,1)+0) + SUMPRODUCT(doEff,INDEX(polEff_Res,,34),N(_el&gt;0))</f>
        <v>2.7489090874126263</v>
      </c>
      <c r="AN78" s="34">
        <f ca="1">0 + INDEX(doEff,1)*(INDEX(eff0Pol_Res,1)+0) + SUMPRODUCT(doEff,INDEX(polEff_Res,,35),N(_el&gt;0))</f>
        <v>2.7479296875000001</v>
      </c>
      <c r="AO78" s="8"/>
    </row>
    <row r="79" spans="2:41" hidden="1" x14ac:dyDescent="0.35">
      <c r="B79" s="8"/>
      <c r="C79" s="19" t="str">
        <f>"EL 1: " &amp; INDEX(_doName,2,2)</f>
        <v>EL 1: Tier 1</v>
      </c>
      <c r="D79" s="11"/>
      <c r="E79" s="33"/>
      <c r="F79" s="33">
        <f ca="1">SUMPRODUCT(OFFSET(doEff,0,0,1,1),OFFSET(INDEX(polEff_Res,1,2),0,0,1,1)) + INDEX(doEff,2)*(INDEX(eff0Pol_Res,2)+INDEX(pushPol_Res,1)) + SUMPRODUCT(doEff,INDEX(polEff_Res,,1),N(_el&gt;1))</f>
        <v>2.4508095013721016</v>
      </c>
      <c r="G79" s="33">
        <f ca="1">SUMPRODUCT(OFFSET(doEff,0,0,1,1),OFFSET(INDEX(polEff_Res,1,3),0,0,1,1)) + INDEX(doEff,2)*(INDEX(eff0Pol_Res,2)+INDEX(pushPol_Res,1)) + SUMPRODUCT(doEff,INDEX(polEff_Res,,2),N(_el&gt;1))</f>
        <v>2.4504701976205654</v>
      </c>
      <c r="H79" s="33">
        <f ca="1">SUMPRODUCT(OFFSET(doEff,0,0,1,1),OFFSET(INDEX(polEff_Res,1,4),0,0,1,1)) + INDEX(doEff,2)*(INDEX(eff0Pol_Res,2)+INDEX(pushPol_Res,1)) + SUMPRODUCT(doEff,INDEX(polEff_Res,,3),N(_el&gt;1))</f>
        <v>2.7500796873250644</v>
      </c>
      <c r="I79" s="33">
        <f ca="1">SUMPRODUCT(OFFSET(doEff,0,0,1,1),OFFSET(INDEX(polEff_Res,1,5),0,0,1,1)) + INDEX(doEff,2)*(INDEX(eff0Pol_Res,2)+INDEX(pushPol_Res,1)) + SUMPRODUCT(doEff,INDEX(polEff_Res,,4),N(_el&gt;1))</f>
        <v>2.7497810271601573</v>
      </c>
      <c r="J79" s="33">
        <f ca="1">SUMPRODUCT(OFFSET(doEff,0,0,1,1),OFFSET(INDEX(polEff_Res,1,6),0,0,1,1)) + INDEX(doEff,2)*(INDEX(eff0Pol_Res,2)+INDEX(pushPol_Res,1)) + SUMPRODUCT(doEff,INDEX(polEff_Res,,5),N(_el&gt;1))</f>
        <v>2.7494862975944541</v>
      </c>
      <c r="K79" s="33">
        <f ca="1">SUMPRODUCT(OFFSET(doEff,0,0,1,1),OFFSET(INDEX(polEff_Res,1,7),0,0,1,1)) + INDEX(doEff,2)*(INDEX(eff0Pol_Res,2)+INDEX(pushPol_Res,1)) + SUMPRODUCT(doEff,INDEX(polEff_Res,,6),N(_el&gt;1))</f>
        <v>2.7494043330025546</v>
      </c>
      <c r="L79" s="33">
        <f ca="1">SUMPRODUCT(OFFSET(doEff,0,0,1,1),OFFSET(INDEX(polEff_Res,1,8),0,0,1,1)) + INDEX(doEff,2)*(INDEX(eff0Pol_Res,2)+INDEX(pushPol_Res,1)) + SUMPRODUCT(doEff,INDEX(polEff_Res,,7),N(_el&gt;1))</f>
        <v>2.7493233576597054</v>
      </c>
      <c r="M79" s="33">
        <f ca="1">SUMPRODUCT(OFFSET(doEff,0,0,1,1),OFFSET(INDEX(polEff_Res,1,9),0,0,1,1)) + INDEX(doEff,2)*(INDEX(eff0Pol_Res,2)+INDEX(pushPol_Res,1)) + SUMPRODUCT(doEff,INDEX(polEff_Res,,8),N(_el&gt;1))</f>
        <v>2.7492433372241294</v>
      </c>
      <c r="N79" s="33">
        <f ca="1">SUMPRODUCT(OFFSET(doEff,0,0,1,1),OFFSET(INDEX(polEff_Res,1,10),0,0,1,1)) + INDEX(doEff,2)*(INDEX(eff0Pol_Res,2)+INDEX(pushPol_Res,1)) + SUMPRODUCT(doEff,INDEX(polEff_Res,,9),N(_el&gt;1))</f>
        <v>2.7491642408135033</v>
      </c>
      <c r="O79" s="33">
        <f ca="1">SUMPRODUCT(OFFSET(doEff,0,0,1,1),OFFSET(INDEX(polEff_Res,1,11),0,0,1,1)) + INDEX(doEff,2)*(INDEX(eff0Pol_Res,2)+INDEX(pushPol_Res,1)) + SUMPRODUCT(doEff,INDEX(polEff_Res,,10),N(_el&gt;1))</f>
        <v>2.7490860391208858</v>
      </c>
      <c r="P79" s="33">
        <f ca="1">SUMPRODUCT(OFFSET(doEff,0,0,1,1),OFFSET(INDEX(polEff_Res,1,12),0,0,1,1)) + INDEX(doEff,2)*(INDEX(eff0Pol_Res,2)+INDEX(pushPol_Res,1)) + SUMPRODUCT(doEff,INDEX(polEff_Res,,11),N(_el&gt;1))</f>
        <v>2.7490746413010894</v>
      </c>
      <c r="Q79" s="33">
        <f ca="1">SUMPRODUCT(OFFSET(doEff,0,0,1,1),OFFSET(INDEX(polEff_Res,1,13),0,0,1,1)) + INDEX(doEff,2)*(INDEX(eff0Pol_Res,2)+INDEX(pushPol_Res,1)) + SUMPRODUCT(doEff,INDEX(polEff_Res,,12),N(_el&gt;1))</f>
        <v>2.7490633873691714</v>
      </c>
      <c r="R79" s="33">
        <f ca="1">SUMPRODUCT(OFFSET(doEff,0,0,1,1),OFFSET(INDEX(polEff_Res,1,14),0,0,1,1)) + INDEX(doEff,2)*(INDEX(eff0Pol_Res,2)+INDEX(pushPol_Res,1)) + SUMPRODUCT(doEff,INDEX(polEff_Res,,13),N(_el&gt;1))</f>
        <v>2.7490522676731683</v>
      </c>
      <c r="S79" s="33">
        <f ca="1">SUMPRODUCT(OFFSET(doEff,0,0,1,1),OFFSET(INDEX(polEff_Res,1,15),0,0,1,1)) + INDEX(doEff,2)*(INDEX(eff0Pol_Res,2)+INDEX(pushPol_Res,1)) + SUMPRODUCT(doEff,INDEX(polEff_Res,,14),N(_el&gt;1))</f>
        <v>2.7490412733994583</v>
      </c>
      <c r="T79" s="33">
        <f ca="1">SUMPRODUCT(OFFSET(doEff,0,0,1,1),OFFSET(INDEX(polEff_Res,1,16),0,0,1,1)) + INDEX(doEff,2)*(INDEX(eff0Pol_Res,2)+INDEX(pushPol_Res,1)) + SUMPRODUCT(doEff,INDEX(polEff_Res,,15),N(_el&gt;1))</f>
        <v>2.7490303964407099</v>
      </c>
      <c r="U79" s="33">
        <f ca="1">SUMPRODUCT(OFFSET(doEff,0,0,1,1),OFFSET(INDEX(polEff_Res,1,17),0,0,1,1)) + INDEX(doEff,2)*(INDEX(eff0Pol_Res,2)+INDEX(pushPol_Res,1)) + SUMPRODUCT(doEff,INDEX(polEff_Res,,16),N(_el&gt;1))</f>
        <v>2.7490196306651371</v>
      </c>
      <c r="V79" s="33">
        <f ca="1">SUMPRODUCT(OFFSET(doEff,0,0,1,1),OFFSET(INDEX(polEff_Res,1,18),0,0,1,1)) + INDEX(doEff,2)*(INDEX(eff0Pol_Res,2)+INDEX(pushPol_Res,1)) + SUMPRODUCT(doEff,INDEX(polEff_Res,,17),N(_el&gt;1))</f>
        <v>2.7490089703362295</v>
      </c>
      <c r="W79" s="33">
        <f ca="1">SUMPRODUCT(OFFSET(doEff,0,0,1,1),OFFSET(INDEX(polEff_Res,1,19),0,0,1,1)) + INDEX(doEff,2)*(INDEX(eff0Pol_Res,2)+INDEX(pushPol_Res,1)) + SUMPRODUCT(doEff,INDEX(polEff_Res,,18),N(_el&gt;1))</f>
        <v>2.7489984105141141</v>
      </c>
      <c r="X79" s="33">
        <f ca="1">SUMPRODUCT(OFFSET(doEff,0,0,1,1),OFFSET(INDEX(polEff_Res,1,20),0,0,1,1)) + INDEX(doEff,2)*(INDEX(eff0Pol_Res,2)+INDEX(pushPol_Res,1)) + SUMPRODUCT(doEff,INDEX(polEff_Res,,19),N(_el&gt;1))</f>
        <v>2.748987946815058</v>
      </c>
      <c r="Y79" s="33">
        <f ca="1">SUMPRODUCT(OFFSET(doEff,0,0,1,1),OFFSET(INDEX(polEff_Res,1,21),0,0,1,1)) + INDEX(doEff,2)*(INDEX(eff0Pol_Res,2)+INDEX(pushPol_Res,1)) + SUMPRODUCT(doEff,INDEX(polEff_Res,,20),N(_el&gt;1))</f>
        <v>2.7489775752268013</v>
      </c>
      <c r="Z79" s="33">
        <f ca="1">SUMPRODUCT(OFFSET(doEff,0,0,1,1),OFFSET(INDEX(polEff_Res,1,22),0,0,1,1)) + INDEX(doEff,2)*(INDEX(eff0Pol_Res,2)+INDEX(pushPol_Res,1)) + SUMPRODUCT(doEff,INDEX(polEff_Res,,21),N(_el&gt;1))</f>
        <v>2.748972521305094</v>
      </c>
      <c r="AA79" s="33">
        <f ca="1">SUMPRODUCT(OFFSET(doEff,0,0,1,1),OFFSET(INDEX(polEff_Res,1,23),0,0,1,1)) + INDEX(doEff,2)*(INDEX(eff0Pol_Res,2)+INDEX(pushPol_Res,1)) + SUMPRODUCT(doEff,INDEX(polEff_Res,,22),N(_el&gt;1))</f>
        <v>2.7489675016109145</v>
      </c>
      <c r="AB79" s="33">
        <f ca="1">SUMPRODUCT(OFFSET(doEff,0,0,1,1),OFFSET(INDEX(polEff_Res,1,24),0,0,1,1)) + INDEX(doEff,2)*(INDEX(eff0Pol_Res,2)+INDEX(pushPol_Res,1)) + SUMPRODUCT(doEff,INDEX(polEff_Res,,23),N(_el&gt;1))</f>
        <v>2.7489625133328195</v>
      </c>
      <c r="AC79" s="33">
        <f ca="1">SUMPRODUCT(OFFSET(doEff,0,0,1,1),OFFSET(INDEX(polEff_Res,1,25),0,0,1,1)) + INDEX(doEff,2)*(INDEX(eff0Pol_Res,2)+INDEX(pushPol_Res,1)) + SUMPRODUCT(doEff,INDEX(polEff_Res,,24),N(_el&gt;1))</f>
        <v>2.7489575538395123</v>
      </c>
      <c r="AD79" s="33">
        <f ca="1">SUMPRODUCT(OFFSET(doEff,0,0,1,1),OFFSET(INDEX(polEff_Res,1,26),0,0,1,1)) + INDEX(doEff,2)*(INDEX(eff0Pol_Res,2)+INDEX(pushPol_Res,1)) + SUMPRODUCT(doEff,INDEX(polEff_Res,,25),N(_el&gt;1))</f>
        <v>2.7489526206903472</v>
      </c>
      <c r="AE79" s="33">
        <f ca="1">SUMPRODUCT(OFFSET(doEff,0,0,1,1),OFFSET(INDEX(polEff_Res,1,27),0,0,1,1)) + INDEX(doEff,2)*(INDEX(eff0Pol_Res,2)+INDEX(pushPol_Res,1)) + SUMPRODUCT(doEff,INDEX(polEff_Res,,26),N(_el&gt;1))</f>
        <v>2.7489477116362107</v>
      </c>
      <c r="AF79" s="33">
        <f ca="1">SUMPRODUCT(OFFSET(doEff,0,0,1,1),OFFSET(INDEX(polEff_Res,1,28),0,0,1,1)) + INDEX(doEff,2)*(INDEX(eff0Pol_Res,2)+INDEX(pushPol_Res,1)) + SUMPRODUCT(doEff,INDEX(polEff_Res,,27),N(_el&gt;1))</f>
        <v>2.74894282460818</v>
      </c>
      <c r="AG79" s="33">
        <f ca="1">SUMPRODUCT(OFFSET(doEff,0,0,1,1),OFFSET(INDEX(polEff_Res,1,29),0,0,1,1)) + INDEX(doEff,2)*(INDEX(eff0Pol_Res,2)+INDEX(pushPol_Res,1)) + SUMPRODUCT(doEff,INDEX(polEff_Res,,28),N(_el&gt;1))</f>
        <v>2.7489379576988231</v>
      </c>
      <c r="AH79" s="33">
        <f ca="1">SUMPRODUCT(OFFSET(doEff,0,0,1,1),OFFSET(INDEX(polEff_Res,1,30),0,0,1,1)) + INDEX(doEff,2)*(INDEX(eff0Pol_Res,2)+INDEX(pushPol_Res,1)) + SUMPRODUCT(doEff,INDEX(polEff_Res,,29),N(_el&gt;1))</f>
        <v>2.7489331091408493</v>
      </c>
      <c r="AI79" s="33">
        <f ca="1">SUMPRODUCT(OFFSET(doEff,0,0,1,1),OFFSET(INDEX(polEff_Res,1,31),0,0,1,1)) + INDEX(doEff,2)*(INDEX(eff0Pol_Res,2)+INDEX(pushPol_Res,1)) + SUMPRODUCT(doEff,INDEX(polEff_Res,,30),N(_el&gt;1))</f>
        <v>2.7489282772871135</v>
      </c>
      <c r="AJ79" s="33">
        <f ca="1">SUMPRODUCT(OFFSET(doEff,0,0,1,1),OFFSET(INDEX(polEff_Res,1,32),0,0,1,1)) + INDEX(doEff,2)*(INDEX(eff0Pol_Res,2)+INDEX(pushPol_Res,1)) + SUMPRODUCT(doEff,INDEX(polEff_Res,,31),N(_el&gt;1))</f>
        <v>2.7489234605948645</v>
      </c>
      <c r="AK79" s="33">
        <f ca="1">SUMPRODUCT(OFFSET(doEff,0,0,1,1),OFFSET(INDEX(polEff_Res,1,33),0,0,1,1)) + INDEX(doEff,2)*(INDEX(eff0Pol_Res,2)+INDEX(pushPol_Res,1)) + SUMPRODUCT(doEff,INDEX(polEff_Res,,32),N(_el&gt;1))</f>
        <v>2.7489186576145062</v>
      </c>
      <c r="AL79" s="33">
        <f ca="1">SUMPRODUCT(OFFSET(doEff,0,0,1,1),OFFSET(INDEX(polEff_Res,1,34),0,0,1,1)) + INDEX(doEff,2)*(INDEX(eff0Pol_Res,2)+INDEX(pushPol_Res,1)) + SUMPRODUCT(doEff,INDEX(polEff_Res,,33),N(_el&gt;1))</f>
        <v>2.748913866981598</v>
      </c>
      <c r="AM79" s="33">
        <f ca="1">SUMPRODUCT(OFFSET(doEff,0,0,1,1),OFFSET(INDEX(polEff_Res,1,35),0,0,1,1)) + INDEX(doEff,2)*(INDEX(eff0Pol_Res,2)+INDEX(pushPol_Res,1)) + SUMPRODUCT(doEff,INDEX(polEff_Res,,34),N(_el&gt;1))</f>
        <v>2.7489090874126263</v>
      </c>
      <c r="AN79" s="34">
        <f ca="1">SUMPRODUCT(OFFSET(doEff,0,0,1,1),OFFSET(INDEX(polEff_Res,1,36),0,0,1,1)) + INDEX(doEff,2)*(INDEX(eff0Pol_Res,2)+INDEX(pushPol_Res,1)) + SUMPRODUCT(doEff,INDEX(polEff_Res,,35),N(_el&gt;1))</f>
        <v>2.7479296875000001</v>
      </c>
      <c r="AO79" s="8"/>
    </row>
    <row r="80" spans="2:41" hidden="1" x14ac:dyDescent="0.35">
      <c r="B80" s="8"/>
      <c r="C80" s="19" t="str">
        <f>"EL 2: " &amp; INDEX(_doName,2,3)</f>
        <v>EL 2: Tier 2</v>
      </c>
      <c r="D80" s="11"/>
      <c r="E80" s="33"/>
      <c r="F80" s="33">
        <f ca="1">SUMPRODUCT(OFFSET(doEff,0,0,2,1),OFFSET(INDEX(polEff_Res,1,2),0,0,2,1)) + INDEX(doEff,3)*(INDEX(eff0Pol_Res,3)+INDEX(pushPol_Res,2)) + SUMPRODUCT(doEff,INDEX(polEff_Res,,1),N(_el&gt;2))</f>
        <v>2.451267922141438</v>
      </c>
      <c r="G80" s="33">
        <f ca="1">SUMPRODUCT(OFFSET(doEff,0,0,2,1),OFFSET(INDEX(polEff_Res,1,3),0,0,2,1)) + INDEX(doEff,3)*(INDEX(eff0Pol_Res,3)+INDEX(pushPol_Res,2)) + SUMPRODUCT(doEff,INDEX(polEff_Res,,2),N(_el&gt;2))</f>
        <v>1.2958451259445272</v>
      </c>
      <c r="H80" s="33">
        <f ca="1">SUMPRODUCT(OFFSET(doEff,0,0,2,1),OFFSET(INDEX(polEff_Res,1,4),0,0,2,1)) + INDEX(doEff,3)*(INDEX(eff0Pol_Res,3)+INDEX(pushPol_Res,2)) + SUMPRODUCT(doEff,INDEX(polEff_Res,,3),N(_el&gt;2))</f>
        <v>2.7500796873250648</v>
      </c>
      <c r="I80" s="33">
        <f ca="1">SUMPRODUCT(OFFSET(doEff,0,0,2,1),OFFSET(INDEX(polEff_Res,1,5),0,0,2,1)) + INDEX(doEff,3)*(INDEX(eff0Pol_Res,3)+INDEX(pushPol_Res,2)) + SUMPRODUCT(doEff,INDEX(polEff_Res,,4),N(_el&gt;2))</f>
        <v>2.7497810271601573</v>
      </c>
      <c r="J80" s="33">
        <f ca="1">SUMPRODUCT(OFFSET(doEff,0,0,2,1),OFFSET(INDEX(polEff_Res,1,6),0,0,2,1)) + INDEX(doEff,3)*(INDEX(eff0Pol_Res,3)+INDEX(pushPol_Res,2)) + SUMPRODUCT(doEff,INDEX(polEff_Res,,5),N(_el&gt;2))</f>
        <v>2.7494862975944536</v>
      </c>
      <c r="K80" s="33">
        <f ca="1">SUMPRODUCT(OFFSET(doEff,0,0,2,1),OFFSET(INDEX(polEff_Res,1,7),0,0,2,1)) + INDEX(doEff,3)*(INDEX(eff0Pol_Res,3)+INDEX(pushPol_Res,2)) + SUMPRODUCT(doEff,INDEX(polEff_Res,,6),N(_el&gt;2))</f>
        <v>2.7494043330025546</v>
      </c>
      <c r="L80" s="33">
        <f ca="1">SUMPRODUCT(OFFSET(doEff,0,0,2,1),OFFSET(INDEX(polEff_Res,1,8),0,0,2,1)) + INDEX(doEff,3)*(INDEX(eff0Pol_Res,3)+INDEX(pushPol_Res,2)) + SUMPRODUCT(doEff,INDEX(polEff_Res,,7),N(_el&gt;2))</f>
        <v>2.7493233576597054</v>
      </c>
      <c r="M80" s="33">
        <f ca="1">SUMPRODUCT(OFFSET(doEff,0,0,2,1),OFFSET(INDEX(polEff_Res,1,9),0,0,2,1)) + INDEX(doEff,3)*(INDEX(eff0Pol_Res,3)+INDEX(pushPol_Res,2)) + SUMPRODUCT(doEff,INDEX(polEff_Res,,8),N(_el&gt;2))</f>
        <v>2.7492433372241294</v>
      </c>
      <c r="N80" s="33">
        <f ca="1">SUMPRODUCT(OFFSET(doEff,0,0,2,1),OFFSET(INDEX(polEff_Res,1,10),0,0,2,1)) + INDEX(doEff,3)*(INDEX(eff0Pol_Res,3)+INDEX(pushPol_Res,2)) + SUMPRODUCT(doEff,INDEX(polEff_Res,,9),N(_el&gt;2))</f>
        <v>2.7491642408135033</v>
      </c>
      <c r="O80" s="33">
        <f ca="1">SUMPRODUCT(OFFSET(doEff,0,0,2,1),OFFSET(INDEX(polEff_Res,1,11),0,0,2,1)) + INDEX(doEff,3)*(INDEX(eff0Pol_Res,3)+INDEX(pushPol_Res,2)) + SUMPRODUCT(doEff,INDEX(polEff_Res,,10),N(_el&gt;2))</f>
        <v>2.7490860391208862</v>
      </c>
      <c r="P80" s="33">
        <f ca="1">SUMPRODUCT(OFFSET(doEff,0,0,2,1),OFFSET(INDEX(polEff_Res,1,12),0,0,2,1)) + INDEX(doEff,3)*(INDEX(eff0Pol_Res,3)+INDEX(pushPol_Res,2)) + SUMPRODUCT(doEff,INDEX(polEff_Res,,11),N(_el&gt;2))</f>
        <v>2.7490746413010889</v>
      </c>
      <c r="Q80" s="33">
        <f ca="1">SUMPRODUCT(OFFSET(doEff,0,0,2,1),OFFSET(INDEX(polEff_Res,1,13),0,0,2,1)) + INDEX(doEff,3)*(INDEX(eff0Pol_Res,3)+INDEX(pushPol_Res,2)) + SUMPRODUCT(doEff,INDEX(polEff_Res,,12),N(_el&gt;2))</f>
        <v>2.7490633873691719</v>
      </c>
      <c r="R80" s="33">
        <f ca="1">SUMPRODUCT(OFFSET(doEff,0,0,2,1),OFFSET(INDEX(polEff_Res,1,14),0,0,2,1)) + INDEX(doEff,3)*(INDEX(eff0Pol_Res,3)+INDEX(pushPol_Res,2)) + SUMPRODUCT(doEff,INDEX(polEff_Res,,13),N(_el&gt;2))</f>
        <v>2.7490522676731683</v>
      </c>
      <c r="S80" s="33">
        <f ca="1">SUMPRODUCT(OFFSET(doEff,0,0,2,1),OFFSET(INDEX(polEff_Res,1,15),0,0,2,1)) + INDEX(doEff,3)*(INDEX(eff0Pol_Res,3)+INDEX(pushPol_Res,2)) + SUMPRODUCT(doEff,INDEX(polEff_Res,,14),N(_el&gt;2))</f>
        <v>2.7490412733994583</v>
      </c>
      <c r="T80" s="33">
        <f ca="1">SUMPRODUCT(OFFSET(doEff,0,0,2,1),OFFSET(INDEX(polEff_Res,1,16),0,0,2,1)) + INDEX(doEff,3)*(INDEX(eff0Pol_Res,3)+INDEX(pushPol_Res,2)) + SUMPRODUCT(doEff,INDEX(polEff_Res,,15),N(_el&gt;2))</f>
        <v>2.7490303964407099</v>
      </c>
      <c r="U80" s="33">
        <f ca="1">SUMPRODUCT(OFFSET(doEff,0,0,2,1),OFFSET(INDEX(polEff_Res,1,17),0,0,2,1)) + INDEX(doEff,3)*(INDEX(eff0Pol_Res,3)+INDEX(pushPol_Res,2)) + SUMPRODUCT(doEff,INDEX(polEff_Res,,16),N(_el&gt;2))</f>
        <v>2.7490196306651367</v>
      </c>
      <c r="V80" s="33">
        <f ca="1">SUMPRODUCT(OFFSET(doEff,0,0,2,1),OFFSET(INDEX(polEff_Res,1,18),0,0,2,1)) + INDEX(doEff,3)*(INDEX(eff0Pol_Res,3)+INDEX(pushPol_Res,2)) + SUMPRODUCT(doEff,INDEX(polEff_Res,,17),N(_el&gt;2))</f>
        <v>2.749008970336229</v>
      </c>
      <c r="W80" s="33">
        <f ca="1">SUMPRODUCT(OFFSET(doEff,0,0,2,1),OFFSET(INDEX(polEff_Res,1,19),0,0,2,1)) + INDEX(doEff,3)*(INDEX(eff0Pol_Res,3)+INDEX(pushPol_Res,2)) + SUMPRODUCT(doEff,INDEX(polEff_Res,,18),N(_el&gt;2))</f>
        <v>2.7489984105141141</v>
      </c>
      <c r="X80" s="33">
        <f ca="1">SUMPRODUCT(OFFSET(doEff,0,0,2,1),OFFSET(INDEX(polEff_Res,1,20),0,0,2,1)) + INDEX(doEff,3)*(INDEX(eff0Pol_Res,3)+INDEX(pushPol_Res,2)) + SUMPRODUCT(doEff,INDEX(polEff_Res,,19),N(_el&gt;2))</f>
        <v>2.748987946815058</v>
      </c>
      <c r="Y80" s="33">
        <f ca="1">SUMPRODUCT(OFFSET(doEff,0,0,2,1),OFFSET(INDEX(polEff_Res,1,21),0,0,2,1)) + INDEX(doEff,3)*(INDEX(eff0Pol_Res,3)+INDEX(pushPol_Res,2)) + SUMPRODUCT(doEff,INDEX(polEff_Res,,20),N(_el&gt;2))</f>
        <v>2.7489775752268018</v>
      </c>
      <c r="Z80" s="33">
        <f ca="1">SUMPRODUCT(OFFSET(doEff,0,0,2,1),OFFSET(INDEX(polEff_Res,1,22),0,0,2,1)) + INDEX(doEff,3)*(INDEX(eff0Pol_Res,3)+INDEX(pushPol_Res,2)) + SUMPRODUCT(doEff,INDEX(polEff_Res,,21),N(_el&gt;2))</f>
        <v>2.748972521305094</v>
      </c>
      <c r="AA80" s="33">
        <f ca="1">SUMPRODUCT(OFFSET(doEff,0,0,2,1),OFFSET(INDEX(polEff_Res,1,23),0,0,2,1)) + INDEX(doEff,3)*(INDEX(eff0Pol_Res,3)+INDEX(pushPol_Res,2)) + SUMPRODUCT(doEff,INDEX(polEff_Res,,22),N(_el&gt;2))</f>
        <v>2.7489675016109141</v>
      </c>
      <c r="AB80" s="33">
        <f ca="1">SUMPRODUCT(OFFSET(doEff,0,0,2,1),OFFSET(INDEX(polEff_Res,1,24),0,0,2,1)) + INDEX(doEff,3)*(INDEX(eff0Pol_Res,3)+INDEX(pushPol_Res,2)) + SUMPRODUCT(doEff,INDEX(polEff_Res,,23),N(_el&gt;2))</f>
        <v>2.748962513332819</v>
      </c>
      <c r="AC80" s="33">
        <f ca="1">SUMPRODUCT(OFFSET(doEff,0,0,2,1),OFFSET(INDEX(polEff_Res,1,25),0,0,2,1)) + INDEX(doEff,3)*(INDEX(eff0Pol_Res,3)+INDEX(pushPol_Res,2)) + SUMPRODUCT(doEff,INDEX(polEff_Res,,24),N(_el&gt;2))</f>
        <v>2.7489575538395128</v>
      </c>
      <c r="AD80" s="33">
        <f ca="1">SUMPRODUCT(OFFSET(doEff,0,0,2,1),OFFSET(INDEX(polEff_Res,1,26),0,0,2,1)) + INDEX(doEff,3)*(INDEX(eff0Pol_Res,3)+INDEX(pushPol_Res,2)) + SUMPRODUCT(doEff,INDEX(polEff_Res,,25),N(_el&gt;2))</f>
        <v>2.7489526206903476</v>
      </c>
      <c r="AE80" s="33">
        <f ca="1">SUMPRODUCT(OFFSET(doEff,0,0,2,1),OFFSET(INDEX(polEff_Res,1,27),0,0,2,1)) + INDEX(doEff,3)*(INDEX(eff0Pol_Res,3)+INDEX(pushPol_Res,2)) + SUMPRODUCT(doEff,INDEX(polEff_Res,,26),N(_el&gt;2))</f>
        <v>2.7489477116362107</v>
      </c>
      <c r="AF80" s="33">
        <f ca="1">SUMPRODUCT(OFFSET(doEff,0,0,2,1),OFFSET(INDEX(polEff_Res,1,28),0,0,2,1)) + INDEX(doEff,3)*(INDEX(eff0Pol_Res,3)+INDEX(pushPol_Res,2)) + SUMPRODUCT(doEff,INDEX(polEff_Res,,27),N(_el&gt;2))</f>
        <v>2.74894282460818</v>
      </c>
      <c r="AG80" s="33">
        <f ca="1">SUMPRODUCT(OFFSET(doEff,0,0,2,1),OFFSET(INDEX(polEff_Res,1,29),0,0,2,1)) + INDEX(doEff,3)*(INDEX(eff0Pol_Res,3)+INDEX(pushPol_Res,2)) + SUMPRODUCT(doEff,INDEX(polEff_Res,,28),N(_el&gt;2))</f>
        <v>2.7489379576988231</v>
      </c>
      <c r="AH80" s="33">
        <f ca="1">SUMPRODUCT(OFFSET(doEff,0,0,2,1),OFFSET(INDEX(polEff_Res,1,30),0,0,2,1)) + INDEX(doEff,3)*(INDEX(eff0Pol_Res,3)+INDEX(pushPol_Res,2)) + SUMPRODUCT(doEff,INDEX(polEff_Res,,29),N(_el&gt;2))</f>
        <v>2.7489331091408493</v>
      </c>
      <c r="AI80" s="33">
        <f ca="1">SUMPRODUCT(OFFSET(doEff,0,0,2,1),OFFSET(INDEX(polEff_Res,1,31),0,0,2,1)) + INDEX(doEff,3)*(INDEX(eff0Pol_Res,3)+INDEX(pushPol_Res,2)) + SUMPRODUCT(doEff,INDEX(polEff_Res,,30),N(_el&gt;2))</f>
        <v>2.7489282772871135</v>
      </c>
      <c r="AJ80" s="33">
        <f ca="1">SUMPRODUCT(OFFSET(doEff,0,0,2,1),OFFSET(INDEX(polEff_Res,1,32),0,0,2,1)) + INDEX(doEff,3)*(INDEX(eff0Pol_Res,3)+INDEX(pushPol_Res,2)) + SUMPRODUCT(doEff,INDEX(polEff_Res,,31),N(_el&gt;2))</f>
        <v>2.748923460594864</v>
      </c>
      <c r="AK80" s="33">
        <f ca="1">SUMPRODUCT(OFFSET(doEff,0,0,2,1),OFFSET(INDEX(polEff_Res,1,33),0,0,2,1)) + INDEX(doEff,3)*(INDEX(eff0Pol_Res,3)+INDEX(pushPol_Res,2)) + SUMPRODUCT(doEff,INDEX(polEff_Res,,32),N(_el&gt;2))</f>
        <v>2.7489186576145066</v>
      </c>
      <c r="AL80" s="33">
        <f ca="1">SUMPRODUCT(OFFSET(doEff,0,0,2,1),OFFSET(INDEX(polEff_Res,1,34),0,0,2,1)) + INDEX(doEff,3)*(INDEX(eff0Pol_Res,3)+INDEX(pushPol_Res,2)) + SUMPRODUCT(doEff,INDEX(polEff_Res,,33),N(_el&gt;2))</f>
        <v>2.748913866981598</v>
      </c>
      <c r="AM80" s="33">
        <f ca="1">SUMPRODUCT(OFFSET(doEff,0,0,2,1),OFFSET(INDEX(polEff_Res,1,35),0,0,2,1)) + INDEX(doEff,3)*(INDEX(eff0Pol_Res,3)+INDEX(pushPol_Res,2)) + SUMPRODUCT(doEff,INDEX(polEff_Res,,34),N(_el&gt;2))</f>
        <v>2.7489090874126259</v>
      </c>
      <c r="AN80" s="34">
        <f ca="1">SUMPRODUCT(OFFSET(doEff,0,0,2,1),OFFSET(INDEX(polEff_Res,1,36),0,0,2,1)) + INDEX(doEff,3)*(INDEX(eff0Pol_Res,3)+INDEX(pushPol_Res,2)) + SUMPRODUCT(doEff,INDEX(polEff_Res,,35),N(_el&gt;2))</f>
        <v>2.7479296875000001</v>
      </c>
      <c r="AO80" s="8"/>
    </row>
    <row r="81" spans="2:41" hidden="1" x14ac:dyDescent="0.35">
      <c r="B81" s="8"/>
      <c r="C81" s="19" t="str">
        <f>"EL 3: " &amp; INDEX(_doName,2,4)</f>
        <v>EL 3: EL 3</v>
      </c>
      <c r="D81" s="11"/>
      <c r="E81" s="33"/>
      <c r="F81" s="33">
        <f ca="1">SUMPRODUCT(OFFSET(doEff,0,0,3,1),OFFSET(INDEX(polEff_Res,1,2),0,0,3,1)) + INDEX(doEff,4)*(INDEX(eff0Pol_Res,4)+INDEX(pushPol_Res,3)) + SUMPRODUCT(doEff,INDEX(polEff_Res,,1),N(_el&gt;3))</f>
        <v>2.4508527376888725</v>
      </c>
      <c r="G81" s="33">
        <f ca="1">SUMPRODUCT(OFFSET(doEff,0,0,3,1),OFFSET(INDEX(polEff_Res,1,3),0,0,3,1)) + INDEX(doEff,4)*(INDEX(eff0Pol_Res,4)+INDEX(pushPol_Res,3)) + SUMPRODUCT(doEff,INDEX(polEff_Res,,2),N(_el&gt;3))</f>
        <v>4.2732634330886912</v>
      </c>
      <c r="H81" s="33">
        <f ca="1">SUMPRODUCT(OFFSET(doEff,0,0,3,1),OFFSET(INDEX(polEff_Res,1,4),0,0,3,1)) + INDEX(doEff,4)*(INDEX(eff0Pol_Res,4)+INDEX(pushPol_Res,3)) + SUMPRODUCT(doEff,INDEX(polEff_Res,,3),N(_el&gt;3))</f>
        <v>2.7502978073538276</v>
      </c>
      <c r="I81" s="33">
        <f ca="1">SUMPRODUCT(OFFSET(doEff,0,0,3,1),OFFSET(INDEX(polEff_Res,1,5),0,0,3,1)) + INDEX(doEff,4)*(INDEX(eff0Pol_Res,4)+INDEX(pushPol_Res,3)) + SUMPRODUCT(doEff,INDEX(polEff_Res,,4),N(_el&gt;3))</f>
        <v>2.7499962765603208</v>
      </c>
      <c r="J81" s="33">
        <f ca="1">SUMPRODUCT(OFFSET(doEff,0,0,3,1),OFFSET(INDEX(polEff_Res,1,6),0,0,3,1)) + INDEX(doEff,4)*(INDEX(eff0Pol_Res,4)+INDEX(pushPol_Res,3)) + SUMPRODUCT(doEff,INDEX(polEff_Res,,5),N(_el&gt;3))</f>
        <v>2.7495461586715009</v>
      </c>
      <c r="K81" s="33">
        <f ca="1">SUMPRODUCT(OFFSET(doEff,0,0,3,1),OFFSET(INDEX(polEff_Res,1,7),0,0,3,1)) + INDEX(doEff,4)*(INDEX(eff0Pol_Res,4)+INDEX(pushPol_Res,3)) + SUMPRODUCT(doEff,INDEX(polEff_Res,,6),N(_el&gt;3))</f>
        <v>2.7494634716028332</v>
      </c>
      <c r="L81" s="33">
        <f ca="1">SUMPRODUCT(OFFSET(doEff,0,0,3,1),OFFSET(INDEX(polEff_Res,1,8),0,0,3,1)) + INDEX(doEff,4)*(INDEX(eff0Pol_Res,4)+INDEX(pushPol_Res,3)) + SUMPRODUCT(doEff,INDEX(polEff_Res,,7),N(_el&gt;3))</f>
        <v>2.7493817988639915</v>
      </c>
      <c r="M81" s="33">
        <f ca="1">SUMPRODUCT(OFFSET(doEff,0,0,3,1),OFFSET(INDEX(polEff_Res,1,9),0,0,3,1)) + INDEX(doEff,4)*(INDEX(eff0Pol_Res,4)+INDEX(pushPol_Res,3)) + SUMPRODUCT(doEff,INDEX(polEff_Res,,8),N(_el&gt;3))</f>
        <v>2.7493011035866646</v>
      </c>
      <c r="N81" s="33">
        <f ca="1">SUMPRODUCT(OFFSET(doEff,0,0,3,1),OFFSET(INDEX(polEff_Res,1,10),0,0,3,1)) + INDEX(doEff,4)*(INDEX(eff0Pol_Res,4)+INDEX(pushPol_Res,3)) + SUMPRODUCT(doEff,INDEX(polEff_Res,,9),N(_el&gt;3))</f>
        <v>2.7492213537379819</v>
      </c>
      <c r="O81" s="33">
        <f ca="1">SUMPRODUCT(OFFSET(doEff,0,0,3,1),OFFSET(INDEX(polEff_Res,1,11),0,0,3,1)) + INDEX(doEff,4)*(INDEX(eff0Pol_Res,4)+INDEX(pushPol_Res,3)) + SUMPRODUCT(doEff,INDEX(polEff_Res,,10),N(_el&gt;3))</f>
        <v>2.7490943632734646</v>
      </c>
      <c r="P81" s="33">
        <f ca="1">SUMPRODUCT(OFFSET(doEff,0,0,3,1),OFFSET(INDEX(polEff_Res,1,12),0,0,3,1)) + INDEX(doEff,4)*(INDEX(eff0Pol_Res,4)+INDEX(pushPol_Res,3)) + SUMPRODUCT(doEff,INDEX(polEff_Res,,11),N(_el&gt;3))</f>
        <v>2.74908286036825</v>
      </c>
      <c r="Q81" s="33">
        <f ca="1">SUMPRODUCT(OFFSET(doEff,0,0,3,1),OFFSET(INDEX(polEff_Res,1,13),0,0,3,1)) + INDEX(doEff,4)*(INDEX(eff0Pol_Res,4)+INDEX(pushPol_Res,3)) + SUMPRODUCT(doEff,INDEX(polEff_Res,,12),N(_el&gt;3))</f>
        <v>2.7490715084000183</v>
      </c>
      <c r="R81" s="33">
        <f ca="1">SUMPRODUCT(OFFSET(doEff,0,0,3,1),OFFSET(INDEX(polEff_Res,1,14),0,0,3,1)) + INDEX(doEff,4)*(INDEX(eff0Pol_Res,4)+INDEX(pushPol_Res,3)) + SUMPRODUCT(doEff,INDEX(polEff_Res,,13),N(_el&gt;3))</f>
        <v>2.7490602971045415</v>
      </c>
      <c r="S81" s="33">
        <f ca="1">SUMPRODUCT(OFFSET(doEff,0,0,3,1),OFFSET(INDEX(polEff_Res,1,15),0,0,3,1)) + INDEX(doEff,4)*(INDEX(eff0Pol_Res,4)+INDEX(pushPol_Res,3)) + SUMPRODUCT(doEff,INDEX(polEff_Res,,14),N(_el&gt;3))</f>
        <v>2.7490492171523719</v>
      </c>
      <c r="T81" s="33">
        <f ca="1">SUMPRODUCT(OFFSET(doEff,0,0,3,1),OFFSET(INDEX(polEff_Res,1,16),0,0,3,1)) + INDEX(doEff,4)*(INDEX(eff0Pol_Res,4)+INDEX(pushPol_Res,3)) + SUMPRODUCT(doEff,INDEX(polEff_Res,,15),N(_el&gt;3))</f>
        <v>2.7490382589933824</v>
      </c>
      <c r="U81" s="33">
        <f ca="1">SUMPRODUCT(OFFSET(doEff,0,0,3,1),OFFSET(INDEX(polEff_Res,1,17),0,0,3,1)) + INDEX(doEff,4)*(INDEX(eff0Pol_Res,4)+INDEX(pushPol_Res,3)) + SUMPRODUCT(doEff,INDEX(polEff_Res,,16),N(_el&gt;3))</f>
        <v>2.7490274162071042</v>
      </c>
      <c r="V81" s="33">
        <f ca="1">SUMPRODUCT(OFFSET(doEff,0,0,3,1),OFFSET(INDEX(polEff_Res,1,18),0,0,3,1)) + INDEX(doEff,4)*(INDEX(eff0Pol_Res,4)+INDEX(pushPol_Res,3)) + SUMPRODUCT(doEff,INDEX(polEff_Res,,17),N(_el&gt;3))</f>
        <v>2.7490166824752236</v>
      </c>
      <c r="W81" s="33">
        <f ca="1">SUMPRODUCT(OFFSET(doEff,0,0,3,1),OFFSET(INDEX(polEff_Res,1,19),0,0,3,1)) + INDEX(doEff,4)*(INDEX(eff0Pol_Res,4)+INDEX(pushPol_Res,3)) + SUMPRODUCT(doEff,INDEX(polEff_Res,,18),N(_el&gt;3))</f>
        <v>2.7490060524516973</v>
      </c>
      <c r="X81" s="33">
        <f ca="1">SUMPRODUCT(OFFSET(doEff,0,0,3,1),OFFSET(INDEX(polEff_Res,1,20),0,0,3,1)) + INDEX(doEff,4)*(INDEX(eff0Pol_Res,4)+INDEX(pushPol_Res,3)) + SUMPRODUCT(doEff,INDEX(polEff_Res,,19),N(_el&gt;3))</f>
        <v>2.7489955214814996</v>
      </c>
      <c r="Y81" s="33">
        <f ca="1">SUMPRODUCT(OFFSET(doEff,0,0,3,1),OFFSET(INDEX(polEff_Res,1,21),0,0,3,1)) + INDEX(doEff,4)*(INDEX(eff0Pol_Res,4)+INDEX(pushPol_Res,3)) + SUMPRODUCT(doEff,INDEX(polEff_Res,,20),N(_el&gt;3))</f>
        <v>2.7489812662498361</v>
      </c>
      <c r="Z81" s="33">
        <f ca="1">SUMPRODUCT(OFFSET(doEff,0,0,3,1),OFFSET(INDEX(polEff_Res,1,22),0,0,3,1)) + INDEX(doEff,4)*(INDEX(eff0Pol_Res,4)+INDEX(pushPol_Res,3)) + SUMPRODUCT(doEff,INDEX(polEff_Res,,21),N(_el&gt;3))</f>
        <v>2.7489761873307899</v>
      </c>
      <c r="AA81" s="33">
        <f ca="1">SUMPRODUCT(OFFSET(doEff,0,0,3,1),OFFSET(INDEX(polEff_Res,1,23),0,0,3,1)) + INDEX(doEff,4)*(INDEX(eff0Pol_Res,4)+INDEX(pushPol_Res,3)) + SUMPRODUCT(doEff,INDEX(polEff_Res,,22),N(_el&gt;3))</f>
        <v>2.7489711446925482</v>
      </c>
      <c r="AB81" s="33">
        <f ca="1">SUMPRODUCT(OFFSET(doEff,0,0,3,1),OFFSET(INDEX(polEff_Res,1,24),0,0,3,1)) + INDEX(doEff,4)*(INDEX(eff0Pol_Res,4)+INDEX(pushPol_Res,3)) + SUMPRODUCT(doEff,INDEX(polEff_Res,,23),N(_el&gt;3))</f>
        <v>2.7489661353921022</v>
      </c>
      <c r="AC81" s="33">
        <f ca="1">SUMPRODUCT(OFFSET(doEff,0,0,3,1),OFFSET(INDEX(polEff_Res,1,25),0,0,3,1)) + INDEX(doEff,4)*(INDEX(eff0Pol_Res,4)+INDEX(pushPol_Res,3)) + SUMPRODUCT(doEff,INDEX(polEff_Res,,24),N(_el&gt;3))</f>
        <v>2.7489611566589183</v>
      </c>
      <c r="AD81" s="33">
        <f ca="1">SUMPRODUCT(OFFSET(doEff,0,0,3,1),OFFSET(INDEX(polEff_Res,1,26),0,0,3,1)) + INDEX(doEff,4)*(INDEX(eff0Pol_Res,4)+INDEX(pushPol_Res,3)) + SUMPRODUCT(doEff,INDEX(polEff_Res,,25),N(_el&gt;3))</f>
        <v>2.7489562059124664</v>
      </c>
      <c r="AE81" s="33">
        <f ca="1">SUMPRODUCT(OFFSET(doEff,0,0,3,1),OFFSET(INDEX(polEff_Res,1,27),0,0,3,1)) + INDEX(doEff,4)*(INDEX(eff0Pol_Res,4)+INDEX(pushPol_Res,3)) + SUMPRODUCT(doEff,INDEX(polEff_Res,,26),N(_el&gt;3))</f>
        <v>2.748951280772038</v>
      </c>
      <c r="AF81" s="33">
        <f ca="1">SUMPRODUCT(OFFSET(doEff,0,0,3,1),OFFSET(INDEX(polEff_Res,1,28),0,0,3,1)) + INDEX(doEff,4)*(INDEX(eff0Pol_Res,4)+INDEX(pushPol_Res,3)) + SUMPRODUCT(doEff,INDEX(polEff_Res,,27),N(_el&gt;3))</f>
        <v>2.748946379050766</v>
      </c>
      <c r="AG81" s="33">
        <f ca="1">SUMPRODUCT(OFFSET(doEff,0,0,3,1),OFFSET(INDEX(polEff_Res,1,29),0,0,3,1)) + INDEX(doEff,4)*(INDEX(eff0Pol_Res,4)+INDEX(pushPol_Res,3)) + SUMPRODUCT(doEff,INDEX(polEff_Res,,28),N(_el&gt;3))</f>
        <v>2.7489414987388718</v>
      </c>
      <c r="AH81" s="33">
        <f ca="1">SUMPRODUCT(OFFSET(doEff,0,0,3,1),OFFSET(INDEX(polEff_Res,1,30),0,0,3,1)) + INDEX(doEff,4)*(INDEX(eff0Pol_Res,4)+INDEX(pushPol_Res,3)) + SUMPRODUCT(doEff,INDEX(polEff_Res,,29),N(_el&gt;3))</f>
        <v>2.7489366379813158</v>
      </c>
      <c r="AI81" s="33">
        <f ca="1">SUMPRODUCT(OFFSET(doEff,0,0,3,1),OFFSET(INDEX(polEff_Res,1,31),0,0,3,1)) + INDEX(doEff,4)*(INDEX(eff0Pol_Res,4)+INDEX(pushPol_Res,3)) + SUMPRODUCT(doEff,INDEX(polEff_Res,,30),N(_el&gt;3))</f>
        <v>2.7489317950547152</v>
      </c>
      <c r="AJ81" s="33">
        <f ca="1">SUMPRODUCT(OFFSET(doEff,0,0,3,1),OFFSET(INDEX(polEff_Res,1,32),0,0,3,1)) + INDEX(doEff,4)*(INDEX(eff0Pol_Res,4)+INDEX(pushPol_Res,3)) + SUMPRODUCT(doEff,INDEX(polEff_Res,,31),N(_el&gt;3))</f>
        <v>2.7489269683482811</v>
      </c>
      <c r="AK81" s="33">
        <f ca="1">SUMPRODUCT(OFFSET(doEff,0,0,3,1),OFFSET(INDEX(polEff_Res,1,33),0,0,3,1)) + INDEX(doEff,4)*(INDEX(eff0Pol_Res,4)+INDEX(pushPol_Res,3)) + SUMPRODUCT(doEff,INDEX(polEff_Res,,32),N(_el&gt;3))</f>
        <v>2.7489221563502291</v>
      </c>
      <c r="AL81" s="33">
        <f ca="1">SUMPRODUCT(OFFSET(doEff,0,0,3,1),OFFSET(INDEX(polEff_Res,1,34),0,0,3,1)) + INDEX(doEff,4)*(INDEX(eff0Pol_Res,4)+INDEX(pushPol_Res,3)) + SUMPRODUCT(doEff,INDEX(polEff_Res,,33),N(_el&gt;3))</f>
        <v>2.7489173576370112</v>
      </c>
      <c r="AM81" s="33">
        <f ca="1">SUMPRODUCT(OFFSET(doEff,0,0,3,1),OFFSET(INDEX(polEff_Res,1,35),0,0,3,1)) + INDEX(doEff,4)*(INDEX(eff0Pol_Res,4)+INDEX(pushPol_Res,3)) + SUMPRODUCT(doEff,INDEX(polEff_Res,,34),N(_el&gt;3))</f>
        <v>2.7496243710768513</v>
      </c>
      <c r="AN81" s="34">
        <f ca="1">SUMPRODUCT(OFFSET(doEff,0,0,3,1),OFFSET(INDEX(polEff_Res,1,36),0,0,3,1)) + INDEX(doEff,4)*(INDEX(eff0Pol_Res,4)+INDEX(pushPol_Res,3)) + SUMPRODUCT(doEff,INDEX(polEff_Res,,35),N(_el&gt;3))</f>
        <v>2.7479296875000001</v>
      </c>
      <c r="AO81" s="8"/>
    </row>
    <row r="82" spans="2:41" hidden="1" x14ac:dyDescent="0.35">
      <c r="B82" s="8"/>
      <c r="C82" s="35" t="str">
        <f>"EL 4: " &amp; INDEX(_doName,2,5)</f>
        <v>EL 4: EL 4</v>
      </c>
      <c r="D82" s="15"/>
      <c r="E82" s="21"/>
      <c r="F82" s="21">
        <f ca="1">SUMPRODUCT(OFFSET(doEff,0,0,4,1),OFFSET(INDEX(polEff_Res,1,2),0,0,4,1)) + INDEX(doEff,5)*(INDEX(eff0Pol_Res,5)+INDEX(pushPol_Res,4)) + 0</f>
        <v>2.450500960066929</v>
      </c>
      <c r="G82" s="21">
        <f ca="1">SUMPRODUCT(OFFSET(doEff,0,0,4,1),OFFSET(INDEX(polEff_Res,1,3),0,0,4,1)) + INDEX(doEff,5)*(INDEX(eff0Pol_Res,5)+INDEX(pushPol_Res,4)) + 0</f>
        <v>2.7498833581566888</v>
      </c>
      <c r="H82" s="21">
        <f ca="1">SUMPRODUCT(OFFSET(doEff,0,0,4,1),OFFSET(INDEX(polEff_Res,1,4),0,0,4,1)) + INDEX(doEff,5)*(INDEX(eff0Pol_Res,5)+INDEX(pushPol_Res,4)) + 0</f>
        <v>2.7498225846970179</v>
      </c>
      <c r="I82" s="21">
        <f ca="1">SUMPRODUCT(OFFSET(doEff,0,0,4,1),OFFSET(INDEX(polEff_Res,1,5),0,0,4,1)) + INDEX(doEff,5)*(INDEX(eff0Pol_Res,5)+INDEX(pushPol_Res,4)) + 0</f>
        <v>2.7495273082019267</v>
      </c>
      <c r="J82" s="21">
        <f ca="1">SUMPRODUCT(OFFSET(doEff,0,0,4,1),OFFSET(INDEX(polEff_Res,1,6),0,0,4,1)) + INDEX(doEff,5)*(INDEX(eff0Pol_Res,5)+INDEX(pushPol_Res,4)) + 0</f>
        <v>2.7494157380941919</v>
      </c>
      <c r="K82" s="21">
        <f ca="1">SUMPRODUCT(OFFSET(doEff,0,0,4,1),OFFSET(INDEX(polEff_Res,1,7),0,0,4,1)) + INDEX(doEff,5)*(INDEX(eff0Pol_Res,5)+INDEX(pushPol_Res,4)) + 0</f>
        <v>2.7493346251007327</v>
      </c>
      <c r="L82" s="21">
        <f ca="1">SUMPRODUCT(OFFSET(doEff,0,0,4,1),OFFSET(INDEX(polEff_Res,1,8),0,0,4,1)) + INDEX(doEff,5)*(INDEX(eff0Pol_Res,5)+INDEX(pushPol_Res,4)) + 0</f>
        <v>2.7492544717930869</v>
      </c>
      <c r="M82" s="21">
        <f ca="1">SUMPRODUCT(OFFSET(doEff,0,0,4,1),OFFSET(INDEX(polEff_Res,1,9),0,0,4,1)) + INDEX(doEff,5)*(INDEX(eff0Pol_Res,5)+INDEX(pushPol_Res,4)) + 0</f>
        <v>2.7491752468075608</v>
      </c>
      <c r="N82" s="21">
        <f ca="1">SUMPRODUCT(OFFSET(doEff,0,0,4,1),OFFSET(INDEX(polEff_Res,1,10),0,0,4,1)) + INDEX(doEff,5)*(INDEX(eff0Pol_Res,5)+INDEX(pushPol_Res,4)) + 0</f>
        <v>2.7490969206180034</v>
      </c>
      <c r="O82" s="21">
        <f ca="1">SUMPRODUCT(OFFSET(doEff,0,0,4,1),OFFSET(INDEX(polEff_Res,1,11),0,0,4,1)) + INDEX(doEff,5)*(INDEX(eff0Pol_Res,5)+INDEX(pushPol_Res,4)) + 0</f>
        <v>2.7490762272685934</v>
      </c>
      <c r="P82" s="21">
        <f ca="1">SUMPRODUCT(OFFSET(doEff,0,0,4,1),OFFSET(INDEX(polEff_Res,1,12),0,0,4,1)) + INDEX(doEff,5)*(INDEX(eff0Pol_Res,5)+INDEX(pushPol_Res,4)) + 0</f>
        <v>2.7490649533151714</v>
      </c>
      <c r="Q82" s="21">
        <f ca="1">SUMPRODUCT(OFFSET(doEff,0,0,4,1),OFFSET(INDEX(polEff_Res,1,13),0,0,4,1)) + INDEX(doEff,5)*(INDEX(eff0Pol_Res,5)+INDEX(pushPol_Res,4)) + 0</f>
        <v>2.7490538149407011</v>
      </c>
      <c r="R82" s="21">
        <f ca="1">SUMPRODUCT(OFFSET(doEff,0,0,4,1),OFFSET(INDEX(polEff_Res,1,14),0,0,4,1)) + INDEX(doEff,5)*(INDEX(eff0Pol_Res,5)+INDEX(pushPol_Res,4)) + 0</f>
        <v>2.7490428032149095</v>
      </c>
      <c r="S82" s="21">
        <f ca="1">SUMPRODUCT(OFFSET(doEff,0,0,4,1),OFFSET(INDEX(polEff_Res,1,15),0,0,4,1)) + INDEX(doEff,5)*(INDEX(eff0Pol_Res,5)+INDEX(pushPol_Res,4)) + 0</f>
        <v>2.7490319099321869</v>
      </c>
      <c r="T82" s="21">
        <f ca="1">SUMPRODUCT(OFFSET(doEff,0,0,4,1),OFFSET(INDEX(polEff_Res,1,16),0,0,4,1)) + INDEX(doEff,5)*(INDEX(eff0Pol_Res,5)+INDEX(pushPol_Res,4)) + 0</f>
        <v>2.749021128685857</v>
      </c>
      <c r="U82" s="21">
        <f ca="1">SUMPRODUCT(OFFSET(doEff,0,0,4,1),OFFSET(INDEX(polEff_Res,1,17),0,0,4,1)) + INDEX(doEff,5)*(INDEX(eff0Pol_Res,5)+INDEX(pushPol_Res,4)) + 0</f>
        <v>2.7490104536844076</v>
      </c>
      <c r="V82" s="21">
        <f ca="1">SUMPRODUCT(OFFSET(doEff,0,0,4,1),OFFSET(INDEX(polEff_Res,1,18),0,0,4,1)) + INDEX(doEff,5)*(INDEX(eff0Pol_Res,5)+INDEX(pushPol_Res,4)) + 0</f>
        <v>2.7489998798771174</v>
      </c>
      <c r="W82" s="21">
        <f ca="1">SUMPRODUCT(OFFSET(doEff,0,0,4,1),OFFSET(INDEX(polEff_Res,1,19),0,0,4,1)) + INDEX(doEff,5)*(INDEX(eff0Pol_Res,5)+INDEX(pushPol_Res,4)) + 0</f>
        <v>2.7489894028028674</v>
      </c>
      <c r="X82" s="21">
        <f ca="1">SUMPRODUCT(OFFSET(doEff,0,0,4,1),OFFSET(INDEX(polEff_Res,1,20),0,0,4,1)) + INDEX(doEff,5)*(INDEX(eff0Pol_Res,5)+INDEX(pushPol_Res,4)) + 0</f>
        <v>2.748979018397709</v>
      </c>
      <c r="Y82" s="21">
        <f ca="1">SUMPRODUCT(OFFSET(doEff,0,0,4,1),OFFSET(INDEX(polEff_Res,1,21),0,0,4,1)) + INDEX(doEff,5)*(INDEX(eff0Pol_Res,5)+INDEX(pushPol_Res,4)) + 0</f>
        <v>2.7489732245409533</v>
      </c>
      <c r="Z82" s="21">
        <f ca="1">SUMPRODUCT(OFFSET(doEff,0,0,4,1),OFFSET(INDEX(polEff_Res,1,22),0,0,4,1)) + INDEX(doEff,5)*(INDEX(eff0Pol_Res,5)+INDEX(pushPol_Res,4)) + 0</f>
        <v>2.7489682000841307</v>
      </c>
      <c r="AA82" s="21">
        <f ca="1">SUMPRODUCT(OFFSET(doEff,0,0,4,1),OFFSET(INDEX(polEff_Res,1,23),0,0,4,1)) + INDEX(doEff,5)*(INDEX(eff0Pol_Res,5)+INDEX(pushPol_Res,4)) + 0</f>
        <v>2.7489632074345951</v>
      </c>
      <c r="AB82" s="21">
        <f ca="1">SUMPRODUCT(OFFSET(doEff,0,0,4,1),OFFSET(INDEX(polEff_Res,1,24),0,0,4,1)) + INDEX(doEff,5)*(INDEX(eff0Pol_Res,5)+INDEX(pushPol_Res,4)) + 0</f>
        <v>2.7489582439359839</v>
      </c>
      <c r="AC82" s="21">
        <f ca="1">SUMPRODUCT(OFFSET(doEff,0,0,4,1),OFFSET(INDEX(polEff_Res,1,25),0,0,4,1)) + INDEX(doEff,5)*(INDEX(eff0Pol_Res,5)+INDEX(pushPol_Res,4)) + 0</f>
        <v>2.7489533071211216</v>
      </c>
      <c r="AD82" s="21">
        <f ca="1">SUMPRODUCT(OFFSET(doEff,0,0,4,1),OFFSET(INDEX(polEff_Res,1,26),0,0,4,1)) + INDEX(doEff,5)*(INDEX(eff0Pol_Res,5)+INDEX(pushPol_Res,4)) + 0</f>
        <v>2.7489483947142443</v>
      </c>
      <c r="AE82" s="21">
        <f ca="1">SUMPRODUCT(OFFSET(doEff,0,0,4,1),OFFSET(INDEX(polEff_Res,1,27),0,0,4,1)) + INDEX(doEff,5)*(INDEX(eff0Pol_Res,5)+INDEX(pushPol_Res,4)) + 0</f>
        <v>2.7489435046213568</v>
      </c>
      <c r="AF82" s="21">
        <f ca="1">SUMPRODUCT(OFFSET(doEff,0,0,4,1),OFFSET(INDEX(polEff_Res,1,28),0,0,4,1)) + INDEX(doEff,5)*(INDEX(eff0Pol_Res,5)+INDEX(pushPol_Res,4)) + 0</f>
        <v>2.7489386349125553</v>
      </c>
      <c r="AG82" s="21">
        <f ca="1">SUMPRODUCT(OFFSET(doEff,0,0,4,1),OFFSET(INDEX(polEff_Res,1,29),0,0,4,1)) + INDEX(doEff,5)*(INDEX(eff0Pol_Res,5)+INDEX(pushPol_Res,4)) + 0</f>
        <v>2.7489337838010499</v>
      </c>
      <c r="AH82" s="21">
        <f ca="1">SUMPRODUCT(OFFSET(doEff,0,0,4,1),OFFSET(INDEX(polEff_Res,1,30),0,0,4,1)) + INDEX(doEff,5)*(INDEX(eff0Pol_Res,5)+INDEX(pushPol_Res,4)) + 0</f>
        <v>2.7489289496229765</v>
      </c>
      <c r="AI82" s="21">
        <f ca="1">SUMPRODUCT(OFFSET(doEff,0,0,4,1),OFFSET(INDEX(polEff_Res,1,31),0,0,4,1)) + INDEX(doEff,5)*(INDEX(eff0Pol_Res,5)+INDEX(pushPol_Res,4)) + 0</f>
        <v>2.7489241308210586</v>
      </c>
      <c r="AJ82" s="21">
        <f ca="1">SUMPRODUCT(OFFSET(doEff,0,0,4,1),OFFSET(INDEX(polEff_Res,1,32),0,0,4,1)) + INDEX(doEff,5)*(INDEX(eff0Pol_Res,5)+INDEX(pushPol_Res,4)) + 0</f>
        <v>2.748919325932738</v>
      </c>
      <c r="AK82" s="21">
        <f ca="1">SUMPRODUCT(OFFSET(doEff,0,0,4,1),OFFSET(INDEX(polEff_Res,1,33),0,0,4,1)) + INDEX(doEff,5)*(INDEX(eff0Pol_Res,5)+INDEX(pushPol_Res,4)) + 0</f>
        <v>2.7489145335817242</v>
      </c>
      <c r="AL82" s="21">
        <f ca="1">SUMPRODUCT(OFFSET(doEff,0,0,4,1),OFFSET(INDEX(polEff_Res,1,34),0,0,4,1)) + INDEX(doEff,5)*(INDEX(eff0Pol_Res,5)+INDEX(pushPol_Res,4)) + 0</f>
        <v>2.748909752473244</v>
      </c>
      <c r="AM82" s="21">
        <f ca="1">SUMPRODUCT(OFFSET(doEff,0,0,4,1),OFFSET(INDEX(polEff_Res,1,35),0,0,4,1)) + INDEX(doEff,5)*(INDEX(eff0Pol_Res,5)+INDEX(pushPol_Res,4)) + 0</f>
        <v>2.7480659676362653</v>
      </c>
      <c r="AN82" s="22">
        <f ca="1">SUMPRODUCT(OFFSET(doEff,0,0,4,1),OFFSET(INDEX(polEff_Res,1,36),0,0,4,1)) + INDEX(doEff,5)*(INDEX(eff0Pol_Res,5)+INDEX(pushPol_Res,4)) + 0</f>
        <v>2.7479296875000001</v>
      </c>
      <c r="AO82" s="8"/>
    </row>
    <row r="83" spans="2:41" hidden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</row>
    <row r="84" spans="2:41" hidden="1" x14ac:dyDescent="0.35">
      <c r="B84" s="8"/>
      <c r="C84" s="23" t="s">
        <v>100</v>
      </c>
      <c r="D84" s="24"/>
      <c r="E84" s="26">
        <f t="array" ref="E84:AN84">_yS</f>
        <v>2024</v>
      </c>
      <c r="F84" s="26">
        <v>2025</v>
      </c>
      <c r="G84" s="26">
        <v>2026</v>
      </c>
      <c r="H84" s="26">
        <v>2027</v>
      </c>
      <c r="I84" s="26">
        <v>2028</v>
      </c>
      <c r="J84" s="26">
        <v>2029</v>
      </c>
      <c r="K84" s="26">
        <v>2030</v>
      </c>
      <c r="L84" s="26">
        <v>2031</v>
      </c>
      <c r="M84" s="26">
        <v>2032</v>
      </c>
      <c r="N84" s="26">
        <v>2033</v>
      </c>
      <c r="O84" s="26">
        <v>2034</v>
      </c>
      <c r="P84" s="26">
        <v>2035</v>
      </c>
      <c r="Q84" s="26">
        <v>2036</v>
      </c>
      <c r="R84" s="26">
        <v>2037</v>
      </c>
      <c r="S84" s="26">
        <v>2038</v>
      </c>
      <c r="T84" s="26">
        <v>2039</v>
      </c>
      <c r="U84" s="26">
        <v>2040</v>
      </c>
      <c r="V84" s="26">
        <v>2041</v>
      </c>
      <c r="W84" s="26">
        <v>2042</v>
      </c>
      <c r="X84" s="26">
        <v>2043</v>
      </c>
      <c r="Y84" s="26">
        <v>2044</v>
      </c>
      <c r="Z84" s="26">
        <v>2045</v>
      </c>
      <c r="AA84" s="26">
        <v>2046</v>
      </c>
      <c r="AB84" s="26">
        <v>2047</v>
      </c>
      <c r="AC84" s="26">
        <v>2048</v>
      </c>
      <c r="AD84" s="26">
        <v>2049</v>
      </c>
      <c r="AE84" s="26">
        <v>2050</v>
      </c>
      <c r="AF84" s="26">
        <v>2051</v>
      </c>
      <c r="AG84" s="26">
        <v>2052</v>
      </c>
      <c r="AH84" s="26">
        <v>2053</v>
      </c>
      <c r="AI84" s="26">
        <v>2054</v>
      </c>
      <c r="AJ84" s="26">
        <v>2055</v>
      </c>
      <c r="AK84" s="26">
        <v>2056</v>
      </c>
      <c r="AL84" s="26">
        <v>2057</v>
      </c>
      <c r="AM84" s="26">
        <v>2058</v>
      </c>
      <c r="AN84" s="27">
        <v>2059</v>
      </c>
      <c r="AO84" s="8"/>
    </row>
    <row r="85" spans="2:41" hidden="1" x14ac:dyDescent="0.35">
      <c r="B85" s="8"/>
      <c r="C85" s="19" t="s">
        <v>89</v>
      </c>
      <c r="D85" s="11"/>
      <c r="E85" s="43">
        <f>0</f>
        <v>0</v>
      </c>
      <c r="F85" s="43">
        <f t="array" ref="F85:AN85">$E$85</f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0</v>
      </c>
      <c r="AA85" s="43">
        <v>0</v>
      </c>
      <c r="AB85" s="43">
        <v>0</v>
      </c>
      <c r="AC85" s="43">
        <v>0</v>
      </c>
      <c r="AD85" s="43">
        <v>0</v>
      </c>
      <c r="AE85" s="43">
        <v>0</v>
      </c>
      <c r="AF85" s="43">
        <v>0</v>
      </c>
      <c r="AG85" s="43">
        <v>0</v>
      </c>
      <c r="AH85" s="43">
        <v>0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4">
        <v>0</v>
      </c>
      <c r="AO85" s="8"/>
    </row>
    <row r="86" spans="2:41" hidden="1" x14ac:dyDescent="0.35">
      <c r="B86" s="8"/>
      <c r="C86" s="19" t="str">
        <f>"EL 0: " &amp; INDEX(_doName,2,1)</f>
        <v>EL 0: Baseline</v>
      </c>
      <c r="D86" s="11"/>
      <c r="E86" s="43"/>
      <c r="F86" s="43">
        <f>(INDEX(teffSumBC_Res,1,2)&lt;INDEX(effGoalBC_Res,2)) * MIN(INDEX(bcEff_Res,1,1),(INDEX(effGoalBC_Res,2)-INDEX(teffSumBC_Res,1,2))/(INDEX(doEff,2)-INDEX(doEff,1)))</f>
        <v>0</v>
      </c>
      <c r="G86" s="43">
        <f ca="1">(INDEX(teffSumBC_Res,1,3)&lt;INDEX(effGoalBC_Res,3)) * MIN(INDEX(bcEff_Res,1,2),(INDEX(effGoalBC_Res,3)-INDEX(teffSumBC_Res,1,3))/(INDEX(doEff,2)-INDEX(doEff,1)))</f>
        <v>0</v>
      </c>
      <c r="H86" s="43">
        <f ca="1">(INDEX(teffSumBC_Res,1,4)&lt;INDEX(effGoalBC_Res,4)) * MIN(INDEX(bcEff_Res,1,3),(INDEX(effGoalBC_Res,4)-INDEX(teffSumBC_Res,1,4))/(INDEX(doEff,2)-INDEX(doEff,1)))</f>
        <v>0</v>
      </c>
      <c r="I86" s="43">
        <f ca="1">(INDEX(teffSumBC_Res,1,5)&lt;INDEX(effGoalBC_Res,5)) * MIN(INDEX(bcEff_Res,1,4),(INDEX(effGoalBC_Res,5)-INDEX(teffSumBC_Res,1,5))/(INDEX(doEff,2)-INDEX(doEff,1)))</f>
        <v>0</v>
      </c>
      <c r="J86" s="43">
        <f ca="1">(INDEX(teffSumBC_Res,1,6)&lt;INDEX(effGoalBC_Res,6)) * MIN(INDEX(bcEff_Res,1,5),(INDEX(effGoalBC_Res,6)-INDEX(teffSumBC_Res,1,6))/(INDEX(doEff,2)-INDEX(doEff,1)))</f>
        <v>0</v>
      </c>
      <c r="K86" s="43">
        <f ca="1">(INDEX(teffSumBC_Res,1,7)&lt;INDEX(effGoalBC_Res,7)) * MIN(INDEX(bcEff_Res,1,6),(INDEX(effGoalBC_Res,7)-INDEX(teffSumBC_Res,1,7))/(INDEX(doEff,2)-INDEX(doEff,1)))</f>
        <v>0</v>
      </c>
      <c r="L86" s="43">
        <f ca="1">(INDEX(teffSumBC_Res,1,8)&lt;INDEX(effGoalBC_Res,8)) * MIN(INDEX(bcEff_Res,1,7),(INDEX(effGoalBC_Res,8)-INDEX(teffSumBC_Res,1,8))/(INDEX(doEff,2)-INDEX(doEff,1)))</f>
        <v>0</v>
      </c>
      <c r="M86" s="43">
        <f ca="1">(INDEX(teffSumBC_Res,1,9)&lt;INDEX(effGoalBC_Res,9)) * MIN(INDEX(bcEff_Res,1,8),(INDEX(effGoalBC_Res,9)-INDEX(teffSumBC_Res,1,9))/(INDEX(doEff,2)-INDEX(doEff,1)))</f>
        <v>0</v>
      </c>
      <c r="N86" s="43">
        <f ca="1">(INDEX(teffSumBC_Res,1,10)&lt;INDEX(effGoalBC_Res,10)) * MIN(INDEX(bcEff_Res,1,9),(INDEX(effGoalBC_Res,10)-INDEX(teffSumBC_Res,1,10))/(INDEX(doEff,2)-INDEX(doEff,1)))</f>
        <v>0</v>
      </c>
      <c r="O86" s="43">
        <f ca="1">(INDEX(teffSumBC_Res,1,11)&lt;INDEX(effGoalBC_Res,11)) * MIN(INDEX(bcEff_Res,1,10),(INDEX(effGoalBC_Res,11)-INDEX(teffSumBC_Res,1,11))/(INDEX(doEff,2)-INDEX(doEff,1)))</f>
        <v>0</v>
      </c>
      <c r="P86" s="43">
        <f ca="1">(INDEX(teffSumBC_Res,1,12)&lt;INDEX(effGoalBC_Res,12)) * MIN(INDEX(bcEff_Res,1,11),(INDEX(effGoalBC_Res,12)-INDEX(teffSumBC_Res,1,12))/(INDEX(doEff,2)-INDEX(doEff,1)))</f>
        <v>0</v>
      </c>
      <c r="Q86" s="43">
        <f ca="1">(INDEX(teffSumBC_Res,1,13)&lt;INDEX(effGoalBC_Res,13)) * MIN(INDEX(bcEff_Res,1,12),(INDEX(effGoalBC_Res,13)-INDEX(teffSumBC_Res,1,13))/(INDEX(doEff,2)-INDEX(doEff,1)))</f>
        <v>0</v>
      </c>
      <c r="R86" s="43">
        <f ca="1">(INDEX(teffSumBC_Res,1,14)&lt;INDEX(effGoalBC_Res,14)) * MIN(INDEX(bcEff_Res,1,13),(INDEX(effGoalBC_Res,14)-INDEX(teffSumBC_Res,1,14))/(INDEX(doEff,2)-INDEX(doEff,1)))</f>
        <v>0</v>
      </c>
      <c r="S86" s="43">
        <f ca="1">(INDEX(teffSumBC_Res,1,15)&lt;INDEX(effGoalBC_Res,15)) * MIN(INDEX(bcEff_Res,1,14),(INDEX(effGoalBC_Res,15)-INDEX(teffSumBC_Res,1,15))/(INDEX(doEff,2)-INDEX(doEff,1)))</f>
        <v>0</v>
      </c>
      <c r="T86" s="43">
        <f ca="1">(INDEX(teffSumBC_Res,1,16)&lt;INDEX(effGoalBC_Res,16)) * MIN(INDEX(bcEff_Res,1,15),(INDEX(effGoalBC_Res,16)-INDEX(teffSumBC_Res,1,16))/(INDEX(doEff,2)-INDEX(doEff,1)))</f>
        <v>0</v>
      </c>
      <c r="U86" s="43">
        <f ca="1">(INDEX(teffSumBC_Res,1,17)&lt;INDEX(effGoalBC_Res,17)) * MIN(INDEX(bcEff_Res,1,16),(INDEX(effGoalBC_Res,17)-INDEX(teffSumBC_Res,1,17))/(INDEX(doEff,2)-INDEX(doEff,1)))</f>
        <v>0</v>
      </c>
      <c r="V86" s="43">
        <f ca="1">(INDEX(teffSumBC_Res,1,18)&lt;INDEX(effGoalBC_Res,18)) * MIN(INDEX(bcEff_Res,1,17),(INDEX(effGoalBC_Res,18)-INDEX(teffSumBC_Res,1,18))/(INDEX(doEff,2)-INDEX(doEff,1)))</f>
        <v>0</v>
      </c>
      <c r="W86" s="43">
        <f ca="1">(INDEX(teffSumBC_Res,1,19)&lt;INDEX(effGoalBC_Res,19)) * MIN(INDEX(bcEff_Res,1,18),(INDEX(effGoalBC_Res,19)-INDEX(teffSumBC_Res,1,19))/(INDEX(doEff,2)-INDEX(doEff,1)))</f>
        <v>0</v>
      </c>
      <c r="X86" s="43">
        <f ca="1">(INDEX(teffSumBC_Res,1,20)&lt;INDEX(effGoalBC_Res,20)) * MIN(INDEX(bcEff_Res,1,19),(INDEX(effGoalBC_Res,20)-INDEX(teffSumBC_Res,1,20))/(INDEX(doEff,2)-INDEX(doEff,1)))</f>
        <v>0</v>
      </c>
      <c r="Y86" s="43">
        <f ca="1">(INDEX(teffSumBC_Res,1,21)&lt;INDEX(effGoalBC_Res,21)) * MIN(INDEX(bcEff_Res,1,20),(INDEX(effGoalBC_Res,21)-INDEX(teffSumBC_Res,1,21))/(INDEX(doEff,2)-INDEX(doEff,1)))</f>
        <v>0</v>
      </c>
      <c r="Z86" s="43">
        <f ca="1">(INDEX(teffSumBC_Res,1,22)&lt;INDEX(effGoalBC_Res,22)) * MIN(INDEX(bcEff_Res,1,21),(INDEX(effGoalBC_Res,22)-INDEX(teffSumBC_Res,1,22))/(INDEX(doEff,2)-INDEX(doEff,1)))</f>
        <v>0</v>
      </c>
      <c r="AA86" s="43">
        <f ca="1">(INDEX(teffSumBC_Res,1,23)&lt;INDEX(effGoalBC_Res,23)) * MIN(INDEX(bcEff_Res,1,22),(INDEX(effGoalBC_Res,23)-INDEX(teffSumBC_Res,1,23))/(INDEX(doEff,2)-INDEX(doEff,1)))</f>
        <v>0</v>
      </c>
      <c r="AB86" s="43">
        <f ca="1">(INDEX(teffSumBC_Res,1,24)&lt;INDEX(effGoalBC_Res,24)) * MIN(INDEX(bcEff_Res,1,23),(INDEX(effGoalBC_Res,24)-INDEX(teffSumBC_Res,1,24))/(INDEX(doEff,2)-INDEX(doEff,1)))</f>
        <v>0</v>
      </c>
      <c r="AC86" s="43">
        <f ca="1">(INDEX(teffSumBC_Res,1,25)&lt;INDEX(effGoalBC_Res,25)) * MIN(INDEX(bcEff_Res,1,24),(INDEX(effGoalBC_Res,25)-INDEX(teffSumBC_Res,1,25))/(INDEX(doEff,2)-INDEX(doEff,1)))</f>
        <v>0</v>
      </c>
      <c r="AD86" s="43">
        <f ca="1">(INDEX(teffSumBC_Res,1,26)&lt;INDEX(effGoalBC_Res,26)) * MIN(INDEX(bcEff_Res,1,25),(INDEX(effGoalBC_Res,26)-INDEX(teffSumBC_Res,1,26))/(INDEX(doEff,2)-INDEX(doEff,1)))</f>
        <v>0</v>
      </c>
      <c r="AE86" s="43">
        <f ca="1">(INDEX(teffSumBC_Res,1,27)&lt;INDEX(effGoalBC_Res,27)) * MIN(INDEX(bcEff_Res,1,26),(INDEX(effGoalBC_Res,27)-INDEX(teffSumBC_Res,1,27))/(INDEX(doEff,2)-INDEX(doEff,1)))</f>
        <v>0</v>
      </c>
      <c r="AF86" s="43">
        <f ca="1">(INDEX(teffSumBC_Res,1,28)&lt;INDEX(effGoalBC_Res,28)) * MIN(INDEX(bcEff_Res,1,27),(INDEX(effGoalBC_Res,28)-INDEX(teffSumBC_Res,1,28))/(INDEX(doEff,2)-INDEX(doEff,1)))</f>
        <v>0</v>
      </c>
      <c r="AG86" s="43">
        <f ca="1">(INDEX(teffSumBC_Res,1,29)&lt;INDEX(effGoalBC_Res,29)) * MIN(INDEX(bcEff_Res,1,28),(INDEX(effGoalBC_Res,29)-INDEX(teffSumBC_Res,1,29))/(INDEX(doEff,2)-INDEX(doEff,1)))</f>
        <v>0</v>
      </c>
      <c r="AH86" s="43">
        <f ca="1">(INDEX(teffSumBC_Res,1,30)&lt;INDEX(effGoalBC_Res,30)) * MIN(INDEX(bcEff_Res,1,29),(INDEX(effGoalBC_Res,30)-INDEX(teffSumBC_Res,1,30))/(INDEX(doEff,2)-INDEX(doEff,1)))</f>
        <v>0</v>
      </c>
      <c r="AI86" s="43">
        <f ca="1">(INDEX(teffSumBC_Res,1,31)&lt;INDEX(effGoalBC_Res,31)) * MIN(INDEX(bcEff_Res,1,30),(INDEX(effGoalBC_Res,31)-INDEX(teffSumBC_Res,1,31))/(INDEX(doEff,2)-INDEX(doEff,1)))</f>
        <v>0</v>
      </c>
      <c r="AJ86" s="43">
        <f ca="1">(INDEX(teffSumBC_Res,1,32)&lt;INDEX(effGoalBC_Res,32)) * MIN(INDEX(bcEff_Res,1,31),(INDEX(effGoalBC_Res,32)-INDEX(teffSumBC_Res,1,32))/(INDEX(doEff,2)-INDEX(doEff,1)))</f>
        <v>0</v>
      </c>
      <c r="AK86" s="43">
        <f ca="1">(INDEX(teffSumBC_Res,1,33)&lt;INDEX(effGoalBC_Res,33)) * MIN(INDEX(bcEff_Res,1,32),(INDEX(effGoalBC_Res,33)-INDEX(teffSumBC_Res,1,33))/(INDEX(doEff,2)-INDEX(doEff,1)))</f>
        <v>0</v>
      </c>
      <c r="AL86" s="43">
        <f ca="1">(INDEX(teffSumBC_Res,1,34)&lt;INDEX(effGoalBC_Res,34)) * MIN(INDEX(bcEff_Res,1,33),(INDEX(effGoalBC_Res,34)-INDEX(teffSumBC_Res,1,34))/(INDEX(doEff,2)-INDEX(doEff,1)))</f>
        <v>0</v>
      </c>
      <c r="AM86" s="43">
        <f ca="1">(INDEX(teffSumBC_Res,1,35)&lt;INDEX(effGoalBC_Res,35)) * MIN(INDEX(bcEff_Res,1,34),(INDEX(effGoalBC_Res,35)-INDEX(teffSumBC_Res,1,35))/(INDEX(doEff,2)-INDEX(doEff,1)))</f>
        <v>0</v>
      </c>
      <c r="AN86" s="44">
        <f ca="1">(INDEX(teffSumBC_Res,1,36)&lt;INDEX(effGoalBC_Res,36)) * MIN(INDEX(bcEff_Res,1,35),(INDEX(effGoalBC_Res,36)-INDEX(teffSumBC_Res,1,36))/(INDEX(doEff,2)-INDEX(doEff,1)))</f>
        <v>0</v>
      </c>
      <c r="AO86" s="8"/>
    </row>
    <row r="87" spans="2:41" hidden="1" x14ac:dyDescent="0.35">
      <c r="B87" s="8"/>
      <c r="C87" s="19" t="str">
        <f>"EL 1: " &amp; INDEX(_doName,2,2)</f>
        <v>EL 1: Tier 1</v>
      </c>
      <c r="D87" s="11"/>
      <c r="E87" s="43"/>
      <c r="F87" s="43">
        <f ca="1">(INDEX(teffSumBC_Res,2,2)&lt;INDEX(effGoalBC_Res,2)) * MIN(INDEX(bcEff_Res,2,1)+INDEX(pushBC_Res,1),(INDEX(effGoalBC_Res,2)-INDEX(teffSumBC_Res,2,2))/(INDEX(doEff,3)-INDEX(doEff,2)))</f>
        <v>0</v>
      </c>
      <c r="G87" s="43">
        <f ca="1">(INDEX(teffSumBC_Res,2,3)&lt;INDEX(effGoalBC_Res,3)) * MIN(INDEX(bcEff_Res,2,2)+INDEX(pushBC_Res,1),(INDEX(effGoalBC_Res,3)-INDEX(teffSumBC_Res,2,3))/(INDEX(doEff,3)-INDEX(doEff,2)))</f>
        <v>0</v>
      </c>
      <c r="H87" s="43">
        <f ca="1">(INDEX(teffSumBC_Res,2,4)&lt;INDEX(effGoalBC_Res,4)) * MIN(INDEX(bcEff_Res,2,3)+INDEX(pushBC_Res,1),(INDEX(effGoalBC_Res,4)-INDEX(teffSumBC_Res,2,4))/(INDEX(doEff,3)-INDEX(doEff,2)))</f>
        <v>0</v>
      </c>
      <c r="I87" s="43">
        <f ca="1">(INDEX(teffSumBC_Res,2,5)&lt;INDEX(effGoalBC_Res,5)) * MIN(INDEX(bcEff_Res,2,4)+INDEX(pushBC_Res,1),(INDEX(effGoalBC_Res,5)-INDEX(teffSumBC_Res,2,5))/(INDEX(doEff,3)-INDEX(doEff,2)))</f>
        <v>0</v>
      </c>
      <c r="J87" s="43">
        <f ca="1">(INDEX(teffSumBC_Res,2,6)&lt;INDEX(effGoalBC_Res,6)) * MIN(INDEX(bcEff_Res,2,5)+INDEX(pushBC_Res,1),(INDEX(effGoalBC_Res,6)-INDEX(teffSumBC_Res,2,6))/(INDEX(doEff,3)-INDEX(doEff,2)))</f>
        <v>0</v>
      </c>
      <c r="K87" s="43">
        <f ca="1">(INDEX(teffSumBC_Res,2,7)&lt;INDEX(effGoalBC_Res,7)) * MIN(INDEX(bcEff_Res,2,6)+INDEX(pushBC_Res,1),(INDEX(effGoalBC_Res,7)-INDEX(teffSumBC_Res,2,7))/(INDEX(doEff,3)-INDEX(doEff,2)))</f>
        <v>0</v>
      </c>
      <c r="L87" s="43">
        <f ca="1">(INDEX(teffSumBC_Res,2,8)&lt;INDEX(effGoalBC_Res,8)) * MIN(INDEX(bcEff_Res,2,7)+INDEX(pushBC_Res,1),(INDEX(effGoalBC_Res,8)-INDEX(teffSumBC_Res,2,8))/(INDEX(doEff,3)-INDEX(doEff,2)))</f>
        <v>0</v>
      </c>
      <c r="M87" s="43">
        <f ca="1">(INDEX(teffSumBC_Res,2,9)&lt;INDEX(effGoalBC_Res,9)) * MIN(INDEX(bcEff_Res,2,8)+INDEX(pushBC_Res,1),(INDEX(effGoalBC_Res,9)-INDEX(teffSumBC_Res,2,9))/(INDEX(doEff,3)-INDEX(doEff,2)))</f>
        <v>0</v>
      </c>
      <c r="N87" s="43">
        <f ca="1">(INDEX(teffSumBC_Res,2,10)&lt;INDEX(effGoalBC_Res,10)) * MIN(INDEX(bcEff_Res,2,9)+INDEX(pushBC_Res,1),(INDEX(effGoalBC_Res,10)-INDEX(teffSumBC_Res,2,10))/(INDEX(doEff,3)-INDEX(doEff,2)))</f>
        <v>0</v>
      </c>
      <c r="O87" s="43">
        <f ca="1">(INDEX(teffSumBC_Res,2,11)&lt;INDEX(effGoalBC_Res,11)) * MIN(INDEX(bcEff_Res,2,10)+INDEX(pushBC_Res,1),(INDEX(effGoalBC_Res,11)-INDEX(teffSumBC_Res,2,11))/(INDEX(doEff,3)-INDEX(doEff,2)))</f>
        <v>0</v>
      </c>
      <c r="P87" s="43">
        <f ca="1">(INDEX(teffSumBC_Res,2,12)&lt;INDEX(effGoalBC_Res,12)) * MIN(INDEX(bcEff_Res,2,11)+INDEX(pushBC_Res,1),(INDEX(effGoalBC_Res,12)-INDEX(teffSumBC_Res,2,12))/(INDEX(doEff,3)-INDEX(doEff,2)))</f>
        <v>0</v>
      </c>
      <c r="Q87" s="43">
        <f ca="1">(INDEX(teffSumBC_Res,2,13)&lt;INDEX(effGoalBC_Res,13)) * MIN(INDEX(bcEff_Res,2,12)+INDEX(pushBC_Res,1),(INDEX(effGoalBC_Res,13)-INDEX(teffSumBC_Res,2,13))/(INDEX(doEff,3)-INDEX(doEff,2)))</f>
        <v>0</v>
      </c>
      <c r="R87" s="43">
        <f ca="1">(INDEX(teffSumBC_Res,2,14)&lt;INDEX(effGoalBC_Res,14)) * MIN(INDEX(bcEff_Res,2,13)+INDEX(pushBC_Res,1),(INDEX(effGoalBC_Res,14)-INDEX(teffSumBC_Res,2,14))/(INDEX(doEff,3)-INDEX(doEff,2)))</f>
        <v>0</v>
      </c>
      <c r="S87" s="43">
        <f ca="1">(INDEX(teffSumBC_Res,2,15)&lt;INDEX(effGoalBC_Res,15)) * MIN(INDEX(bcEff_Res,2,14)+INDEX(pushBC_Res,1),(INDEX(effGoalBC_Res,15)-INDEX(teffSumBC_Res,2,15))/(INDEX(doEff,3)-INDEX(doEff,2)))</f>
        <v>0</v>
      </c>
      <c r="T87" s="43">
        <f ca="1">(INDEX(teffSumBC_Res,2,16)&lt;INDEX(effGoalBC_Res,16)) * MIN(INDEX(bcEff_Res,2,15)+INDEX(pushBC_Res,1),(INDEX(effGoalBC_Res,16)-INDEX(teffSumBC_Res,2,16))/(INDEX(doEff,3)-INDEX(doEff,2)))</f>
        <v>0</v>
      </c>
      <c r="U87" s="43">
        <f ca="1">(INDEX(teffSumBC_Res,2,17)&lt;INDEX(effGoalBC_Res,17)) * MIN(INDEX(bcEff_Res,2,16)+INDEX(pushBC_Res,1),(INDEX(effGoalBC_Res,17)-INDEX(teffSumBC_Res,2,17))/(INDEX(doEff,3)-INDEX(doEff,2)))</f>
        <v>0</v>
      </c>
      <c r="V87" s="43">
        <f ca="1">(INDEX(teffSumBC_Res,2,18)&lt;INDEX(effGoalBC_Res,18)) * MIN(INDEX(bcEff_Res,2,17)+INDEX(pushBC_Res,1),(INDEX(effGoalBC_Res,18)-INDEX(teffSumBC_Res,2,18))/(INDEX(doEff,3)-INDEX(doEff,2)))</f>
        <v>0</v>
      </c>
      <c r="W87" s="43">
        <f ca="1">(INDEX(teffSumBC_Res,2,19)&lt;INDEX(effGoalBC_Res,19)) * MIN(INDEX(bcEff_Res,2,18)+INDEX(pushBC_Res,1),(INDEX(effGoalBC_Res,19)-INDEX(teffSumBC_Res,2,19))/(INDEX(doEff,3)-INDEX(doEff,2)))</f>
        <v>0</v>
      </c>
      <c r="X87" s="43">
        <f ca="1">(INDEX(teffSumBC_Res,2,20)&lt;INDEX(effGoalBC_Res,20)) * MIN(INDEX(bcEff_Res,2,19)+INDEX(pushBC_Res,1),(INDEX(effGoalBC_Res,20)-INDEX(teffSumBC_Res,2,20))/(INDEX(doEff,3)-INDEX(doEff,2)))</f>
        <v>0</v>
      </c>
      <c r="Y87" s="43">
        <f ca="1">(INDEX(teffSumBC_Res,2,21)&lt;INDEX(effGoalBC_Res,21)) * MIN(INDEX(bcEff_Res,2,20)+INDEX(pushBC_Res,1),(INDEX(effGoalBC_Res,21)-INDEX(teffSumBC_Res,2,21))/(INDEX(doEff,3)-INDEX(doEff,2)))</f>
        <v>0</v>
      </c>
      <c r="Z87" s="43">
        <f ca="1">(INDEX(teffSumBC_Res,2,22)&lt;INDEX(effGoalBC_Res,22)) * MIN(INDEX(bcEff_Res,2,21)+INDEX(pushBC_Res,1),(INDEX(effGoalBC_Res,22)-INDEX(teffSumBC_Res,2,22))/(INDEX(doEff,3)-INDEX(doEff,2)))</f>
        <v>0</v>
      </c>
      <c r="AA87" s="43">
        <f ca="1">(INDEX(teffSumBC_Res,2,23)&lt;INDEX(effGoalBC_Res,23)) * MIN(INDEX(bcEff_Res,2,22)+INDEX(pushBC_Res,1),(INDEX(effGoalBC_Res,23)-INDEX(teffSumBC_Res,2,23))/(INDEX(doEff,3)-INDEX(doEff,2)))</f>
        <v>0</v>
      </c>
      <c r="AB87" s="43">
        <f ca="1">(INDEX(teffSumBC_Res,2,24)&lt;INDEX(effGoalBC_Res,24)) * MIN(INDEX(bcEff_Res,2,23)+INDEX(pushBC_Res,1),(INDEX(effGoalBC_Res,24)-INDEX(teffSumBC_Res,2,24))/(INDEX(doEff,3)-INDEX(doEff,2)))</f>
        <v>0</v>
      </c>
      <c r="AC87" s="43">
        <f ca="1">(INDEX(teffSumBC_Res,2,25)&lt;INDEX(effGoalBC_Res,25)) * MIN(INDEX(bcEff_Res,2,24)+INDEX(pushBC_Res,1),(INDEX(effGoalBC_Res,25)-INDEX(teffSumBC_Res,2,25))/(INDEX(doEff,3)-INDEX(doEff,2)))</f>
        <v>0</v>
      </c>
      <c r="AD87" s="43">
        <f ca="1">(INDEX(teffSumBC_Res,2,26)&lt;INDEX(effGoalBC_Res,26)) * MIN(INDEX(bcEff_Res,2,25)+INDEX(pushBC_Res,1),(INDEX(effGoalBC_Res,26)-INDEX(teffSumBC_Res,2,26))/(INDEX(doEff,3)-INDEX(doEff,2)))</f>
        <v>0</v>
      </c>
      <c r="AE87" s="43">
        <f ca="1">(INDEX(teffSumBC_Res,2,27)&lt;INDEX(effGoalBC_Res,27)) * MIN(INDEX(bcEff_Res,2,26)+INDEX(pushBC_Res,1),(INDEX(effGoalBC_Res,27)-INDEX(teffSumBC_Res,2,27))/(INDEX(doEff,3)-INDEX(doEff,2)))</f>
        <v>0</v>
      </c>
      <c r="AF87" s="43">
        <f ca="1">(INDEX(teffSumBC_Res,2,28)&lt;INDEX(effGoalBC_Res,28)) * MIN(INDEX(bcEff_Res,2,27)+INDEX(pushBC_Res,1),(INDEX(effGoalBC_Res,28)-INDEX(teffSumBC_Res,2,28))/(INDEX(doEff,3)-INDEX(doEff,2)))</f>
        <v>0</v>
      </c>
      <c r="AG87" s="43">
        <f ca="1">(INDEX(teffSumBC_Res,2,29)&lt;INDEX(effGoalBC_Res,29)) * MIN(INDEX(bcEff_Res,2,28)+INDEX(pushBC_Res,1),(INDEX(effGoalBC_Res,29)-INDEX(teffSumBC_Res,2,29))/(INDEX(doEff,3)-INDEX(doEff,2)))</f>
        <v>0</v>
      </c>
      <c r="AH87" s="43">
        <f ca="1">(INDEX(teffSumBC_Res,2,30)&lt;INDEX(effGoalBC_Res,30)) * MIN(INDEX(bcEff_Res,2,29)+INDEX(pushBC_Res,1),(INDEX(effGoalBC_Res,30)-INDEX(teffSumBC_Res,2,30))/(INDEX(doEff,3)-INDEX(doEff,2)))</f>
        <v>0</v>
      </c>
      <c r="AI87" s="43">
        <f ca="1">(INDEX(teffSumBC_Res,2,31)&lt;INDEX(effGoalBC_Res,31)) * MIN(INDEX(bcEff_Res,2,30)+INDEX(pushBC_Res,1),(INDEX(effGoalBC_Res,31)-INDEX(teffSumBC_Res,2,31))/(INDEX(doEff,3)-INDEX(doEff,2)))</f>
        <v>0</v>
      </c>
      <c r="AJ87" s="43">
        <f ca="1">(INDEX(teffSumBC_Res,2,32)&lt;INDEX(effGoalBC_Res,32)) * MIN(INDEX(bcEff_Res,2,31)+INDEX(pushBC_Res,1),(INDEX(effGoalBC_Res,32)-INDEX(teffSumBC_Res,2,32))/(INDEX(doEff,3)-INDEX(doEff,2)))</f>
        <v>0</v>
      </c>
      <c r="AK87" s="43">
        <f ca="1">(INDEX(teffSumBC_Res,2,33)&lt;INDEX(effGoalBC_Res,33)) * MIN(INDEX(bcEff_Res,2,32)+INDEX(pushBC_Res,1),(INDEX(effGoalBC_Res,33)-INDEX(teffSumBC_Res,2,33))/(INDEX(doEff,3)-INDEX(doEff,2)))</f>
        <v>0</v>
      </c>
      <c r="AL87" s="43">
        <f ca="1">(INDEX(teffSumBC_Res,2,34)&lt;INDEX(effGoalBC_Res,34)) * MIN(INDEX(bcEff_Res,2,33)+INDEX(pushBC_Res,1),(INDEX(effGoalBC_Res,34)-INDEX(teffSumBC_Res,2,34))/(INDEX(doEff,3)-INDEX(doEff,2)))</f>
        <v>0</v>
      </c>
      <c r="AM87" s="43">
        <f ca="1">(INDEX(teffSumBC_Res,2,35)&lt;INDEX(effGoalBC_Res,35)) * MIN(INDEX(bcEff_Res,2,34)+INDEX(pushBC_Res,1),(INDEX(effGoalBC_Res,35)-INDEX(teffSumBC_Res,2,35))/(INDEX(doEff,3)-INDEX(doEff,2)))</f>
        <v>0</v>
      </c>
      <c r="AN87" s="44">
        <f ca="1">(INDEX(teffSumBC_Res,2,36)&lt;INDEX(effGoalBC_Res,36)) * MIN(INDEX(bcEff_Res,2,35)+INDEX(pushBC_Res,1),(INDEX(effGoalBC_Res,36)-INDEX(teffSumBC_Res,2,36))/(INDEX(doEff,3)-INDEX(doEff,2)))</f>
        <v>0</v>
      </c>
      <c r="AO87" s="8"/>
    </row>
    <row r="88" spans="2:41" hidden="1" x14ac:dyDescent="0.35">
      <c r="B88" s="8"/>
      <c r="C88" s="19" t="str">
        <f>"EL 2: " &amp; INDEX(_doName,2,3)</f>
        <v>EL 2: Tier 2</v>
      </c>
      <c r="D88" s="11"/>
      <c r="E88" s="43"/>
      <c r="F88" s="43">
        <f ca="1">(INDEX(teffSumBC_Res,3,2)&lt;INDEX(effGoalBC_Res,2)) * MIN(INDEX(bcEff_Res,3,1)+INDEX(pushBC_Res,2),(INDEX(effGoalBC_Res,2)-INDEX(teffSumBC_Res,3,2))/(INDEX(doEff,4)-INDEX(doEff,3)))</f>
        <v>0</v>
      </c>
      <c r="G88" s="43">
        <f ca="1">(INDEX(teffSumBC_Res,3,3)&lt;INDEX(effGoalBC_Res,3)) * MIN(INDEX(bcEff_Res,3,2)+INDEX(pushBC_Res,2),(INDEX(effGoalBC_Res,3)-INDEX(teffSumBC_Res,3,3))/(INDEX(doEff,4)-INDEX(doEff,3)))</f>
        <v>0</v>
      </c>
      <c r="H88" s="43">
        <f ca="1">(INDEX(teffSumBC_Res,3,4)&lt;INDEX(effGoalBC_Res,4)) * MIN(INDEX(bcEff_Res,3,3)+INDEX(pushBC_Res,2),(INDEX(effGoalBC_Res,4)-INDEX(teffSumBC_Res,3,4))/(INDEX(doEff,4)-INDEX(doEff,3)))</f>
        <v>0</v>
      </c>
      <c r="I88" s="43">
        <f ca="1">(INDEX(teffSumBC_Res,3,5)&lt;INDEX(effGoalBC_Res,5)) * MIN(INDEX(bcEff_Res,3,4)+INDEX(pushBC_Res,2),(INDEX(effGoalBC_Res,5)-INDEX(teffSumBC_Res,3,5))/(INDEX(doEff,4)-INDEX(doEff,3)))</f>
        <v>0</v>
      </c>
      <c r="J88" s="43">
        <f ca="1">(INDEX(teffSumBC_Res,3,6)&lt;INDEX(effGoalBC_Res,6)) * MIN(INDEX(bcEff_Res,3,5)+INDEX(pushBC_Res,2),(INDEX(effGoalBC_Res,6)-INDEX(teffSumBC_Res,3,6))/(INDEX(doEff,4)-INDEX(doEff,3)))</f>
        <v>0</v>
      </c>
      <c r="K88" s="43">
        <f ca="1">(INDEX(teffSumBC_Res,3,7)&lt;INDEX(effGoalBC_Res,7)) * MIN(INDEX(bcEff_Res,3,6)+INDEX(pushBC_Res,2),(INDEX(effGoalBC_Res,7)-INDEX(teffSumBC_Res,3,7))/(INDEX(doEff,4)-INDEX(doEff,3)))</f>
        <v>0</v>
      </c>
      <c r="L88" s="43">
        <f ca="1">(INDEX(teffSumBC_Res,3,8)&lt;INDEX(effGoalBC_Res,8)) * MIN(INDEX(bcEff_Res,3,7)+INDEX(pushBC_Res,2),(INDEX(effGoalBC_Res,8)-INDEX(teffSumBC_Res,3,8))/(INDEX(doEff,4)-INDEX(doEff,3)))</f>
        <v>0</v>
      </c>
      <c r="M88" s="43">
        <f ca="1">(INDEX(teffSumBC_Res,3,9)&lt;INDEX(effGoalBC_Res,9)) * MIN(INDEX(bcEff_Res,3,8)+INDEX(pushBC_Res,2),(INDEX(effGoalBC_Res,9)-INDEX(teffSumBC_Res,3,9))/(INDEX(doEff,4)-INDEX(doEff,3)))</f>
        <v>0</v>
      </c>
      <c r="N88" s="43">
        <f ca="1">(INDEX(teffSumBC_Res,3,10)&lt;INDEX(effGoalBC_Res,10)) * MIN(INDEX(bcEff_Res,3,9)+INDEX(pushBC_Res,2),(INDEX(effGoalBC_Res,10)-INDEX(teffSumBC_Res,3,10))/(INDEX(doEff,4)-INDEX(doEff,3)))</f>
        <v>0</v>
      </c>
      <c r="O88" s="43">
        <f ca="1">(INDEX(teffSumBC_Res,3,11)&lt;INDEX(effGoalBC_Res,11)) * MIN(INDEX(bcEff_Res,3,10)+INDEX(pushBC_Res,2),(INDEX(effGoalBC_Res,11)-INDEX(teffSumBC_Res,3,11))/(INDEX(doEff,4)-INDEX(doEff,3)))</f>
        <v>0</v>
      </c>
      <c r="P88" s="43">
        <f ca="1">(INDEX(teffSumBC_Res,3,12)&lt;INDEX(effGoalBC_Res,12)) * MIN(INDEX(bcEff_Res,3,11)+INDEX(pushBC_Res,2),(INDEX(effGoalBC_Res,12)-INDEX(teffSumBC_Res,3,12))/(INDEX(doEff,4)-INDEX(doEff,3)))</f>
        <v>0</v>
      </c>
      <c r="Q88" s="43">
        <f ca="1">(INDEX(teffSumBC_Res,3,13)&lt;INDEX(effGoalBC_Res,13)) * MIN(INDEX(bcEff_Res,3,12)+INDEX(pushBC_Res,2),(INDEX(effGoalBC_Res,13)-INDEX(teffSumBC_Res,3,13))/(INDEX(doEff,4)-INDEX(doEff,3)))</f>
        <v>0</v>
      </c>
      <c r="R88" s="43">
        <f ca="1">(INDEX(teffSumBC_Res,3,14)&lt;INDEX(effGoalBC_Res,14)) * MIN(INDEX(bcEff_Res,3,13)+INDEX(pushBC_Res,2),(INDEX(effGoalBC_Res,14)-INDEX(teffSumBC_Res,3,14))/(INDEX(doEff,4)-INDEX(doEff,3)))</f>
        <v>0</v>
      </c>
      <c r="S88" s="43">
        <f ca="1">(INDEX(teffSumBC_Res,3,15)&lt;INDEX(effGoalBC_Res,15)) * MIN(INDEX(bcEff_Res,3,14)+INDEX(pushBC_Res,2),(INDEX(effGoalBC_Res,15)-INDEX(teffSumBC_Res,3,15))/(INDEX(doEff,4)-INDEX(doEff,3)))</f>
        <v>0</v>
      </c>
      <c r="T88" s="43">
        <f ca="1">(INDEX(teffSumBC_Res,3,16)&lt;INDEX(effGoalBC_Res,16)) * MIN(INDEX(bcEff_Res,3,15)+INDEX(pushBC_Res,2),(INDEX(effGoalBC_Res,16)-INDEX(teffSumBC_Res,3,16))/(INDEX(doEff,4)-INDEX(doEff,3)))</f>
        <v>0</v>
      </c>
      <c r="U88" s="43">
        <f ca="1">(INDEX(teffSumBC_Res,3,17)&lt;INDEX(effGoalBC_Res,17)) * MIN(INDEX(bcEff_Res,3,16)+INDEX(pushBC_Res,2),(INDEX(effGoalBC_Res,17)-INDEX(teffSumBC_Res,3,17))/(INDEX(doEff,4)-INDEX(doEff,3)))</f>
        <v>0</v>
      </c>
      <c r="V88" s="43">
        <f ca="1">(INDEX(teffSumBC_Res,3,18)&lt;INDEX(effGoalBC_Res,18)) * MIN(INDEX(bcEff_Res,3,17)+INDEX(pushBC_Res,2),(INDEX(effGoalBC_Res,18)-INDEX(teffSumBC_Res,3,18))/(INDEX(doEff,4)-INDEX(doEff,3)))</f>
        <v>0</v>
      </c>
      <c r="W88" s="43">
        <f ca="1">(INDEX(teffSumBC_Res,3,19)&lt;INDEX(effGoalBC_Res,19)) * MIN(INDEX(bcEff_Res,3,18)+INDEX(pushBC_Res,2),(INDEX(effGoalBC_Res,19)-INDEX(teffSumBC_Res,3,19))/(INDEX(doEff,4)-INDEX(doEff,3)))</f>
        <v>0</v>
      </c>
      <c r="X88" s="43">
        <f ca="1">(INDEX(teffSumBC_Res,3,20)&lt;INDEX(effGoalBC_Res,20)) * MIN(INDEX(bcEff_Res,3,19)+INDEX(pushBC_Res,2),(INDEX(effGoalBC_Res,20)-INDEX(teffSumBC_Res,3,20))/(INDEX(doEff,4)-INDEX(doEff,3)))</f>
        <v>0</v>
      </c>
      <c r="Y88" s="43">
        <f ca="1">(INDEX(teffSumBC_Res,3,21)&lt;INDEX(effGoalBC_Res,21)) * MIN(INDEX(bcEff_Res,3,20)+INDEX(pushBC_Res,2),(INDEX(effGoalBC_Res,21)-INDEX(teffSumBC_Res,3,21))/(INDEX(doEff,4)-INDEX(doEff,3)))</f>
        <v>0</v>
      </c>
      <c r="Z88" s="43">
        <f ca="1">(INDEX(teffSumBC_Res,3,22)&lt;INDEX(effGoalBC_Res,22)) * MIN(INDEX(bcEff_Res,3,21)+INDEX(pushBC_Res,2),(INDEX(effGoalBC_Res,22)-INDEX(teffSumBC_Res,3,22))/(INDEX(doEff,4)-INDEX(doEff,3)))</f>
        <v>0</v>
      </c>
      <c r="AA88" s="43">
        <f ca="1">(INDEX(teffSumBC_Res,3,23)&lt;INDEX(effGoalBC_Res,23)) * MIN(INDEX(bcEff_Res,3,22)+INDEX(pushBC_Res,2),(INDEX(effGoalBC_Res,23)-INDEX(teffSumBC_Res,3,23))/(INDEX(doEff,4)-INDEX(doEff,3)))</f>
        <v>0</v>
      </c>
      <c r="AB88" s="43">
        <f ca="1">(INDEX(teffSumBC_Res,3,24)&lt;INDEX(effGoalBC_Res,24)) * MIN(INDEX(bcEff_Res,3,23)+INDEX(pushBC_Res,2),(INDEX(effGoalBC_Res,24)-INDEX(teffSumBC_Res,3,24))/(INDEX(doEff,4)-INDEX(doEff,3)))</f>
        <v>0</v>
      </c>
      <c r="AC88" s="43">
        <f ca="1">(INDEX(teffSumBC_Res,3,25)&lt;INDEX(effGoalBC_Res,25)) * MIN(INDEX(bcEff_Res,3,24)+INDEX(pushBC_Res,2),(INDEX(effGoalBC_Res,25)-INDEX(teffSumBC_Res,3,25))/(INDEX(doEff,4)-INDEX(doEff,3)))</f>
        <v>0</v>
      </c>
      <c r="AD88" s="43">
        <f ca="1">(INDEX(teffSumBC_Res,3,26)&lt;INDEX(effGoalBC_Res,26)) * MIN(INDEX(bcEff_Res,3,25)+INDEX(pushBC_Res,2),(INDEX(effGoalBC_Res,26)-INDEX(teffSumBC_Res,3,26))/(INDEX(doEff,4)-INDEX(doEff,3)))</f>
        <v>0</v>
      </c>
      <c r="AE88" s="43">
        <f ca="1">(INDEX(teffSumBC_Res,3,27)&lt;INDEX(effGoalBC_Res,27)) * MIN(INDEX(bcEff_Res,3,26)+INDEX(pushBC_Res,2),(INDEX(effGoalBC_Res,27)-INDEX(teffSumBC_Res,3,27))/(INDEX(doEff,4)-INDEX(doEff,3)))</f>
        <v>0</v>
      </c>
      <c r="AF88" s="43">
        <f ca="1">(INDEX(teffSumBC_Res,3,28)&lt;INDEX(effGoalBC_Res,28)) * MIN(INDEX(bcEff_Res,3,27)+INDEX(pushBC_Res,2),(INDEX(effGoalBC_Res,28)-INDEX(teffSumBC_Res,3,28))/(INDEX(doEff,4)-INDEX(doEff,3)))</f>
        <v>0</v>
      </c>
      <c r="AG88" s="43">
        <f ca="1">(INDEX(teffSumBC_Res,3,29)&lt;INDEX(effGoalBC_Res,29)) * MIN(INDEX(bcEff_Res,3,28)+INDEX(pushBC_Res,2),(INDEX(effGoalBC_Res,29)-INDEX(teffSumBC_Res,3,29))/(INDEX(doEff,4)-INDEX(doEff,3)))</f>
        <v>0</v>
      </c>
      <c r="AH88" s="43">
        <f ca="1">(INDEX(teffSumBC_Res,3,30)&lt;INDEX(effGoalBC_Res,30)) * MIN(INDEX(bcEff_Res,3,29)+INDEX(pushBC_Res,2),(INDEX(effGoalBC_Res,30)-INDEX(teffSumBC_Res,3,30))/(INDEX(doEff,4)-INDEX(doEff,3)))</f>
        <v>0</v>
      </c>
      <c r="AI88" s="43">
        <f ca="1">(INDEX(teffSumBC_Res,3,31)&lt;INDEX(effGoalBC_Res,31)) * MIN(INDEX(bcEff_Res,3,30)+INDEX(pushBC_Res,2),(INDEX(effGoalBC_Res,31)-INDEX(teffSumBC_Res,3,31))/(INDEX(doEff,4)-INDEX(doEff,3)))</f>
        <v>0</v>
      </c>
      <c r="AJ88" s="43">
        <f ca="1">(INDEX(teffSumBC_Res,3,32)&lt;INDEX(effGoalBC_Res,32)) * MIN(INDEX(bcEff_Res,3,31)+INDEX(pushBC_Res,2),(INDEX(effGoalBC_Res,32)-INDEX(teffSumBC_Res,3,32))/(INDEX(doEff,4)-INDEX(doEff,3)))</f>
        <v>0</v>
      </c>
      <c r="AK88" s="43">
        <f ca="1">(INDEX(teffSumBC_Res,3,33)&lt;INDEX(effGoalBC_Res,33)) * MIN(INDEX(bcEff_Res,3,32)+INDEX(pushBC_Res,2),(INDEX(effGoalBC_Res,33)-INDEX(teffSumBC_Res,3,33))/(INDEX(doEff,4)-INDEX(doEff,3)))</f>
        <v>0</v>
      </c>
      <c r="AL88" s="43">
        <f ca="1">(INDEX(teffSumBC_Res,3,34)&lt;INDEX(effGoalBC_Res,34)) * MIN(INDEX(bcEff_Res,3,33)+INDEX(pushBC_Res,2),(INDEX(effGoalBC_Res,34)-INDEX(teffSumBC_Res,3,34))/(INDEX(doEff,4)-INDEX(doEff,3)))</f>
        <v>0</v>
      </c>
      <c r="AM88" s="43">
        <f ca="1">(INDEX(teffSumBC_Res,3,35)&lt;INDEX(effGoalBC_Res,35)) * MIN(INDEX(bcEff_Res,3,34)+INDEX(pushBC_Res,2),(INDEX(effGoalBC_Res,35)-INDEX(teffSumBC_Res,3,35))/(INDEX(doEff,4)-INDEX(doEff,3)))</f>
        <v>0</v>
      </c>
      <c r="AN88" s="44">
        <f ca="1">(INDEX(teffSumBC_Res,3,36)&lt;INDEX(effGoalBC_Res,36)) * MIN(INDEX(bcEff_Res,3,35)+INDEX(pushBC_Res,2),(INDEX(effGoalBC_Res,36)-INDEX(teffSumBC_Res,3,36))/(INDEX(doEff,4)-INDEX(doEff,3)))</f>
        <v>0</v>
      </c>
      <c r="AO88" s="8"/>
    </row>
    <row r="89" spans="2:41" hidden="1" x14ac:dyDescent="0.35">
      <c r="B89" s="8"/>
      <c r="C89" s="19" t="str">
        <f>"EL 3: " &amp; INDEX(_doName,2,4)</f>
        <v>EL 3: EL 3</v>
      </c>
      <c r="D89" s="11"/>
      <c r="E89" s="43"/>
      <c r="F89" s="43">
        <f ca="1">(INDEX(teffSumBC_Res,4,2)&lt;INDEX(effGoalBC_Res,2)) * MIN(INDEX(bcEff_Res,4,1)+INDEX(pushBC_Res,3),(INDEX(effGoalBC_Res,2)-INDEX(teffSumBC_Res,4,2))/(INDEX(doEff,5)-INDEX(doEff,4)))</f>
        <v>0</v>
      </c>
      <c r="G89" s="43">
        <f ca="1">(INDEX(teffSumBC_Res,4,3)&lt;INDEX(effGoalBC_Res,3)) * MIN(INDEX(bcEff_Res,4,2)+INDEX(pushBC_Res,3),(INDEX(effGoalBC_Res,3)-INDEX(teffSumBC_Res,4,3))/(INDEX(doEff,5)-INDEX(doEff,4)))</f>
        <v>0</v>
      </c>
      <c r="H89" s="43">
        <f ca="1">(INDEX(teffSumBC_Res,4,4)&lt;INDEX(effGoalBC_Res,4)) * MIN(INDEX(bcEff_Res,4,3)+INDEX(pushBC_Res,3),(INDEX(effGoalBC_Res,4)-INDEX(teffSumBC_Res,4,4))/(INDEX(doEff,5)-INDEX(doEff,4)))</f>
        <v>0</v>
      </c>
      <c r="I89" s="43">
        <f ca="1">(INDEX(teffSumBC_Res,4,5)&lt;INDEX(effGoalBC_Res,5)) * MIN(INDEX(bcEff_Res,4,4)+INDEX(pushBC_Res,3),(INDEX(effGoalBC_Res,5)-INDEX(teffSumBC_Res,4,5))/(INDEX(doEff,5)-INDEX(doEff,4)))</f>
        <v>0</v>
      </c>
      <c r="J89" s="43">
        <f ca="1">(INDEX(teffSumBC_Res,4,6)&lt;INDEX(effGoalBC_Res,6)) * MIN(INDEX(bcEff_Res,4,5)+INDEX(pushBC_Res,3),(INDEX(effGoalBC_Res,6)-INDEX(teffSumBC_Res,4,6))/(INDEX(doEff,5)-INDEX(doEff,4)))</f>
        <v>0</v>
      </c>
      <c r="K89" s="43">
        <f ca="1">(INDEX(teffSumBC_Res,4,7)&lt;INDEX(effGoalBC_Res,7)) * MIN(INDEX(bcEff_Res,4,6)+INDEX(pushBC_Res,3),(INDEX(effGoalBC_Res,7)-INDEX(teffSumBC_Res,4,7))/(INDEX(doEff,5)-INDEX(doEff,4)))</f>
        <v>0</v>
      </c>
      <c r="L89" s="43">
        <f ca="1">(INDEX(teffSumBC_Res,4,8)&lt;INDEX(effGoalBC_Res,8)) * MIN(INDEX(bcEff_Res,4,7)+INDEX(pushBC_Res,3),(INDEX(effGoalBC_Res,8)-INDEX(teffSumBC_Res,4,8))/(INDEX(doEff,5)-INDEX(doEff,4)))</f>
        <v>0</v>
      </c>
      <c r="M89" s="43">
        <f ca="1">(INDEX(teffSumBC_Res,4,9)&lt;INDEX(effGoalBC_Res,9)) * MIN(INDEX(bcEff_Res,4,8)+INDEX(pushBC_Res,3),(INDEX(effGoalBC_Res,9)-INDEX(teffSumBC_Res,4,9))/(INDEX(doEff,5)-INDEX(doEff,4)))</f>
        <v>0</v>
      </c>
      <c r="N89" s="43">
        <f ca="1">(INDEX(teffSumBC_Res,4,10)&lt;INDEX(effGoalBC_Res,10)) * MIN(INDEX(bcEff_Res,4,9)+INDEX(pushBC_Res,3),(INDEX(effGoalBC_Res,10)-INDEX(teffSumBC_Res,4,10))/(INDEX(doEff,5)-INDEX(doEff,4)))</f>
        <v>0</v>
      </c>
      <c r="O89" s="43">
        <f ca="1">(INDEX(teffSumBC_Res,4,11)&lt;INDEX(effGoalBC_Res,11)) * MIN(INDEX(bcEff_Res,4,10)+INDEX(pushBC_Res,3),(INDEX(effGoalBC_Res,11)-INDEX(teffSumBC_Res,4,11))/(INDEX(doEff,5)-INDEX(doEff,4)))</f>
        <v>0</v>
      </c>
      <c r="P89" s="43">
        <f ca="1">(INDEX(teffSumBC_Res,4,12)&lt;INDEX(effGoalBC_Res,12)) * MIN(INDEX(bcEff_Res,4,11)+INDEX(pushBC_Res,3),(INDEX(effGoalBC_Res,12)-INDEX(teffSumBC_Res,4,12))/(INDEX(doEff,5)-INDEX(doEff,4)))</f>
        <v>0</v>
      </c>
      <c r="Q89" s="43">
        <f ca="1">(INDEX(teffSumBC_Res,4,13)&lt;INDEX(effGoalBC_Res,13)) * MIN(INDEX(bcEff_Res,4,12)+INDEX(pushBC_Res,3),(INDEX(effGoalBC_Res,13)-INDEX(teffSumBC_Res,4,13))/(INDEX(doEff,5)-INDEX(doEff,4)))</f>
        <v>0</v>
      </c>
      <c r="R89" s="43">
        <f ca="1">(INDEX(teffSumBC_Res,4,14)&lt;INDEX(effGoalBC_Res,14)) * MIN(INDEX(bcEff_Res,4,13)+INDEX(pushBC_Res,3),(INDEX(effGoalBC_Res,14)-INDEX(teffSumBC_Res,4,14))/(INDEX(doEff,5)-INDEX(doEff,4)))</f>
        <v>0</v>
      </c>
      <c r="S89" s="43">
        <f ca="1">(INDEX(teffSumBC_Res,4,15)&lt;INDEX(effGoalBC_Res,15)) * MIN(INDEX(bcEff_Res,4,14)+INDEX(pushBC_Res,3),(INDEX(effGoalBC_Res,15)-INDEX(teffSumBC_Res,4,15))/(INDEX(doEff,5)-INDEX(doEff,4)))</f>
        <v>0</v>
      </c>
      <c r="T89" s="43">
        <f ca="1">(INDEX(teffSumBC_Res,4,16)&lt;INDEX(effGoalBC_Res,16)) * MIN(INDEX(bcEff_Res,4,15)+INDEX(pushBC_Res,3),(INDEX(effGoalBC_Res,16)-INDEX(teffSumBC_Res,4,16))/(INDEX(doEff,5)-INDEX(doEff,4)))</f>
        <v>0</v>
      </c>
      <c r="U89" s="43">
        <f ca="1">(INDEX(teffSumBC_Res,4,17)&lt;INDEX(effGoalBC_Res,17)) * MIN(INDEX(bcEff_Res,4,16)+INDEX(pushBC_Res,3),(INDEX(effGoalBC_Res,17)-INDEX(teffSumBC_Res,4,17))/(INDEX(doEff,5)-INDEX(doEff,4)))</f>
        <v>0</v>
      </c>
      <c r="V89" s="43">
        <f ca="1">(INDEX(teffSumBC_Res,4,18)&lt;INDEX(effGoalBC_Res,18)) * MIN(INDEX(bcEff_Res,4,17)+INDEX(pushBC_Res,3),(INDEX(effGoalBC_Res,18)-INDEX(teffSumBC_Res,4,18))/(INDEX(doEff,5)-INDEX(doEff,4)))</f>
        <v>0</v>
      </c>
      <c r="W89" s="43">
        <f ca="1">(INDEX(teffSumBC_Res,4,19)&lt;INDEX(effGoalBC_Res,19)) * MIN(INDEX(bcEff_Res,4,18)+INDEX(pushBC_Res,3),(INDEX(effGoalBC_Res,19)-INDEX(teffSumBC_Res,4,19))/(INDEX(doEff,5)-INDEX(doEff,4)))</f>
        <v>0</v>
      </c>
      <c r="X89" s="43">
        <f ca="1">(INDEX(teffSumBC_Res,4,20)&lt;INDEX(effGoalBC_Res,20)) * MIN(INDEX(bcEff_Res,4,19)+INDEX(pushBC_Res,3),(INDEX(effGoalBC_Res,20)-INDEX(teffSumBC_Res,4,20))/(INDEX(doEff,5)-INDEX(doEff,4)))</f>
        <v>0</v>
      </c>
      <c r="Y89" s="43">
        <f ca="1">(INDEX(teffSumBC_Res,4,21)&lt;INDEX(effGoalBC_Res,21)) * MIN(INDEX(bcEff_Res,4,20)+INDEX(pushBC_Res,3),(INDEX(effGoalBC_Res,21)-INDEX(teffSumBC_Res,4,21))/(INDEX(doEff,5)-INDEX(doEff,4)))</f>
        <v>0</v>
      </c>
      <c r="Z89" s="43">
        <f ca="1">(INDEX(teffSumBC_Res,4,22)&lt;INDEX(effGoalBC_Res,22)) * MIN(INDEX(bcEff_Res,4,21)+INDEX(pushBC_Res,3),(INDEX(effGoalBC_Res,22)-INDEX(teffSumBC_Res,4,22))/(INDEX(doEff,5)-INDEX(doEff,4)))</f>
        <v>0</v>
      </c>
      <c r="AA89" s="43">
        <f ca="1">(INDEX(teffSumBC_Res,4,23)&lt;INDEX(effGoalBC_Res,23)) * MIN(INDEX(bcEff_Res,4,22)+INDEX(pushBC_Res,3),(INDEX(effGoalBC_Res,23)-INDEX(teffSumBC_Res,4,23))/(INDEX(doEff,5)-INDEX(doEff,4)))</f>
        <v>0</v>
      </c>
      <c r="AB89" s="43">
        <f ca="1">(INDEX(teffSumBC_Res,4,24)&lt;INDEX(effGoalBC_Res,24)) * MIN(INDEX(bcEff_Res,4,23)+INDEX(pushBC_Res,3),(INDEX(effGoalBC_Res,24)-INDEX(teffSumBC_Res,4,24))/(INDEX(doEff,5)-INDEX(doEff,4)))</f>
        <v>0</v>
      </c>
      <c r="AC89" s="43">
        <f ca="1">(INDEX(teffSumBC_Res,4,25)&lt;INDEX(effGoalBC_Res,25)) * MIN(INDEX(bcEff_Res,4,24)+INDEX(pushBC_Res,3),(INDEX(effGoalBC_Res,25)-INDEX(teffSumBC_Res,4,25))/(INDEX(doEff,5)-INDEX(doEff,4)))</f>
        <v>0</v>
      </c>
      <c r="AD89" s="43">
        <f ca="1">(INDEX(teffSumBC_Res,4,26)&lt;INDEX(effGoalBC_Res,26)) * MIN(INDEX(bcEff_Res,4,25)+INDEX(pushBC_Res,3),(INDEX(effGoalBC_Res,26)-INDEX(teffSumBC_Res,4,26))/(INDEX(doEff,5)-INDEX(doEff,4)))</f>
        <v>0</v>
      </c>
      <c r="AE89" s="43">
        <f ca="1">(INDEX(teffSumBC_Res,4,27)&lt;INDEX(effGoalBC_Res,27)) * MIN(INDEX(bcEff_Res,4,26)+INDEX(pushBC_Res,3),(INDEX(effGoalBC_Res,27)-INDEX(teffSumBC_Res,4,27))/(INDEX(doEff,5)-INDEX(doEff,4)))</f>
        <v>0</v>
      </c>
      <c r="AF89" s="43">
        <f ca="1">(INDEX(teffSumBC_Res,4,28)&lt;INDEX(effGoalBC_Res,28)) * MIN(INDEX(bcEff_Res,4,27)+INDEX(pushBC_Res,3),(INDEX(effGoalBC_Res,28)-INDEX(teffSumBC_Res,4,28))/(INDEX(doEff,5)-INDEX(doEff,4)))</f>
        <v>0</v>
      </c>
      <c r="AG89" s="43">
        <f ca="1">(INDEX(teffSumBC_Res,4,29)&lt;INDEX(effGoalBC_Res,29)) * MIN(INDEX(bcEff_Res,4,28)+INDEX(pushBC_Res,3),(INDEX(effGoalBC_Res,29)-INDEX(teffSumBC_Res,4,29))/(INDEX(doEff,5)-INDEX(doEff,4)))</f>
        <v>0</v>
      </c>
      <c r="AH89" s="43">
        <f ca="1">(INDEX(teffSumBC_Res,4,30)&lt;INDEX(effGoalBC_Res,30)) * MIN(INDEX(bcEff_Res,4,29)+INDEX(pushBC_Res,3),(INDEX(effGoalBC_Res,30)-INDEX(teffSumBC_Res,4,30))/(INDEX(doEff,5)-INDEX(doEff,4)))</f>
        <v>0</v>
      </c>
      <c r="AI89" s="43">
        <f ca="1">(INDEX(teffSumBC_Res,4,31)&lt;INDEX(effGoalBC_Res,31)) * MIN(INDEX(bcEff_Res,4,30)+INDEX(pushBC_Res,3),(INDEX(effGoalBC_Res,31)-INDEX(teffSumBC_Res,4,31))/(INDEX(doEff,5)-INDEX(doEff,4)))</f>
        <v>0</v>
      </c>
      <c r="AJ89" s="43">
        <f ca="1">(INDEX(teffSumBC_Res,4,32)&lt;INDEX(effGoalBC_Res,32)) * MIN(INDEX(bcEff_Res,4,31)+INDEX(pushBC_Res,3),(INDEX(effGoalBC_Res,32)-INDEX(teffSumBC_Res,4,32))/(INDEX(doEff,5)-INDEX(doEff,4)))</f>
        <v>0</v>
      </c>
      <c r="AK89" s="43">
        <f ca="1">(INDEX(teffSumBC_Res,4,33)&lt;INDEX(effGoalBC_Res,33)) * MIN(INDEX(bcEff_Res,4,32)+INDEX(pushBC_Res,3),(INDEX(effGoalBC_Res,33)-INDEX(teffSumBC_Res,4,33))/(INDEX(doEff,5)-INDEX(doEff,4)))</f>
        <v>0</v>
      </c>
      <c r="AL89" s="43">
        <f ca="1">(INDEX(teffSumBC_Res,4,34)&lt;INDEX(effGoalBC_Res,34)) * MIN(INDEX(bcEff_Res,4,33)+INDEX(pushBC_Res,3),(INDEX(effGoalBC_Res,34)-INDEX(teffSumBC_Res,4,34))/(INDEX(doEff,5)-INDEX(doEff,4)))</f>
        <v>0</v>
      </c>
      <c r="AM89" s="43">
        <f ca="1">(INDEX(teffSumBC_Res,4,35)&lt;INDEX(effGoalBC_Res,35)) * MIN(INDEX(bcEff_Res,4,34)+INDEX(pushBC_Res,3),(INDEX(effGoalBC_Res,35)-INDEX(teffSumBC_Res,4,35))/(INDEX(doEff,5)-INDEX(doEff,4)))</f>
        <v>0</v>
      </c>
      <c r="AN89" s="44">
        <f ca="1">(INDEX(teffSumBC_Res,4,36)&lt;INDEX(effGoalBC_Res,36)) * MIN(INDEX(bcEff_Res,4,35)+INDEX(pushBC_Res,3),(INDEX(effGoalBC_Res,36)-INDEX(teffSumBC_Res,4,36))/(INDEX(doEff,5)-INDEX(doEff,4)))</f>
        <v>0</v>
      </c>
      <c r="AO89" s="8"/>
    </row>
    <row r="90" spans="2:41" hidden="1" x14ac:dyDescent="0.35">
      <c r="B90" s="8"/>
      <c r="C90" s="35" t="str">
        <f>"EL 4: " &amp; INDEX(_doName,2,5)</f>
        <v>EL 4: EL 4</v>
      </c>
      <c r="D90" s="15"/>
      <c r="E90" s="45"/>
      <c r="F90" s="45">
        <f>0</f>
        <v>0</v>
      </c>
      <c r="G90" s="45">
        <f>0</f>
        <v>0</v>
      </c>
      <c r="H90" s="45">
        <f>0</f>
        <v>0</v>
      </c>
      <c r="I90" s="45">
        <f>0</f>
        <v>0</v>
      </c>
      <c r="J90" s="45">
        <f>0</f>
        <v>0</v>
      </c>
      <c r="K90" s="45">
        <f>0</f>
        <v>0</v>
      </c>
      <c r="L90" s="45">
        <f>0</f>
        <v>0</v>
      </c>
      <c r="M90" s="45">
        <f>0</f>
        <v>0</v>
      </c>
      <c r="N90" s="45">
        <f>0</f>
        <v>0</v>
      </c>
      <c r="O90" s="45">
        <f>0</f>
        <v>0</v>
      </c>
      <c r="P90" s="45">
        <f>0</f>
        <v>0</v>
      </c>
      <c r="Q90" s="45">
        <f>0</f>
        <v>0</v>
      </c>
      <c r="R90" s="45">
        <f>0</f>
        <v>0</v>
      </c>
      <c r="S90" s="45">
        <f>0</f>
        <v>0</v>
      </c>
      <c r="T90" s="45">
        <f>0</f>
        <v>0</v>
      </c>
      <c r="U90" s="45">
        <f>0</f>
        <v>0</v>
      </c>
      <c r="V90" s="45">
        <f>0</f>
        <v>0</v>
      </c>
      <c r="W90" s="45">
        <f>0</f>
        <v>0</v>
      </c>
      <c r="X90" s="45">
        <f>0</f>
        <v>0</v>
      </c>
      <c r="Y90" s="45">
        <f>0</f>
        <v>0</v>
      </c>
      <c r="Z90" s="45">
        <f>0</f>
        <v>0</v>
      </c>
      <c r="AA90" s="45">
        <f>0</f>
        <v>0</v>
      </c>
      <c r="AB90" s="45">
        <f>0</f>
        <v>0</v>
      </c>
      <c r="AC90" s="45">
        <f>0</f>
        <v>0</v>
      </c>
      <c r="AD90" s="45">
        <f>0</f>
        <v>0</v>
      </c>
      <c r="AE90" s="45">
        <f>0</f>
        <v>0</v>
      </c>
      <c r="AF90" s="45">
        <f>0</f>
        <v>0</v>
      </c>
      <c r="AG90" s="45">
        <f>0</f>
        <v>0</v>
      </c>
      <c r="AH90" s="45">
        <f>0</f>
        <v>0</v>
      </c>
      <c r="AI90" s="45">
        <f>0</f>
        <v>0</v>
      </c>
      <c r="AJ90" s="45">
        <f>0</f>
        <v>0</v>
      </c>
      <c r="AK90" s="45">
        <f>0</f>
        <v>0</v>
      </c>
      <c r="AL90" s="45">
        <f>0</f>
        <v>0</v>
      </c>
      <c r="AM90" s="45">
        <f>0</f>
        <v>0</v>
      </c>
      <c r="AN90" s="46">
        <f>0</f>
        <v>0</v>
      </c>
      <c r="AO90" s="8"/>
    </row>
    <row r="91" spans="2:41" hidden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</row>
    <row r="92" spans="2:41" hidden="1" x14ac:dyDescent="0.35">
      <c r="B92" s="8"/>
      <c r="C92" s="23" t="s">
        <v>99</v>
      </c>
      <c r="D92" s="24"/>
      <c r="E92" s="26">
        <f t="array" ref="E92:AN92">_yS</f>
        <v>2024</v>
      </c>
      <c r="F92" s="26">
        <v>2025</v>
      </c>
      <c r="G92" s="26">
        <v>2026</v>
      </c>
      <c r="H92" s="26">
        <v>2027</v>
      </c>
      <c r="I92" s="26">
        <v>2028</v>
      </c>
      <c r="J92" s="26">
        <v>2029</v>
      </c>
      <c r="K92" s="26">
        <v>2030</v>
      </c>
      <c r="L92" s="26">
        <v>2031</v>
      </c>
      <c r="M92" s="26">
        <v>2032</v>
      </c>
      <c r="N92" s="26">
        <v>2033</v>
      </c>
      <c r="O92" s="26">
        <v>2034</v>
      </c>
      <c r="P92" s="26">
        <v>2035</v>
      </c>
      <c r="Q92" s="26">
        <v>2036</v>
      </c>
      <c r="R92" s="26">
        <v>2037</v>
      </c>
      <c r="S92" s="26">
        <v>2038</v>
      </c>
      <c r="T92" s="26">
        <v>2039</v>
      </c>
      <c r="U92" s="26">
        <v>2040</v>
      </c>
      <c r="V92" s="26">
        <v>2041</v>
      </c>
      <c r="W92" s="26">
        <v>2042</v>
      </c>
      <c r="X92" s="26">
        <v>2043</v>
      </c>
      <c r="Y92" s="26">
        <v>2044</v>
      </c>
      <c r="Z92" s="26">
        <v>2045</v>
      </c>
      <c r="AA92" s="26">
        <v>2046</v>
      </c>
      <c r="AB92" s="26">
        <v>2047</v>
      </c>
      <c r="AC92" s="26">
        <v>2048</v>
      </c>
      <c r="AD92" s="26">
        <v>2049</v>
      </c>
      <c r="AE92" s="26">
        <v>2050</v>
      </c>
      <c r="AF92" s="26">
        <v>2051</v>
      </c>
      <c r="AG92" s="26">
        <v>2052</v>
      </c>
      <c r="AH92" s="26">
        <v>2053</v>
      </c>
      <c r="AI92" s="26">
        <v>2054</v>
      </c>
      <c r="AJ92" s="26">
        <v>2055</v>
      </c>
      <c r="AK92" s="26">
        <v>2056</v>
      </c>
      <c r="AL92" s="26">
        <v>2057</v>
      </c>
      <c r="AM92" s="26">
        <v>2058</v>
      </c>
      <c r="AN92" s="27">
        <v>2059</v>
      </c>
      <c r="AO92" s="8"/>
    </row>
    <row r="93" spans="2:41" hidden="1" x14ac:dyDescent="0.35">
      <c r="B93" s="8"/>
      <c r="C93" s="19" t="str">
        <f>"EL 0: " &amp; INDEX(_doName,2,1)</f>
        <v>EL 0: Baseline</v>
      </c>
      <c r="D93" s="11"/>
      <c r="E93" s="33"/>
      <c r="F93" s="33">
        <f>0 + INDEX(doEff,1)*(INDEX(eff0BC_Res,1)+0) + SUMPRODUCT(doEff,INDEX(bcEff_Res,,1),N(_el&gt;0))</f>
        <v>2.3591484375</v>
      </c>
      <c r="G93" s="33">
        <f ca="1">0 + INDEX(doEff,1)*(INDEX(eff0BC_Res,1)+0) + SUMPRODUCT(doEff,INDEX(bcEff_Res,,2),N(_el&gt;0))</f>
        <v>2.3591484375</v>
      </c>
      <c r="H93" s="33">
        <f ca="1">0 + INDEX(doEff,1)*(INDEX(eff0BC_Res,1)+0) + SUMPRODUCT(doEff,INDEX(bcEff_Res,,3),N(_el&gt;0))</f>
        <v>2.3591484375</v>
      </c>
      <c r="I93" s="33">
        <f ca="1">0 + INDEX(doEff,1)*(INDEX(eff0BC_Res,1)+0) + SUMPRODUCT(doEff,INDEX(bcEff_Res,,4),N(_el&gt;0))</f>
        <v>2.3591484375</v>
      </c>
      <c r="J93" s="33">
        <f ca="1">0 + INDEX(doEff,1)*(INDEX(eff0BC_Res,1)+0) + SUMPRODUCT(doEff,INDEX(bcEff_Res,,5),N(_el&gt;0))</f>
        <v>2.3591484375</v>
      </c>
      <c r="K93" s="33">
        <f ca="1">0 + INDEX(doEff,1)*(INDEX(eff0BC_Res,1)+0) + SUMPRODUCT(doEff,INDEX(bcEff_Res,,6),N(_el&gt;0))</f>
        <v>2.3591484375</v>
      </c>
      <c r="L93" s="33">
        <f ca="1">0 + INDEX(doEff,1)*(INDEX(eff0BC_Res,1)+0) + SUMPRODUCT(doEff,INDEX(bcEff_Res,,7),N(_el&gt;0))</f>
        <v>2.3591484375</v>
      </c>
      <c r="M93" s="33">
        <f ca="1">0 + INDEX(doEff,1)*(INDEX(eff0BC_Res,1)+0) + SUMPRODUCT(doEff,INDEX(bcEff_Res,,8),N(_el&gt;0))</f>
        <v>2.3591484375</v>
      </c>
      <c r="N93" s="33">
        <f ca="1">0 + INDEX(doEff,1)*(INDEX(eff0BC_Res,1)+0) + SUMPRODUCT(doEff,INDEX(bcEff_Res,,9),N(_el&gt;0))</f>
        <v>2.3591484375</v>
      </c>
      <c r="O93" s="33">
        <f ca="1">0 + INDEX(doEff,1)*(INDEX(eff0BC_Res,1)+0) + SUMPRODUCT(doEff,INDEX(bcEff_Res,,10),N(_el&gt;0))</f>
        <v>2.3591484375</v>
      </c>
      <c r="P93" s="33">
        <f ca="1">0 + INDEX(doEff,1)*(INDEX(eff0BC_Res,1)+0) + SUMPRODUCT(doEff,INDEX(bcEff_Res,,11),N(_el&gt;0))</f>
        <v>2.3591484375</v>
      </c>
      <c r="Q93" s="33">
        <f ca="1">0 + INDEX(doEff,1)*(INDEX(eff0BC_Res,1)+0) + SUMPRODUCT(doEff,INDEX(bcEff_Res,,12),N(_el&gt;0))</f>
        <v>2.3591484375</v>
      </c>
      <c r="R93" s="33">
        <f ca="1">0 + INDEX(doEff,1)*(INDEX(eff0BC_Res,1)+0) + SUMPRODUCT(doEff,INDEX(bcEff_Res,,13),N(_el&gt;0))</f>
        <v>2.3591484375</v>
      </c>
      <c r="S93" s="33">
        <f ca="1">0 + INDEX(doEff,1)*(INDEX(eff0BC_Res,1)+0) + SUMPRODUCT(doEff,INDEX(bcEff_Res,,14),N(_el&gt;0))</f>
        <v>2.3591484375</v>
      </c>
      <c r="T93" s="33">
        <f ca="1">0 + INDEX(doEff,1)*(INDEX(eff0BC_Res,1)+0) + SUMPRODUCT(doEff,INDEX(bcEff_Res,,15),N(_el&gt;0))</f>
        <v>2.3591484375</v>
      </c>
      <c r="U93" s="33">
        <f ca="1">0 + INDEX(doEff,1)*(INDEX(eff0BC_Res,1)+0) + SUMPRODUCT(doEff,INDEX(bcEff_Res,,16),N(_el&gt;0))</f>
        <v>2.3591484375</v>
      </c>
      <c r="V93" s="33">
        <f ca="1">0 + INDEX(doEff,1)*(INDEX(eff0BC_Res,1)+0) + SUMPRODUCT(doEff,INDEX(bcEff_Res,,17),N(_el&gt;0))</f>
        <v>2.3591484375</v>
      </c>
      <c r="W93" s="33">
        <f ca="1">0 + INDEX(doEff,1)*(INDEX(eff0BC_Res,1)+0) + SUMPRODUCT(doEff,INDEX(bcEff_Res,,18),N(_el&gt;0))</f>
        <v>2.3591484375</v>
      </c>
      <c r="X93" s="33">
        <f ca="1">0 + INDEX(doEff,1)*(INDEX(eff0BC_Res,1)+0) + SUMPRODUCT(doEff,INDEX(bcEff_Res,,19),N(_el&gt;0))</f>
        <v>2.3591484375</v>
      </c>
      <c r="Y93" s="33">
        <f ca="1">0 + INDEX(doEff,1)*(INDEX(eff0BC_Res,1)+0) + SUMPRODUCT(doEff,INDEX(bcEff_Res,,20),N(_el&gt;0))</f>
        <v>2.3591484375</v>
      </c>
      <c r="Z93" s="33">
        <f ca="1">0 + INDEX(doEff,1)*(INDEX(eff0BC_Res,1)+0) + SUMPRODUCT(doEff,INDEX(bcEff_Res,,21),N(_el&gt;0))</f>
        <v>2.3591484375</v>
      </c>
      <c r="AA93" s="33">
        <f ca="1">0 + INDEX(doEff,1)*(INDEX(eff0BC_Res,1)+0) + SUMPRODUCT(doEff,INDEX(bcEff_Res,,22),N(_el&gt;0))</f>
        <v>2.3591484375</v>
      </c>
      <c r="AB93" s="33">
        <f ca="1">0 + INDEX(doEff,1)*(INDEX(eff0BC_Res,1)+0) + SUMPRODUCT(doEff,INDEX(bcEff_Res,,23),N(_el&gt;0))</f>
        <v>2.3591484375</v>
      </c>
      <c r="AC93" s="33">
        <f ca="1">0 + INDEX(doEff,1)*(INDEX(eff0BC_Res,1)+0) + SUMPRODUCT(doEff,INDEX(bcEff_Res,,24),N(_el&gt;0))</f>
        <v>2.3591484375</v>
      </c>
      <c r="AD93" s="33">
        <f ca="1">0 + INDEX(doEff,1)*(INDEX(eff0BC_Res,1)+0) + SUMPRODUCT(doEff,INDEX(bcEff_Res,,25),N(_el&gt;0))</f>
        <v>2.3591484375</v>
      </c>
      <c r="AE93" s="33">
        <f ca="1">0 + INDEX(doEff,1)*(INDEX(eff0BC_Res,1)+0) + SUMPRODUCT(doEff,INDEX(bcEff_Res,,26),N(_el&gt;0))</f>
        <v>2.3591484375</v>
      </c>
      <c r="AF93" s="33">
        <f ca="1">0 + INDEX(doEff,1)*(INDEX(eff0BC_Res,1)+0) + SUMPRODUCT(doEff,INDEX(bcEff_Res,,27),N(_el&gt;0))</f>
        <v>2.3591484375</v>
      </c>
      <c r="AG93" s="33">
        <f ca="1">0 + INDEX(doEff,1)*(INDEX(eff0BC_Res,1)+0) + SUMPRODUCT(doEff,INDEX(bcEff_Res,,28),N(_el&gt;0))</f>
        <v>2.3591484375</v>
      </c>
      <c r="AH93" s="33">
        <f ca="1">0 + INDEX(doEff,1)*(INDEX(eff0BC_Res,1)+0) + SUMPRODUCT(doEff,INDEX(bcEff_Res,,29),N(_el&gt;0))</f>
        <v>2.3591484375</v>
      </c>
      <c r="AI93" s="33">
        <f ca="1">0 + INDEX(doEff,1)*(INDEX(eff0BC_Res,1)+0) + SUMPRODUCT(doEff,INDEX(bcEff_Res,,30),N(_el&gt;0))</f>
        <v>2.3591484375</v>
      </c>
      <c r="AJ93" s="33">
        <f ca="1">0 + INDEX(doEff,1)*(INDEX(eff0BC_Res,1)+0) + SUMPRODUCT(doEff,INDEX(bcEff_Res,,31),N(_el&gt;0))</f>
        <v>2.3591484375</v>
      </c>
      <c r="AK93" s="33">
        <f ca="1">0 + INDEX(doEff,1)*(INDEX(eff0BC_Res,1)+0) + SUMPRODUCT(doEff,INDEX(bcEff_Res,,32),N(_el&gt;0))</f>
        <v>2.3591484375</v>
      </c>
      <c r="AL93" s="33">
        <f ca="1">0 + INDEX(doEff,1)*(INDEX(eff0BC_Res,1)+0) + SUMPRODUCT(doEff,INDEX(bcEff_Res,,33),N(_el&gt;0))</f>
        <v>2.3591484375</v>
      </c>
      <c r="AM93" s="33">
        <f ca="1">0 + INDEX(doEff,1)*(INDEX(eff0BC_Res,1)+0) + SUMPRODUCT(doEff,INDEX(bcEff_Res,,34),N(_el&gt;0))</f>
        <v>2.3591484375</v>
      </c>
      <c r="AN93" s="34">
        <f ca="1">0 + INDEX(doEff,1)*(INDEX(eff0BC_Res,1)+0) + SUMPRODUCT(doEff,INDEX(bcEff_Res,,35),N(_el&gt;0))</f>
        <v>2.3591484375</v>
      </c>
      <c r="AO93" s="8"/>
    </row>
    <row r="94" spans="2:41" hidden="1" x14ac:dyDescent="0.35">
      <c r="B94" s="8"/>
      <c r="C94" s="19" t="str">
        <f>"EL 1: " &amp; INDEX(_doName,2,2)</f>
        <v>EL 1: Tier 1</v>
      </c>
      <c r="D94" s="11"/>
      <c r="E94" s="33"/>
      <c r="F94" s="33">
        <f ca="1">SUMPRODUCT(OFFSET(doEff,0,0,1,1),OFFSET(INDEX(bcEff_Res,1,2),0,0,1,1)) + INDEX(doEff,2)*(INDEX(eff0BC_Res,2)+INDEX(pushBC_Res,1)) + SUMPRODUCT(doEff,INDEX(bcEff_Res,,1),N(_el&gt;1))</f>
        <v>2.3591484375</v>
      </c>
      <c r="G94" s="33">
        <f ca="1">SUMPRODUCT(OFFSET(doEff,0,0,1,1),OFFSET(INDEX(bcEff_Res,1,3),0,0,1,1)) + INDEX(doEff,2)*(INDEX(eff0BC_Res,2)+INDEX(pushBC_Res,1)) + SUMPRODUCT(doEff,INDEX(bcEff_Res,,2),N(_el&gt;1))</f>
        <v>2.3591484375</v>
      </c>
      <c r="H94" s="33">
        <f ca="1">SUMPRODUCT(OFFSET(doEff,0,0,1,1),OFFSET(INDEX(bcEff_Res,1,4),0,0,1,1)) + INDEX(doEff,2)*(INDEX(eff0BC_Res,2)+INDEX(pushBC_Res,1)) + SUMPRODUCT(doEff,INDEX(bcEff_Res,,3),N(_el&gt;1))</f>
        <v>2.3591484375</v>
      </c>
      <c r="I94" s="33">
        <f ca="1">SUMPRODUCT(OFFSET(doEff,0,0,1,1),OFFSET(INDEX(bcEff_Res,1,5),0,0,1,1)) + INDEX(doEff,2)*(INDEX(eff0BC_Res,2)+INDEX(pushBC_Res,1)) + SUMPRODUCT(doEff,INDEX(bcEff_Res,,4),N(_el&gt;1))</f>
        <v>2.3591484375</v>
      </c>
      <c r="J94" s="33">
        <f ca="1">SUMPRODUCT(OFFSET(doEff,0,0,1,1),OFFSET(INDEX(bcEff_Res,1,6),0,0,1,1)) + INDEX(doEff,2)*(INDEX(eff0BC_Res,2)+INDEX(pushBC_Res,1)) + SUMPRODUCT(doEff,INDEX(bcEff_Res,,5),N(_el&gt;1))</f>
        <v>2.3591484375</v>
      </c>
      <c r="K94" s="33">
        <f ca="1">SUMPRODUCT(OFFSET(doEff,0,0,1,1),OFFSET(INDEX(bcEff_Res,1,7),0,0,1,1)) + INDEX(doEff,2)*(INDEX(eff0BC_Res,2)+INDEX(pushBC_Res,1)) + SUMPRODUCT(doEff,INDEX(bcEff_Res,,6),N(_el&gt;1))</f>
        <v>2.3591484375</v>
      </c>
      <c r="L94" s="33">
        <f ca="1">SUMPRODUCT(OFFSET(doEff,0,0,1,1),OFFSET(INDEX(bcEff_Res,1,8),0,0,1,1)) + INDEX(doEff,2)*(INDEX(eff0BC_Res,2)+INDEX(pushBC_Res,1)) + SUMPRODUCT(doEff,INDEX(bcEff_Res,,7),N(_el&gt;1))</f>
        <v>2.3591484375</v>
      </c>
      <c r="M94" s="33">
        <f ca="1">SUMPRODUCT(OFFSET(doEff,0,0,1,1),OFFSET(INDEX(bcEff_Res,1,9),0,0,1,1)) + INDEX(doEff,2)*(INDEX(eff0BC_Res,2)+INDEX(pushBC_Res,1)) + SUMPRODUCT(doEff,INDEX(bcEff_Res,,8),N(_el&gt;1))</f>
        <v>2.3591484375</v>
      </c>
      <c r="N94" s="33">
        <f ca="1">SUMPRODUCT(OFFSET(doEff,0,0,1,1),OFFSET(INDEX(bcEff_Res,1,10),0,0,1,1)) + INDEX(doEff,2)*(INDEX(eff0BC_Res,2)+INDEX(pushBC_Res,1)) + SUMPRODUCT(doEff,INDEX(bcEff_Res,,9),N(_el&gt;1))</f>
        <v>2.3591484375</v>
      </c>
      <c r="O94" s="33">
        <f ca="1">SUMPRODUCT(OFFSET(doEff,0,0,1,1),OFFSET(INDEX(bcEff_Res,1,11),0,0,1,1)) + INDEX(doEff,2)*(INDEX(eff0BC_Res,2)+INDEX(pushBC_Res,1)) + SUMPRODUCT(doEff,INDEX(bcEff_Res,,10),N(_el&gt;1))</f>
        <v>2.3591484375</v>
      </c>
      <c r="P94" s="33">
        <f ca="1">SUMPRODUCT(OFFSET(doEff,0,0,1,1),OFFSET(INDEX(bcEff_Res,1,12),0,0,1,1)) + INDEX(doEff,2)*(INDEX(eff0BC_Res,2)+INDEX(pushBC_Res,1)) + SUMPRODUCT(doEff,INDEX(bcEff_Res,,11),N(_el&gt;1))</f>
        <v>2.3591484375</v>
      </c>
      <c r="Q94" s="33">
        <f ca="1">SUMPRODUCT(OFFSET(doEff,0,0,1,1),OFFSET(INDEX(bcEff_Res,1,13),0,0,1,1)) + INDEX(doEff,2)*(INDEX(eff0BC_Res,2)+INDEX(pushBC_Res,1)) + SUMPRODUCT(doEff,INDEX(bcEff_Res,,12),N(_el&gt;1))</f>
        <v>2.3591484375</v>
      </c>
      <c r="R94" s="33">
        <f ca="1">SUMPRODUCT(OFFSET(doEff,0,0,1,1),OFFSET(INDEX(bcEff_Res,1,14),0,0,1,1)) + INDEX(doEff,2)*(INDEX(eff0BC_Res,2)+INDEX(pushBC_Res,1)) + SUMPRODUCT(doEff,INDEX(bcEff_Res,,13),N(_el&gt;1))</f>
        <v>2.3591484375</v>
      </c>
      <c r="S94" s="33">
        <f ca="1">SUMPRODUCT(OFFSET(doEff,0,0,1,1),OFFSET(INDEX(bcEff_Res,1,15),0,0,1,1)) + INDEX(doEff,2)*(INDEX(eff0BC_Res,2)+INDEX(pushBC_Res,1)) + SUMPRODUCT(doEff,INDEX(bcEff_Res,,14),N(_el&gt;1))</f>
        <v>2.3591484375</v>
      </c>
      <c r="T94" s="33">
        <f ca="1">SUMPRODUCT(OFFSET(doEff,0,0,1,1),OFFSET(INDEX(bcEff_Res,1,16),0,0,1,1)) + INDEX(doEff,2)*(INDEX(eff0BC_Res,2)+INDEX(pushBC_Res,1)) + SUMPRODUCT(doEff,INDEX(bcEff_Res,,15),N(_el&gt;1))</f>
        <v>2.3591484375</v>
      </c>
      <c r="U94" s="33">
        <f ca="1">SUMPRODUCT(OFFSET(doEff,0,0,1,1),OFFSET(INDEX(bcEff_Res,1,17),0,0,1,1)) + INDEX(doEff,2)*(INDEX(eff0BC_Res,2)+INDEX(pushBC_Res,1)) + SUMPRODUCT(doEff,INDEX(bcEff_Res,,16),N(_el&gt;1))</f>
        <v>2.3591484375</v>
      </c>
      <c r="V94" s="33">
        <f ca="1">SUMPRODUCT(OFFSET(doEff,0,0,1,1),OFFSET(INDEX(bcEff_Res,1,18),0,0,1,1)) + INDEX(doEff,2)*(INDEX(eff0BC_Res,2)+INDEX(pushBC_Res,1)) + SUMPRODUCT(doEff,INDEX(bcEff_Res,,17),N(_el&gt;1))</f>
        <v>2.3591484375</v>
      </c>
      <c r="W94" s="33">
        <f ca="1">SUMPRODUCT(OFFSET(doEff,0,0,1,1),OFFSET(INDEX(bcEff_Res,1,19),0,0,1,1)) + INDEX(doEff,2)*(INDEX(eff0BC_Res,2)+INDEX(pushBC_Res,1)) + SUMPRODUCT(doEff,INDEX(bcEff_Res,,18),N(_el&gt;1))</f>
        <v>2.3591484375</v>
      </c>
      <c r="X94" s="33">
        <f ca="1">SUMPRODUCT(OFFSET(doEff,0,0,1,1),OFFSET(INDEX(bcEff_Res,1,20),0,0,1,1)) + INDEX(doEff,2)*(INDEX(eff0BC_Res,2)+INDEX(pushBC_Res,1)) + SUMPRODUCT(doEff,INDEX(bcEff_Res,,19),N(_el&gt;1))</f>
        <v>2.3591484375</v>
      </c>
      <c r="Y94" s="33">
        <f ca="1">SUMPRODUCT(OFFSET(doEff,0,0,1,1),OFFSET(INDEX(bcEff_Res,1,21),0,0,1,1)) + INDEX(doEff,2)*(INDEX(eff0BC_Res,2)+INDEX(pushBC_Res,1)) + SUMPRODUCT(doEff,INDEX(bcEff_Res,,20),N(_el&gt;1))</f>
        <v>2.3591484375</v>
      </c>
      <c r="Z94" s="33">
        <f ca="1">SUMPRODUCT(OFFSET(doEff,0,0,1,1),OFFSET(INDEX(bcEff_Res,1,22),0,0,1,1)) + INDEX(doEff,2)*(INDEX(eff0BC_Res,2)+INDEX(pushBC_Res,1)) + SUMPRODUCT(doEff,INDEX(bcEff_Res,,21),N(_el&gt;1))</f>
        <v>2.3591484375</v>
      </c>
      <c r="AA94" s="33">
        <f ca="1">SUMPRODUCT(OFFSET(doEff,0,0,1,1),OFFSET(INDEX(bcEff_Res,1,23),0,0,1,1)) + INDEX(doEff,2)*(INDEX(eff0BC_Res,2)+INDEX(pushBC_Res,1)) + SUMPRODUCT(doEff,INDEX(bcEff_Res,,22),N(_el&gt;1))</f>
        <v>2.3591484375</v>
      </c>
      <c r="AB94" s="33">
        <f ca="1">SUMPRODUCT(OFFSET(doEff,0,0,1,1),OFFSET(INDEX(bcEff_Res,1,24),0,0,1,1)) + INDEX(doEff,2)*(INDEX(eff0BC_Res,2)+INDEX(pushBC_Res,1)) + SUMPRODUCT(doEff,INDEX(bcEff_Res,,23),N(_el&gt;1))</f>
        <v>2.3591484375</v>
      </c>
      <c r="AC94" s="33">
        <f ca="1">SUMPRODUCT(OFFSET(doEff,0,0,1,1),OFFSET(INDEX(bcEff_Res,1,25),0,0,1,1)) + INDEX(doEff,2)*(INDEX(eff0BC_Res,2)+INDEX(pushBC_Res,1)) + SUMPRODUCT(doEff,INDEX(bcEff_Res,,24),N(_el&gt;1))</f>
        <v>2.3591484375</v>
      </c>
      <c r="AD94" s="33">
        <f ca="1">SUMPRODUCT(OFFSET(doEff,0,0,1,1),OFFSET(INDEX(bcEff_Res,1,26),0,0,1,1)) + INDEX(doEff,2)*(INDEX(eff0BC_Res,2)+INDEX(pushBC_Res,1)) + SUMPRODUCT(doEff,INDEX(bcEff_Res,,25),N(_el&gt;1))</f>
        <v>2.3591484375</v>
      </c>
      <c r="AE94" s="33">
        <f ca="1">SUMPRODUCT(OFFSET(doEff,0,0,1,1),OFFSET(INDEX(bcEff_Res,1,27),0,0,1,1)) + INDEX(doEff,2)*(INDEX(eff0BC_Res,2)+INDEX(pushBC_Res,1)) + SUMPRODUCT(doEff,INDEX(bcEff_Res,,26),N(_el&gt;1))</f>
        <v>2.3591484375</v>
      </c>
      <c r="AF94" s="33">
        <f ca="1">SUMPRODUCT(OFFSET(doEff,0,0,1,1),OFFSET(INDEX(bcEff_Res,1,28),0,0,1,1)) + INDEX(doEff,2)*(INDEX(eff0BC_Res,2)+INDEX(pushBC_Res,1)) + SUMPRODUCT(doEff,INDEX(bcEff_Res,,27),N(_el&gt;1))</f>
        <v>2.3591484375</v>
      </c>
      <c r="AG94" s="33">
        <f ca="1">SUMPRODUCT(OFFSET(doEff,0,0,1,1),OFFSET(INDEX(bcEff_Res,1,29),0,0,1,1)) + INDEX(doEff,2)*(INDEX(eff0BC_Res,2)+INDEX(pushBC_Res,1)) + SUMPRODUCT(doEff,INDEX(bcEff_Res,,28),N(_el&gt;1))</f>
        <v>2.3591484375</v>
      </c>
      <c r="AH94" s="33">
        <f ca="1">SUMPRODUCT(OFFSET(doEff,0,0,1,1),OFFSET(INDEX(bcEff_Res,1,30),0,0,1,1)) + INDEX(doEff,2)*(INDEX(eff0BC_Res,2)+INDEX(pushBC_Res,1)) + SUMPRODUCT(doEff,INDEX(bcEff_Res,,29),N(_el&gt;1))</f>
        <v>2.3591484375</v>
      </c>
      <c r="AI94" s="33">
        <f ca="1">SUMPRODUCT(OFFSET(doEff,0,0,1,1),OFFSET(INDEX(bcEff_Res,1,31),0,0,1,1)) + INDEX(doEff,2)*(INDEX(eff0BC_Res,2)+INDEX(pushBC_Res,1)) + SUMPRODUCT(doEff,INDEX(bcEff_Res,,30),N(_el&gt;1))</f>
        <v>2.3591484375</v>
      </c>
      <c r="AJ94" s="33">
        <f ca="1">SUMPRODUCT(OFFSET(doEff,0,0,1,1),OFFSET(INDEX(bcEff_Res,1,32),0,0,1,1)) + INDEX(doEff,2)*(INDEX(eff0BC_Res,2)+INDEX(pushBC_Res,1)) + SUMPRODUCT(doEff,INDEX(bcEff_Res,,31),N(_el&gt;1))</f>
        <v>2.3591484375</v>
      </c>
      <c r="AK94" s="33">
        <f ca="1">SUMPRODUCT(OFFSET(doEff,0,0,1,1),OFFSET(INDEX(bcEff_Res,1,33),0,0,1,1)) + INDEX(doEff,2)*(INDEX(eff0BC_Res,2)+INDEX(pushBC_Res,1)) + SUMPRODUCT(doEff,INDEX(bcEff_Res,,32),N(_el&gt;1))</f>
        <v>2.3591484375</v>
      </c>
      <c r="AL94" s="33">
        <f ca="1">SUMPRODUCT(OFFSET(doEff,0,0,1,1),OFFSET(INDEX(bcEff_Res,1,34),0,0,1,1)) + INDEX(doEff,2)*(INDEX(eff0BC_Res,2)+INDEX(pushBC_Res,1)) + SUMPRODUCT(doEff,INDEX(bcEff_Res,,33),N(_el&gt;1))</f>
        <v>2.3591484375</v>
      </c>
      <c r="AM94" s="33">
        <f ca="1">SUMPRODUCT(OFFSET(doEff,0,0,1,1),OFFSET(INDEX(bcEff_Res,1,35),0,0,1,1)) + INDEX(doEff,2)*(INDEX(eff0BC_Res,2)+INDEX(pushBC_Res,1)) + SUMPRODUCT(doEff,INDEX(bcEff_Res,,34),N(_el&gt;1))</f>
        <v>2.3591484375</v>
      </c>
      <c r="AN94" s="34">
        <f ca="1">SUMPRODUCT(OFFSET(doEff,0,0,1,1),OFFSET(INDEX(bcEff_Res,1,36),0,0,1,1)) + INDEX(doEff,2)*(INDEX(eff0BC_Res,2)+INDEX(pushBC_Res,1)) + SUMPRODUCT(doEff,INDEX(bcEff_Res,,35),N(_el&gt;1))</f>
        <v>2.3591484375</v>
      </c>
      <c r="AO94" s="8"/>
    </row>
    <row r="95" spans="2:41" hidden="1" x14ac:dyDescent="0.35">
      <c r="B95" s="8"/>
      <c r="C95" s="19" t="str">
        <f>"EL 2: " &amp; INDEX(_doName,2,3)</f>
        <v>EL 2: Tier 2</v>
      </c>
      <c r="D95" s="11"/>
      <c r="E95" s="33"/>
      <c r="F95" s="33">
        <f ca="1">SUMPRODUCT(OFFSET(doEff,0,0,2,1),OFFSET(INDEX(bcEff_Res,1,2),0,0,2,1)) + INDEX(doEff,3)*(INDEX(eff0BC_Res,3)+INDEX(pushBC_Res,2)) + SUMPRODUCT(doEff,INDEX(bcEff_Res,,1),N(_el&gt;2))</f>
        <v>2.3591484375</v>
      </c>
      <c r="G95" s="33">
        <f ca="1">SUMPRODUCT(OFFSET(doEff,0,0,2,1),OFFSET(INDEX(bcEff_Res,1,3),0,0,2,1)) + INDEX(doEff,3)*(INDEX(eff0BC_Res,3)+INDEX(pushBC_Res,2)) + SUMPRODUCT(doEff,INDEX(bcEff_Res,,2),N(_el&gt;2))</f>
        <v>2.3591484375</v>
      </c>
      <c r="H95" s="33">
        <f ca="1">SUMPRODUCT(OFFSET(doEff,0,0,2,1),OFFSET(INDEX(bcEff_Res,1,4),0,0,2,1)) + INDEX(doEff,3)*(INDEX(eff0BC_Res,3)+INDEX(pushBC_Res,2)) + SUMPRODUCT(doEff,INDEX(bcEff_Res,,3),N(_el&gt;2))</f>
        <v>2.3591484375</v>
      </c>
      <c r="I95" s="33">
        <f ca="1">SUMPRODUCT(OFFSET(doEff,0,0,2,1),OFFSET(INDEX(bcEff_Res,1,5),0,0,2,1)) + INDEX(doEff,3)*(INDEX(eff0BC_Res,3)+INDEX(pushBC_Res,2)) + SUMPRODUCT(doEff,INDEX(bcEff_Res,,4),N(_el&gt;2))</f>
        <v>2.3591484375</v>
      </c>
      <c r="J95" s="33">
        <f ca="1">SUMPRODUCT(OFFSET(doEff,0,0,2,1),OFFSET(INDEX(bcEff_Res,1,6),0,0,2,1)) + INDEX(doEff,3)*(INDEX(eff0BC_Res,3)+INDEX(pushBC_Res,2)) + SUMPRODUCT(doEff,INDEX(bcEff_Res,,5),N(_el&gt;2))</f>
        <v>2.3591484375</v>
      </c>
      <c r="K95" s="33">
        <f ca="1">SUMPRODUCT(OFFSET(doEff,0,0,2,1),OFFSET(INDEX(bcEff_Res,1,7),0,0,2,1)) + INDEX(doEff,3)*(INDEX(eff0BC_Res,3)+INDEX(pushBC_Res,2)) + SUMPRODUCT(doEff,INDEX(bcEff_Res,,6),N(_el&gt;2))</f>
        <v>2.3591484375</v>
      </c>
      <c r="L95" s="33">
        <f ca="1">SUMPRODUCT(OFFSET(doEff,0,0,2,1),OFFSET(INDEX(bcEff_Res,1,8),0,0,2,1)) + INDEX(doEff,3)*(INDEX(eff0BC_Res,3)+INDEX(pushBC_Res,2)) + SUMPRODUCT(doEff,INDEX(bcEff_Res,,7),N(_el&gt;2))</f>
        <v>2.3591484375</v>
      </c>
      <c r="M95" s="33">
        <f ca="1">SUMPRODUCT(OFFSET(doEff,0,0,2,1),OFFSET(INDEX(bcEff_Res,1,9),0,0,2,1)) + INDEX(doEff,3)*(INDEX(eff0BC_Res,3)+INDEX(pushBC_Res,2)) + SUMPRODUCT(doEff,INDEX(bcEff_Res,,8),N(_el&gt;2))</f>
        <v>2.3591484375</v>
      </c>
      <c r="N95" s="33">
        <f ca="1">SUMPRODUCT(OFFSET(doEff,0,0,2,1),OFFSET(INDEX(bcEff_Res,1,10),0,0,2,1)) + INDEX(doEff,3)*(INDEX(eff0BC_Res,3)+INDEX(pushBC_Res,2)) + SUMPRODUCT(doEff,INDEX(bcEff_Res,,9),N(_el&gt;2))</f>
        <v>2.3591484375</v>
      </c>
      <c r="O95" s="33">
        <f ca="1">SUMPRODUCT(OFFSET(doEff,0,0,2,1),OFFSET(INDEX(bcEff_Res,1,11),0,0,2,1)) + INDEX(doEff,3)*(INDEX(eff0BC_Res,3)+INDEX(pushBC_Res,2)) + SUMPRODUCT(doEff,INDEX(bcEff_Res,,10),N(_el&gt;2))</f>
        <v>2.3591484375</v>
      </c>
      <c r="P95" s="33">
        <f ca="1">SUMPRODUCT(OFFSET(doEff,0,0,2,1),OFFSET(INDEX(bcEff_Res,1,12),0,0,2,1)) + INDEX(doEff,3)*(INDEX(eff0BC_Res,3)+INDEX(pushBC_Res,2)) + SUMPRODUCT(doEff,INDEX(bcEff_Res,,11),N(_el&gt;2))</f>
        <v>2.3591484375</v>
      </c>
      <c r="Q95" s="33">
        <f ca="1">SUMPRODUCT(OFFSET(doEff,0,0,2,1),OFFSET(INDEX(bcEff_Res,1,13),0,0,2,1)) + INDEX(doEff,3)*(INDEX(eff0BC_Res,3)+INDEX(pushBC_Res,2)) + SUMPRODUCT(doEff,INDEX(bcEff_Res,,12),N(_el&gt;2))</f>
        <v>2.3591484375</v>
      </c>
      <c r="R95" s="33">
        <f ca="1">SUMPRODUCT(OFFSET(doEff,0,0,2,1),OFFSET(INDEX(bcEff_Res,1,14),0,0,2,1)) + INDEX(doEff,3)*(INDEX(eff0BC_Res,3)+INDEX(pushBC_Res,2)) + SUMPRODUCT(doEff,INDEX(bcEff_Res,,13),N(_el&gt;2))</f>
        <v>2.3591484375</v>
      </c>
      <c r="S95" s="33">
        <f ca="1">SUMPRODUCT(OFFSET(doEff,0,0,2,1),OFFSET(INDEX(bcEff_Res,1,15),0,0,2,1)) + INDEX(doEff,3)*(INDEX(eff0BC_Res,3)+INDEX(pushBC_Res,2)) + SUMPRODUCT(doEff,INDEX(bcEff_Res,,14),N(_el&gt;2))</f>
        <v>2.3591484375</v>
      </c>
      <c r="T95" s="33">
        <f ca="1">SUMPRODUCT(OFFSET(doEff,0,0,2,1),OFFSET(INDEX(bcEff_Res,1,16),0,0,2,1)) + INDEX(doEff,3)*(INDEX(eff0BC_Res,3)+INDEX(pushBC_Res,2)) + SUMPRODUCT(doEff,INDEX(bcEff_Res,,15),N(_el&gt;2))</f>
        <v>2.3591484375</v>
      </c>
      <c r="U95" s="33">
        <f ca="1">SUMPRODUCT(OFFSET(doEff,0,0,2,1),OFFSET(INDEX(bcEff_Res,1,17),0,0,2,1)) + INDEX(doEff,3)*(INDEX(eff0BC_Res,3)+INDEX(pushBC_Res,2)) + SUMPRODUCT(doEff,INDEX(bcEff_Res,,16),N(_el&gt;2))</f>
        <v>2.3591484375</v>
      </c>
      <c r="V95" s="33">
        <f ca="1">SUMPRODUCT(OFFSET(doEff,0,0,2,1),OFFSET(INDEX(bcEff_Res,1,18),0,0,2,1)) + INDEX(doEff,3)*(INDEX(eff0BC_Res,3)+INDEX(pushBC_Res,2)) + SUMPRODUCT(doEff,INDEX(bcEff_Res,,17),N(_el&gt;2))</f>
        <v>2.3591484375</v>
      </c>
      <c r="W95" s="33">
        <f ca="1">SUMPRODUCT(OFFSET(doEff,0,0,2,1),OFFSET(INDEX(bcEff_Res,1,19),0,0,2,1)) + INDEX(doEff,3)*(INDEX(eff0BC_Res,3)+INDEX(pushBC_Res,2)) + SUMPRODUCT(doEff,INDEX(bcEff_Res,,18),N(_el&gt;2))</f>
        <v>2.3591484375</v>
      </c>
      <c r="X95" s="33">
        <f ca="1">SUMPRODUCT(OFFSET(doEff,0,0,2,1),OFFSET(INDEX(bcEff_Res,1,20),0,0,2,1)) + INDEX(doEff,3)*(INDEX(eff0BC_Res,3)+INDEX(pushBC_Res,2)) + SUMPRODUCT(doEff,INDEX(bcEff_Res,,19),N(_el&gt;2))</f>
        <v>2.3591484375</v>
      </c>
      <c r="Y95" s="33">
        <f ca="1">SUMPRODUCT(OFFSET(doEff,0,0,2,1),OFFSET(INDEX(bcEff_Res,1,21),0,0,2,1)) + INDEX(doEff,3)*(INDEX(eff0BC_Res,3)+INDEX(pushBC_Res,2)) + SUMPRODUCT(doEff,INDEX(bcEff_Res,,20),N(_el&gt;2))</f>
        <v>2.3591484375</v>
      </c>
      <c r="Z95" s="33">
        <f ca="1">SUMPRODUCT(OFFSET(doEff,0,0,2,1),OFFSET(INDEX(bcEff_Res,1,22),0,0,2,1)) + INDEX(doEff,3)*(INDEX(eff0BC_Res,3)+INDEX(pushBC_Res,2)) + SUMPRODUCT(doEff,INDEX(bcEff_Res,,21),N(_el&gt;2))</f>
        <v>2.3591484375</v>
      </c>
      <c r="AA95" s="33">
        <f ca="1">SUMPRODUCT(OFFSET(doEff,0,0,2,1),OFFSET(INDEX(bcEff_Res,1,23),0,0,2,1)) + INDEX(doEff,3)*(INDEX(eff0BC_Res,3)+INDEX(pushBC_Res,2)) + SUMPRODUCT(doEff,INDEX(bcEff_Res,,22),N(_el&gt;2))</f>
        <v>2.3591484375</v>
      </c>
      <c r="AB95" s="33">
        <f ca="1">SUMPRODUCT(OFFSET(doEff,0,0,2,1),OFFSET(INDEX(bcEff_Res,1,24),0,0,2,1)) + INDEX(doEff,3)*(INDEX(eff0BC_Res,3)+INDEX(pushBC_Res,2)) + SUMPRODUCT(doEff,INDEX(bcEff_Res,,23),N(_el&gt;2))</f>
        <v>2.3591484375</v>
      </c>
      <c r="AC95" s="33">
        <f ca="1">SUMPRODUCT(OFFSET(doEff,0,0,2,1),OFFSET(INDEX(bcEff_Res,1,25),0,0,2,1)) + INDEX(doEff,3)*(INDEX(eff0BC_Res,3)+INDEX(pushBC_Res,2)) + SUMPRODUCT(doEff,INDEX(bcEff_Res,,24),N(_el&gt;2))</f>
        <v>2.3591484375</v>
      </c>
      <c r="AD95" s="33">
        <f ca="1">SUMPRODUCT(OFFSET(doEff,0,0,2,1),OFFSET(INDEX(bcEff_Res,1,26),0,0,2,1)) + INDEX(doEff,3)*(INDEX(eff0BC_Res,3)+INDEX(pushBC_Res,2)) + SUMPRODUCT(doEff,INDEX(bcEff_Res,,25),N(_el&gt;2))</f>
        <v>2.3591484375</v>
      </c>
      <c r="AE95" s="33">
        <f ca="1">SUMPRODUCT(OFFSET(doEff,0,0,2,1),OFFSET(INDEX(bcEff_Res,1,27),0,0,2,1)) + INDEX(doEff,3)*(INDEX(eff0BC_Res,3)+INDEX(pushBC_Res,2)) + SUMPRODUCT(doEff,INDEX(bcEff_Res,,26),N(_el&gt;2))</f>
        <v>2.3591484375</v>
      </c>
      <c r="AF95" s="33">
        <f ca="1">SUMPRODUCT(OFFSET(doEff,0,0,2,1),OFFSET(INDEX(bcEff_Res,1,28),0,0,2,1)) + INDEX(doEff,3)*(INDEX(eff0BC_Res,3)+INDEX(pushBC_Res,2)) + SUMPRODUCT(doEff,INDEX(bcEff_Res,,27),N(_el&gt;2))</f>
        <v>2.3591484375</v>
      </c>
      <c r="AG95" s="33">
        <f ca="1">SUMPRODUCT(OFFSET(doEff,0,0,2,1),OFFSET(INDEX(bcEff_Res,1,29),0,0,2,1)) + INDEX(doEff,3)*(INDEX(eff0BC_Res,3)+INDEX(pushBC_Res,2)) + SUMPRODUCT(doEff,INDEX(bcEff_Res,,28),N(_el&gt;2))</f>
        <v>2.3591484375</v>
      </c>
      <c r="AH95" s="33">
        <f ca="1">SUMPRODUCT(OFFSET(doEff,0,0,2,1),OFFSET(INDEX(bcEff_Res,1,30),0,0,2,1)) + INDEX(doEff,3)*(INDEX(eff0BC_Res,3)+INDEX(pushBC_Res,2)) + SUMPRODUCT(doEff,INDEX(bcEff_Res,,29),N(_el&gt;2))</f>
        <v>2.3591484375</v>
      </c>
      <c r="AI95" s="33">
        <f ca="1">SUMPRODUCT(OFFSET(doEff,0,0,2,1),OFFSET(INDEX(bcEff_Res,1,31),0,0,2,1)) + INDEX(doEff,3)*(INDEX(eff0BC_Res,3)+INDEX(pushBC_Res,2)) + SUMPRODUCT(doEff,INDEX(bcEff_Res,,30),N(_el&gt;2))</f>
        <v>2.3591484375</v>
      </c>
      <c r="AJ95" s="33">
        <f ca="1">SUMPRODUCT(OFFSET(doEff,0,0,2,1),OFFSET(INDEX(bcEff_Res,1,32),0,0,2,1)) + INDEX(doEff,3)*(INDEX(eff0BC_Res,3)+INDEX(pushBC_Res,2)) + SUMPRODUCT(doEff,INDEX(bcEff_Res,,31),N(_el&gt;2))</f>
        <v>2.3591484375</v>
      </c>
      <c r="AK95" s="33">
        <f ca="1">SUMPRODUCT(OFFSET(doEff,0,0,2,1),OFFSET(INDEX(bcEff_Res,1,33),0,0,2,1)) + INDEX(doEff,3)*(INDEX(eff0BC_Res,3)+INDEX(pushBC_Res,2)) + SUMPRODUCT(doEff,INDEX(bcEff_Res,,32),N(_el&gt;2))</f>
        <v>2.3591484375</v>
      </c>
      <c r="AL95" s="33">
        <f ca="1">SUMPRODUCT(OFFSET(doEff,0,0,2,1),OFFSET(INDEX(bcEff_Res,1,34),0,0,2,1)) + INDEX(doEff,3)*(INDEX(eff0BC_Res,3)+INDEX(pushBC_Res,2)) + SUMPRODUCT(doEff,INDEX(bcEff_Res,,33),N(_el&gt;2))</f>
        <v>2.3591484375</v>
      </c>
      <c r="AM95" s="33">
        <f ca="1">SUMPRODUCT(OFFSET(doEff,0,0,2,1),OFFSET(INDEX(bcEff_Res,1,35),0,0,2,1)) + INDEX(doEff,3)*(INDEX(eff0BC_Res,3)+INDEX(pushBC_Res,2)) + SUMPRODUCT(doEff,INDEX(bcEff_Res,,34),N(_el&gt;2))</f>
        <v>2.3591484375</v>
      </c>
      <c r="AN95" s="34">
        <f ca="1">SUMPRODUCT(OFFSET(doEff,0,0,2,1),OFFSET(INDEX(bcEff_Res,1,36),0,0,2,1)) + INDEX(doEff,3)*(INDEX(eff0BC_Res,3)+INDEX(pushBC_Res,2)) + SUMPRODUCT(doEff,INDEX(bcEff_Res,,35),N(_el&gt;2))</f>
        <v>2.3591484375</v>
      </c>
      <c r="AO95" s="8"/>
    </row>
    <row r="96" spans="2:41" hidden="1" x14ac:dyDescent="0.35">
      <c r="B96" s="8"/>
      <c r="C96" s="19" t="str">
        <f>"EL 3: " &amp; INDEX(_doName,2,4)</f>
        <v>EL 3: EL 3</v>
      </c>
      <c r="D96" s="11"/>
      <c r="E96" s="33"/>
      <c r="F96" s="33">
        <f ca="1">SUMPRODUCT(OFFSET(doEff,0,0,3,1),OFFSET(INDEX(bcEff_Res,1,2),0,0,3,1)) + INDEX(doEff,4)*(INDEX(eff0BC_Res,4)+INDEX(pushBC_Res,3)) + SUMPRODUCT(doEff,INDEX(bcEff_Res,,1),N(_el&gt;3))</f>
        <v>2.3591484375</v>
      </c>
      <c r="G96" s="33">
        <f ca="1">SUMPRODUCT(OFFSET(doEff,0,0,3,1),OFFSET(INDEX(bcEff_Res,1,3),0,0,3,1)) + INDEX(doEff,4)*(INDEX(eff0BC_Res,4)+INDEX(pushBC_Res,3)) + SUMPRODUCT(doEff,INDEX(bcEff_Res,,2),N(_el&gt;3))</f>
        <v>2.3591484375</v>
      </c>
      <c r="H96" s="33">
        <f ca="1">SUMPRODUCT(OFFSET(doEff,0,0,3,1),OFFSET(INDEX(bcEff_Res,1,4),0,0,3,1)) + INDEX(doEff,4)*(INDEX(eff0BC_Res,4)+INDEX(pushBC_Res,3)) + SUMPRODUCT(doEff,INDEX(bcEff_Res,,3),N(_el&gt;3))</f>
        <v>2.3591484375</v>
      </c>
      <c r="I96" s="33">
        <f ca="1">SUMPRODUCT(OFFSET(doEff,0,0,3,1),OFFSET(INDEX(bcEff_Res,1,5),0,0,3,1)) + INDEX(doEff,4)*(INDEX(eff0BC_Res,4)+INDEX(pushBC_Res,3)) + SUMPRODUCT(doEff,INDEX(bcEff_Res,,4),N(_el&gt;3))</f>
        <v>2.3591484375</v>
      </c>
      <c r="J96" s="33">
        <f ca="1">SUMPRODUCT(OFFSET(doEff,0,0,3,1),OFFSET(INDEX(bcEff_Res,1,6),0,0,3,1)) + INDEX(doEff,4)*(INDEX(eff0BC_Res,4)+INDEX(pushBC_Res,3)) + SUMPRODUCT(doEff,INDEX(bcEff_Res,,5),N(_el&gt;3))</f>
        <v>2.3591484375</v>
      </c>
      <c r="K96" s="33">
        <f ca="1">SUMPRODUCT(OFFSET(doEff,0,0,3,1),OFFSET(INDEX(bcEff_Res,1,7),0,0,3,1)) + INDEX(doEff,4)*(INDEX(eff0BC_Res,4)+INDEX(pushBC_Res,3)) + SUMPRODUCT(doEff,INDEX(bcEff_Res,,6),N(_el&gt;3))</f>
        <v>2.3591484375</v>
      </c>
      <c r="L96" s="33">
        <f ca="1">SUMPRODUCT(OFFSET(doEff,0,0,3,1),OFFSET(INDEX(bcEff_Res,1,8),0,0,3,1)) + INDEX(doEff,4)*(INDEX(eff0BC_Res,4)+INDEX(pushBC_Res,3)) + SUMPRODUCT(doEff,INDEX(bcEff_Res,,7),N(_el&gt;3))</f>
        <v>2.3591484375</v>
      </c>
      <c r="M96" s="33">
        <f ca="1">SUMPRODUCT(OFFSET(doEff,0,0,3,1),OFFSET(INDEX(bcEff_Res,1,9),0,0,3,1)) + INDEX(doEff,4)*(INDEX(eff0BC_Res,4)+INDEX(pushBC_Res,3)) + SUMPRODUCT(doEff,INDEX(bcEff_Res,,8),N(_el&gt;3))</f>
        <v>2.3591484375</v>
      </c>
      <c r="N96" s="33">
        <f ca="1">SUMPRODUCT(OFFSET(doEff,0,0,3,1),OFFSET(INDEX(bcEff_Res,1,10),0,0,3,1)) + INDEX(doEff,4)*(INDEX(eff0BC_Res,4)+INDEX(pushBC_Res,3)) + SUMPRODUCT(doEff,INDEX(bcEff_Res,,9),N(_el&gt;3))</f>
        <v>2.3591484375</v>
      </c>
      <c r="O96" s="33">
        <f ca="1">SUMPRODUCT(OFFSET(doEff,0,0,3,1),OFFSET(INDEX(bcEff_Res,1,11),0,0,3,1)) + INDEX(doEff,4)*(INDEX(eff0BC_Res,4)+INDEX(pushBC_Res,3)) + SUMPRODUCT(doEff,INDEX(bcEff_Res,,10),N(_el&gt;3))</f>
        <v>2.3591484375</v>
      </c>
      <c r="P96" s="33">
        <f ca="1">SUMPRODUCT(OFFSET(doEff,0,0,3,1),OFFSET(INDEX(bcEff_Res,1,12),0,0,3,1)) + INDEX(doEff,4)*(INDEX(eff0BC_Res,4)+INDEX(pushBC_Res,3)) + SUMPRODUCT(doEff,INDEX(bcEff_Res,,11),N(_el&gt;3))</f>
        <v>2.3591484375</v>
      </c>
      <c r="Q96" s="33">
        <f ca="1">SUMPRODUCT(OFFSET(doEff,0,0,3,1),OFFSET(INDEX(bcEff_Res,1,13),0,0,3,1)) + INDEX(doEff,4)*(INDEX(eff0BC_Res,4)+INDEX(pushBC_Res,3)) + SUMPRODUCT(doEff,INDEX(bcEff_Res,,12),N(_el&gt;3))</f>
        <v>2.3591484375</v>
      </c>
      <c r="R96" s="33">
        <f ca="1">SUMPRODUCT(OFFSET(doEff,0,0,3,1),OFFSET(INDEX(bcEff_Res,1,14),0,0,3,1)) + INDEX(doEff,4)*(INDEX(eff0BC_Res,4)+INDEX(pushBC_Res,3)) + SUMPRODUCT(doEff,INDEX(bcEff_Res,,13),N(_el&gt;3))</f>
        <v>2.3591484375</v>
      </c>
      <c r="S96" s="33">
        <f ca="1">SUMPRODUCT(OFFSET(doEff,0,0,3,1),OFFSET(INDEX(bcEff_Res,1,15),0,0,3,1)) + INDEX(doEff,4)*(INDEX(eff0BC_Res,4)+INDEX(pushBC_Res,3)) + SUMPRODUCT(doEff,INDEX(bcEff_Res,,14),N(_el&gt;3))</f>
        <v>2.3591484375</v>
      </c>
      <c r="T96" s="33">
        <f ca="1">SUMPRODUCT(OFFSET(doEff,0,0,3,1),OFFSET(INDEX(bcEff_Res,1,16),0,0,3,1)) + INDEX(doEff,4)*(INDEX(eff0BC_Res,4)+INDEX(pushBC_Res,3)) + SUMPRODUCT(doEff,INDEX(bcEff_Res,,15),N(_el&gt;3))</f>
        <v>2.3591484375</v>
      </c>
      <c r="U96" s="33">
        <f ca="1">SUMPRODUCT(OFFSET(doEff,0,0,3,1),OFFSET(INDEX(bcEff_Res,1,17),0,0,3,1)) + INDEX(doEff,4)*(INDEX(eff0BC_Res,4)+INDEX(pushBC_Res,3)) + SUMPRODUCT(doEff,INDEX(bcEff_Res,,16),N(_el&gt;3))</f>
        <v>2.3591484375</v>
      </c>
      <c r="V96" s="33">
        <f ca="1">SUMPRODUCT(OFFSET(doEff,0,0,3,1),OFFSET(INDEX(bcEff_Res,1,18),0,0,3,1)) + INDEX(doEff,4)*(INDEX(eff0BC_Res,4)+INDEX(pushBC_Res,3)) + SUMPRODUCT(doEff,INDEX(bcEff_Res,,17),N(_el&gt;3))</f>
        <v>2.3591484375</v>
      </c>
      <c r="W96" s="33">
        <f ca="1">SUMPRODUCT(OFFSET(doEff,0,0,3,1),OFFSET(INDEX(bcEff_Res,1,19),0,0,3,1)) + INDEX(doEff,4)*(INDEX(eff0BC_Res,4)+INDEX(pushBC_Res,3)) + SUMPRODUCT(doEff,INDEX(bcEff_Res,,18),N(_el&gt;3))</f>
        <v>2.3591484375</v>
      </c>
      <c r="X96" s="33">
        <f ca="1">SUMPRODUCT(OFFSET(doEff,0,0,3,1),OFFSET(INDEX(bcEff_Res,1,20),0,0,3,1)) + INDEX(doEff,4)*(INDEX(eff0BC_Res,4)+INDEX(pushBC_Res,3)) + SUMPRODUCT(doEff,INDEX(bcEff_Res,,19),N(_el&gt;3))</f>
        <v>2.3591484375</v>
      </c>
      <c r="Y96" s="33">
        <f ca="1">SUMPRODUCT(OFFSET(doEff,0,0,3,1),OFFSET(INDEX(bcEff_Res,1,21),0,0,3,1)) + INDEX(doEff,4)*(INDEX(eff0BC_Res,4)+INDEX(pushBC_Res,3)) + SUMPRODUCT(doEff,INDEX(bcEff_Res,,20),N(_el&gt;3))</f>
        <v>2.3591484375</v>
      </c>
      <c r="Z96" s="33">
        <f ca="1">SUMPRODUCT(OFFSET(doEff,0,0,3,1),OFFSET(INDEX(bcEff_Res,1,22),0,0,3,1)) + INDEX(doEff,4)*(INDEX(eff0BC_Res,4)+INDEX(pushBC_Res,3)) + SUMPRODUCT(doEff,INDEX(bcEff_Res,,21),N(_el&gt;3))</f>
        <v>2.3591484375</v>
      </c>
      <c r="AA96" s="33">
        <f ca="1">SUMPRODUCT(OFFSET(doEff,0,0,3,1),OFFSET(INDEX(bcEff_Res,1,23),0,0,3,1)) + INDEX(doEff,4)*(INDEX(eff0BC_Res,4)+INDEX(pushBC_Res,3)) + SUMPRODUCT(doEff,INDEX(bcEff_Res,,22),N(_el&gt;3))</f>
        <v>2.3591484375</v>
      </c>
      <c r="AB96" s="33">
        <f ca="1">SUMPRODUCT(OFFSET(doEff,0,0,3,1),OFFSET(INDEX(bcEff_Res,1,24),0,0,3,1)) + INDEX(doEff,4)*(INDEX(eff0BC_Res,4)+INDEX(pushBC_Res,3)) + SUMPRODUCT(doEff,INDEX(bcEff_Res,,23),N(_el&gt;3))</f>
        <v>2.3591484375</v>
      </c>
      <c r="AC96" s="33">
        <f ca="1">SUMPRODUCT(OFFSET(doEff,0,0,3,1),OFFSET(INDEX(bcEff_Res,1,25),0,0,3,1)) + INDEX(doEff,4)*(INDEX(eff0BC_Res,4)+INDEX(pushBC_Res,3)) + SUMPRODUCT(doEff,INDEX(bcEff_Res,,24),N(_el&gt;3))</f>
        <v>2.3591484375</v>
      </c>
      <c r="AD96" s="33">
        <f ca="1">SUMPRODUCT(OFFSET(doEff,0,0,3,1),OFFSET(INDEX(bcEff_Res,1,26),0,0,3,1)) + INDEX(doEff,4)*(INDEX(eff0BC_Res,4)+INDEX(pushBC_Res,3)) + SUMPRODUCT(doEff,INDEX(bcEff_Res,,25),N(_el&gt;3))</f>
        <v>2.3591484375</v>
      </c>
      <c r="AE96" s="33">
        <f ca="1">SUMPRODUCT(OFFSET(doEff,0,0,3,1),OFFSET(INDEX(bcEff_Res,1,27),0,0,3,1)) + INDEX(doEff,4)*(INDEX(eff0BC_Res,4)+INDEX(pushBC_Res,3)) + SUMPRODUCT(doEff,INDEX(bcEff_Res,,26),N(_el&gt;3))</f>
        <v>2.3591484375</v>
      </c>
      <c r="AF96" s="33">
        <f ca="1">SUMPRODUCT(OFFSET(doEff,0,0,3,1),OFFSET(INDEX(bcEff_Res,1,28),0,0,3,1)) + INDEX(doEff,4)*(INDEX(eff0BC_Res,4)+INDEX(pushBC_Res,3)) + SUMPRODUCT(doEff,INDEX(bcEff_Res,,27),N(_el&gt;3))</f>
        <v>2.3591484375</v>
      </c>
      <c r="AG96" s="33">
        <f ca="1">SUMPRODUCT(OFFSET(doEff,0,0,3,1),OFFSET(INDEX(bcEff_Res,1,29),0,0,3,1)) + INDEX(doEff,4)*(INDEX(eff0BC_Res,4)+INDEX(pushBC_Res,3)) + SUMPRODUCT(doEff,INDEX(bcEff_Res,,28),N(_el&gt;3))</f>
        <v>2.3591484375</v>
      </c>
      <c r="AH96" s="33">
        <f ca="1">SUMPRODUCT(OFFSET(doEff,0,0,3,1),OFFSET(INDEX(bcEff_Res,1,30),0,0,3,1)) + INDEX(doEff,4)*(INDEX(eff0BC_Res,4)+INDEX(pushBC_Res,3)) + SUMPRODUCT(doEff,INDEX(bcEff_Res,,29),N(_el&gt;3))</f>
        <v>2.3591484375</v>
      </c>
      <c r="AI96" s="33">
        <f ca="1">SUMPRODUCT(OFFSET(doEff,0,0,3,1),OFFSET(INDEX(bcEff_Res,1,31),0,0,3,1)) + INDEX(doEff,4)*(INDEX(eff0BC_Res,4)+INDEX(pushBC_Res,3)) + SUMPRODUCT(doEff,INDEX(bcEff_Res,,30),N(_el&gt;3))</f>
        <v>2.3591484375</v>
      </c>
      <c r="AJ96" s="33">
        <f ca="1">SUMPRODUCT(OFFSET(doEff,0,0,3,1),OFFSET(INDEX(bcEff_Res,1,32),0,0,3,1)) + INDEX(doEff,4)*(INDEX(eff0BC_Res,4)+INDEX(pushBC_Res,3)) + SUMPRODUCT(doEff,INDEX(bcEff_Res,,31),N(_el&gt;3))</f>
        <v>2.3591484375</v>
      </c>
      <c r="AK96" s="33">
        <f ca="1">SUMPRODUCT(OFFSET(doEff,0,0,3,1),OFFSET(INDEX(bcEff_Res,1,33),0,0,3,1)) + INDEX(doEff,4)*(INDEX(eff0BC_Res,4)+INDEX(pushBC_Res,3)) + SUMPRODUCT(doEff,INDEX(bcEff_Res,,32),N(_el&gt;3))</f>
        <v>2.3591484375</v>
      </c>
      <c r="AL96" s="33">
        <f ca="1">SUMPRODUCT(OFFSET(doEff,0,0,3,1),OFFSET(INDEX(bcEff_Res,1,34),0,0,3,1)) + INDEX(doEff,4)*(INDEX(eff0BC_Res,4)+INDEX(pushBC_Res,3)) + SUMPRODUCT(doEff,INDEX(bcEff_Res,,33),N(_el&gt;3))</f>
        <v>2.3591484375</v>
      </c>
      <c r="AM96" s="33">
        <f ca="1">SUMPRODUCT(OFFSET(doEff,0,0,3,1),OFFSET(INDEX(bcEff_Res,1,35),0,0,3,1)) + INDEX(doEff,4)*(INDEX(eff0BC_Res,4)+INDEX(pushBC_Res,3)) + SUMPRODUCT(doEff,INDEX(bcEff_Res,,34),N(_el&gt;3))</f>
        <v>2.3591484375</v>
      </c>
      <c r="AN96" s="34">
        <f ca="1">SUMPRODUCT(OFFSET(doEff,0,0,3,1),OFFSET(INDEX(bcEff_Res,1,36),0,0,3,1)) + INDEX(doEff,4)*(INDEX(eff0BC_Res,4)+INDEX(pushBC_Res,3)) + SUMPRODUCT(doEff,INDEX(bcEff_Res,,35),N(_el&gt;3))</f>
        <v>2.3591484375</v>
      </c>
      <c r="AO96" s="8"/>
    </row>
    <row r="97" spans="2:41" hidden="1" x14ac:dyDescent="0.35">
      <c r="B97" s="8"/>
      <c r="C97" s="35" t="str">
        <f>"EL 4: " &amp; INDEX(_doName,2,5)</f>
        <v>EL 4: EL 4</v>
      </c>
      <c r="D97" s="15"/>
      <c r="E97" s="21"/>
      <c r="F97" s="21">
        <f ca="1">SUMPRODUCT(OFFSET(doEff,0,0,4,1),OFFSET(INDEX(bcEff_Res,1,2),0,0,4,1)) + INDEX(doEff,5)*(INDEX(eff0BC_Res,5)+INDEX(pushBC_Res,4)) + 0</f>
        <v>2.3591484375</v>
      </c>
      <c r="G97" s="21">
        <f ca="1">SUMPRODUCT(OFFSET(doEff,0,0,4,1),OFFSET(INDEX(bcEff_Res,1,3),0,0,4,1)) + INDEX(doEff,5)*(INDEX(eff0BC_Res,5)+INDEX(pushBC_Res,4)) + 0</f>
        <v>2.3591484375</v>
      </c>
      <c r="H97" s="21">
        <f ca="1">SUMPRODUCT(OFFSET(doEff,0,0,4,1),OFFSET(INDEX(bcEff_Res,1,4),0,0,4,1)) + INDEX(doEff,5)*(INDEX(eff0BC_Res,5)+INDEX(pushBC_Res,4)) + 0</f>
        <v>2.3591484375</v>
      </c>
      <c r="I97" s="21">
        <f ca="1">SUMPRODUCT(OFFSET(doEff,0,0,4,1),OFFSET(INDEX(bcEff_Res,1,5),0,0,4,1)) + INDEX(doEff,5)*(INDEX(eff0BC_Res,5)+INDEX(pushBC_Res,4)) + 0</f>
        <v>2.3591484375</v>
      </c>
      <c r="J97" s="21">
        <f ca="1">SUMPRODUCT(OFFSET(doEff,0,0,4,1),OFFSET(INDEX(bcEff_Res,1,6),0,0,4,1)) + INDEX(doEff,5)*(INDEX(eff0BC_Res,5)+INDEX(pushBC_Res,4)) + 0</f>
        <v>2.3591484375</v>
      </c>
      <c r="K97" s="21">
        <f ca="1">SUMPRODUCT(OFFSET(doEff,0,0,4,1),OFFSET(INDEX(bcEff_Res,1,7),0,0,4,1)) + INDEX(doEff,5)*(INDEX(eff0BC_Res,5)+INDEX(pushBC_Res,4)) + 0</f>
        <v>2.3591484375</v>
      </c>
      <c r="L97" s="21">
        <f ca="1">SUMPRODUCT(OFFSET(doEff,0,0,4,1),OFFSET(INDEX(bcEff_Res,1,8),0,0,4,1)) + INDEX(doEff,5)*(INDEX(eff0BC_Res,5)+INDEX(pushBC_Res,4)) + 0</f>
        <v>2.3591484375</v>
      </c>
      <c r="M97" s="21">
        <f ca="1">SUMPRODUCT(OFFSET(doEff,0,0,4,1),OFFSET(INDEX(bcEff_Res,1,9),0,0,4,1)) + INDEX(doEff,5)*(INDEX(eff0BC_Res,5)+INDEX(pushBC_Res,4)) + 0</f>
        <v>2.3591484375</v>
      </c>
      <c r="N97" s="21">
        <f ca="1">SUMPRODUCT(OFFSET(doEff,0,0,4,1),OFFSET(INDEX(bcEff_Res,1,10),0,0,4,1)) + INDEX(doEff,5)*(INDEX(eff0BC_Res,5)+INDEX(pushBC_Res,4)) + 0</f>
        <v>2.3591484375</v>
      </c>
      <c r="O97" s="21">
        <f ca="1">SUMPRODUCT(OFFSET(doEff,0,0,4,1),OFFSET(INDEX(bcEff_Res,1,11),0,0,4,1)) + INDEX(doEff,5)*(INDEX(eff0BC_Res,5)+INDEX(pushBC_Res,4)) + 0</f>
        <v>2.3591484375</v>
      </c>
      <c r="P97" s="21">
        <f ca="1">SUMPRODUCT(OFFSET(doEff,0,0,4,1),OFFSET(INDEX(bcEff_Res,1,12),0,0,4,1)) + INDEX(doEff,5)*(INDEX(eff0BC_Res,5)+INDEX(pushBC_Res,4)) + 0</f>
        <v>2.3591484375</v>
      </c>
      <c r="Q97" s="21">
        <f ca="1">SUMPRODUCT(OFFSET(doEff,0,0,4,1),OFFSET(INDEX(bcEff_Res,1,13),0,0,4,1)) + INDEX(doEff,5)*(INDEX(eff0BC_Res,5)+INDEX(pushBC_Res,4)) + 0</f>
        <v>2.3591484375</v>
      </c>
      <c r="R97" s="21">
        <f ca="1">SUMPRODUCT(OFFSET(doEff,0,0,4,1),OFFSET(INDEX(bcEff_Res,1,14),0,0,4,1)) + INDEX(doEff,5)*(INDEX(eff0BC_Res,5)+INDEX(pushBC_Res,4)) + 0</f>
        <v>2.3591484375</v>
      </c>
      <c r="S97" s="21">
        <f ca="1">SUMPRODUCT(OFFSET(doEff,0,0,4,1),OFFSET(INDEX(bcEff_Res,1,15),0,0,4,1)) + INDEX(doEff,5)*(INDEX(eff0BC_Res,5)+INDEX(pushBC_Res,4)) + 0</f>
        <v>2.3591484375</v>
      </c>
      <c r="T97" s="21">
        <f ca="1">SUMPRODUCT(OFFSET(doEff,0,0,4,1),OFFSET(INDEX(bcEff_Res,1,16),0,0,4,1)) + INDEX(doEff,5)*(INDEX(eff0BC_Res,5)+INDEX(pushBC_Res,4)) + 0</f>
        <v>2.3591484375</v>
      </c>
      <c r="U97" s="21">
        <f ca="1">SUMPRODUCT(OFFSET(doEff,0,0,4,1),OFFSET(INDEX(bcEff_Res,1,17),0,0,4,1)) + INDEX(doEff,5)*(INDEX(eff0BC_Res,5)+INDEX(pushBC_Res,4)) + 0</f>
        <v>2.3591484375</v>
      </c>
      <c r="V97" s="21">
        <f ca="1">SUMPRODUCT(OFFSET(doEff,0,0,4,1),OFFSET(INDEX(bcEff_Res,1,18),0,0,4,1)) + INDEX(doEff,5)*(INDEX(eff0BC_Res,5)+INDEX(pushBC_Res,4)) + 0</f>
        <v>2.3591484375</v>
      </c>
      <c r="W97" s="21">
        <f ca="1">SUMPRODUCT(OFFSET(doEff,0,0,4,1),OFFSET(INDEX(bcEff_Res,1,19),0,0,4,1)) + INDEX(doEff,5)*(INDEX(eff0BC_Res,5)+INDEX(pushBC_Res,4)) + 0</f>
        <v>2.3591484375</v>
      </c>
      <c r="X97" s="21">
        <f ca="1">SUMPRODUCT(OFFSET(doEff,0,0,4,1),OFFSET(INDEX(bcEff_Res,1,20),0,0,4,1)) + INDEX(doEff,5)*(INDEX(eff0BC_Res,5)+INDEX(pushBC_Res,4)) + 0</f>
        <v>2.3591484375</v>
      </c>
      <c r="Y97" s="21">
        <f ca="1">SUMPRODUCT(OFFSET(doEff,0,0,4,1),OFFSET(INDEX(bcEff_Res,1,21),0,0,4,1)) + INDEX(doEff,5)*(INDEX(eff0BC_Res,5)+INDEX(pushBC_Res,4)) + 0</f>
        <v>2.3591484375</v>
      </c>
      <c r="Z97" s="21">
        <f ca="1">SUMPRODUCT(OFFSET(doEff,0,0,4,1),OFFSET(INDEX(bcEff_Res,1,22),0,0,4,1)) + INDEX(doEff,5)*(INDEX(eff0BC_Res,5)+INDEX(pushBC_Res,4)) + 0</f>
        <v>2.3591484375</v>
      </c>
      <c r="AA97" s="21">
        <f ca="1">SUMPRODUCT(OFFSET(doEff,0,0,4,1),OFFSET(INDEX(bcEff_Res,1,23),0,0,4,1)) + INDEX(doEff,5)*(INDEX(eff0BC_Res,5)+INDEX(pushBC_Res,4)) + 0</f>
        <v>2.3591484375</v>
      </c>
      <c r="AB97" s="21">
        <f ca="1">SUMPRODUCT(OFFSET(doEff,0,0,4,1),OFFSET(INDEX(bcEff_Res,1,24),0,0,4,1)) + INDEX(doEff,5)*(INDEX(eff0BC_Res,5)+INDEX(pushBC_Res,4)) + 0</f>
        <v>2.3591484375</v>
      </c>
      <c r="AC97" s="21">
        <f ca="1">SUMPRODUCT(OFFSET(doEff,0,0,4,1),OFFSET(INDEX(bcEff_Res,1,25),0,0,4,1)) + INDEX(doEff,5)*(INDEX(eff0BC_Res,5)+INDEX(pushBC_Res,4)) + 0</f>
        <v>2.3591484375</v>
      </c>
      <c r="AD97" s="21">
        <f ca="1">SUMPRODUCT(OFFSET(doEff,0,0,4,1),OFFSET(INDEX(bcEff_Res,1,26),0,0,4,1)) + INDEX(doEff,5)*(INDEX(eff0BC_Res,5)+INDEX(pushBC_Res,4)) + 0</f>
        <v>2.3591484375</v>
      </c>
      <c r="AE97" s="21">
        <f ca="1">SUMPRODUCT(OFFSET(doEff,0,0,4,1),OFFSET(INDEX(bcEff_Res,1,27),0,0,4,1)) + INDEX(doEff,5)*(INDEX(eff0BC_Res,5)+INDEX(pushBC_Res,4)) + 0</f>
        <v>2.3591484375</v>
      </c>
      <c r="AF97" s="21">
        <f ca="1">SUMPRODUCT(OFFSET(doEff,0,0,4,1),OFFSET(INDEX(bcEff_Res,1,28),0,0,4,1)) + INDEX(doEff,5)*(INDEX(eff0BC_Res,5)+INDEX(pushBC_Res,4)) + 0</f>
        <v>2.3591484375</v>
      </c>
      <c r="AG97" s="21">
        <f ca="1">SUMPRODUCT(OFFSET(doEff,0,0,4,1),OFFSET(INDEX(bcEff_Res,1,29),0,0,4,1)) + INDEX(doEff,5)*(INDEX(eff0BC_Res,5)+INDEX(pushBC_Res,4)) + 0</f>
        <v>2.3591484375</v>
      </c>
      <c r="AH97" s="21">
        <f ca="1">SUMPRODUCT(OFFSET(doEff,0,0,4,1),OFFSET(INDEX(bcEff_Res,1,30),0,0,4,1)) + INDEX(doEff,5)*(INDEX(eff0BC_Res,5)+INDEX(pushBC_Res,4)) + 0</f>
        <v>2.3591484375</v>
      </c>
      <c r="AI97" s="21">
        <f ca="1">SUMPRODUCT(OFFSET(doEff,0,0,4,1),OFFSET(INDEX(bcEff_Res,1,31),0,0,4,1)) + INDEX(doEff,5)*(INDEX(eff0BC_Res,5)+INDEX(pushBC_Res,4)) + 0</f>
        <v>2.3591484375</v>
      </c>
      <c r="AJ97" s="21">
        <f ca="1">SUMPRODUCT(OFFSET(doEff,0,0,4,1),OFFSET(INDEX(bcEff_Res,1,32),0,0,4,1)) + INDEX(doEff,5)*(INDEX(eff0BC_Res,5)+INDEX(pushBC_Res,4)) + 0</f>
        <v>2.3591484375</v>
      </c>
      <c r="AK97" s="21">
        <f ca="1">SUMPRODUCT(OFFSET(doEff,0,0,4,1),OFFSET(INDEX(bcEff_Res,1,33),0,0,4,1)) + INDEX(doEff,5)*(INDEX(eff0BC_Res,5)+INDEX(pushBC_Res,4)) + 0</f>
        <v>2.3591484375</v>
      </c>
      <c r="AL97" s="21">
        <f ca="1">SUMPRODUCT(OFFSET(doEff,0,0,4,1),OFFSET(INDEX(bcEff_Res,1,34),0,0,4,1)) + INDEX(doEff,5)*(INDEX(eff0BC_Res,5)+INDEX(pushBC_Res,4)) + 0</f>
        <v>2.3591484375</v>
      </c>
      <c r="AM97" s="21">
        <f ca="1">SUMPRODUCT(OFFSET(doEff,0,0,4,1),OFFSET(INDEX(bcEff_Res,1,35),0,0,4,1)) + INDEX(doEff,5)*(INDEX(eff0BC_Res,5)+INDEX(pushBC_Res,4)) + 0</f>
        <v>2.3591484375</v>
      </c>
      <c r="AN97" s="22">
        <f ca="1">SUMPRODUCT(OFFSET(doEff,0,0,4,1),OFFSET(INDEX(bcEff_Res,1,36),0,0,4,1)) + INDEX(doEff,5)*(INDEX(eff0BC_Res,5)+INDEX(pushBC_Res,4)) + 0</f>
        <v>2.3591484375</v>
      </c>
      <c r="AO97" s="8"/>
    </row>
    <row r="98" spans="2:41" hidden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</row>
    <row r="99" spans="2:41" x14ac:dyDescent="0.35">
      <c r="B99" s="8"/>
      <c r="C99" s="132" t="s">
        <v>15</v>
      </c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4"/>
      <c r="AO99" s="8"/>
    </row>
    <row r="100" spans="2:41" x14ac:dyDescent="0.35">
      <c r="B100" s="8"/>
      <c r="C100" s="23" t="s">
        <v>98</v>
      </c>
      <c r="D100" s="24"/>
      <c r="E100" s="26">
        <f t="array" ref="E100:AN100">_yS</f>
        <v>2024</v>
      </c>
      <c r="F100" s="26">
        <v>2025</v>
      </c>
      <c r="G100" s="26">
        <v>2026</v>
      </c>
      <c r="H100" s="26">
        <v>2027</v>
      </c>
      <c r="I100" s="26">
        <v>2028</v>
      </c>
      <c r="J100" s="26">
        <v>2029</v>
      </c>
      <c r="K100" s="26">
        <v>2030</v>
      </c>
      <c r="L100" s="26">
        <v>2031</v>
      </c>
      <c r="M100" s="26">
        <v>2032</v>
      </c>
      <c r="N100" s="26">
        <v>2033</v>
      </c>
      <c r="O100" s="26">
        <v>2034</v>
      </c>
      <c r="P100" s="26">
        <v>2035</v>
      </c>
      <c r="Q100" s="26">
        <v>2036</v>
      </c>
      <c r="R100" s="26">
        <v>2037</v>
      </c>
      <c r="S100" s="26">
        <v>2038</v>
      </c>
      <c r="T100" s="26">
        <v>2039</v>
      </c>
      <c r="U100" s="26">
        <v>2040</v>
      </c>
      <c r="V100" s="26">
        <v>2041</v>
      </c>
      <c r="W100" s="26">
        <v>2042</v>
      </c>
      <c r="X100" s="26">
        <v>2043</v>
      </c>
      <c r="Y100" s="26">
        <v>2044</v>
      </c>
      <c r="Z100" s="26">
        <v>2045</v>
      </c>
      <c r="AA100" s="26">
        <v>2046</v>
      </c>
      <c r="AB100" s="26">
        <v>2047</v>
      </c>
      <c r="AC100" s="26">
        <v>2048</v>
      </c>
      <c r="AD100" s="26">
        <v>2049</v>
      </c>
      <c r="AE100" s="26">
        <v>2050</v>
      </c>
      <c r="AF100" s="26">
        <v>2051</v>
      </c>
      <c r="AG100" s="26">
        <v>2052</v>
      </c>
      <c r="AH100" s="26">
        <v>2053</v>
      </c>
      <c r="AI100" s="26">
        <v>2054</v>
      </c>
      <c r="AJ100" s="26">
        <v>2055</v>
      </c>
      <c r="AK100" s="26">
        <v>2056</v>
      </c>
      <c r="AL100" s="26">
        <v>2057</v>
      </c>
      <c r="AM100" s="26">
        <v>2058</v>
      </c>
      <c r="AN100" s="27">
        <v>2059</v>
      </c>
      <c r="AO100" s="8"/>
    </row>
    <row r="101" spans="2:41" x14ac:dyDescent="0.35">
      <c r="B101" s="8"/>
      <c r="C101" s="19" t="str">
        <f>"EL 0: " &amp; INDEX(_doName,2,1)</f>
        <v>EL 0: Baseline</v>
      </c>
      <c r="D101" s="11" t="s">
        <v>63</v>
      </c>
      <c r="E101" s="43">
        <f t="array" aca="1" ref="E101:AN105" ca="1">IF(_yS&lt;yearC,bcEff_Com,IF(_yS&lt;year2nd,MMULT(mRoll1_Com,refEff_Com),MMULT(mRoll2_Com,refEff_Com)))</f>
        <v>0</v>
      </c>
      <c r="F101" s="43">
        <f ca="1"/>
        <v>0</v>
      </c>
      <c r="G101" s="43">
        <f ca="1"/>
        <v>0</v>
      </c>
      <c r="H101" s="43">
        <f ca="1"/>
        <v>0</v>
      </c>
      <c r="I101" s="43">
        <f ca="1"/>
        <v>0</v>
      </c>
      <c r="J101" s="43">
        <f ca="1"/>
        <v>0</v>
      </c>
      <c r="K101" s="43">
        <f ca="1"/>
        <v>0</v>
      </c>
      <c r="L101" s="43">
        <f ca="1"/>
        <v>0</v>
      </c>
      <c r="M101" s="43">
        <f ca="1"/>
        <v>0</v>
      </c>
      <c r="N101" s="43">
        <f ca="1"/>
        <v>0</v>
      </c>
      <c r="O101" s="43">
        <f ca="1"/>
        <v>0</v>
      </c>
      <c r="P101" s="43">
        <f ca="1"/>
        <v>0</v>
      </c>
      <c r="Q101" s="43">
        <f ca="1"/>
        <v>0</v>
      </c>
      <c r="R101" s="43">
        <f ca="1"/>
        <v>0</v>
      </c>
      <c r="S101" s="43">
        <f ca="1"/>
        <v>0</v>
      </c>
      <c r="T101" s="43">
        <f ca="1"/>
        <v>0</v>
      </c>
      <c r="U101" s="43">
        <f ca="1"/>
        <v>0</v>
      </c>
      <c r="V101" s="43">
        <f ca="1"/>
        <v>0</v>
      </c>
      <c r="W101" s="43">
        <f ca="1"/>
        <v>0</v>
      </c>
      <c r="X101" s="43">
        <f ca="1"/>
        <v>0</v>
      </c>
      <c r="Y101" s="43">
        <f ca="1"/>
        <v>0</v>
      </c>
      <c r="Z101" s="43">
        <f ca="1"/>
        <v>0</v>
      </c>
      <c r="AA101" s="43">
        <f ca="1"/>
        <v>0</v>
      </c>
      <c r="AB101" s="43">
        <f ca="1"/>
        <v>0</v>
      </c>
      <c r="AC101" s="43">
        <f ca="1"/>
        <v>0</v>
      </c>
      <c r="AD101" s="43">
        <f ca="1"/>
        <v>0</v>
      </c>
      <c r="AE101" s="43">
        <f ca="1"/>
        <v>0</v>
      </c>
      <c r="AF101" s="43">
        <f ca="1"/>
        <v>0</v>
      </c>
      <c r="AG101" s="43">
        <f ca="1"/>
        <v>0</v>
      </c>
      <c r="AH101" s="43">
        <f ca="1"/>
        <v>0</v>
      </c>
      <c r="AI101" s="43">
        <f ca="1"/>
        <v>0</v>
      </c>
      <c r="AJ101" s="43">
        <f ca="1"/>
        <v>0</v>
      </c>
      <c r="AK101" s="43">
        <f ca="1"/>
        <v>0</v>
      </c>
      <c r="AL101" s="43">
        <f ca="1"/>
        <v>0</v>
      </c>
      <c r="AM101" s="43">
        <f ca="1"/>
        <v>0</v>
      </c>
      <c r="AN101" s="44">
        <f ca="1"/>
        <v>0</v>
      </c>
      <c r="AO101" s="8"/>
    </row>
    <row r="102" spans="2:41" x14ac:dyDescent="0.35">
      <c r="B102" s="8"/>
      <c r="C102" s="19" t="str">
        <f>"EL 1: " &amp; INDEX(_doName,2,2)</f>
        <v>EL 1: Tier 1</v>
      </c>
      <c r="D102" s="11" t="s">
        <v>63</v>
      </c>
      <c r="E102" s="43">
        <f ca="1"/>
        <v>0.60829991882885381</v>
      </c>
      <c r="F102" s="43">
        <f ca="1"/>
        <v>0.60854735378857905</v>
      </c>
      <c r="G102" s="43">
        <f ca="1"/>
        <v>0</v>
      </c>
      <c r="H102" s="43">
        <f ca="1"/>
        <v>0</v>
      </c>
      <c r="I102" s="43">
        <f ca="1"/>
        <v>0</v>
      </c>
      <c r="J102" s="43">
        <f ca="1"/>
        <v>0</v>
      </c>
      <c r="K102" s="43">
        <f ca="1"/>
        <v>0</v>
      </c>
      <c r="L102" s="43">
        <f ca="1"/>
        <v>0</v>
      </c>
      <c r="M102" s="43">
        <f ca="1"/>
        <v>0</v>
      </c>
      <c r="N102" s="43">
        <f ca="1"/>
        <v>0</v>
      </c>
      <c r="O102" s="43">
        <f ca="1"/>
        <v>0</v>
      </c>
      <c r="P102" s="43">
        <f ca="1"/>
        <v>0</v>
      </c>
      <c r="Q102" s="43">
        <f ca="1"/>
        <v>0</v>
      </c>
      <c r="R102" s="43">
        <f ca="1"/>
        <v>0</v>
      </c>
      <c r="S102" s="43">
        <f ca="1"/>
        <v>0</v>
      </c>
      <c r="T102" s="43">
        <f ca="1"/>
        <v>0</v>
      </c>
      <c r="U102" s="43">
        <f ca="1"/>
        <v>0</v>
      </c>
      <c r="V102" s="43">
        <f ca="1"/>
        <v>0</v>
      </c>
      <c r="W102" s="43">
        <f ca="1"/>
        <v>0</v>
      </c>
      <c r="X102" s="43">
        <f ca="1"/>
        <v>0</v>
      </c>
      <c r="Y102" s="43">
        <f ca="1"/>
        <v>0</v>
      </c>
      <c r="Z102" s="43">
        <f ca="1"/>
        <v>0</v>
      </c>
      <c r="AA102" s="43">
        <f ca="1"/>
        <v>0</v>
      </c>
      <c r="AB102" s="43">
        <f ca="1"/>
        <v>0</v>
      </c>
      <c r="AC102" s="43">
        <f ca="1"/>
        <v>0</v>
      </c>
      <c r="AD102" s="43">
        <f ca="1"/>
        <v>0</v>
      </c>
      <c r="AE102" s="43">
        <f ca="1"/>
        <v>0</v>
      </c>
      <c r="AF102" s="43">
        <f ca="1"/>
        <v>0</v>
      </c>
      <c r="AG102" s="43">
        <f ca="1"/>
        <v>0</v>
      </c>
      <c r="AH102" s="43">
        <f ca="1"/>
        <v>0</v>
      </c>
      <c r="AI102" s="43">
        <f ca="1"/>
        <v>0</v>
      </c>
      <c r="AJ102" s="43">
        <f ca="1"/>
        <v>0</v>
      </c>
      <c r="AK102" s="43">
        <f ca="1"/>
        <v>0</v>
      </c>
      <c r="AL102" s="43">
        <f ca="1"/>
        <v>0</v>
      </c>
      <c r="AM102" s="43">
        <f ca="1"/>
        <v>0</v>
      </c>
      <c r="AN102" s="44">
        <f ca="1"/>
        <v>0</v>
      </c>
      <c r="AO102" s="8"/>
    </row>
    <row r="103" spans="2:41" x14ac:dyDescent="0.35">
      <c r="B103" s="8"/>
      <c r="C103" s="19" t="str">
        <f>"EL 2: " &amp; INDEX(_doName,2,3)</f>
        <v>EL 2: Tier 2</v>
      </c>
      <c r="D103" s="11" t="s">
        <v>63</v>
      </c>
      <c r="E103" s="43">
        <f ca="1"/>
        <v>0.28202405844322515</v>
      </c>
      <c r="F103" s="43">
        <f ca="1"/>
        <v>0.28184590527222303</v>
      </c>
      <c r="G103" s="43">
        <f ca="1"/>
        <v>0.88995082609188358</v>
      </c>
      <c r="H103" s="43">
        <f ca="1"/>
        <v>0.89004440905324289</v>
      </c>
      <c r="I103" s="43">
        <f ca="1"/>
        <v>0.89013678188309542</v>
      </c>
      <c r="J103" s="43">
        <f ca="1"/>
        <v>0.89016242977841642</v>
      </c>
      <c r="K103" s="43">
        <f ca="1"/>
        <v>0.89018777448211139</v>
      </c>
      <c r="L103" s="43">
        <f ca="1"/>
        <v>0.89021282651070655</v>
      </c>
      <c r="M103" s="43">
        <f ca="1"/>
        <v>0.89023759532189206</v>
      </c>
      <c r="N103" s="43">
        <f ca="1"/>
        <v>0.89026208989097411</v>
      </c>
      <c r="O103" s="43">
        <f ca="1"/>
        <v>0.89026562067837278</v>
      </c>
      <c r="P103" s="43">
        <f ca="1"/>
        <v>0.89026910744021626</v>
      </c>
      <c r="Q103" s="43">
        <f ca="1"/>
        <v>0.89027255312944664</v>
      </c>
      <c r="R103" s="43">
        <f ca="1"/>
        <v>0.89027596044252311</v>
      </c>
      <c r="S103" s="43">
        <f ca="1"/>
        <v>0.89027933185981878</v>
      </c>
      <c r="T103" s="43">
        <f ca="1"/>
        <v>0.89028266925732158</v>
      </c>
      <c r="U103" s="43">
        <f ca="1"/>
        <v>0.89028597439008605</v>
      </c>
      <c r="V103" s="43">
        <f ca="1"/>
        <v>0.89028924876944693</v>
      </c>
      <c r="W103" s="43">
        <f ca="1"/>
        <v>0.89029249373659303</v>
      </c>
      <c r="X103" s="43">
        <f ca="1"/>
        <v>0.89029571051906609</v>
      </c>
      <c r="Y103" s="43">
        <f ca="1"/>
        <v>0.89029725665511095</v>
      </c>
      <c r="Z103" s="43">
        <f ca="1"/>
        <v>0.89029879231990128</v>
      </c>
      <c r="AA103" s="43">
        <f ca="1"/>
        <v>0.89030031837353862</v>
      </c>
      <c r="AB103" s="43">
        <f ca="1"/>
        <v>0.89030183562101106</v>
      </c>
      <c r="AC103" s="43">
        <f ca="1"/>
        <v>0.89030334480898254</v>
      </c>
      <c r="AD103" s="43">
        <f ca="1"/>
        <v>0.89030484662552078</v>
      </c>
      <c r="AE103" s="43">
        <f ca="1"/>
        <v>0.89030634170356837</v>
      </c>
      <c r="AF103" s="43">
        <f ca="1"/>
        <v>0.89030783062666297</v>
      </c>
      <c r="AG103" s="43">
        <f ca="1"/>
        <v>0.89030931393546886</v>
      </c>
      <c r="AH103" s="43">
        <f ca="1"/>
        <v>0.89031079213389464</v>
      </c>
      <c r="AI103" s="43">
        <f ca="1"/>
        <v>0.8903122656939122</v>
      </c>
      <c r="AJ103" s="43">
        <f ca="1"/>
        <v>0.89031373505899336</v>
      </c>
      <c r="AK103" s="43">
        <f ca="1"/>
        <v>0.89031520064655967</v>
      </c>
      <c r="AL103" s="43">
        <f ca="1"/>
        <v>0.89031666284927335</v>
      </c>
      <c r="AM103" s="43">
        <f ca="1"/>
        <v>0.890625</v>
      </c>
      <c r="AN103" s="44">
        <f ca="1"/>
        <v>0.890625</v>
      </c>
      <c r="AO103" s="8"/>
    </row>
    <row r="104" spans="2:41" x14ac:dyDescent="0.35">
      <c r="B104" s="8"/>
      <c r="C104" s="19" t="str">
        <f>"EL 3: " &amp; INDEX(_doName,2,4)</f>
        <v>EL 3: EL 3</v>
      </c>
      <c r="D104" s="11" t="s">
        <v>63</v>
      </c>
      <c r="E104" s="43">
        <f ca="1"/>
        <v>0.10575902191620944</v>
      </c>
      <c r="F104" s="43">
        <f ca="1"/>
        <v>0.10569221447708363</v>
      </c>
      <c r="G104" s="43">
        <f ca="1"/>
        <v>0.10611884626854079</v>
      </c>
      <c r="H104" s="43">
        <f ca="1"/>
        <v>0.10602860555580138</v>
      </c>
      <c r="I104" s="43">
        <f ca="1"/>
        <v>0.10593953175558667</v>
      </c>
      <c r="J104" s="43">
        <f ca="1"/>
        <v>0.10591479985652703</v>
      </c>
      <c r="K104" s="43">
        <f ca="1"/>
        <v>0.10589036032082123</v>
      </c>
      <c r="L104" s="43">
        <f ca="1"/>
        <v>0.10586620300753295</v>
      </c>
      <c r="M104" s="43">
        <f ca="1"/>
        <v>0.10584231879674709</v>
      </c>
      <c r="N104" s="43">
        <f ca="1"/>
        <v>0.1058186990337036</v>
      </c>
      <c r="O104" s="43">
        <f ca="1"/>
        <v>0.10581529434585477</v>
      </c>
      <c r="P104" s="43">
        <f ca="1"/>
        <v>0.10581193211122027</v>
      </c>
      <c r="Q104" s="43">
        <f ca="1"/>
        <v>0.10580860948231934</v>
      </c>
      <c r="R104" s="43">
        <f ca="1"/>
        <v>0.10580532385899558</v>
      </c>
      <c r="S104" s="43">
        <f ca="1"/>
        <v>0.10580207284946044</v>
      </c>
      <c r="T104" s="43">
        <f ca="1"/>
        <v>0.10579885464472558</v>
      </c>
      <c r="U104" s="43">
        <f ca="1"/>
        <v>0.10579566755241705</v>
      </c>
      <c r="V104" s="43">
        <f ca="1"/>
        <v>0.10579251011517637</v>
      </c>
      <c r="W104" s="43">
        <f ca="1"/>
        <v>0.10578938103971393</v>
      </c>
      <c r="X104" s="43">
        <f ca="1"/>
        <v>0.10578627914232923</v>
      </c>
      <c r="Y104" s="43">
        <f ca="1"/>
        <v>0.10578478822542882</v>
      </c>
      <c r="Z104" s="43">
        <f ca="1"/>
        <v>0.10578330740580937</v>
      </c>
      <c r="AA104" s="43">
        <f ca="1"/>
        <v>0.10578183585408778</v>
      </c>
      <c r="AB104" s="43">
        <f ca="1"/>
        <v>0.10578037279402501</v>
      </c>
      <c r="AC104" s="43">
        <f ca="1"/>
        <v>0.1057789175056239</v>
      </c>
      <c r="AD104" s="43">
        <f ca="1"/>
        <v>0.10577746932539066</v>
      </c>
      <c r="AE104" s="43">
        <f ca="1"/>
        <v>0.10577602764298766</v>
      </c>
      <c r="AF104" s="43">
        <f ca="1"/>
        <v>0.105774591895718</v>
      </c>
      <c r="AG104" s="43">
        <f ca="1"/>
        <v>0.10577316156222645</v>
      </c>
      <c r="AH104" s="43">
        <f ca="1"/>
        <v>0.10577173615660153</v>
      </c>
      <c r="AI104" s="43">
        <f ca="1"/>
        <v>0.10577031522372754</v>
      </c>
      <c r="AJ104" s="43">
        <f ca="1"/>
        <v>0.10576889833597077</v>
      </c>
      <c r="AK104" s="43">
        <f ca="1"/>
        <v>0.10576748509081761</v>
      </c>
      <c r="AL104" s="43">
        <f ca="1"/>
        <v>0.10576607510962922</v>
      </c>
      <c r="AM104" s="43">
        <f ca="1"/>
        <v>0.10546875</v>
      </c>
      <c r="AN104" s="44">
        <f ca="1"/>
        <v>0.10546875</v>
      </c>
      <c r="AO104" s="8"/>
    </row>
    <row r="105" spans="2:41" x14ac:dyDescent="0.35">
      <c r="B105" s="8"/>
      <c r="C105" s="35" t="str">
        <f>"EL 4: " &amp; INDEX(_doName,2,5)</f>
        <v>EL 4: EL 4</v>
      </c>
      <c r="D105" s="15" t="s">
        <v>63</v>
      </c>
      <c r="E105" s="45">
        <f ca="1"/>
        <v>3.9170008117114605E-3</v>
      </c>
      <c r="F105" s="45">
        <f ca="1"/>
        <v>3.9145264621142086E-3</v>
      </c>
      <c r="G105" s="45">
        <f ca="1"/>
        <v>3.9303276395755852E-3</v>
      </c>
      <c r="H105" s="45">
        <f ca="1"/>
        <v>3.9269853909556065E-3</v>
      </c>
      <c r="I105" s="45">
        <f ca="1"/>
        <v>3.923686361318025E-3</v>
      </c>
      <c r="J105" s="45">
        <f ca="1"/>
        <v>3.9227703650565569E-3</v>
      </c>
      <c r="K105" s="45">
        <f ca="1"/>
        <v>3.9218651970674527E-3</v>
      </c>
      <c r="L105" s="45">
        <f ca="1"/>
        <v>3.9209704817604798E-3</v>
      </c>
      <c r="M105" s="45">
        <f ca="1"/>
        <v>3.9200858813610035E-3</v>
      </c>
      <c r="N105" s="45">
        <f ca="1"/>
        <v>3.9192110753223557E-3</v>
      </c>
      <c r="O105" s="45">
        <f ca="1"/>
        <v>3.9190849757723984E-3</v>
      </c>
      <c r="P105" s="45">
        <f ca="1"/>
        <v>3.9189604485637139E-3</v>
      </c>
      <c r="Q105" s="45">
        <f ca="1"/>
        <v>3.9188373882340496E-3</v>
      </c>
      <c r="R105" s="45">
        <f ca="1"/>
        <v>3.9187156984813176E-3</v>
      </c>
      <c r="S105" s="45">
        <f ca="1"/>
        <v>3.9185952907207569E-3</v>
      </c>
      <c r="T105" s="45">
        <f ca="1"/>
        <v>3.9184760979527992E-3</v>
      </c>
      <c r="U105" s="45">
        <f ca="1"/>
        <v>3.9183580574969285E-3</v>
      </c>
      <c r="V105" s="45">
        <f ca="1"/>
        <v>3.9182411153769027E-3</v>
      </c>
      <c r="W105" s="45">
        <f ca="1"/>
        <v>3.9181252236931089E-3</v>
      </c>
      <c r="X105" s="45">
        <f ca="1"/>
        <v>3.9180103386047861E-3</v>
      </c>
      <c r="Y105" s="45">
        <f ca="1"/>
        <v>3.9179551194603261E-3</v>
      </c>
      <c r="Z105" s="45">
        <f ca="1"/>
        <v>3.9179002742892356E-3</v>
      </c>
      <c r="AA105" s="45">
        <f ca="1"/>
        <v>3.9178457723736213E-3</v>
      </c>
      <c r="AB105" s="45">
        <f ca="1"/>
        <v>3.9177915849638893E-3</v>
      </c>
      <c r="AC105" s="45">
        <f ca="1"/>
        <v>3.9177376853934782E-3</v>
      </c>
      <c r="AD105" s="45">
        <f ca="1"/>
        <v>3.9176840490885434E-3</v>
      </c>
      <c r="AE105" s="45">
        <f ca="1"/>
        <v>3.9176306534439874E-3</v>
      </c>
      <c r="AF105" s="45">
        <f ca="1"/>
        <v>3.9175774776191857E-3</v>
      </c>
      <c r="AG105" s="45">
        <f ca="1"/>
        <v>3.9175245023046834E-3</v>
      </c>
      <c r="AH105" s="45">
        <f ca="1"/>
        <v>3.9174717095037601E-3</v>
      </c>
      <c r="AI105" s="45">
        <f ca="1"/>
        <v>3.9174190823602793E-3</v>
      </c>
      <c r="AJ105" s="45">
        <f ca="1"/>
        <v>3.9173666050359547E-3</v>
      </c>
      <c r="AK105" s="45">
        <f ca="1"/>
        <v>3.9173142626228747E-3</v>
      </c>
      <c r="AL105" s="45">
        <f ca="1"/>
        <v>3.9172620410973793E-3</v>
      </c>
      <c r="AM105" s="45">
        <f ca="1"/>
        <v>3.90625E-3</v>
      </c>
      <c r="AN105" s="46">
        <f ca="1"/>
        <v>3.90625E-3</v>
      </c>
      <c r="AO105" s="8"/>
    </row>
    <row r="106" spans="2:41" hidden="1" x14ac:dyDescent="0.35">
      <c r="B106" s="8"/>
      <c r="C106" s="23" t="s">
        <v>97</v>
      </c>
      <c r="D106" s="24"/>
      <c r="E106" s="26">
        <f t="array" ref="E106:AN106">_yS</f>
        <v>2024</v>
      </c>
      <c r="F106" s="26">
        <v>2025</v>
      </c>
      <c r="G106" s="26">
        <v>2026</v>
      </c>
      <c r="H106" s="26">
        <v>2027</v>
      </c>
      <c r="I106" s="26">
        <v>2028</v>
      </c>
      <c r="J106" s="26">
        <v>2029</v>
      </c>
      <c r="K106" s="26">
        <v>2030</v>
      </c>
      <c r="L106" s="26">
        <v>2031</v>
      </c>
      <c r="M106" s="26">
        <v>2032</v>
      </c>
      <c r="N106" s="26">
        <v>2033</v>
      </c>
      <c r="O106" s="26">
        <v>2034</v>
      </c>
      <c r="P106" s="26">
        <v>2035</v>
      </c>
      <c r="Q106" s="26">
        <v>2036</v>
      </c>
      <c r="R106" s="26">
        <v>2037</v>
      </c>
      <c r="S106" s="26">
        <v>2038</v>
      </c>
      <c r="T106" s="26">
        <v>2039</v>
      </c>
      <c r="U106" s="26">
        <v>2040</v>
      </c>
      <c r="V106" s="26">
        <v>2041</v>
      </c>
      <c r="W106" s="26">
        <v>2042</v>
      </c>
      <c r="X106" s="26">
        <v>2043</v>
      </c>
      <c r="Y106" s="26">
        <v>2044</v>
      </c>
      <c r="Z106" s="26">
        <v>2045</v>
      </c>
      <c r="AA106" s="26">
        <v>2046</v>
      </c>
      <c r="AB106" s="26">
        <v>2047</v>
      </c>
      <c r="AC106" s="26">
        <v>2048</v>
      </c>
      <c r="AD106" s="26">
        <v>2049</v>
      </c>
      <c r="AE106" s="26">
        <v>2050</v>
      </c>
      <c r="AF106" s="26">
        <v>2051</v>
      </c>
      <c r="AG106" s="26">
        <v>2052</v>
      </c>
      <c r="AH106" s="26">
        <v>2053</v>
      </c>
      <c r="AI106" s="26">
        <v>2054</v>
      </c>
      <c r="AJ106" s="26">
        <v>2055</v>
      </c>
      <c r="AK106" s="26">
        <v>2056</v>
      </c>
      <c r="AL106" s="26">
        <v>2057</v>
      </c>
      <c r="AM106" s="26">
        <v>2058</v>
      </c>
      <c r="AN106" s="27">
        <v>2059</v>
      </c>
      <c r="AO106" s="8"/>
    </row>
    <row r="107" spans="2:41" hidden="1" x14ac:dyDescent="0.35">
      <c r="B107" s="8"/>
      <c r="C107" s="19" t="str">
        <f>"EL 0: " &amp; INDEX(_doName,2,1)</f>
        <v>EL 0: Baseline</v>
      </c>
      <c r="D107" s="11" t="s">
        <v>63</v>
      </c>
      <c r="E107" s="43">
        <f t="array" aca="1" ref="E107:AN111" ca="1">IF(_yS&lt;yearC,'CADR 100-149'!bcEff_Com,IF(OR(bElast,bRepair),IF(tShpmedStd_Com&gt;0,elShpStd_Com/tShpmedStd_Com,'CADR 100-149'!bcEff_Com),'CADR 100-149'!bcEff_Com))</f>
        <v>0.24166864285266121</v>
      </c>
      <c r="F107" s="43">
        <f ca="1"/>
        <v>0.24214767693468917</v>
      </c>
      <c r="G107" s="43">
        <f ca="1"/>
        <v>0.24173737805275564</v>
      </c>
      <c r="H107" s="43">
        <f ca="1"/>
        <v>0.24201710734743007</v>
      </c>
      <c r="I107" s="43">
        <f ca="1"/>
        <v>0.24229310571837273</v>
      </c>
      <c r="J107" s="43">
        <f ca="1"/>
        <v>0.24236991467605609</v>
      </c>
      <c r="K107" s="43">
        <f ca="1"/>
        <v>0.24244578523432619</v>
      </c>
      <c r="L107" s="43">
        <f ca="1"/>
        <v>0.2425207501978664</v>
      </c>
      <c r="M107" s="43">
        <f ca="1"/>
        <v>0.24259483907301799</v>
      </c>
      <c r="N107" s="43">
        <f ca="1"/>
        <v>0.24266807985370231</v>
      </c>
      <c r="O107" s="43">
        <f ca="1"/>
        <v>0.24267880479484091</v>
      </c>
      <c r="P107" s="43">
        <f ca="1"/>
        <v>0.24268939268951326</v>
      </c>
      <c r="Q107" s="43">
        <f ca="1"/>
        <v>0.24269985271975664</v>
      </c>
      <c r="R107" s="43">
        <f ca="1"/>
        <v>0.24271019326837689</v>
      </c>
      <c r="S107" s="43">
        <f ca="1"/>
        <v>0.24272042204460173</v>
      </c>
      <c r="T107" s="43">
        <f ca="1"/>
        <v>0.24273054488529608</v>
      </c>
      <c r="U107" s="43">
        <f ca="1"/>
        <v>0.24274056724976026</v>
      </c>
      <c r="V107" s="43">
        <f ca="1"/>
        <v>0.24275049384094327</v>
      </c>
      <c r="W107" s="43">
        <f ca="1"/>
        <v>0.24276032883327914</v>
      </c>
      <c r="X107" s="43">
        <f ca="1"/>
        <v>0.24277007604757167</v>
      </c>
      <c r="Y107" s="43">
        <f ca="1"/>
        <v>0.24277484874101171</v>
      </c>
      <c r="Z107" s="43">
        <f ca="1"/>
        <v>0.24277958837300107</v>
      </c>
      <c r="AA107" s="43">
        <f ca="1"/>
        <v>0.24278429761249667</v>
      </c>
      <c r="AB107" s="43">
        <f ca="1"/>
        <v>0.24278897895669629</v>
      </c>
      <c r="AC107" s="43">
        <f ca="1"/>
        <v>0.24279363472128285</v>
      </c>
      <c r="AD107" s="43">
        <f ca="1"/>
        <v>0.24279826703974589</v>
      </c>
      <c r="AE107" s="43">
        <f ca="1"/>
        <v>0.24280287787423935</v>
      </c>
      <c r="AF107" s="43">
        <f ca="1"/>
        <v>0.2428074690333607</v>
      </c>
      <c r="AG107" s="43">
        <f ca="1"/>
        <v>0.24281204219241598</v>
      </c>
      <c r="AH107" s="43">
        <f ca="1"/>
        <v>0.24281659891238222</v>
      </c>
      <c r="AI107" s="43">
        <f ca="1"/>
        <v>0.24282114065485536</v>
      </c>
      <c r="AJ107" s="43">
        <f ca="1"/>
        <v>0.24282566879272152</v>
      </c>
      <c r="AK107" s="43">
        <f ca="1"/>
        <v>0.242830184617774</v>
      </c>
      <c r="AL107" s="43">
        <f ca="1"/>
        <v>0.24283468934475719</v>
      </c>
      <c r="AM107" s="43">
        <f ca="1"/>
        <v>0.24375000000000002</v>
      </c>
      <c r="AN107" s="44">
        <f ca="1"/>
        <v>0.24375000000000002</v>
      </c>
      <c r="AO107" s="8"/>
    </row>
    <row r="108" spans="2:41" hidden="1" x14ac:dyDescent="0.35">
      <c r="B108" s="8"/>
      <c r="C108" s="19" t="str">
        <f>"EL 1: " &amp; INDEX(_doName,2,2)</f>
        <v>EL 1: Tier 1</v>
      </c>
      <c r="D108" s="11" t="s">
        <v>63</v>
      </c>
      <c r="E108" s="43">
        <f ca="1"/>
        <v>0.36663127597619266</v>
      </c>
      <c r="F108" s="43">
        <f ca="1"/>
        <v>0.36639967685388991</v>
      </c>
      <c r="G108" s="43">
        <f ca="1"/>
        <v>0.36522985798968582</v>
      </c>
      <c r="H108" s="43">
        <f ca="1"/>
        <v>0.36528435355700917</v>
      </c>
      <c r="I108" s="43">
        <f ca="1"/>
        <v>0.36533825814982485</v>
      </c>
      <c r="J108" s="43">
        <f ca="1"/>
        <v>0.36535304881828823</v>
      </c>
      <c r="K108" s="43">
        <f ca="1"/>
        <v>0.36536769505892858</v>
      </c>
      <c r="L108" s="43">
        <f ca="1"/>
        <v>0.36538220162608565</v>
      </c>
      <c r="M108" s="43">
        <f ca="1"/>
        <v>0.36539657279088178</v>
      </c>
      <c r="N108" s="43">
        <f ca="1"/>
        <v>0.36541081261406222</v>
      </c>
      <c r="O108" s="43">
        <f ca="1"/>
        <v>0.36541269762791911</v>
      </c>
      <c r="P108" s="43">
        <f ca="1"/>
        <v>0.36541456245411552</v>
      </c>
      <c r="Q108" s="43">
        <f ca="1"/>
        <v>0.36541640845683848</v>
      </c>
      <c r="R108" s="43">
        <f ca="1"/>
        <v>0.36541823688349134</v>
      </c>
      <c r="S108" s="43">
        <f ca="1"/>
        <v>0.36542004888332258</v>
      </c>
      <c r="T108" s="43">
        <f ca="1"/>
        <v>0.36542184531942395</v>
      </c>
      <c r="U108" s="43">
        <f ca="1"/>
        <v>0.36542362700054692</v>
      </c>
      <c r="V108" s="43">
        <f ca="1"/>
        <v>0.36542539462136653</v>
      </c>
      <c r="W108" s="43">
        <f ca="1"/>
        <v>0.36542714879741006</v>
      </c>
      <c r="X108" s="43">
        <f ca="1"/>
        <v>0.36542889009194979</v>
      </c>
      <c r="Y108" s="43">
        <f ca="1"/>
        <v>0.36542963931295569</v>
      </c>
      <c r="Z108" s="43">
        <f ca="1"/>
        <v>0.36543038419807533</v>
      </c>
      <c r="AA108" s="43">
        <f ca="1"/>
        <v>0.36543112515014115</v>
      </c>
      <c r="AB108" s="43">
        <f ca="1"/>
        <v>0.36543186254691479</v>
      </c>
      <c r="AC108" s="43">
        <f ca="1"/>
        <v>0.36543259673936923</v>
      </c>
      <c r="AD108" s="43">
        <f ca="1"/>
        <v>0.36543332805139983</v>
      </c>
      <c r="AE108" s="43">
        <f ca="1"/>
        <v>0.36543405678136204</v>
      </c>
      <c r="AF108" s="43">
        <f ca="1"/>
        <v>0.36543478320472089</v>
      </c>
      <c r="AG108" s="43">
        <f ca="1"/>
        <v>0.36543550757711568</v>
      </c>
      <c r="AH108" s="43">
        <f ca="1"/>
        <v>0.36543623013724175</v>
      </c>
      <c r="AI108" s="43">
        <f ca="1"/>
        <v>0.36543695110911673</v>
      </c>
      <c r="AJ108" s="43">
        <f ca="1"/>
        <v>0.3654376707036831</v>
      </c>
      <c r="AK108" s="43">
        <f ca="1"/>
        <v>0.36543838911993864</v>
      </c>
      <c r="AL108" s="43">
        <f ca="1"/>
        <v>0.36543910654550493</v>
      </c>
      <c r="AM108" s="43">
        <f ca="1"/>
        <v>0.36562499999999998</v>
      </c>
      <c r="AN108" s="44">
        <f ca="1"/>
        <v>0.36562499999999998</v>
      </c>
      <c r="AO108" s="8"/>
    </row>
    <row r="109" spans="2:41" hidden="1" x14ac:dyDescent="0.35">
      <c r="B109" s="8"/>
      <c r="C109" s="19" t="str">
        <f>"EL 2: " &amp; INDEX(_doName,2,3)</f>
        <v>EL 2: Tier 2</v>
      </c>
      <c r="D109" s="11" t="s">
        <v>63</v>
      </c>
      <c r="E109" s="43">
        <f ca="1"/>
        <v>0.28202405844322515</v>
      </c>
      <c r="F109" s="43">
        <f ca="1"/>
        <v>0.28184590527222303</v>
      </c>
      <c r="G109" s="43">
        <f ca="1"/>
        <v>0.28298359004944212</v>
      </c>
      <c r="H109" s="43">
        <f ca="1"/>
        <v>0.28274294814880369</v>
      </c>
      <c r="I109" s="43">
        <f ca="1"/>
        <v>0.28250541801489776</v>
      </c>
      <c r="J109" s="43">
        <f ca="1"/>
        <v>0.28243946628407213</v>
      </c>
      <c r="K109" s="43">
        <f ca="1"/>
        <v>0.28237429418885662</v>
      </c>
      <c r="L109" s="43">
        <f ca="1"/>
        <v>0.2823098746867545</v>
      </c>
      <c r="M109" s="43">
        <f ca="1"/>
        <v>0.28224618345799224</v>
      </c>
      <c r="N109" s="43">
        <f ca="1"/>
        <v>0.28218319742320958</v>
      </c>
      <c r="O109" s="43">
        <f ca="1"/>
        <v>0.28217411825561273</v>
      </c>
      <c r="P109" s="43">
        <f ca="1"/>
        <v>0.2821651522965874</v>
      </c>
      <c r="Q109" s="43">
        <f ca="1"/>
        <v>0.28215629195285158</v>
      </c>
      <c r="R109" s="43">
        <f ca="1"/>
        <v>0.28214753029065487</v>
      </c>
      <c r="S109" s="43">
        <f ca="1"/>
        <v>0.2821388609318945</v>
      </c>
      <c r="T109" s="43">
        <f ca="1"/>
        <v>0.28213027905260157</v>
      </c>
      <c r="U109" s="43">
        <f ca="1"/>
        <v>0.28212178013977884</v>
      </c>
      <c r="V109" s="43">
        <f ca="1"/>
        <v>0.28211336030713702</v>
      </c>
      <c r="W109" s="43">
        <f ca="1"/>
        <v>0.28210501610590383</v>
      </c>
      <c r="X109" s="43">
        <f ca="1"/>
        <v>0.28209674437954457</v>
      </c>
      <c r="Y109" s="43">
        <f ca="1"/>
        <v>0.28209276860114352</v>
      </c>
      <c r="Z109" s="43">
        <f ca="1"/>
        <v>0.28208881974882499</v>
      </c>
      <c r="AA109" s="43">
        <f ca="1"/>
        <v>0.28208489561090078</v>
      </c>
      <c r="AB109" s="43">
        <f ca="1"/>
        <v>0.28208099411740001</v>
      </c>
      <c r="AC109" s="43">
        <f ca="1"/>
        <v>0.28207711334833041</v>
      </c>
      <c r="AD109" s="43">
        <f ca="1"/>
        <v>0.28207325153437512</v>
      </c>
      <c r="AE109" s="43">
        <f ca="1"/>
        <v>0.28206940704796707</v>
      </c>
      <c r="AF109" s="43">
        <f ca="1"/>
        <v>0.28206557838858132</v>
      </c>
      <c r="AG109" s="43">
        <f ca="1"/>
        <v>0.2820617641659372</v>
      </c>
      <c r="AH109" s="43">
        <f ca="1"/>
        <v>0.28205796308427072</v>
      </c>
      <c r="AI109" s="43">
        <f ca="1"/>
        <v>0.28205417392994009</v>
      </c>
      <c r="AJ109" s="43">
        <f ca="1"/>
        <v>0.28205039556258871</v>
      </c>
      <c r="AK109" s="43">
        <f ca="1"/>
        <v>0.28204662690884696</v>
      </c>
      <c r="AL109" s="43">
        <f ca="1"/>
        <v>0.28204286695901132</v>
      </c>
      <c r="AM109" s="43">
        <f ca="1"/>
        <v>0.28125</v>
      </c>
      <c r="AN109" s="44">
        <f ca="1"/>
        <v>0.28125</v>
      </c>
      <c r="AO109" s="8"/>
    </row>
    <row r="110" spans="2:41" hidden="1" x14ac:dyDescent="0.35">
      <c r="B110" s="8"/>
      <c r="C110" s="19" t="str">
        <f>"EL 3: " &amp; INDEX(_doName,2,4)</f>
        <v>EL 3: EL 3</v>
      </c>
      <c r="D110" s="11" t="s">
        <v>63</v>
      </c>
      <c r="E110" s="43">
        <f ca="1"/>
        <v>0.10575902191620944</v>
      </c>
      <c r="F110" s="43">
        <f ca="1"/>
        <v>0.10569221447708363</v>
      </c>
      <c r="G110" s="43">
        <f ca="1"/>
        <v>0.10611884626854079</v>
      </c>
      <c r="H110" s="43">
        <f ca="1"/>
        <v>0.10602860555580138</v>
      </c>
      <c r="I110" s="43">
        <f ca="1"/>
        <v>0.10593953175558667</v>
      </c>
      <c r="J110" s="43">
        <f ca="1"/>
        <v>0.10591479985652703</v>
      </c>
      <c r="K110" s="43">
        <f ca="1"/>
        <v>0.10589036032082123</v>
      </c>
      <c r="L110" s="43">
        <f ca="1"/>
        <v>0.10586620300753295</v>
      </c>
      <c r="M110" s="43">
        <f ca="1"/>
        <v>0.10584231879674709</v>
      </c>
      <c r="N110" s="43">
        <f ca="1"/>
        <v>0.1058186990337036</v>
      </c>
      <c r="O110" s="43">
        <f ca="1"/>
        <v>0.10581529434585477</v>
      </c>
      <c r="P110" s="43">
        <f ca="1"/>
        <v>0.10581193211122027</v>
      </c>
      <c r="Q110" s="43">
        <f ca="1"/>
        <v>0.10580860948231934</v>
      </c>
      <c r="R110" s="43">
        <f ca="1"/>
        <v>0.10580532385899558</v>
      </c>
      <c r="S110" s="43">
        <f ca="1"/>
        <v>0.10580207284946044</v>
      </c>
      <c r="T110" s="43">
        <f ca="1"/>
        <v>0.10579885464472558</v>
      </c>
      <c r="U110" s="43">
        <f ca="1"/>
        <v>0.10579566755241705</v>
      </c>
      <c r="V110" s="43">
        <f ca="1"/>
        <v>0.10579251011517637</v>
      </c>
      <c r="W110" s="43">
        <f ca="1"/>
        <v>0.10578938103971393</v>
      </c>
      <c r="X110" s="43">
        <f ca="1"/>
        <v>0.10578627914232923</v>
      </c>
      <c r="Y110" s="43">
        <f ca="1"/>
        <v>0.10578478822542882</v>
      </c>
      <c r="Z110" s="43">
        <f ca="1"/>
        <v>0.10578330740580937</v>
      </c>
      <c r="AA110" s="43">
        <f ca="1"/>
        <v>0.10578183585408778</v>
      </c>
      <c r="AB110" s="43">
        <f ca="1"/>
        <v>0.10578037279402501</v>
      </c>
      <c r="AC110" s="43">
        <f ca="1"/>
        <v>0.1057789175056239</v>
      </c>
      <c r="AD110" s="43">
        <f ca="1"/>
        <v>0.10577746932539066</v>
      </c>
      <c r="AE110" s="43">
        <f ca="1"/>
        <v>0.10577602764298766</v>
      </c>
      <c r="AF110" s="43">
        <f ca="1"/>
        <v>0.105774591895718</v>
      </c>
      <c r="AG110" s="43">
        <f ca="1"/>
        <v>0.10577316156222645</v>
      </c>
      <c r="AH110" s="43">
        <f ca="1"/>
        <v>0.10577173615660153</v>
      </c>
      <c r="AI110" s="43">
        <f ca="1"/>
        <v>0.10577031522372754</v>
      </c>
      <c r="AJ110" s="43">
        <f ca="1"/>
        <v>0.10576889833597077</v>
      </c>
      <c r="AK110" s="43">
        <f ca="1"/>
        <v>0.10576748509081761</v>
      </c>
      <c r="AL110" s="43">
        <f ca="1"/>
        <v>0.10576607510962922</v>
      </c>
      <c r="AM110" s="43">
        <f ca="1"/>
        <v>0.10546875</v>
      </c>
      <c r="AN110" s="44">
        <f ca="1"/>
        <v>0.10546875</v>
      </c>
      <c r="AO110" s="8"/>
    </row>
    <row r="111" spans="2:41" hidden="1" x14ac:dyDescent="0.35">
      <c r="B111" s="8"/>
      <c r="C111" s="35" t="str">
        <f>"EL 4: " &amp; INDEX(_doName,2,5)</f>
        <v>EL 4: EL 4</v>
      </c>
      <c r="D111" s="15" t="s">
        <v>63</v>
      </c>
      <c r="E111" s="45">
        <f ca="1"/>
        <v>3.9170008117114605E-3</v>
      </c>
      <c r="F111" s="45">
        <f ca="1"/>
        <v>3.9145264621142086E-3</v>
      </c>
      <c r="G111" s="45">
        <f ca="1"/>
        <v>3.9303276395755852E-3</v>
      </c>
      <c r="H111" s="45">
        <f ca="1"/>
        <v>3.9269853909556065E-3</v>
      </c>
      <c r="I111" s="45">
        <f ca="1"/>
        <v>3.923686361318025E-3</v>
      </c>
      <c r="J111" s="45">
        <f ca="1"/>
        <v>3.9227703650565569E-3</v>
      </c>
      <c r="K111" s="45">
        <f ca="1"/>
        <v>3.9218651970674527E-3</v>
      </c>
      <c r="L111" s="45">
        <f ca="1"/>
        <v>3.9209704817604798E-3</v>
      </c>
      <c r="M111" s="45">
        <f ca="1"/>
        <v>3.9200858813610035E-3</v>
      </c>
      <c r="N111" s="45">
        <f ca="1"/>
        <v>3.9192110753223557E-3</v>
      </c>
      <c r="O111" s="45">
        <f ca="1"/>
        <v>3.9190849757723984E-3</v>
      </c>
      <c r="P111" s="45">
        <f ca="1"/>
        <v>3.9189604485637139E-3</v>
      </c>
      <c r="Q111" s="45">
        <f ca="1"/>
        <v>3.9188373882340496E-3</v>
      </c>
      <c r="R111" s="45">
        <f ca="1"/>
        <v>3.9187156984813176E-3</v>
      </c>
      <c r="S111" s="45">
        <f ca="1"/>
        <v>3.9185952907207569E-3</v>
      </c>
      <c r="T111" s="45">
        <f ca="1"/>
        <v>3.9184760979527992E-3</v>
      </c>
      <c r="U111" s="45">
        <f ca="1"/>
        <v>3.9183580574969285E-3</v>
      </c>
      <c r="V111" s="45">
        <f ca="1"/>
        <v>3.9182411153769027E-3</v>
      </c>
      <c r="W111" s="45">
        <f ca="1"/>
        <v>3.9181252236931089E-3</v>
      </c>
      <c r="X111" s="45">
        <f ca="1"/>
        <v>3.9180103386047861E-3</v>
      </c>
      <c r="Y111" s="45">
        <f ca="1"/>
        <v>3.9179551194603261E-3</v>
      </c>
      <c r="Z111" s="45">
        <f ca="1"/>
        <v>3.9179002742892356E-3</v>
      </c>
      <c r="AA111" s="45">
        <f ca="1"/>
        <v>3.9178457723736213E-3</v>
      </c>
      <c r="AB111" s="45">
        <f ca="1"/>
        <v>3.9177915849638893E-3</v>
      </c>
      <c r="AC111" s="45">
        <f ca="1"/>
        <v>3.9177376853934782E-3</v>
      </c>
      <c r="AD111" s="45">
        <f ca="1"/>
        <v>3.9176840490885434E-3</v>
      </c>
      <c r="AE111" s="45">
        <f ca="1"/>
        <v>3.9176306534439874E-3</v>
      </c>
      <c r="AF111" s="45">
        <f ca="1"/>
        <v>3.9175774776191857E-3</v>
      </c>
      <c r="AG111" s="45">
        <f ca="1"/>
        <v>3.9175245023046834E-3</v>
      </c>
      <c r="AH111" s="45">
        <f ca="1"/>
        <v>3.9174717095037601E-3</v>
      </c>
      <c r="AI111" s="45">
        <f ca="1"/>
        <v>3.9174190823602793E-3</v>
      </c>
      <c r="AJ111" s="45">
        <f ca="1"/>
        <v>3.9173666050359547E-3</v>
      </c>
      <c r="AK111" s="45">
        <f ca="1"/>
        <v>3.9173142626228747E-3</v>
      </c>
      <c r="AL111" s="45">
        <f ca="1"/>
        <v>3.9172620410973793E-3</v>
      </c>
      <c r="AM111" s="45">
        <f ca="1"/>
        <v>3.90625E-3</v>
      </c>
      <c r="AN111" s="46">
        <f ca="1"/>
        <v>3.90625E-3</v>
      </c>
      <c r="AO111" s="8"/>
    </row>
    <row r="112" spans="2:41" x14ac:dyDescent="0.35">
      <c r="B112" s="8"/>
      <c r="C112" s="23" t="s">
        <v>96</v>
      </c>
      <c r="D112" s="24"/>
      <c r="E112" s="26">
        <f t="array" ref="E112:AN112">_yS</f>
        <v>2024</v>
      </c>
      <c r="F112" s="26">
        <v>2025</v>
      </c>
      <c r="G112" s="26">
        <v>2026</v>
      </c>
      <c r="H112" s="26">
        <v>2027</v>
      </c>
      <c r="I112" s="26">
        <v>2028</v>
      </c>
      <c r="J112" s="26">
        <v>2029</v>
      </c>
      <c r="K112" s="26">
        <v>2030</v>
      </c>
      <c r="L112" s="26">
        <v>2031</v>
      </c>
      <c r="M112" s="26">
        <v>2032</v>
      </c>
      <c r="N112" s="26">
        <v>2033</v>
      </c>
      <c r="O112" s="26">
        <v>2034</v>
      </c>
      <c r="P112" s="26">
        <v>2035</v>
      </c>
      <c r="Q112" s="26">
        <v>2036</v>
      </c>
      <c r="R112" s="26">
        <v>2037</v>
      </c>
      <c r="S112" s="26">
        <v>2038</v>
      </c>
      <c r="T112" s="26">
        <v>2039</v>
      </c>
      <c r="U112" s="26">
        <v>2040</v>
      </c>
      <c r="V112" s="26">
        <v>2041</v>
      </c>
      <c r="W112" s="26">
        <v>2042</v>
      </c>
      <c r="X112" s="26">
        <v>2043</v>
      </c>
      <c r="Y112" s="26">
        <v>2044</v>
      </c>
      <c r="Z112" s="26">
        <v>2045</v>
      </c>
      <c r="AA112" s="26">
        <v>2046</v>
      </c>
      <c r="AB112" s="26">
        <v>2047</v>
      </c>
      <c r="AC112" s="26">
        <v>2048</v>
      </c>
      <c r="AD112" s="26">
        <v>2049</v>
      </c>
      <c r="AE112" s="26">
        <v>2050</v>
      </c>
      <c r="AF112" s="26">
        <v>2051</v>
      </c>
      <c r="AG112" s="26">
        <v>2052</v>
      </c>
      <c r="AH112" s="26">
        <v>2053</v>
      </c>
      <c r="AI112" s="26">
        <v>2054</v>
      </c>
      <c r="AJ112" s="26">
        <v>2055</v>
      </c>
      <c r="AK112" s="26">
        <v>2056</v>
      </c>
      <c r="AL112" s="26">
        <v>2057</v>
      </c>
      <c r="AM112" s="26">
        <v>2058</v>
      </c>
      <c r="AN112" s="27">
        <v>2059</v>
      </c>
      <c r="AO112" s="8"/>
    </row>
    <row r="113" spans="2:41" x14ac:dyDescent="0.35">
      <c r="B113" s="8"/>
      <c r="C113" s="19" t="str">
        <f>"EL 0: " &amp; INDEX(_doName,2,1)</f>
        <v>EL 0: Baseline</v>
      </c>
      <c r="D113" s="11" t="s">
        <v>63</v>
      </c>
      <c r="E113" s="43">
        <f t="array" ref="E113:E117">TRANSPOSE(bcmed_Com)</f>
        <v>0.24375000000000002</v>
      </c>
      <c r="F113" s="43">
        <f t="array" ref="F113:F117" ca="1">eff0BC_Com+IF(_el=0,0,pullBC_Com)-pushBC_Com</f>
        <v>0.24375000000000002</v>
      </c>
      <c r="G113" s="43">
        <f t="array" ref="G113:G117" ca="1">eff0BC_Com+IF(_el=0,0,pullBC_Com)-pushBC_Com</f>
        <v>0.24375000000000002</v>
      </c>
      <c r="H113" s="43">
        <f t="array" ref="H113:H117" ca="1">eff0BC_Com+IF(_el=0,0,pullBC_Com)-pushBC_Com</f>
        <v>0.24375000000000002</v>
      </c>
      <c r="I113" s="43">
        <f t="array" ref="I113:I117" ca="1">eff0BC_Com+IF(_el=0,0,pullBC_Com)-pushBC_Com</f>
        <v>0.24375000000000002</v>
      </c>
      <c r="J113" s="43">
        <f t="array" ref="J113:J117" ca="1">eff0BC_Com+IF(_el=0,0,pullBC_Com)-pushBC_Com</f>
        <v>0.24375000000000002</v>
      </c>
      <c r="K113" s="43">
        <f t="array" ref="K113:K117" ca="1">eff0BC_Com+IF(_el=0,0,pullBC_Com)-pushBC_Com</f>
        <v>0.24375000000000002</v>
      </c>
      <c r="L113" s="43">
        <f t="array" ref="L113:L117" ca="1">eff0BC_Com+IF(_el=0,0,pullBC_Com)-pushBC_Com</f>
        <v>0.24375000000000002</v>
      </c>
      <c r="M113" s="43">
        <f t="array" ref="M113:M117" ca="1">eff0BC_Com+IF(_el=0,0,pullBC_Com)-pushBC_Com</f>
        <v>0.24375000000000002</v>
      </c>
      <c r="N113" s="43">
        <f t="array" ref="N113:N117" ca="1">eff0BC_Com+IF(_el=0,0,pullBC_Com)-pushBC_Com</f>
        <v>0.24375000000000002</v>
      </c>
      <c r="O113" s="43">
        <f t="array" ref="O113:O117" ca="1">eff0BC_Com+IF(_el=0,0,pullBC_Com)-pushBC_Com</f>
        <v>0.24375000000000002</v>
      </c>
      <c r="P113" s="43">
        <f t="array" ref="P113:P117" ca="1">eff0BC_Com+IF(_el=0,0,pullBC_Com)-pushBC_Com</f>
        <v>0.24375000000000002</v>
      </c>
      <c r="Q113" s="43">
        <f t="array" ref="Q113:Q117" ca="1">eff0BC_Com+IF(_el=0,0,pullBC_Com)-pushBC_Com</f>
        <v>0.24375000000000002</v>
      </c>
      <c r="R113" s="43">
        <f t="array" ref="R113:R117" ca="1">eff0BC_Com+IF(_el=0,0,pullBC_Com)-pushBC_Com</f>
        <v>0.24375000000000002</v>
      </c>
      <c r="S113" s="43">
        <f t="array" ref="S113:S117" ca="1">eff0BC_Com+IF(_el=0,0,pullBC_Com)-pushBC_Com</f>
        <v>0.24375000000000002</v>
      </c>
      <c r="T113" s="43">
        <f t="array" ref="T113:T117" ca="1">eff0BC_Com+IF(_el=0,0,pullBC_Com)-pushBC_Com</f>
        <v>0.24375000000000002</v>
      </c>
      <c r="U113" s="43">
        <f t="array" ref="U113:U117" ca="1">eff0BC_Com+IF(_el=0,0,pullBC_Com)-pushBC_Com</f>
        <v>0.24375000000000002</v>
      </c>
      <c r="V113" s="43">
        <f t="array" ref="V113:V117" ca="1">eff0BC_Com+IF(_el=0,0,pullBC_Com)-pushBC_Com</f>
        <v>0.24375000000000002</v>
      </c>
      <c r="W113" s="43">
        <f t="array" ref="W113:W117" ca="1">eff0BC_Com+IF(_el=0,0,pullBC_Com)-pushBC_Com</f>
        <v>0.24375000000000002</v>
      </c>
      <c r="X113" s="43">
        <f t="array" ref="X113:X117" ca="1">eff0BC_Com+IF(_el=0,0,pullBC_Com)-pushBC_Com</f>
        <v>0.24375000000000002</v>
      </c>
      <c r="Y113" s="43">
        <f t="array" ref="Y113:Y117" ca="1">eff0BC_Com+IF(_el=0,0,pullBC_Com)-pushBC_Com</f>
        <v>0.24375000000000002</v>
      </c>
      <c r="Z113" s="43">
        <f t="array" ref="Z113:Z117" ca="1">eff0BC_Com+IF(_el=0,0,pullBC_Com)-pushBC_Com</f>
        <v>0.24375000000000002</v>
      </c>
      <c r="AA113" s="43">
        <f t="array" ref="AA113:AA117" ca="1">eff0BC_Com+IF(_el=0,0,pullBC_Com)-pushBC_Com</f>
        <v>0.24375000000000002</v>
      </c>
      <c r="AB113" s="43">
        <f t="array" ref="AB113:AB117" ca="1">eff0BC_Com+IF(_el=0,0,pullBC_Com)-pushBC_Com</f>
        <v>0.24375000000000002</v>
      </c>
      <c r="AC113" s="43">
        <f t="array" ref="AC113:AC117" ca="1">eff0BC_Com+IF(_el=0,0,pullBC_Com)-pushBC_Com</f>
        <v>0.24375000000000002</v>
      </c>
      <c r="AD113" s="43">
        <f t="array" ref="AD113:AD117" ca="1">eff0BC_Com+IF(_el=0,0,pullBC_Com)-pushBC_Com</f>
        <v>0.24375000000000002</v>
      </c>
      <c r="AE113" s="43">
        <f t="array" ref="AE113:AE117" ca="1">eff0BC_Com+IF(_el=0,0,pullBC_Com)-pushBC_Com</f>
        <v>0.24375000000000002</v>
      </c>
      <c r="AF113" s="43">
        <f t="array" ref="AF113:AF117" ca="1">eff0BC_Com+IF(_el=0,0,pullBC_Com)-pushBC_Com</f>
        <v>0.24375000000000002</v>
      </c>
      <c r="AG113" s="43">
        <f t="array" ref="AG113:AG117" ca="1">eff0BC_Com+IF(_el=0,0,pullBC_Com)-pushBC_Com</f>
        <v>0.24375000000000002</v>
      </c>
      <c r="AH113" s="43">
        <f t="array" ref="AH113:AH117" ca="1">eff0BC_Com+IF(_el=0,0,pullBC_Com)-pushBC_Com</f>
        <v>0.24375000000000002</v>
      </c>
      <c r="AI113" s="43">
        <f t="array" ref="AI113:AI117" ca="1">eff0BC_Com+IF(_el=0,0,pullBC_Com)-pushBC_Com</f>
        <v>0.24375000000000002</v>
      </c>
      <c r="AJ113" s="43">
        <f t="array" ref="AJ113:AJ117" ca="1">eff0BC_Com+IF(_el=0,0,pullBC_Com)-pushBC_Com</f>
        <v>0.24375000000000002</v>
      </c>
      <c r="AK113" s="43">
        <f t="array" ref="AK113:AK117" ca="1">eff0BC_Com+IF(_el=0,0,pullBC_Com)-pushBC_Com</f>
        <v>0.24375000000000002</v>
      </c>
      <c r="AL113" s="43">
        <f t="array" ref="AL113:AL117" ca="1">eff0BC_Com+IF(_el=0,0,pullBC_Com)-pushBC_Com</f>
        <v>0.24375000000000002</v>
      </c>
      <c r="AM113" s="43">
        <f t="array" ref="AM113:AM117" ca="1">eff0BC_Com+IF(_el=0,0,pullBC_Com)-pushBC_Com</f>
        <v>0.24375000000000002</v>
      </c>
      <c r="AN113" s="44">
        <f t="array" ref="AN113:AN117" ca="1">eff0BC_Com+IF(_el=0,0,pullBC_Com)-pushBC_Com</f>
        <v>0.24375000000000002</v>
      </c>
      <c r="AO113" s="8"/>
    </row>
    <row r="114" spans="2:41" x14ac:dyDescent="0.35">
      <c r="B114" s="8"/>
      <c r="C114" s="19" t="str">
        <f>"EL 1: " &amp; INDEX(_doName,2,2)</f>
        <v>EL 1: Tier 1</v>
      </c>
      <c r="D114" s="11" t="s">
        <v>63</v>
      </c>
      <c r="E114" s="43">
        <v>0.36562499999999998</v>
      </c>
      <c r="F114" s="43">
        <f ca="1"/>
        <v>0.36562499999999998</v>
      </c>
      <c r="G114" s="43">
        <f ca="1"/>
        <v>0.36562499999999998</v>
      </c>
      <c r="H114" s="43">
        <f ca="1"/>
        <v>0.36562499999999998</v>
      </c>
      <c r="I114" s="43">
        <f ca="1"/>
        <v>0.36562499999999998</v>
      </c>
      <c r="J114" s="43">
        <f ca="1"/>
        <v>0.36562499999999998</v>
      </c>
      <c r="K114" s="43">
        <f ca="1"/>
        <v>0.36562499999999998</v>
      </c>
      <c r="L114" s="43">
        <f ca="1"/>
        <v>0.36562499999999998</v>
      </c>
      <c r="M114" s="43">
        <f ca="1"/>
        <v>0.36562499999999998</v>
      </c>
      <c r="N114" s="43">
        <f ca="1"/>
        <v>0.36562499999999998</v>
      </c>
      <c r="O114" s="43">
        <f ca="1"/>
        <v>0.36562499999999998</v>
      </c>
      <c r="P114" s="43">
        <f ca="1"/>
        <v>0.36562499999999998</v>
      </c>
      <c r="Q114" s="43">
        <f ca="1"/>
        <v>0.36562499999999998</v>
      </c>
      <c r="R114" s="43">
        <f ca="1"/>
        <v>0.36562499999999998</v>
      </c>
      <c r="S114" s="43">
        <f ca="1"/>
        <v>0.36562499999999998</v>
      </c>
      <c r="T114" s="43">
        <f ca="1"/>
        <v>0.36562499999999998</v>
      </c>
      <c r="U114" s="43">
        <f ca="1"/>
        <v>0.36562499999999998</v>
      </c>
      <c r="V114" s="43">
        <f ca="1"/>
        <v>0.36562499999999998</v>
      </c>
      <c r="W114" s="43">
        <f ca="1"/>
        <v>0.36562499999999998</v>
      </c>
      <c r="X114" s="43">
        <f ca="1"/>
        <v>0.36562499999999998</v>
      </c>
      <c r="Y114" s="43">
        <f ca="1"/>
        <v>0.36562499999999998</v>
      </c>
      <c r="Z114" s="43">
        <f ca="1"/>
        <v>0.36562499999999998</v>
      </c>
      <c r="AA114" s="43">
        <f ca="1"/>
        <v>0.36562499999999998</v>
      </c>
      <c r="AB114" s="43">
        <f ca="1"/>
        <v>0.36562499999999998</v>
      </c>
      <c r="AC114" s="43">
        <f ca="1"/>
        <v>0.36562499999999998</v>
      </c>
      <c r="AD114" s="43">
        <f ca="1"/>
        <v>0.36562499999999998</v>
      </c>
      <c r="AE114" s="43">
        <f ca="1"/>
        <v>0.36562499999999998</v>
      </c>
      <c r="AF114" s="43">
        <f ca="1"/>
        <v>0.36562499999999998</v>
      </c>
      <c r="AG114" s="43">
        <f ca="1"/>
        <v>0.36562499999999998</v>
      </c>
      <c r="AH114" s="43">
        <f ca="1"/>
        <v>0.36562499999999998</v>
      </c>
      <c r="AI114" s="43">
        <f ca="1"/>
        <v>0.36562499999999998</v>
      </c>
      <c r="AJ114" s="43">
        <f ca="1"/>
        <v>0.36562499999999998</v>
      </c>
      <c r="AK114" s="43">
        <f ca="1"/>
        <v>0.36562499999999998</v>
      </c>
      <c r="AL114" s="43">
        <f ca="1"/>
        <v>0.36562499999999998</v>
      </c>
      <c r="AM114" s="43">
        <f ca="1"/>
        <v>0.36562499999999998</v>
      </c>
      <c r="AN114" s="44">
        <f ca="1"/>
        <v>0.36562499999999998</v>
      </c>
      <c r="AO114" s="8"/>
    </row>
    <row r="115" spans="2:41" x14ac:dyDescent="0.35">
      <c r="B115" s="8"/>
      <c r="C115" s="19" t="str">
        <f>"EL 2: " &amp; INDEX(_doName,2,3)</f>
        <v>EL 2: Tier 2</v>
      </c>
      <c r="D115" s="11" t="s">
        <v>63</v>
      </c>
      <c r="E115" s="43">
        <v>0.28125</v>
      </c>
      <c r="F115" s="43">
        <f ca="1"/>
        <v>0.28125</v>
      </c>
      <c r="G115" s="43">
        <f ca="1"/>
        <v>0.28125</v>
      </c>
      <c r="H115" s="43">
        <f ca="1"/>
        <v>0.28125</v>
      </c>
      <c r="I115" s="43">
        <f ca="1"/>
        <v>0.28125</v>
      </c>
      <c r="J115" s="43">
        <f ca="1"/>
        <v>0.28125</v>
      </c>
      <c r="K115" s="43">
        <f ca="1"/>
        <v>0.28125</v>
      </c>
      <c r="L115" s="43">
        <f ca="1"/>
        <v>0.28125</v>
      </c>
      <c r="M115" s="43">
        <f ca="1"/>
        <v>0.28125</v>
      </c>
      <c r="N115" s="43">
        <f ca="1"/>
        <v>0.28125</v>
      </c>
      <c r="O115" s="43">
        <f ca="1"/>
        <v>0.28125</v>
      </c>
      <c r="P115" s="43">
        <f ca="1"/>
        <v>0.28125</v>
      </c>
      <c r="Q115" s="43">
        <f ca="1"/>
        <v>0.28125</v>
      </c>
      <c r="R115" s="43">
        <f ca="1"/>
        <v>0.28125</v>
      </c>
      <c r="S115" s="43">
        <f ca="1"/>
        <v>0.28125</v>
      </c>
      <c r="T115" s="43">
        <f ca="1"/>
        <v>0.28125</v>
      </c>
      <c r="U115" s="43">
        <f ca="1"/>
        <v>0.28125</v>
      </c>
      <c r="V115" s="43">
        <f ca="1"/>
        <v>0.28125</v>
      </c>
      <c r="W115" s="43">
        <f ca="1"/>
        <v>0.28125</v>
      </c>
      <c r="X115" s="43">
        <f ca="1"/>
        <v>0.28125</v>
      </c>
      <c r="Y115" s="43">
        <f ca="1"/>
        <v>0.28125</v>
      </c>
      <c r="Z115" s="43">
        <f ca="1"/>
        <v>0.28125</v>
      </c>
      <c r="AA115" s="43">
        <f ca="1"/>
        <v>0.28125</v>
      </c>
      <c r="AB115" s="43">
        <f ca="1"/>
        <v>0.28125</v>
      </c>
      <c r="AC115" s="43">
        <f ca="1"/>
        <v>0.28125</v>
      </c>
      <c r="AD115" s="43">
        <f ca="1"/>
        <v>0.28125</v>
      </c>
      <c r="AE115" s="43">
        <f ca="1"/>
        <v>0.28125</v>
      </c>
      <c r="AF115" s="43">
        <f ca="1"/>
        <v>0.28125</v>
      </c>
      <c r="AG115" s="43">
        <f ca="1"/>
        <v>0.28125</v>
      </c>
      <c r="AH115" s="43">
        <f ca="1"/>
        <v>0.28125</v>
      </c>
      <c r="AI115" s="43">
        <f ca="1"/>
        <v>0.28125</v>
      </c>
      <c r="AJ115" s="43">
        <f ca="1"/>
        <v>0.28125</v>
      </c>
      <c r="AK115" s="43">
        <f ca="1"/>
        <v>0.28125</v>
      </c>
      <c r="AL115" s="43">
        <f ca="1"/>
        <v>0.28125</v>
      </c>
      <c r="AM115" s="43">
        <f ca="1"/>
        <v>0.28125</v>
      </c>
      <c r="AN115" s="44">
        <f ca="1"/>
        <v>0.28125</v>
      </c>
      <c r="AO115" s="8"/>
    </row>
    <row r="116" spans="2:41" x14ac:dyDescent="0.35">
      <c r="B116" s="8"/>
      <c r="C116" s="19" t="str">
        <f>"EL 3: " &amp; INDEX(_doName,2,4)</f>
        <v>EL 3: EL 3</v>
      </c>
      <c r="D116" s="11" t="s">
        <v>63</v>
      </c>
      <c r="E116" s="43">
        <v>0.10546875</v>
      </c>
      <c r="F116" s="43">
        <f ca="1"/>
        <v>0.10546875</v>
      </c>
      <c r="G116" s="43">
        <f ca="1"/>
        <v>0.10546875</v>
      </c>
      <c r="H116" s="43">
        <f ca="1"/>
        <v>0.10546875</v>
      </c>
      <c r="I116" s="43">
        <f ca="1"/>
        <v>0.10546875</v>
      </c>
      <c r="J116" s="43">
        <f ca="1"/>
        <v>0.10546875</v>
      </c>
      <c r="K116" s="43">
        <f ca="1"/>
        <v>0.10546875</v>
      </c>
      <c r="L116" s="43">
        <f ca="1"/>
        <v>0.10546875</v>
      </c>
      <c r="M116" s="43">
        <f ca="1"/>
        <v>0.10546875</v>
      </c>
      <c r="N116" s="43">
        <f ca="1"/>
        <v>0.10546875</v>
      </c>
      <c r="O116" s="43">
        <f ca="1"/>
        <v>0.10546875</v>
      </c>
      <c r="P116" s="43">
        <f ca="1"/>
        <v>0.10546875</v>
      </c>
      <c r="Q116" s="43">
        <f ca="1"/>
        <v>0.10546875</v>
      </c>
      <c r="R116" s="43">
        <f ca="1"/>
        <v>0.10546875</v>
      </c>
      <c r="S116" s="43">
        <f ca="1"/>
        <v>0.10546875</v>
      </c>
      <c r="T116" s="43">
        <f ca="1"/>
        <v>0.10546875</v>
      </c>
      <c r="U116" s="43">
        <f ca="1"/>
        <v>0.10546875</v>
      </c>
      <c r="V116" s="43">
        <f ca="1"/>
        <v>0.10546875</v>
      </c>
      <c r="W116" s="43">
        <f ca="1"/>
        <v>0.10546875</v>
      </c>
      <c r="X116" s="43">
        <f ca="1"/>
        <v>0.10546875</v>
      </c>
      <c r="Y116" s="43">
        <f ca="1"/>
        <v>0.10546875</v>
      </c>
      <c r="Z116" s="43">
        <f ca="1"/>
        <v>0.10546875</v>
      </c>
      <c r="AA116" s="43">
        <f ca="1"/>
        <v>0.10546875</v>
      </c>
      <c r="AB116" s="43">
        <f ca="1"/>
        <v>0.10546875</v>
      </c>
      <c r="AC116" s="43">
        <f ca="1"/>
        <v>0.10546875</v>
      </c>
      <c r="AD116" s="43">
        <f ca="1"/>
        <v>0.10546875</v>
      </c>
      <c r="AE116" s="43">
        <f ca="1"/>
        <v>0.10546875</v>
      </c>
      <c r="AF116" s="43">
        <f ca="1"/>
        <v>0.10546875</v>
      </c>
      <c r="AG116" s="43">
        <f ca="1"/>
        <v>0.10546875</v>
      </c>
      <c r="AH116" s="43">
        <f ca="1"/>
        <v>0.10546875</v>
      </c>
      <c r="AI116" s="43">
        <f ca="1"/>
        <v>0.10546875</v>
      </c>
      <c r="AJ116" s="43">
        <f ca="1"/>
        <v>0.10546875</v>
      </c>
      <c r="AK116" s="43">
        <f ca="1"/>
        <v>0.10546875</v>
      </c>
      <c r="AL116" s="43">
        <f ca="1"/>
        <v>0.10546875</v>
      </c>
      <c r="AM116" s="43">
        <f ca="1"/>
        <v>0.10546875</v>
      </c>
      <c r="AN116" s="44">
        <f ca="1"/>
        <v>0.10546875</v>
      </c>
      <c r="AO116" s="8"/>
    </row>
    <row r="117" spans="2:41" x14ac:dyDescent="0.35">
      <c r="B117" s="8"/>
      <c r="C117" s="35" t="str">
        <f>"EL 4: " &amp; INDEX(_doName,2,5)</f>
        <v>EL 4: EL 4</v>
      </c>
      <c r="D117" s="15" t="s">
        <v>63</v>
      </c>
      <c r="E117" s="45">
        <v>3.90625E-3</v>
      </c>
      <c r="F117" s="45">
        <f ca="1"/>
        <v>3.90625E-3</v>
      </c>
      <c r="G117" s="45">
        <f ca="1"/>
        <v>3.90625E-3</v>
      </c>
      <c r="H117" s="45">
        <f ca="1"/>
        <v>3.90625E-3</v>
      </c>
      <c r="I117" s="45">
        <f ca="1"/>
        <v>3.90625E-3</v>
      </c>
      <c r="J117" s="45">
        <f ca="1"/>
        <v>3.90625E-3</v>
      </c>
      <c r="K117" s="45">
        <f ca="1"/>
        <v>3.90625E-3</v>
      </c>
      <c r="L117" s="45">
        <f ca="1"/>
        <v>3.90625E-3</v>
      </c>
      <c r="M117" s="45">
        <f ca="1"/>
        <v>3.90625E-3</v>
      </c>
      <c r="N117" s="45">
        <f ca="1"/>
        <v>3.90625E-3</v>
      </c>
      <c r="O117" s="45">
        <f ca="1"/>
        <v>3.90625E-3</v>
      </c>
      <c r="P117" s="45">
        <f ca="1"/>
        <v>3.90625E-3</v>
      </c>
      <c r="Q117" s="45">
        <f ca="1"/>
        <v>3.90625E-3</v>
      </c>
      <c r="R117" s="45">
        <f ca="1"/>
        <v>3.90625E-3</v>
      </c>
      <c r="S117" s="45">
        <f ca="1"/>
        <v>3.90625E-3</v>
      </c>
      <c r="T117" s="45">
        <f ca="1"/>
        <v>3.90625E-3</v>
      </c>
      <c r="U117" s="45">
        <f ca="1"/>
        <v>3.90625E-3</v>
      </c>
      <c r="V117" s="45">
        <f ca="1"/>
        <v>3.90625E-3</v>
      </c>
      <c r="W117" s="45">
        <f ca="1"/>
        <v>3.90625E-3</v>
      </c>
      <c r="X117" s="45">
        <f ca="1"/>
        <v>3.90625E-3</v>
      </c>
      <c r="Y117" s="45">
        <f ca="1"/>
        <v>3.90625E-3</v>
      </c>
      <c r="Z117" s="45">
        <f ca="1"/>
        <v>3.90625E-3</v>
      </c>
      <c r="AA117" s="45">
        <f ca="1"/>
        <v>3.90625E-3</v>
      </c>
      <c r="AB117" s="45">
        <f ca="1"/>
        <v>3.90625E-3</v>
      </c>
      <c r="AC117" s="45">
        <f ca="1"/>
        <v>3.90625E-3</v>
      </c>
      <c r="AD117" s="45">
        <f ca="1"/>
        <v>3.90625E-3</v>
      </c>
      <c r="AE117" s="45">
        <f ca="1"/>
        <v>3.90625E-3</v>
      </c>
      <c r="AF117" s="45">
        <f ca="1"/>
        <v>3.90625E-3</v>
      </c>
      <c r="AG117" s="45">
        <f ca="1"/>
        <v>3.90625E-3</v>
      </c>
      <c r="AH117" s="45">
        <f ca="1"/>
        <v>3.90625E-3</v>
      </c>
      <c r="AI117" s="45">
        <f ca="1"/>
        <v>3.90625E-3</v>
      </c>
      <c r="AJ117" s="45">
        <f ca="1"/>
        <v>3.90625E-3</v>
      </c>
      <c r="AK117" s="45">
        <f ca="1"/>
        <v>3.90625E-3</v>
      </c>
      <c r="AL117" s="45">
        <f ca="1"/>
        <v>3.90625E-3</v>
      </c>
      <c r="AM117" s="45">
        <f ca="1"/>
        <v>3.90625E-3</v>
      </c>
      <c r="AN117" s="46">
        <f ca="1"/>
        <v>3.90625E-3</v>
      </c>
      <c r="AO117" s="8"/>
    </row>
    <row r="118" spans="2:41" x14ac:dyDescent="0.35">
      <c r="B118" s="8"/>
      <c r="C118" s="23" t="s">
        <v>92</v>
      </c>
      <c r="D118" s="24"/>
      <c r="E118" s="26">
        <f t="array" ref="E118:AN118">_yS</f>
        <v>2024</v>
      </c>
      <c r="F118" s="26">
        <v>2025</v>
      </c>
      <c r="G118" s="26">
        <v>2026</v>
      </c>
      <c r="H118" s="26">
        <v>2027</v>
      </c>
      <c r="I118" s="26">
        <v>2028</v>
      </c>
      <c r="J118" s="26">
        <v>2029</v>
      </c>
      <c r="K118" s="26">
        <v>2030</v>
      </c>
      <c r="L118" s="26">
        <v>2031</v>
      </c>
      <c r="M118" s="26">
        <v>2032</v>
      </c>
      <c r="N118" s="26">
        <v>2033</v>
      </c>
      <c r="O118" s="26">
        <v>2034</v>
      </c>
      <c r="P118" s="26">
        <v>2035</v>
      </c>
      <c r="Q118" s="26">
        <v>2036</v>
      </c>
      <c r="R118" s="26">
        <v>2037</v>
      </c>
      <c r="S118" s="26">
        <v>2038</v>
      </c>
      <c r="T118" s="26">
        <v>2039</v>
      </c>
      <c r="U118" s="26">
        <v>2040</v>
      </c>
      <c r="V118" s="26">
        <v>2041</v>
      </c>
      <c r="W118" s="26">
        <v>2042</v>
      </c>
      <c r="X118" s="26">
        <v>2043</v>
      </c>
      <c r="Y118" s="26">
        <v>2044</v>
      </c>
      <c r="Z118" s="26">
        <v>2045</v>
      </c>
      <c r="AA118" s="26">
        <v>2046</v>
      </c>
      <c r="AB118" s="26">
        <v>2047</v>
      </c>
      <c r="AC118" s="26">
        <v>2048</v>
      </c>
      <c r="AD118" s="26">
        <v>2049</v>
      </c>
      <c r="AE118" s="26">
        <v>2050</v>
      </c>
      <c r="AF118" s="26">
        <v>2051</v>
      </c>
      <c r="AG118" s="26">
        <v>2052</v>
      </c>
      <c r="AH118" s="26">
        <v>2053</v>
      </c>
      <c r="AI118" s="26">
        <v>2054</v>
      </c>
      <c r="AJ118" s="26">
        <v>2055</v>
      </c>
      <c r="AK118" s="26">
        <v>2056</v>
      </c>
      <c r="AL118" s="26">
        <v>2057</v>
      </c>
      <c r="AM118" s="26">
        <v>2058</v>
      </c>
      <c r="AN118" s="27">
        <v>2059</v>
      </c>
      <c r="AO118" s="8"/>
    </row>
    <row r="119" spans="2:41" x14ac:dyDescent="0.35">
      <c r="B119" s="8"/>
      <c r="C119" s="19" t="s">
        <v>65</v>
      </c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18"/>
      <c r="AO119" s="8"/>
    </row>
    <row r="120" spans="2:41" x14ac:dyDescent="0.35">
      <c r="B120" s="8"/>
      <c r="C120" s="10" t="s">
        <v>93</v>
      </c>
      <c r="D120" s="11" t="str">
        <f>CHOOSE(MATCH(LEFT(effTrend,1),{"L","G"},0),"CADR/watt","%")</f>
        <v>CADR/watt</v>
      </c>
      <c r="E120" s="8">
        <v>0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18"/>
      <c r="AO120" s="8"/>
    </row>
    <row r="121" spans="2:41" x14ac:dyDescent="0.35">
      <c r="B121" s="8"/>
      <c r="C121" s="10" t="s">
        <v>94</v>
      </c>
      <c r="D121" s="11" t="s">
        <v>74</v>
      </c>
      <c r="E121" s="33">
        <f>SUMPRODUCT(doEff,INDEX(bcEff_Com,,1))</f>
        <v>2.3591484375</v>
      </c>
      <c r="F121" s="33">
        <f>MIN(maxEff,(1+effTrendG*trendGrowthBC_Com)*E$121+effTrendL*trendGrowthBC_Com)</f>
        <v>2.3591484375</v>
      </c>
      <c r="G121" s="33">
        <f>MIN(maxEff,(1+effTrendG*trendGrowthBC_Com)*F$121+effTrendL*trendGrowthBC_Com)</f>
        <v>2.3591484375</v>
      </c>
      <c r="H121" s="33">
        <f>MIN(maxEff,(1+effTrendG*trendGrowthBC_Com)*G$121+effTrendL*trendGrowthBC_Com)</f>
        <v>2.3591484375</v>
      </c>
      <c r="I121" s="33">
        <f>MIN(maxEff,(1+effTrendG*trendGrowthBC_Com)*H$121+effTrendL*trendGrowthBC_Com)</f>
        <v>2.3591484375</v>
      </c>
      <c r="J121" s="33">
        <f>MIN(maxEff,(1+effTrendG*trendGrowthBC_Com)*I$121+effTrendL*trendGrowthBC_Com)</f>
        <v>2.3591484375</v>
      </c>
      <c r="K121" s="33">
        <f>MIN(maxEff,(1+effTrendG*trendGrowthBC_Com)*J$121+effTrendL*trendGrowthBC_Com)</f>
        <v>2.3591484375</v>
      </c>
      <c r="L121" s="33">
        <f>MIN(maxEff,(1+effTrendG*trendGrowthBC_Com)*K$121+effTrendL*trendGrowthBC_Com)</f>
        <v>2.3591484375</v>
      </c>
      <c r="M121" s="33">
        <f>MIN(maxEff,(1+effTrendG*trendGrowthBC_Com)*L$121+effTrendL*trendGrowthBC_Com)</f>
        <v>2.3591484375</v>
      </c>
      <c r="N121" s="33">
        <f>MIN(maxEff,(1+effTrendG*trendGrowthBC_Com)*M$121+effTrendL*trendGrowthBC_Com)</f>
        <v>2.3591484375</v>
      </c>
      <c r="O121" s="33">
        <f>MIN(maxEff,(1+effTrendG*trendGrowthBC_Com)*N$121+effTrendL*trendGrowthBC_Com)</f>
        <v>2.3591484375</v>
      </c>
      <c r="P121" s="33">
        <f>MIN(maxEff,(1+effTrendG*trendGrowthBC_Com)*O$121+effTrendL*trendGrowthBC_Com)</f>
        <v>2.3591484375</v>
      </c>
      <c r="Q121" s="33">
        <f>MIN(maxEff,(1+effTrendG*trendGrowthBC_Com)*P$121+effTrendL*trendGrowthBC_Com)</f>
        <v>2.3591484375</v>
      </c>
      <c r="R121" s="33">
        <f>MIN(maxEff,(1+effTrendG*trendGrowthBC_Com)*Q$121+effTrendL*trendGrowthBC_Com)</f>
        <v>2.3591484375</v>
      </c>
      <c r="S121" s="33">
        <f>MIN(maxEff,(1+effTrendG*trendGrowthBC_Com)*R$121+effTrendL*trendGrowthBC_Com)</f>
        <v>2.3591484375</v>
      </c>
      <c r="T121" s="33">
        <f>MIN(maxEff,(1+effTrendG*trendGrowthBC_Com)*S$121+effTrendL*trendGrowthBC_Com)</f>
        <v>2.3591484375</v>
      </c>
      <c r="U121" s="33">
        <f>MIN(maxEff,(1+effTrendG*trendGrowthBC_Com)*T$121+effTrendL*trendGrowthBC_Com)</f>
        <v>2.3591484375</v>
      </c>
      <c r="V121" s="33">
        <f>MIN(maxEff,(1+effTrendG*trendGrowthBC_Com)*U$121+effTrendL*trendGrowthBC_Com)</f>
        <v>2.3591484375</v>
      </c>
      <c r="W121" s="33">
        <f>MIN(maxEff,(1+effTrendG*trendGrowthBC_Com)*V$121+effTrendL*trendGrowthBC_Com)</f>
        <v>2.3591484375</v>
      </c>
      <c r="X121" s="33">
        <f>MIN(maxEff,(1+effTrendG*trendGrowthBC_Com)*W$121+effTrendL*trendGrowthBC_Com)</f>
        <v>2.3591484375</v>
      </c>
      <c r="Y121" s="33">
        <f>MIN(maxEff,(1+effTrendG*trendGrowthBC_Com)*X$121+effTrendL*trendGrowthBC_Com)</f>
        <v>2.3591484375</v>
      </c>
      <c r="Z121" s="33">
        <f>MIN(maxEff,(1+effTrendG*trendGrowthBC_Com)*Y$121+effTrendL*trendGrowthBC_Com)</f>
        <v>2.3591484375</v>
      </c>
      <c r="AA121" s="33">
        <f>MIN(maxEff,(1+effTrendG*trendGrowthBC_Com)*Z$121+effTrendL*trendGrowthBC_Com)</f>
        <v>2.3591484375</v>
      </c>
      <c r="AB121" s="33">
        <f>MIN(maxEff,(1+effTrendG*trendGrowthBC_Com)*AA$121+effTrendL*trendGrowthBC_Com)</f>
        <v>2.3591484375</v>
      </c>
      <c r="AC121" s="33">
        <f>MIN(maxEff,(1+effTrendG*trendGrowthBC_Com)*AB$121+effTrendL*trendGrowthBC_Com)</f>
        <v>2.3591484375</v>
      </c>
      <c r="AD121" s="33">
        <f>MIN(maxEff,(1+effTrendG*trendGrowthBC_Com)*AC$121+effTrendL*trendGrowthBC_Com)</f>
        <v>2.3591484375</v>
      </c>
      <c r="AE121" s="33">
        <f>MIN(maxEff,(1+effTrendG*trendGrowthBC_Com)*AD$121+effTrendL*trendGrowthBC_Com)</f>
        <v>2.3591484375</v>
      </c>
      <c r="AF121" s="33">
        <f>MIN(maxEff,(1+effTrendG*trendGrowthBC_Com)*AE$121+effTrendL*trendGrowthBC_Com)</f>
        <v>2.3591484375</v>
      </c>
      <c r="AG121" s="33">
        <f>MIN(maxEff,(1+effTrendG*trendGrowthBC_Com)*AF$121+effTrendL*trendGrowthBC_Com)</f>
        <v>2.3591484375</v>
      </c>
      <c r="AH121" s="33">
        <f>MIN(maxEff,(1+effTrendG*trendGrowthBC_Com)*AG$121+effTrendL*trendGrowthBC_Com)</f>
        <v>2.3591484375</v>
      </c>
      <c r="AI121" s="33">
        <f>MIN(maxEff,(1+effTrendG*trendGrowthBC_Com)*AH$121+effTrendL*trendGrowthBC_Com)</f>
        <v>2.3591484375</v>
      </c>
      <c r="AJ121" s="33">
        <f>MIN(maxEff,(1+effTrendG*trendGrowthBC_Com)*AI$121+effTrendL*trendGrowthBC_Com)</f>
        <v>2.3591484375</v>
      </c>
      <c r="AK121" s="33">
        <f>MIN(maxEff,(1+effTrendG*trendGrowthBC_Com)*AJ$121+effTrendL*trendGrowthBC_Com)</f>
        <v>2.3591484375</v>
      </c>
      <c r="AL121" s="33">
        <f>MIN(maxEff,(1+effTrendG*trendGrowthBC_Com)*AK$121+effTrendL*trendGrowthBC_Com)</f>
        <v>2.3591484375</v>
      </c>
      <c r="AM121" s="33">
        <f>MIN(maxEff,(1+effTrendG*trendGrowthBC_Com)*AL$121+effTrendL*trendGrowthBC_Com)</f>
        <v>2.3591484375</v>
      </c>
      <c r="AN121" s="34">
        <f>MIN(maxEff,(1+effTrendG*trendGrowthBC_Com)*AM$121+effTrendL*trendGrowthBC_Com)</f>
        <v>2.3591484375</v>
      </c>
      <c r="AO121" s="8"/>
    </row>
    <row r="122" spans="2:41" x14ac:dyDescent="0.35">
      <c r="B122" s="8"/>
      <c r="C122" s="19" t="s">
        <v>95</v>
      </c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18"/>
      <c r="AO122" s="8"/>
    </row>
    <row r="123" spans="2:41" x14ac:dyDescent="0.35">
      <c r="B123" s="8"/>
      <c r="C123" s="14" t="s">
        <v>94</v>
      </c>
      <c r="D123" s="15" t="s">
        <v>74</v>
      </c>
      <c r="E123" s="21">
        <f ca="1">IF(E$118&lt;yearC,E$121,IF(E$118=yearC,SUMPRODUCT(doEff,INDEX(polEff_Com,,1)),MIN(maxEff,MAX(0,E$121))))</f>
        <v>2.4508478241509826</v>
      </c>
      <c r="F123" s="21">
        <f ca="1">IF(F$118&lt;yearC,F$121,IF(F$118=yearC,SUMPRODUCT(doEff,INDEX(polEff_Com,,2)),MIN(maxEff,MAX(INDEX(trendEffPol_Com,1),F$121))))</f>
        <v>2.4508478241509826</v>
      </c>
      <c r="G123" s="21">
        <f ca="1">IF(G$118&lt;yearC,G$121,IF(G$118=yearC,SUMPRODUCT(doEff,INDEX(polEff_Com,,3)),MIN(maxEff,MAX(INDEX(trendEffPol_Com,2),G$121))))</f>
        <v>2.4508478241509826</v>
      </c>
      <c r="H123" s="21">
        <f ca="1">IF(H$118&lt;yearC,H$121,IF(H$118=yearC,SUMPRODUCT(doEff,INDEX(polEff_Com,,4)),MIN(maxEff,MAX(INDEX(trendEffPol_Com,3),H$121))))</f>
        <v>2.4508478241509826</v>
      </c>
      <c r="I123" s="21">
        <f ca="1">IF(I$118&lt;yearC,I$121,IF(I$118=yearC,SUMPRODUCT(doEff,INDEX(polEff_Com,,5)),MIN(maxEff,MAX(INDEX(trendEffPol_Com,4),I$121))))</f>
        <v>2.4508478241509826</v>
      </c>
      <c r="J123" s="21">
        <f ca="1">IF(J$118&lt;yearC,J$121,IF(J$118=yearC,SUMPRODUCT(doEff,INDEX(polEff_Com,,6)),MIN(maxEff,MAX(INDEX(trendEffPol_Com,5),J$121))))</f>
        <v>2.4508478241509826</v>
      </c>
      <c r="K123" s="21">
        <f ca="1">IF(K$118&lt;yearC,K$121,IF(K$118=yearC,SUMPRODUCT(doEff,INDEX(polEff_Com,,7)),MIN(maxEff,MAX(INDEX(trendEffPol_Com,6),K$121))))</f>
        <v>2.4508478241509826</v>
      </c>
      <c r="L123" s="21">
        <f ca="1">MIN(maxEff,MAX(INDEX(trendEffPol_Com,7),L$121))</f>
        <v>2.4508478241509826</v>
      </c>
      <c r="M123" s="21">
        <f ca="1">MIN(maxEff,MAX(INDEX(trendEffPol_Com,7),M$121))</f>
        <v>2.4508478241509826</v>
      </c>
      <c r="N123" s="21">
        <f ca="1">MIN(maxEff,MAX(INDEX(trendEffPol_Com,7),N$121))</f>
        <v>2.4508478241509826</v>
      </c>
      <c r="O123" s="21">
        <f ca="1">MIN(maxEff,MAX(INDEX(trendEffPol_Com,7),O$121))</f>
        <v>2.4508478241509826</v>
      </c>
      <c r="P123" s="21">
        <f ca="1">MIN(maxEff,MAX(INDEX(trendEffPol_Com,7),P$121))</f>
        <v>2.4508478241509826</v>
      </c>
      <c r="Q123" s="21">
        <f ca="1">MIN(maxEff,MAX(INDEX(trendEffPol_Com,7),Q$121))</f>
        <v>2.4508478241509826</v>
      </c>
      <c r="R123" s="21">
        <f ca="1">MIN(maxEff,MAX(INDEX(trendEffPol_Com,7),R$121))</f>
        <v>2.4508478241509826</v>
      </c>
      <c r="S123" s="21">
        <f ca="1">MIN(maxEff,MAX(INDEX(trendEffPol_Com,7),S$121))</f>
        <v>2.4508478241509826</v>
      </c>
      <c r="T123" s="21">
        <f ca="1">MIN(maxEff,MAX(INDEX(trendEffPol_Com,7),T$121))</f>
        <v>2.4508478241509826</v>
      </c>
      <c r="U123" s="21">
        <f ca="1">MIN(maxEff,MAX(INDEX(trendEffPol_Com,7),U$121))</f>
        <v>2.4508478241509826</v>
      </c>
      <c r="V123" s="21">
        <f ca="1">MIN(maxEff,MAX(INDEX(trendEffPol_Com,7),V$121))</f>
        <v>2.4508478241509826</v>
      </c>
      <c r="W123" s="21">
        <f ca="1">MIN(maxEff,MAX(INDEX(trendEffPol_Com,7),W$121))</f>
        <v>2.4508478241509826</v>
      </c>
      <c r="X123" s="21">
        <f ca="1">MIN(maxEff,MAX(INDEX(trendEffPol_Com,7),X$121))</f>
        <v>2.4508478241509826</v>
      </c>
      <c r="Y123" s="21">
        <f ca="1">MIN(maxEff,MAX(INDEX(trendEffPol_Com,7),Y$121))</f>
        <v>2.4508478241509826</v>
      </c>
      <c r="Z123" s="21">
        <f ca="1">MIN(maxEff,MAX(INDEX(trendEffPol_Com,7),Z$121))</f>
        <v>2.4508478241509826</v>
      </c>
      <c r="AA123" s="21">
        <f ca="1">MIN(maxEff,MAX(INDEX(trendEffPol_Com,7),AA$121))</f>
        <v>2.4508478241509826</v>
      </c>
      <c r="AB123" s="21">
        <f ca="1">MIN(maxEff,MAX(INDEX(trendEffPol_Com,7),AB$121))</f>
        <v>2.4508478241509826</v>
      </c>
      <c r="AC123" s="21">
        <f ca="1">MIN(maxEff,MAX(INDEX(trendEffPol_Com,7),AC$121))</f>
        <v>2.4508478241509826</v>
      </c>
      <c r="AD123" s="21">
        <f ca="1">MIN(maxEff,MAX(INDEX(trendEffPol_Com,7),AD$121))</f>
        <v>2.4508478241509826</v>
      </c>
      <c r="AE123" s="21">
        <f ca="1">MIN(maxEff,MAX(INDEX(trendEffPol_Com,7),AE$121))</f>
        <v>2.4508478241509826</v>
      </c>
      <c r="AF123" s="21">
        <f ca="1">MIN(maxEff,MAX(INDEX(trendEffPol_Com,7),AF$121))</f>
        <v>2.4508478241509826</v>
      </c>
      <c r="AG123" s="21">
        <f ca="1">MIN(maxEff,MAX(INDEX(trendEffPol_Com,7),AG$121))</f>
        <v>2.4508478241509826</v>
      </c>
      <c r="AH123" s="21">
        <f ca="1">MIN(maxEff,MAX(INDEX(trendEffPol_Com,7),AH$121))</f>
        <v>2.4508478241509826</v>
      </c>
      <c r="AI123" s="21">
        <f ca="1">MIN(maxEff,MAX(INDEX(trendEffPol_Com,7),AI$121))</f>
        <v>2.4508478241509826</v>
      </c>
      <c r="AJ123" s="21">
        <f ca="1">MIN(maxEff,MAX(INDEX(trendEffPol_Com,7),AJ$121))</f>
        <v>2.4508478241509826</v>
      </c>
      <c r="AK123" s="21">
        <f ca="1">MIN(maxEff,MAX(INDEX(trendEffPol_Com,7),AK$121))</f>
        <v>2.4508478241509826</v>
      </c>
      <c r="AL123" s="21">
        <f ca="1">MIN(maxEff,MAX(INDEX(trendEffPol_Com,7),AL$121))</f>
        <v>2.4508478241509826</v>
      </c>
      <c r="AM123" s="21">
        <f ca="1">MIN(maxEff,MAX(INDEX(trendEffPol_Com,7),AM$121))</f>
        <v>2.4508478241509826</v>
      </c>
      <c r="AN123" s="22">
        <f ca="1">MIN(maxEff,MAX(INDEX(trendEffPol_Com,7),AN$121))</f>
        <v>2.4508478241509826</v>
      </c>
      <c r="AO123" s="8"/>
    </row>
    <row r="124" spans="2:4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</row>
    <row r="125" spans="2:41" hidden="1" x14ac:dyDescent="0.35">
      <c r="B125" s="8"/>
      <c r="C125" s="23" t="s">
        <v>91</v>
      </c>
      <c r="D125" s="24"/>
      <c r="E125" s="26">
        <f t="array" ref="E125:AN125">_yS</f>
        <v>2024</v>
      </c>
      <c r="F125" s="26">
        <v>2025</v>
      </c>
      <c r="G125" s="26">
        <v>2026</v>
      </c>
      <c r="H125" s="26">
        <v>2027</v>
      </c>
      <c r="I125" s="26">
        <v>2028</v>
      </c>
      <c r="J125" s="26">
        <v>2029</v>
      </c>
      <c r="K125" s="26">
        <v>2030</v>
      </c>
      <c r="L125" s="26">
        <v>2031</v>
      </c>
      <c r="M125" s="26">
        <v>2032</v>
      </c>
      <c r="N125" s="26">
        <v>2033</v>
      </c>
      <c r="O125" s="26">
        <v>2034</v>
      </c>
      <c r="P125" s="26">
        <v>2035</v>
      </c>
      <c r="Q125" s="26">
        <v>2036</v>
      </c>
      <c r="R125" s="26">
        <v>2037</v>
      </c>
      <c r="S125" s="26">
        <v>2038</v>
      </c>
      <c r="T125" s="26">
        <v>2039</v>
      </c>
      <c r="U125" s="26">
        <v>2040</v>
      </c>
      <c r="V125" s="26">
        <v>2041</v>
      </c>
      <c r="W125" s="26">
        <v>2042</v>
      </c>
      <c r="X125" s="26">
        <v>2043</v>
      </c>
      <c r="Y125" s="26">
        <v>2044</v>
      </c>
      <c r="Z125" s="26">
        <v>2045</v>
      </c>
      <c r="AA125" s="26">
        <v>2046</v>
      </c>
      <c r="AB125" s="26">
        <v>2047</v>
      </c>
      <c r="AC125" s="26">
        <v>2048</v>
      </c>
      <c r="AD125" s="26">
        <v>2049</v>
      </c>
      <c r="AE125" s="26">
        <v>2050</v>
      </c>
      <c r="AF125" s="26">
        <v>2051</v>
      </c>
      <c r="AG125" s="26">
        <v>2052</v>
      </c>
      <c r="AH125" s="26">
        <v>2053</v>
      </c>
      <c r="AI125" s="26">
        <v>2054</v>
      </c>
      <c r="AJ125" s="26">
        <v>2055</v>
      </c>
      <c r="AK125" s="26">
        <v>2056</v>
      </c>
      <c r="AL125" s="26">
        <v>2057</v>
      </c>
      <c r="AM125" s="26">
        <v>2058</v>
      </c>
      <c r="AN125" s="27">
        <v>2059</v>
      </c>
      <c r="AO125" s="8"/>
    </row>
    <row r="126" spans="2:41" hidden="1" x14ac:dyDescent="0.35">
      <c r="B126" s="8"/>
      <c r="C126" s="19" t="s">
        <v>89</v>
      </c>
      <c r="D126" s="11"/>
      <c r="E126" s="43">
        <f>0</f>
        <v>0</v>
      </c>
      <c r="F126" s="43">
        <f t="array" ref="F126:AN126">$E$126</f>
        <v>0</v>
      </c>
      <c r="G126" s="43">
        <v>0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0</v>
      </c>
      <c r="W126" s="43">
        <v>0</v>
      </c>
      <c r="X126" s="43">
        <v>0</v>
      </c>
      <c r="Y126" s="43">
        <v>0</v>
      </c>
      <c r="Z126" s="43">
        <v>0</v>
      </c>
      <c r="AA126" s="43">
        <v>0</v>
      </c>
      <c r="AB126" s="43">
        <v>0</v>
      </c>
      <c r="AC126" s="43">
        <v>0</v>
      </c>
      <c r="AD126" s="43">
        <v>0</v>
      </c>
      <c r="AE126" s="43">
        <v>0</v>
      </c>
      <c r="AF126" s="43">
        <v>0</v>
      </c>
      <c r="AG126" s="43">
        <v>0</v>
      </c>
      <c r="AH126" s="43">
        <v>0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4">
        <v>0</v>
      </c>
      <c r="AO126" s="8"/>
    </row>
    <row r="127" spans="2:41" hidden="1" x14ac:dyDescent="0.35">
      <c r="B127" s="8"/>
      <c r="C127" s="19" t="str">
        <f>"EL 0: " &amp; INDEX(_doName,2,1)</f>
        <v>EL 0: Baseline</v>
      </c>
      <c r="D127" s="11"/>
      <c r="E127" s="43"/>
      <c r="F127" s="43">
        <f ca="1">(INDEX(teffSumPol_Com,1,2)&lt;INDEX(effGoalPol_Com,2)) * MIN(INDEX(polEff_Com,1,1),(INDEX(effGoalPol_Com,2)-INDEX(teffSumPol_Com,1,2))/(INDEX(doEff,2)-INDEX(doEff,1)))</f>
        <v>0</v>
      </c>
      <c r="G127" s="43">
        <f ca="1">(INDEX(teffSumPol_Com,1,3)&lt;INDEX(effGoalPol_Com,3)) * MIN(INDEX(polEff_Com,1,2),(INDEX(effGoalPol_Com,3)-INDEX(teffSumPol_Com,1,3))/(INDEX(doEff,2)-INDEX(doEff,1)))</f>
        <v>0</v>
      </c>
      <c r="H127" s="43">
        <f ca="1">(INDEX(teffSumPol_Com,1,4)&lt;INDEX(effGoalPol_Com,4)) * MIN(INDEX(polEff_Com,1,3),(INDEX(effGoalPol_Com,4)-INDEX(teffSumPol_Com,1,4))/(INDEX(doEff,2)-INDEX(doEff,1)))</f>
        <v>0</v>
      </c>
      <c r="I127" s="43">
        <f ca="1">(INDEX(teffSumPol_Com,1,5)&lt;INDEX(effGoalPol_Com,5)) * MIN(INDEX(polEff_Com,1,4),(INDEX(effGoalPol_Com,5)-INDEX(teffSumPol_Com,1,5))/(INDEX(doEff,2)-INDEX(doEff,1)))</f>
        <v>0</v>
      </c>
      <c r="J127" s="43">
        <f ca="1">(INDEX(teffSumPol_Com,1,6)&lt;INDEX(effGoalPol_Com,6)) * MIN(INDEX(polEff_Com,1,5),(INDEX(effGoalPol_Com,6)-INDEX(teffSumPol_Com,1,6))/(INDEX(doEff,2)-INDEX(doEff,1)))</f>
        <v>0</v>
      </c>
      <c r="K127" s="43">
        <f ca="1">(INDEX(teffSumPol_Com,1,7)&lt;INDEX(effGoalPol_Com,7)) * MIN(INDEX(polEff_Com,1,6),(INDEX(effGoalPol_Com,7)-INDEX(teffSumPol_Com,1,7))/(INDEX(doEff,2)-INDEX(doEff,1)))</f>
        <v>0</v>
      </c>
      <c r="L127" s="43">
        <f ca="1">(INDEX(teffSumPol_Com,1,8)&lt;INDEX(effGoalPol_Com,8)) * MIN(INDEX(polEff_Com,1,7),(INDEX(effGoalPol_Com,8)-INDEX(teffSumPol_Com,1,8))/(INDEX(doEff,2)-INDEX(doEff,1)))</f>
        <v>0</v>
      </c>
      <c r="M127" s="43">
        <f ca="1">(INDEX(teffSumPol_Com,1,9)&lt;INDEX(effGoalPol_Com,9)) * MIN(INDEX(polEff_Com,1,8),(INDEX(effGoalPol_Com,9)-INDEX(teffSumPol_Com,1,9))/(INDEX(doEff,2)-INDEX(doEff,1)))</f>
        <v>0</v>
      </c>
      <c r="N127" s="43">
        <f ca="1">(INDEX(teffSumPol_Com,1,10)&lt;INDEX(effGoalPol_Com,10)) * MIN(INDEX(polEff_Com,1,9),(INDEX(effGoalPol_Com,10)-INDEX(teffSumPol_Com,1,10))/(INDEX(doEff,2)-INDEX(doEff,1)))</f>
        <v>0</v>
      </c>
      <c r="O127" s="43">
        <f ca="1">(INDEX(teffSumPol_Com,1,11)&lt;INDEX(effGoalPol_Com,11)) * MIN(INDEX(polEff_Com,1,10),(INDEX(effGoalPol_Com,11)-INDEX(teffSumPol_Com,1,11))/(INDEX(doEff,2)-INDEX(doEff,1)))</f>
        <v>0</v>
      </c>
      <c r="P127" s="43">
        <f ca="1">(INDEX(teffSumPol_Com,1,12)&lt;INDEX(effGoalPol_Com,12)) * MIN(INDEX(polEff_Com,1,11),(INDEX(effGoalPol_Com,12)-INDEX(teffSumPol_Com,1,12))/(INDEX(doEff,2)-INDEX(doEff,1)))</f>
        <v>0</v>
      </c>
      <c r="Q127" s="43">
        <f ca="1">(INDEX(teffSumPol_Com,1,13)&lt;INDEX(effGoalPol_Com,13)) * MIN(INDEX(polEff_Com,1,12),(INDEX(effGoalPol_Com,13)-INDEX(teffSumPol_Com,1,13))/(INDEX(doEff,2)-INDEX(doEff,1)))</f>
        <v>0</v>
      </c>
      <c r="R127" s="43">
        <f ca="1">(INDEX(teffSumPol_Com,1,14)&lt;INDEX(effGoalPol_Com,14)) * MIN(INDEX(polEff_Com,1,13),(INDEX(effGoalPol_Com,14)-INDEX(teffSumPol_Com,1,14))/(INDEX(doEff,2)-INDEX(doEff,1)))</f>
        <v>0</v>
      </c>
      <c r="S127" s="43">
        <f ca="1">(INDEX(teffSumPol_Com,1,15)&lt;INDEX(effGoalPol_Com,15)) * MIN(INDEX(polEff_Com,1,14),(INDEX(effGoalPol_Com,15)-INDEX(teffSumPol_Com,1,15))/(INDEX(doEff,2)-INDEX(doEff,1)))</f>
        <v>0</v>
      </c>
      <c r="T127" s="43">
        <f ca="1">(INDEX(teffSumPol_Com,1,16)&lt;INDEX(effGoalPol_Com,16)) * MIN(INDEX(polEff_Com,1,15),(INDEX(effGoalPol_Com,16)-INDEX(teffSumPol_Com,1,16))/(INDEX(doEff,2)-INDEX(doEff,1)))</f>
        <v>0</v>
      </c>
      <c r="U127" s="43">
        <f ca="1">(INDEX(teffSumPol_Com,1,17)&lt;INDEX(effGoalPol_Com,17)) * MIN(INDEX(polEff_Com,1,16),(INDEX(effGoalPol_Com,17)-INDEX(teffSumPol_Com,1,17))/(INDEX(doEff,2)-INDEX(doEff,1)))</f>
        <v>0</v>
      </c>
      <c r="V127" s="43">
        <f ca="1">(INDEX(teffSumPol_Com,1,18)&lt;INDEX(effGoalPol_Com,18)) * MIN(INDEX(polEff_Com,1,17),(INDEX(effGoalPol_Com,18)-INDEX(teffSumPol_Com,1,18))/(INDEX(doEff,2)-INDEX(doEff,1)))</f>
        <v>0</v>
      </c>
      <c r="W127" s="43">
        <f ca="1">(INDEX(teffSumPol_Com,1,19)&lt;INDEX(effGoalPol_Com,19)) * MIN(INDEX(polEff_Com,1,18),(INDEX(effGoalPol_Com,19)-INDEX(teffSumPol_Com,1,19))/(INDEX(doEff,2)-INDEX(doEff,1)))</f>
        <v>0</v>
      </c>
      <c r="X127" s="43">
        <f ca="1">(INDEX(teffSumPol_Com,1,20)&lt;INDEX(effGoalPol_Com,20)) * MIN(INDEX(polEff_Com,1,19),(INDEX(effGoalPol_Com,20)-INDEX(teffSumPol_Com,1,20))/(INDEX(doEff,2)-INDEX(doEff,1)))</f>
        <v>0</v>
      </c>
      <c r="Y127" s="43">
        <f ca="1">(INDEX(teffSumPol_Com,1,21)&lt;INDEX(effGoalPol_Com,21)) * MIN(INDEX(polEff_Com,1,20),(INDEX(effGoalPol_Com,21)-INDEX(teffSumPol_Com,1,21))/(INDEX(doEff,2)-INDEX(doEff,1)))</f>
        <v>0</v>
      </c>
      <c r="Z127" s="43">
        <f ca="1">(INDEX(teffSumPol_Com,1,22)&lt;INDEX(effGoalPol_Com,22)) * MIN(INDEX(polEff_Com,1,21),(INDEX(effGoalPol_Com,22)-INDEX(teffSumPol_Com,1,22))/(INDEX(doEff,2)-INDEX(doEff,1)))</f>
        <v>0</v>
      </c>
      <c r="AA127" s="43">
        <f ca="1">(INDEX(teffSumPol_Com,1,23)&lt;INDEX(effGoalPol_Com,23)) * MIN(INDEX(polEff_Com,1,22),(INDEX(effGoalPol_Com,23)-INDEX(teffSumPol_Com,1,23))/(INDEX(doEff,2)-INDEX(doEff,1)))</f>
        <v>0</v>
      </c>
      <c r="AB127" s="43">
        <f ca="1">(INDEX(teffSumPol_Com,1,24)&lt;INDEX(effGoalPol_Com,24)) * MIN(INDEX(polEff_Com,1,23),(INDEX(effGoalPol_Com,24)-INDEX(teffSumPol_Com,1,24))/(INDEX(doEff,2)-INDEX(doEff,1)))</f>
        <v>0</v>
      </c>
      <c r="AC127" s="43">
        <f ca="1">(INDEX(teffSumPol_Com,1,25)&lt;INDEX(effGoalPol_Com,25)) * MIN(INDEX(polEff_Com,1,24),(INDEX(effGoalPol_Com,25)-INDEX(teffSumPol_Com,1,25))/(INDEX(doEff,2)-INDEX(doEff,1)))</f>
        <v>0</v>
      </c>
      <c r="AD127" s="43">
        <f ca="1">(INDEX(teffSumPol_Com,1,26)&lt;INDEX(effGoalPol_Com,26)) * MIN(INDEX(polEff_Com,1,25),(INDEX(effGoalPol_Com,26)-INDEX(teffSumPol_Com,1,26))/(INDEX(doEff,2)-INDEX(doEff,1)))</f>
        <v>0</v>
      </c>
      <c r="AE127" s="43">
        <f ca="1">(INDEX(teffSumPol_Com,1,27)&lt;INDEX(effGoalPol_Com,27)) * MIN(INDEX(polEff_Com,1,26),(INDEX(effGoalPol_Com,27)-INDEX(teffSumPol_Com,1,27))/(INDEX(doEff,2)-INDEX(doEff,1)))</f>
        <v>0</v>
      </c>
      <c r="AF127" s="43">
        <f ca="1">(INDEX(teffSumPol_Com,1,28)&lt;INDEX(effGoalPol_Com,28)) * MIN(INDEX(polEff_Com,1,27),(INDEX(effGoalPol_Com,28)-INDEX(teffSumPol_Com,1,28))/(INDEX(doEff,2)-INDEX(doEff,1)))</f>
        <v>0</v>
      </c>
      <c r="AG127" s="43">
        <f ca="1">(INDEX(teffSumPol_Com,1,29)&lt;INDEX(effGoalPol_Com,29)) * MIN(INDEX(polEff_Com,1,28),(INDEX(effGoalPol_Com,29)-INDEX(teffSumPol_Com,1,29))/(INDEX(doEff,2)-INDEX(doEff,1)))</f>
        <v>0</v>
      </c>
      <c r="AH127" s="43">
        <f ca="1">(INDEX(teffSumPol_Com,1,30)&lt;INDEX(effGoalPol_Com,30)) * MIN(INDEX(polEff_Com,1,29),(INDEX(effGoalPol_Com,30)-INDEX(teffSumPol_Com,1,30))/(INDEX(doEff,2)-INDEX(doEff,1)))</f>
        <v>0</v>
      </c>
      <c r="AI127" s="43">
        <f ca="1">(INDEX(teffSumPol_Com,1,31)&lt;INDEX(effGoalPol_Com,31)) * MIN(INDEX(polEff_Com,1,30),(INDEX(effGoalPol_Com,31)-INDEX(teffSumPol_Com,1,31))/(INDEX(doEff,2)-INDEX(doEff,1)))</f>
        <v>0</v>
      </c>
      <c r="AJ127" s="43">
        <f ca="1">(INDEX(teffSumPol_Com,1,32)&lt;INDEX(effGoalPol_Com,32)) * MIN(INDEX(polEff_Com,1,31),(INDEX(effGoalPol_Com,32)-INDEX(teffSumPol_Com,1,32))/(INDEX(doEff,2)-INDEX(doEff,1)))</f>
        <v>0</v>
      </c>
      <c r="AK127" s="43">
        <f ca="1">(INDEX(teffSumPol_Com,1,33)&lt;INDEX(effGoalPol_Com,33)) * MIN(INDEX(polEff_Com,1,32),(INDEX(effGoalPol_Com,33)-INDEX(teffSumPol_Com,1,33))/(INDEX(doEff,2)-INDEX(doEff,1)))</f>
        <v>0</v>
      </c>
      <c r="AL127" s="43">
        <f ca="1">(INDEX(teffSumPol_Com,1,34)&lt;INDEX(effGoalPol_Com,34)) * MIN(INDEX(polEff_Com,1,33),(INDEX(effGoalPol_Com,34)-INDEX(teffSumPol_Com,1,34))/(INDEX(doEff,2)-INDEX(doEff,1)))</f>
        <v>0</v>
      </c>
      <c r="AM127" s="43">
        <f ca="1">(INDEX(teffSumPol_Com,1,35)&lt;INDEX(effGoalPol_Com,35)) * MIN(INDEX(polEff_Com,1,34),(INDEX(effGoalPol_Com,35)-INDEX(teffSumPol_Com,1,35))/(INDEX(doEff,2)-INDEX(doEff,1)))</f>
        <v>0</v>
      </c>
      <c r="AN127" s="44">
        <f ca="1">(INDEX(teffSumPol_Com,1,36)&lt;INDEX(effGoalPol_Com,36)) * MIN(INDEX(polEff_Com,1,35),(INDEX(effGoalPol_Com,36)-INDEX(teffSumPol_Com,1,36))/(INDEX(doEff,2)-INDEX(doEff,1)))</f>
        <v>0</v>
      </c>
      <c r="AO127" s="8"/>
    </row>
    <row r="128" spans="2:41" hidden="1" x14ac:dyDescent="0.35">
      <c r="B128" s="8"/>
      <c r="C128" s="19" t="str">
        <f>"EL 1: " &amp; INDEX(_doName,2,2)</f>
        <v>EL 1: Tier 1</v>
      </c>
      <c r="D128" s="11"/>
      <c r="E128" s="43"/>
      <c r="F128" s="43">
        <f ca="1">(INDEX(teffSumPol_Com,2,2)&lt;INDEX(effGoalPol_Com,2)) * MIN(INDEX(polEff_Com,2,1)+INDEX(pushPol_Com,1),(INDEX(effGoalPol_Com,2)-INDEX(teffSumPol_Com,2,2))/(INDEX(doEff,3)-INDEX(doEff,2)))</f>
        <v>0</v>
      </c>
      <c r="G128" s="43">
        <f ca="1">(INDEX(teffSumPol_Com,2,3)&lt;INDEX(effGoalPol_Com,3)) * MIN(INDEX(polEff_Com,2,2)+INDEX(pushPol_Com,1),(INDEX(effGoalPol_Com,3)-INDEX(teffSumPol_Com,2,3))/(INDEX(doEff,3)-INDEX(doEff,2)))</f>
        <v>7.1013833441141059E-4</v>
      </c>
      <c r="H128" s="43">
        <f ca="1">(INDEX(teffSumPol_Com,2,4)&lt;INDEX(effGoalPol_Com,4)) * MIN(INDEX(polEff_Com,2,3)+INDEX(pushPol_Com,1),(INDEX(effGoalPol_Com,4)-INDEX(teffSumPol_Com,2,4))/(INDEX(doEff,3)-INDEX(doEff,2)))</f>
        <v>0</v>
      </c>
      <c r="I128" s="43">
        <f ca="1">(INDEX(teffSumPol_Com,2,5)&lt;INDEX(effGoalPol_Com,5)) * MIN(INDEX(polEff_Com,2,4)+INDEX(pushPol_Com,1),(INDEX(effGoalPol_Com,5)-INDEX(teffSumPol_Com,2,5))/(INDEX(doEff,3)-INDEX(doEff,2)))</f>
        <v>0</v>
      </c>
      <c r="J128" s="43">
        <f ca="1">(INDEX(teffSumPol_Com,2,6)&lt;INDEX(effGoalPol_Com,6)) * MIN(INDEX(polEff_Com,2,5)+INDEX(pushPol_Com,1),(INDEX(effGoalPol_Com,6)-INDEX(teffSumPol_Com,2,6))/(INDEX(doEff,3)-INDEX(doEff,2)))</f>
        <v>0</v>
      </c>
      <c r="K128" s="43">
        <f ca="1">(INDEX(teffSumPol_Com,2,7)&lt;INDEX(effGoalPol_Com,7)) * MIN(INDEX(polEff_Com,2,6)+INDEX(pushPol_Com,1),(INDEX(effGoalPol_Com,7)-INDEX(teffSumPol_Com,2,7))/(INDEX(doEff,3)-INDEX(doEff,2)))</f>
        <v>0</v>
      </c>
      <c r="L128" s="43">
        <f ca="1">(INDEX(teffSumPol_Com,2,8)&lt;INDEX(effGoalPol_Com,8)) * MIN(INDEX(polEff_Com,2,7)+INDEX(pushPol_Com,1),(INDEX(effGoalPol_Com,8)-INDEX(teffSumPol_Com,2,8))/(INDEX(doEff,3)-INDEX(doEff,2)))</f>
        <v>0</v>
      </c>
      <c r="M128" s="43">
        <f ca="1">(INDEX(teffSumPol_Com,2,9)&lt;INDEX(effGoalPol_Com,9)) * MIN(INDEX(polEff_Com,2,8)+INDEX(pushPol_Com,1),(INDEX(effGoalPol_Com,9)-INDEX(teffSumPol_Com,2,9))/(INDEX(doEff,3)-INDEX(doEff,2)))</f>
        <v>0</v>
      </c>
      <c r="N128" s="43">
        <f ca="1">(INDEX(teffSumPol_Com,2,10)&lt;INDEX(effGoalPol_Com,10)) * MIN(INDEX(polEff_Com,2,9)+INDEX(pushPol_Com,1),(INDEX(effGoalPol_Com,10)-INDEX(teffSumPol_Com,2,10))/(INDEX(doEff,3)-INDEX(doEff,2)))</f>
        <v>0</v>
      </c>
      <c r="O128" s="43">
        <f ca="1">(INDEX(teffSumPol_Com,2,11)&lt;INDEX(effGoalPol_Com,11)) * MIN(INDEX(polEff_Com,2,10)+INDEX(pushPol_Com,1),(INDEX(effGoalPol_Com,11)-INDEX(teffSumPol_Com,2,11))/(INDEX(doEff,3)-INDEX(doEff,2)))</f>
        <v>0</v>
      </c>
      <c r="P128" s="43">
        <f ca="1">(INDEX(teffSumPol_Com,2,12)&lt;INDEX(effGoalPol_Com,12)) * MIN(INDEX(polEff_Com,2,11)+INDEX(pushPol_Com,1),(INDEX(effGoalPol_Com,12)-INDEX(teffSumPol_Com,2,12))/(INDEX(doEff,3)-INDEX(doEff,2)))</f>
        <v>0</v>
      </c>
      <c r="Q128" s="43">
        <f ca="1">(INDEX(teffSumPol_Com,2,13)&lt;INDEX(effGoalPol_Com,13)) * MIN(INDEX(polEff_Com,2,12)+INDEX(pushPol_Com,1),(INDEX(effGoalPol_Com,13)-INDEX(teffSumPol_Com,2,13))/(INDEX(doEff,3)-INDEX(doEff,2)))</f>
        <v>0</v>
      </c>
      <c r="R128" s="43">
        <f ca="1">(INDEX(teffSumPol_Com,2,14)&lt;INDEX(effGoalPol_Com,14)) * MIN(INDEX(polEff_Com,2,13)+INDEX(pushPol_Com,1),(INDEX(effGoalPol_Com,14)-INDEX(teffSumPol_Com,2,14))/(INDEX(doEff,3)-INDEX(doEff,2)))</f>
        <v>0</v>
      </c>
      <c r="S128" s="43">
        <f ca="1">(INDEX(teffSumPol_Com,2,15)&lt;INDEX(effGoalPol_Com,15)) * MIN(INDEX(polEff_Com,2,14)+INDEX(pushPol_Com,1),(INDEX(effGoalPol_Com,15)-INDEX(teffSumPol_Com,2,15))/(INDEX(doEff,3)-INDEX(doEff,2)))</f>
        <v>0</v>
      </c>
      <c r="T128" s="43">
        <f ca="1">(INDEX(teffSumPol_Com,2,16)&lt;INDEX(effGoalPol_Com,16)) * MIN(INDEX(polEff_Com,2,15)+INDEX(pushPol_Com,1),(INDEX(effGoalPol_Com,16)-INDEX(teffSumPol_Com,2,16))/(INDEX(doEff,3)-INDEX(doEff,2)))</f>
        <v>0</v>
      </c>
      <c r="U128" s="43">
        <f ca="1">(INDEX(teffSumPol_Com,2,17)&lt;INDEX(effGoalPol_Com,17)) * MIN(INDEX(polEff_Com,2,16)+INDEX(pushPol_Com,1),(INDEX(effGoalPol_Com,17)-INDEX(teffSumPol_Com,2,17))/(INDEX(doEff,3)-INDEX(doEff,2)))</f>
        <v>0</v>
      </c>
      <c r="V128" s="43">
        <f ca="1">(INDEX(teffSumPol_Com,2,18)&lt;INDEX(effGoalPol_Com,18)) * MIN(INDEX(polEff_Com,2,17)+INDEX(pushPol_Com,1),(INDEX(effGoalPol_Com,18)-INDEX(teffSumPol_Com,2,18))/(INDEX(doEff,3)-INDEX(doEff,2)))</f>
        <v>0</v>
      </c>
      <c r="W128" s="43">
        <f ca="1">(INDEX(teffSumPol_Com,2,19)&lt;INDEX(effGoalPol_Com,19)) * MIN(INDEX(polEff_Com,2,18)+INDEX(pushPol_Com,1),(INDEX(effGoalPol_Com,19)-INDEX(teffSumPol_Com,2,19))/(INDEX(doEff,3)-INDEX(doEff,2)))</f>
        <v>0</v>
      </c>
      <c r="X128" s="43">
        <f ca="1">(INDEX(teffSumPol_Com,2,20)&lt;INDEX(effGoalPol_Com,20)) * MIN(INDEX(polEff_Com,2,19)+INDEX(pushPol_Com,1),(INDEX(effGoalPol_Com,20)-INDEX(teffSumPol_Com,2,20))/(INDEX(doEff,3)-INDEX(doEff,2)))</f>
        <v>0</v>
      </c>
      <c r="Y128" s="43">
        <f ca="1">(INDEX(teffSumPol_Com,2,21)&lt;INDEX(effGoalPol_Com,21)) * MIN(INDEX(polEff_Com,2,20)+INDEX(pushPol_Com,1),(INDEX(effGoalPol_Com,21)-INDEX(teffSumPol_Com,2,21))/(INDEX(doEff,3)-INDEX(doEff,2)))</f>
        <v>0</v>
      </c>
      <c r="Z128" s="43">
        <f ca="1">(INDEX(teffSumPol_Com,2,22)&lt;INDEX(effGoalPol_Com,22)) * MIN(INDEX(polEff_Com,2,21)+INDEX(pushPol_Com,1),(INDEX(effGoalPol_Com,22)-INDEX(teffSumPol_Com,2,22))/(INDEX(doEff,3)-INDEX(doEff,2)))</f>
        <v>0</v>
      </c>
      <c r="AA128" s="43">
        <f ca="1">(INDEX(teffSumPol_Com,2,23)&lt;INDEX(effGoalPol_Com,23)) * MIN(INDEX(polEff_Com,2,22)+INDEX(pushPol_Com,1),(INDEX(effGoalPol_Com,23)-INDEX(teffSumPol_Com,2,23))/(INDEX(doEff,3)-INDEX(doEff,2)))</f>
        <v>0</v>
      </c>
      <c r="AB128" s="43">
        <f ca="1">(INDEX(teffSumPol_Com,2,24)&lt;INDEX(effGoalPol_Com,24)) * MIN(INDEX(polEff_Com,2,23)+INDEX(pushPol_Com,1),(INDEX(effGoalPol_Com,24)-INDEX(teffSumPol_Com,2,24))/(INDEX(doEff,3)-INDEX(doEff,2)))</f>
        <v>0</v>
      </c>
      <c r="AC128" s="43">
        <f ca="1">(INDEX(teffSumPol_Com,2,25)&lt;INDEX(effGoalPol_Com,25)) * MIN(INDEX(polEff_Com,2,24)+INDEX(pushPol_Com,1),(INDEX(effGoalPol_Com,25)-INDEX(teffSumPol_Com,2,25))/(INDEX(doEff,3)-INDEX(doEff,2)))</f>
        <v>0</v>
      </c>
      <c r="AD128" s="43">
        <f ca="1">(INDEX(teffSumPol_Com,2,26)&lt;INDEX(effGoalPol_Com,26)) * MIN(INDEX(polEff_Com,2,25)+INDEX(pushPol_Com,1),(INDEX(effGoalPol_Com,26)-INDEX(teffSumPol_Com,2,26))/(INDEX(doEff,3)-INDEX(doEff,2)))</f>
        <v>0</v>
      </c>
      <c r="AE128" s="43">
        <f ca="1">(INDEX(teffSumPol_Com,2,27)&lt;INDEX(effGoalPol_Com,27)) * MIN(INDEX(polEff_Com,2,26)+INDEX(pushPol_Com,1),(INDEX(effGoalPol_Com,27)-INDEX(teffSumPol_Com,2,27))/(INDEX(doEff,3)-INDEX(doEff,2)))</f>
        <v>0</v>
      </c>
      <c r="AF128" s="43">
        <f ca="1">(INDEX(teffSumPol_Com,2,28)&lt;INDEX(effGoalPol_Com,28)) * MIN(INDEX(polEff_Com,2,27)+INDEX(pushPol_Com,1),(INDEX(effGoalPol_Com,28)-INDEX(teffSumPol_Com,2,28))/(INDEX(doEff,3)-INDEX(doEff,2)))</f>
        <v>0</v>
      </c>
      <c r="AG128" s="43">
        <f ca="1">(INDEX(teffSumPol_Com,2,29)&lt;INDEX(effGoalPol_Com,29)) * MIN(INDEX(polEff_Com,2,28)+INDEX(pushPol_Com,1),(INDEX(effGoalPol_Com,29)-INDEX(teffSumPol_Com,2,29))/(INDEX(doEff,3)-INDEX(doEff,2)))</f>
        <v>0</v>
      </c>
      <c r="AH128" s="43">
        <f ca="1">(INDEX(teffSumPol_Com,2,30)&lt;INDEX(effGoalPol_Com,30)) * MIN(INDEX(polEff_Com,2,29)+INDEX(pushPol_Com,1),(INDEX(effGoalPol_Com,30)-INDEX(teffSumPol_Com,2,30))/(INDEX(doEff,3)-INDEX(doEff,2)))</f>
        <v>0</v>
      </c>
      <c r="AI128" s="43">
        <f ca="1">(INDEX(teffSumPol_Com,2,31)&lt;INDEX(effGoalPol_Com,31)) * MIN(INDEX(polEff_Com,2,30)+INDEX(pushPol_Com,1),(INDEX(effGoalPol_Com,31)-INDEX(teffSumPol_Com,2,31))/(INDEX(doEff,3)-INDEX(doEff,2)))</f>
        <v>0</v>
      </c>
      <c r="AJ128" s="43">
        <f ca="1">(INDEX(teffSumPol_Com,2,32)&lt;INDEX(effGoalPol_Com,32)) * MIN(INDEX(polEff_Com,2,31)+INDEX(pushPol_Com,1),(INDEX(effGoalPol_Com,32)-INDEX(teffSumPol_Com,2,32))/(INDEX(doEff,3)-INDEX(doEff,2)))</f>
        <v>0</v>
      </c>
      <c r="AK128" s="43">
        <f ca="1">(INDEX(teffSumPol_Com,2,33)&lt;INDEX(effGoalPol_Com,33)) * MIN(INDEX(polEff_Com,2,32)+INDEX(pushPol_Com,1),(INDEX(effGoalPol_Com,33)-INDEX(teffSumPol_Com,2,33))/(INDEX(doEff,3)-INDEX(doEff,2)))</f>
        <v>0</v>
      </c>
      <c r="AL128" s="43">
        <f ca="1">(INDEX(teffSumPol_Com,2,34)&lt;INDEX(effGoalPol_Com,34)) * MIN(INDEX(polEff_Com,2,33)+INDEX(pushPol_Com,1),(INDEX(effGoalPol_Com,34)-INDEX(teffSumPol_Com,2,34))/(INDEX(doEff,3)-INDEX(doEff,2)))</f>
        <v>0</v>
      </c>
      <c r="AM128" s="43">
        <f ca="1">(INDEX(teffSumPol_Com,2,35)&lt;INDEX(effGoalPol_Com,35)) * MIN(INDEX(polEff_Com,2,34)+INDEX(pushPol_Com,1),(INDEX(effGoalPol_Com,35)-INDEX(teffSumPol_Com,2,35))/(INDEX(doEff,3)-INDEX(doEff,2)))</f>
        <v>0</v>
      </c>
      <c r="AN128" s="44">
        <f ca="1">(INDEX(teffSumPol_Com,2,36)&lt;INDEX(effGoalPol_Com,36)) * MIN(INDEX(polEff_Com,2,35)+INDEX(pushPol_Com,1),(INDEX(effGoalPol_Com,36)-INDEX(teffSumPol_Com,2,36))/(INDEX(doEff,3)-INDEX(doEff,2)))</f>
        <v>0</v>
      </c>
      <c r="AO128" s="8"/>
    </row>
    <row r="129" spans="2:41" hidden="1" x14ac:dyDescent="0.35">
      <c r="B129" s="8"/>
      <c r="C129" s="19" t="str">
        <f>"EL 2: " &amp; INDEX(_doName,2,3)</f>
        <v>EL 2: Tier 2</v>
      </c>
      <c r="D129" s="11"/>
      <c r="E129" s="43"/>
      <c r="F129" s="43">
        <f ca="1">(INDEX(teffSumPol_Com,3,2)&lt;INDEX(effGoalPol_Com,2)) * MIN(INDEX(polEff_Com,3,1)+INDEX(pushPol_Com,2),(INDEX(effGoalPol_Com,2)-INDEX(teffSumPol_Com,3,2))/(INDEX(doEff,4)-INDEX(doEff,3)))</f>
        <v>0</v>
      </c>
      <c r="G129" s="43">
        <f ca="1">(INDEX(teffSumPol_Com,3,3)&lt;INDEX(effGoalPol_Com,3)) * MIN(INDEX(polEff_Com,3,2)+INDEX(pushPol_Com,2),(INDEX(effGoalPol_Com,3)-INDEX(teffSumPol_Com,3,3))/(INDEX(doEff,4)-INDEX(doEff,3)))</f>
        <v>0.28255604360663444</v>
      </c>
      <c r="H129" s="43">
        <f ca="1">(INDEX(teffSumPol_Com,3,4)&lt;INDEX(effGoalPol_Com,4)) * MIN(INDEX(polEff_Com,3,3)+INDEX(pushPol_Com,2),(INDEX(effGoalPol_Com,4)-INDEX(teffSumPol_Com,3,4))/(INDEX(doEff,4)-INDEX(doEff,3)))</f>
        <v>0</v>
      </c>
      <c r="I129" s="43">
        <f ca="1">(INDEX(teffSumPol_Com,3,5)&lt;INDEX(effGoalPol_Com,5)) * MIN(INDEX(polEff_Com,3,4)+INDEX(pushPol_Com,2),(INDEX(effGoalPol_Com,5)-INDEX(teffSumPol_Com,3,5))/(INDEX(doEff,4)-INDEX(doEff,3)))</f>
        <v>0</v>
      </c>
      <c r="J129" s="43">
        <f ca="1">(INDEX(teffSumPol_Com,3,6)&lt;INDEX(effGoalPol_Com,6)) * MIN(INDEX(polEff_Com,3,5)+INDEX(pushPol_Com,2),(INDEX(effGoalPol_Com,6)-INDEX(teffSumPol_Com,3,6))/(INDEX(doEff,4)-INDEX(doEff,3)))</f>
        <v>0</v>
      </c>
      <c r="K129" s="43">
        <f ca="1">(INDEX(teffSumPol_Com,3,7)&lt;INDEX(effGoalPol_Com,7)) * MIN(INDEX(polEff_Com,3,6)+INDEX(pushPol_Com,2),(INDEX(effGoalPol_Com,7)-INDEX(teffSumPol_Com,3,7))/(INDEX(doEff,4)-INDEX(doEff,3)))</f>
        <v>0</v>
      </c>
      <c r="L129" s="43">
        <f ca="1">(INDEX(teffSumPol_Com,3,8)&lt;INDEX(effGoalPol_Com,8)) * MIN(INDEX(polEff_Com,3,7)+INDEX(pushPol_Com,2),(INDEX(effGoalPol_Com,8)-INDEX(teffSumPol_Com,3,8))/(INDEX(doEff,4)-INDEX(doEff,3)))</f>
        <v>0</v>
      </c>
      <c r="M129" s="43">
        <f ca="1">(INDEX(teffSumPol_Com,3,9)&lt;INDEX(effGoalPol_Com,9)) * MIN(INDEX(polEff_Com,3,8)+INDEX(pushPol_Com,2),(INDEX(effGoalPol_Com,9)-INDEX(teffSumPol_Com,3,9))/(INDEX(doEff,4)-INDEX(doEff,3)))</f>
        <v>0</v>
      </c>
      <c r="N129" s="43">
        <f ca="1">(INDEX(teffSumPol_Com,3,10)&lt;INDEX(effGoalPol_Com,10)) * MIN(INDEX(polEff_Com,3,9)+INDEX(pushPol_Com,2),(INDEX(effGoalPol_Com,10)-INDEX(teffSumPol_Com,3,10))/(INDEX(doEff,4)-INDEX(doEff,3)))</f>
        <v>0</v>
      </c>
      <c r="O129" s="43">
        <f ca="1">(INDEX(teffSumPol_Com,3,11)&lt;INDEX(effGoalPol_Com,11)) * MIN(INDEX(polEff_Com,3,10)+INDEX(pushPol_Com,2),(INDEX(effGoalPol_Com,11)-INDEX(teffSumPol_Com,3,11))/(INDEX(doEff,4)-INDEX(doEff,3)))</f>
        <v>0</v>
      </c>
      <c r="P129" s="43">
        <f ca="1">(INDEX(teffSumPol_Com,3,12)&lt;INDEX(effGoalPol_Com,12)) * MIN(INDEX(polEff_Com,3,11)+INDEX(pushPol_Com,2),(INDEX(effGoalPol_Com,12)-INDEX(teffSumPol_Com,3,12))/(INDEX(doEff,4)-INDEX(doEff,3)))</f>
        <v>0</v>
      </c>
      <c r="Q129" s="43">
        <f ca="1">(INDEX(teffSumPol_Com,3,13)&lt;INDEX(effGoalPol_Com,13)) * MIN(INDEX(polEff_Com,3,12)+INDEX(pushPol_Com,2),(INDEX(effGoalPol_Com,13)-INDEX(teffSumPol_Com,3,13))/(INDEX(doEff,4)-INDEX(doEff,3)))</f>
        <v>0</v>
      </c>
      <c r="R129" s="43">
        <f ca="1">(INDEX(teffSumPol_Com,3,14)&lt;INDEX(effGoalPol_Com,14)) * MIN(INDEX(polEff_Com,3,13)+INDEX(pushPol_Com,2),(INDEX(effGoalPol_Com,14)-INDEX(teffSumPol_Com,3,14))/(INDEX(doEff,4)-INDEX(doEff,3)))</f>
        <v>0</v>
      </c>
      <c r="S129" s="43">
        <f ca="1">(INDEX(teffSumPol_Com,3,15)&lt;INDEX(effGoalPol_Com,15)) * MIN(INDEX(polEff_Com,3,14)+INDEX(pushPol_Com,2),(INDEX(effGoalPol_Com,15)-INDEX(teffSumPol_Com,3,15))/(INDEX(doEff,4)-INDEX(doEff,3)))</f>
        <v>0</v>
      </c>
      <c r="T129" s="43">
        <f ca="1">(INDEX(teffSumPol_Com,3,16)&lt;INDEX(effGoalPol_Com,16)) * MIN(INDEX(polEff_Com,3,15)+INDEX(pushPol_Com,2),(INDEX(effGoalPol_Com,16)-INDEX(teffSumPol_Com,3,16))/(INDEX(doEff,4)-INDEX(doEff,3)))</f>
        <v>0</v>
      </c>
      <c r="U129" s="43">
        <f ca="1">(INDEX(teffSumPol_Com,3,17)&lt;INDEX(effGoalPol_Com,17)) * MIN(INDEX(polEff_Com,3,16)+INDEX(pushPol_Com,2),(INDEX(effGoalPol_Com,17)-INDEX(teffSumPol_Com,3,17))/(INDEX(doEff,4)-INDEX(doEff,3)))</f>
        <v>0</v>
      </c>
      <c r="V129" s="43">
        <f ca="1">(INDEX(teffSumPol_Com,3,18)&lt;INDEX(effGoalPol_Com,18)) * MIN(INDEX(polEff_Com,3,17)+INDEX(pushPol_Com,2),(INDEX(effGoalPol_Com,18)-INDEX(teffSumPol_Com,3,18))/(INDEX(doEff,4)-INDEX(doEff,3)))</f>
        <v>0</v>
      </c>
      <c r="W129" s="43">
        <f ca="1">(INDEX(teffSumPol_Com,3,19)&lt;INDEX(effGoalPol_Com,19)) * MIN(INDEX(polEff_Com,3,18)+INDEX(pushPol_Com,2),(INDEX(effGoalPol_Com,19)-INDEX(teffSumPol_Com,3,19))/(INDEX(doEff,4)-INDEX(doEff,3)))</f>
        <v>0</v>
      </c>
      <c r="X129" s="43">
        <f ca="1">(INDEX(teffSumPol_Com,3,20)&lt;INDEX(effGoalPol_Com,20)) * MIN(INDEX(polEff_Com,3,19)+INDEX(pushPol_Com,2),(INDEX(effGoalPol_Com,20)-INDEX(teffSumPol_Com,3,20))/(INDEX(doEff,4)-INDEX(doEff,3)))</f>
        <v>0</v>
      </c>
      <c r="Y129" s="43">
        <f ca="1">(INDEX(teffSumPol_Com,3,21)&lt;INDEX(effGoalPol_Com,21)) * MIN(INDEX(polEff_Com,3,20)+INDEX(pushPol_Com,2),(INDEX(effGoalPol_Com,21)-INDEX(teffSumPol_Com,3,21))/(INDEX(doEff,4)-INDEX(doEff,3)))</f>
        <v>0</v>
      </c>
      <c r="Z129" s="43">
        <f ca="1">(INDEX(teffSumPol_Com,3,22)&lt;INDEX(effGoalPol_Com,22)) * MIN(INDEX(polEff_Com,3,21)+INDEX(pushPol_Com,2),(INDEX(effGoalPol_Com,22)-INDEX(teffSumPol_Com,3,22))/(INDEX(doEff,4)-INDEX(doEff,3)))</f>
        <v>0</v>
      </c>
      <c r="AA129" s="43">
        <f ca="1">(INDEX(teffSumPol_Com,3,23)&lt;INDEX(effGoalPol_Com,23)) * MIN(INDEX(polEff_Com,3,22)+INDEX(pushPol_Com,2),(INDEX(effGoalPol_Com,23)-INDEX(teffSumPol_Com,3,23))/(INDEX(doEff,4)-INDEX(doEff,3)))</f>
        <v>0</v>
      </c>
      <c r="AB129" s="43">
        <f ca="1">(INDEX(teffSumPol_Com,3,24)&lt;INDEX(effGoalPol_Com,24)) * MIN(INDEX(polEff_Com,3,23)+INDEX(pushPol_Com,2),(INDEX(effGoalPol_Com,24)-INDEX(teffSumPol_Com,3,24))/(INDEX(doEff,4)-INDEX(doEff,3)))</f>
        <v>0</v>
      </c>
      <c r="AC129" s="43">
        <f ca="1">(INDEX(teffSumPol_Com,3,25)&lt;INDEX(effGoalPol_Com,25)) * MIN(INDEX(polEff_Com,3,24)+INDEX(pushPol_Com,2),(INDEX(effGoalPol_Com,25)-INDEX(teffSumPol_Com,3,25))/(INDEX(doEff,4)-INDEX(doEff,3)))</f>
        <v>0</v>
      </c>
      <c r="AD129" s="43">
        <f ca="1">(INDEX(teffSumPol_Com,3,26)&lt;INDEX(effGoalPol_Com,26)) * MIN(INDEX(polEff_Com,3,25)+INDEX(pushPol_Com,2),(INDEX(effGoalPol_Com,26)-INDEX(teffSumPol_Com,3,26))/(INDEX(doEff,4)-INDEX(doEff,3)))</f>
        <v>0</v>
      </c>
      <c r="AE129" s="43">
        <f ca="1">(INDEX(teffSumPol_Com,3,27)&lt;INDEX(effGoalPol_Com,27)) * MIN(INDEX(polEff_Com,3,26)+INDEX(pushPol_Com,2),(INDEX(effGoalPol_Com,27)-INDEX(teffSumPol_Com,3,27))/(INDEX(doEff,4)-INDEX(doEff,3)))</f>
        <v>0</v>
      </c>
      <c r="AF129" s="43">
        <f ca="1">(INDEX(teffSumPol_Com,3,28)&lt;INDEX(effGoalPol_Com,28)) * MIN(INDEX(polEff_Com,3,27)+INDEX(pushPol_Com,2),(INDEX(effGoalPol_Com,28)-INDEX(teffSumPol_Com,3,28))/(INDEX(doEff,4)-INDEX(doEff,3)))</f>
        <v>0</v>
      </c>
      <c r="AG129" s="43">
        <f ca="1">(INDEX(teffSumPol_Com,3,29)&lt;INDEX(effGoalPol_Com,29)) * MIN(INDEX(polEff_Com,3,28)+INDEX(pushPol_Com,2),(INDEX(effGoalPol_Com,29)-INDEX(teffSumPol_Com,3,29))/(INDEX(doEff,4)-INDEX(doEff,3)))</f>
        <v>0</v>
      </c>
      <c r="AH129" s="43">
        <f ca="1">(INDEX(teffSumPol_Com,3,30)&lt;INDEX(effGoalPol_Com,30)) * MIN(INDEX(polEff_Com,3,29)+INDEX(pushPol_Com,2),(INDEX(effGoalPol_Com,30)-INDEX(teffSumPol_Com,3,30))/(INDEX(doEff,4)-INDEX(doEff,3)))</f>
        <v>0</v>
      </c>
      <c r="AI129" s="43">
        <f ca="1">(INDEX(teffSumPol_Com,3,31)&lt;INDEX(effGoalPol_Com,31)) * MIN(INDEX(polEff_Com,3,30)+INDEX(pushPol_Com,2),(INDEX(effGoalPol_Com,31)-INDEX(teffSumPol_Com,3,31))/(INDEX(doEff,4)-INDEX(doEff,3)))</f>
        <v>0</v>
      </c>
      <c r="AJ129" s="43">
        <f ca="1">(INDEX(teffSumPol_Com,3,32)&lt;INDEX(effGoalPol_Com,32)) * MIN(INDEX(polEff_Com,3,31)+INDEX(pushPol_Com,2),(INDEX(effGoalPol_Com,32)-INDEX(teffSumPol_Com,3,32))/(INDEX(doEff,4)-INDEX(doEff,3)))</f>
        <v>0</v>
      </c>
      <c r="AK129" s="43">
        <f ca="1">(INDEX(teffSumPol_Com,3,33)&lt;INDEX(effGoalPol_Com,33)) * MIN(INDEX(polEff_Com,3,32)+INDEX(pushPol_Com,2),(INDEX(effGoalPol_Com,33)-INDEX(teffSumPol_Com,3,33))/(INDEX(doEff,4)-INDEX(doEff,3)))</f>
        <v>0</v>
      </c>
      <c r="AL129" s="43">
        <f ca="1">(INDEX(teffSumPol_Com,3,34)&lt;INDEX(effGoalPol_Com,34)) * MIN(INDEX(polEff_Com,3,33)+INDEX(pushPol_Com,2),(INDEX(effGoalPol_Com,34)-INDEX(teffSumPol_Com,3,34))/(INDEX(doEff,4)-INDEX(doEff,3)))</f>
        <v>0</v>
      </c>
      <c r="AM129" s="43">
        <f ca="1">(INDEX(teffSumPol_Com,3,35)&lt;INDEX(effGoalPol_Com,35)) * MIN(INDEX(polEff_Com,3,34)+INDEX(pushPol_Com,2),(INDEX(effGoalPol_Com,35)-INDEX(teffSumPol_Com,3,35))/(INDEX(doEff,4)-INDEX(doEff,3)))</f>
        <v>0</v>
      </c>
      <c r="AN129" s="44">
        <f ca="1">(INDEX(teffSumPol_Com,3,36)&lt;INDEX(effGoalPol_Com,36)) * MIN(INDEX(polEff_Com,3,35)+INDEX(pushPol_Com,2),(INDEX(effGoalPol_Com,36)-INDEX(teffSumPol_Com,3,36))/(INDEX(doEff,4)-INDEX(doEff,3)))</f>
        <v>0</v>
      </c>
      <c r="AO129" s="8"/>
    </row>
    <row r="130" spans="2:41" hidden="1" x14ac:dyDescent="0.35">
      <c r="B130" s="8"/>
      <c r="C130" s="19" t="str">
        <f>"EL 3: " &amp; INDEX(_doName,2,4)</f>
        <v>EL 3: EL 3</v>
      </c>
      <c r="D130" s="11"/>
      <c r="E130" s="43"/>
      <c r="F130" s="43">
        <f ca="1">(INDEX(teffSumPol_Com,4,2)&lt;INDEX(effGoalPol_Com,2)) * MIN(INDEX(polEff_Com,4,1)+INDEX(pushPol_Com,3),(INDEX(effGoalPol_Com,2)-INDEX(teffSumPol_Com,4,2))/(INDEX(doEff,5)-INDEX(doEff,4)))</f>
        <v>0</v>
      </c>
      <c r="G130" s="43">
        <f ca="1">(INDEX(teffSumPol_Com,4,3)&lt;INDEX(effGoalPol_Com,3)) * MIN(INDEX(polEff_Com,4,2)+INDEX(pushPol_Com,3),(INDEX(effGoalPol_Com,3)-INDEX(teffSumPol_Com,4,3))/(INDEX(doEff,5)-INDEX(doEff,4)))</f>
        <v>0</v>
      </c>
      <c r="H130" s="43">
        <f ca="1">(INDEX(teffSumPol_Com,4,4)&lt;INDEX(effGoalPol_Com,4)) * MIN(INDEX(polEff_Com,4,3)+INDEX(pushPol_Com,3),(INDEX(effGoalPol_Com,4)-INDEX(teffSumPol_Com,4,4))/(INDEX(doEff,5)-INDEX(doEff,4)))</f>
        <v>0</v>
      </c>
      <c r="I130" s="43">
        <f ca="1">(INDEX(teffSumPol_Com,4,5)&lt;INDEX(effGoalPol_Com,5)) * MIN(INDEX(polEff_Com,4,4)+INDEX(pushPol_Com,3),(INDEX(effGoalPol_Com,5)-INDEX(teffSumPol_Com,4,5))/(INDEX(doEff,5)-INDEX(doEff,4)))</f>
        <v>0</v>
      </c>
      <c r="J130" s="43">
        <f ca="1">(INDEX(teffSumPol_Com,4,6)&lt;INDEX(effGoalPol_Com,6)) * MIN(INDEX(polEff_Com,4,5)+INDEX(pushPol_Com,3),(INDEX(effGoalPol_Com,6)-INDEX(teffSumPol_Com,4,6))/(INDEX(doEff,5)-INDEX(doEff,4)))</f>
        <v>0</v>
      </c>
      <c r="K130" s="43">
        <f ca="1">(INDEX(teffSumPol_Com,4,7)&lt;INDEX(effGoalPol_Com,7)) * MIN(INDEX(polEff_Com,4,6)+INDEX(pushPol_Com,3),(INDEX(effGoalPol_Com,7)-INDEX(teffSumPol_Com,4,7))/(INDEX(doEff,5)-INDEX(doEff,4)))</f>
        <v>0</v>
      </c>
      <c r="L130" s="43">
        <f ca="1">(INDEX(teffSumPol_Com,4,8)&lt;INDEX(effGoalPol_Com,8)) * MIN(INDEX(polEff_Com,4,7)+INDEX(pushPol_Com,3),(INDEX(effGoalPol_Com,8)-INDEX(teffSumPol_Com,4,8))/(INDEX(doEff,5)-INDEX(doEff,4)))</f>
        <v>0</v>
      </c>
      <c r="M130" s="43">
        <f ca="1">(INDEX(teffSumPol_Com,4,9)&lt;INDEX(effGoalPol_Com,9)) * MIN(INDEX(polEff_Com,4,8)+INDEX(pushPol_Com,3),(INDEX(effGoalPol_Com,9)-INDEX(teffSumPol_Com,4,9))/(INDEX(doEff,5)-INDEX(doEff,4)))</f>
        <v>0</v>
      </c>
      <c r="N130" s="43">
        <f ca="1">(INDEX(teffSumPol_Com,4,10)&lt;INDEX(effGoalPol_Com,10)) * MIN(INDEX(polEff_Com,4,9)+INDEX(pushPol_Com,3),(INDEX(effGoalPol_Com,10)-INDEX(teffSumPol_Com,4,10))/(INDEX(doEff,5)-INDEX(doEff,4)))</f>
        <v>0</v>
      </c>
      <c r="O130" s="43">
        <f ca="1">(INDEX(teffSumPol_Com,4,11)&lt;INDEX(effGoalPol_Com,11)) * MIN(INDEX(polEff_Com,4,10)+INDEX(pushPol_Com,3),(INDEX(effGoalPol_Com,11)-INDEX(teffSumPol_Com,4,11))/(INDEX(doEff,5)-INDEX(doEff,4)))</f>
        <v>0</v>
      </c>
      <c r="P130" s="43">
        <f ca="1">(INDEX(teffSumPol_Com,4,12)&lt;INDEX(effGoalPol_Com,12)) * MIN(INDEX(polEff_Com,4,11)+INDEX(pushPol_Com,3),(INDEX(effGoalPol_Com,12)-INDEX(teffSumPol_Com,4,12))/(INDEX(doEff,5)-INDEX(doEff,4)))</f>
        <v>0</v>
      </c>
      <c r="Q130" s="43">
        <f ca="1">(INDEX(teffSumPol_Com,4,13)&lt;INDEX(effGoalPol_Com,13)) * MIN(INDEX(polEff_Com,4,12)+INDEX(pushPol_Com,3),(INDEX(effGoalPol_Com,13)-INDEX(teffSumPol_Com,4,13))/(INDEX(doEff,5)-INDEX(doEff,4)))</f>
        <v>0</v>
      </c>
      <c r="R130" s="43">
        <f ca="1">(INDEX(teffSumPol_Com,4,14)&lt;INDEX(effGoalPol_Com,14)) * MIN(INDEX(polEff_Com,4,13)+INDEX(pushPol_Com,3),(INDEX(effGoalPol_Com,14)-INDEX(teffSumPol_Com,4,14))/(INDEX(doEff,5)-INDEX(doEff,4)))</f>
        <v>0</v>
      </c>
      <c r="S130" s="43">
        <f ca="1">(INDEX(teffSumPol_Com,4,15)&lt;INDEX(effGoalPol_Com,15)) * MIN(INDEX(polEff_Com,4,14)+INDEX(pushPol_Com,3),(INDEX(effGoalPol_Com,15)-INDEX(teffSumPol_Com,4,15))/(INDEX(doEff,5)-INDEX(doEff,4)))</f>
        <v>0</v>
      </c>
      <c r="T130" s="43">
        <f ca="1">(INDEX(teffSumPol_Com,4,16)&lt;INDEX(effGoalPol_Com,16)) * MIN(INDEX(polEff_Com,4,15)+INDEX(pushPol_Com,3),(INDEX(effGoalPol_Com,16)-INDEX(teffSumPol_Com,4,16))/(INDEX(doEff,5)-INDEX(doEff,4)))</f>
        <v>0</v>
      </c>
      <c r="U130" s="43">
        <f ca="1">(INDEX(teffSumPol_Com,4,17)&lt;INDEX(effGoalPol_Com,17)) * MIN(INDEX(polEff_Com,4,16)+INDEX(pushPol_Com,3),(INDEX(effGoalPol_Com,17)-INDEX(teffSumPol_Com,4,17))/(INDEX(doEff,5)-INDEX(doEff,4)))</f>
        <v>0</v>
      </c>
      <c r="V130" s="43">
        <f ca="1">(INDEX(teffSumPol_Com,4,18)&lt;INDEX(effGoalPol_Com,18)) * MIN(INDEX(polEff_Com,4,17)+INDEX(pushPol_Com,3),(INDEX(effGoalPol_Com,18)-INDEX(teffSumPol_Com,4,18))/(INDEX(doEff,5)-INDEX(doEff,4)))</f>
        <v>0</v>
      </c>
      <c r="W130" s="43">
        <f ca="1">(INDEX(teffSumPol_Com,4,19)&lt;INDEX(effGoalPol_Com,19)) * MIN(INDEX(polEff_Com,4,18)+INDEX(pushPol_Com,3),(INDEX(effGoalPol_Com,19)-INDEX(teffSumPol_Com,4,19))/(INDEX(doEff,5)-INDEX(doEff,4)))</f>
        <v>0</v>
      </c>
      <c r="X130" s="43">
        <f ca="1">(INDEX(teffSumPol_Com,4,20)&lt;INDEX(effGoalPol_Com,20)) * MIN(INDEX(polEff_Com,4,19)+INDEX(pushPol_Com,3),(INDEX(effGoalPol_Com,20)-INDEX(teffSumPol_Com,4,20))/(INDEX(doEff,5)-INDEX(doEff,4)))</f>
        <v>0</v>
      </c>
      <c r="Y130" s="43">
        <f ca="1">(INDEX(teffSumPol_Com,4,21)&lt;INDEX(effGoalPol_Com,21)) * MIN(INDEX(polEff_Com,4,20)+INDEX(pushPol_Com,3),(INDEX(effGoalPol_Com,21)-INDEX(teffSumPol_Com,4,21))/(INDEX(doEff,5)-INDEX(doEff,4)))</f>
        <v>0</v>
      </c>
      <c r="Z130" s="43">
        <f ca="1">(INDEX(teffSumPol_Com,4,22)&lt;INDEX(effGoalPol_Com,22)) * MIN(INDEX(polEff_Com,4,21)+INDEX(pushPol_Com,3),(INDEX(effGoalPol_Com,22)-INDEX(teffSumPol_Com,4,22))/(INDEX(doEff,5)-INDEX(doEff,4)))</f>
        <v>0</v>
      </c>
      <c r="AA130" s="43">
        <f ca="1">(INDEX(teffSumPol_Com,4,23)&lt;INDEX(effGoalPol_Com,23)) * MIN(INDEX(polEff_Com,4,22)+INDEX(pushPol_Com,3),(INDEX(effGoalPol_Com,23)-INDEX(teffSumPol_Com,4,23))/(INDEX(doEff,5)-INDEX(doEff,4)))</f>
        <v>0</v>
      </c>
      <c r="AB130" s="43">
        <f ca="1">(INDEX(teffSumPol_Com,4,24)&lt;INDEX(effGoalPol_Com,24)) * MIN(INDEX(polEff_Com,4,23)+INDEX(pushPol_Com,3),(INDEX(effGoalPol_Com,24)-INDEX(teffSumPol_Com,4,24))/(INDEX(doEff,5)-INDEX(doEff,4)))</f>
        <v>0</v>
      </c>
      <c r="AC130" s="43">
        <f ca="1">(INDEX(teffSumPol_Com,4,25)&lt;INDEX(effGoalPol_Com,25)) * MIN(INDEX(polEff_Com,4,24)+INDEX(pushPol_Com,3),(INDEX(effGoalPol_Com,25)-INDEX(teffSumPol_Com,4,25))/(INDEX(doEff,5)-INDEX(doEff,4)))</f>
        <v>0</v>
      </c>
      <c r="AD130" s="43">
        <f ca="1">(INDEX(teffSumPol_Com,4,26)&lt;INDEX(effGoalPol_Com,26)) * MIN(INDEX(polEff_Com,4,25)+INDEX(pushPol_Com,3),(INDEX(effGoalPol_Com,26)-INDEX(teffSumPol_Com,4,26))/(INDEX(doEff,5)-INDEX(doEff,4)))</f>
        <v>0</v>
      </c>
      <c r="AE130" s="43">
        <f ca="1">(INDEX(teffSumPol_Com,4,27)&lt;INDEX(effGoalPol_Com,27)) * MIN(INDEX(polEff_Com,4,26)+INDEX(pushPol_Com,3),(INDEX(effGoalPol_Com,27)-INDEX(teffSumPol_Com,4,27))/(INDEX(doEff,5)-INDEX(doEff,4)))</f>
        <v>0</v>
      </c>
      <c r="AF130" s="43">
        <f ca="1">(INDEX(teffSumPol_Com,4,28)&lt;INDEX(effGoalPol_Com,28)) * MIN(INDEX(polEff_Com,4,27)+INDEX(pushPol_Com,3),(INDEX(effGoalPol_Com,28)-INDEX(teffSumPol_Com,4,28))/(INDEX(doEff,5)-INDEX(doEff,4)))</f>
        <v>0</v>
      </c>
      <c r="AG130" s="43">
        <f ca="1">(INDEX(teffSumPol_Com,4,29)&lt;INDEX(effGoalPol_Com,29)) * MIN(INDEX(polEff_Com,4,28)+INDEX(pushPol_Com,3),(INDEX(effGoalPol_Com,29)-INDEX(teffSumPol_Com,4,29))/(INDEX(doEff,5)-INDEX(doEff,4)))</f>
        <v>0</v>
      </c>
      <c r="AH130" s="43">
        <f ca="1">(INDEX(teffSumPol_Com,4,30)&lt;INDEX(effGoalPol_Com,30)) * MIN(INDEX(polEff_Com,4,29)+INDEX(pushPol_Com,3),(INDEX(effGoalPol_Com,30)-INDEX(teffSumPol_Com,4,30))/(INDEX(doEff,5)-INDEX(doEff,4)))</f>
        <v>0</v>
      </c>
      <c r="AI130" s="43">
        <f ca="1">(INDEX(teffSumPol_Com,4,31)&lt;INDEX(effGoalPol_Com,31)) * MIN(INDEX(polEff_Com,4,30)+INDEX(pushPol_Com,3),(INDEX(effGoalPol_Com,31)-INDEX(teffSumPol_Com,4,31))/(INDEX(doEff,5)-INDEX(doEff,4)))</f>
        <v>0</v>
      </c>
      <c r="AJ130" s="43">
        <f ca="1">(INDEX(teffSumPol_Com,4,32)&lt;INDEX(effGoalPol_Com,32)) * MIN(INDEX(polEff_Com,4,31)+INDEX(pushPol_Com,3),(INDEX(effGoalPol_Com,32)-INDEX(teffSumPol_Com,4,32))/(INDEX(doEff,5)-INDEX(doEff,4)))</f>
        <v>0</v>
      </c>
      <c r="AK130" s="43">
        <f ca="1">(INDEX(teffSumPol_Com,4,33)&lt;INDEX(effGoalPol_Com,33)) * MIN(INDEX(polEff_Com,4,32)+INDEX(pushPol_Com,3),(INDEX(effGoalPol_Com,33)-INDEX(teffSumPol_Com,4,33))/(INDEX(doEff,5)-INDEX(doEff,4)))</f>
        <v>0</v>
      </c>
      <c r="AL130" s="43">
        <f ca="1">(INDEX(teffSumPol_Com,4,34)&lt;INDEX(effGoalPol_Com,34)) * MIN(INDEX(polEff_Com,4,33)+INDEX(pushPol_Com,3),(INDEX(effGoalPol_Com,34)-INDEX(teffSumPol_Com,4,34))/(INDEX(doEff,5)-INDEX(doEff,4)))</f>
        <v>0</v>
      </c>
      <c r="AM130" s="43">
        <f ca="1">(INDEX(teffSumPol_Com,4,35)&lt;INDEX(effGoalPol_Com,35)) * MIN(INDEX(polEff_Com,4,34)+INDEX(pushPol_Com,3),(INDEX(effGoalPol_Com,35)-INDEX(teffSumPol_Com,4,35))/(INDEX(doEff,5)-INDEX(doEff,4)))</f>
        <v>0</v>
      </c>
      <c r="AN130" s="44">
        <f ca="1">(INDEX(teffSumPol_Com,4,36)&lt;INDEX(effGoalPol_Com,36)) * MIN(INDEX(polEff_Com,4,35)+INDEX(pushPol_Com,3),(INDEX(effGoalPol_Com,36)-INDEX(teffSumPol_Com,4,36))/(INDEX(doEff,5)-INDEX(doEff,4)))</f>
        <v>0</v>
      </c>
      <c r="AO130" s="8"/>
    </row>
    <row r="131" spans="2:41" hidden="1" x14ac:dyDescent="0.35">
      <c r="B131" s="8"/>
      <c r="C131" s="35" t="str">
        <f>"EL 4: " &amp; INDEX(_doName,2,5)</f>
        <v>EL 4: EL 4</v>
      </c>
      <c r="D131" s="15"/>
      <c r="E131" s="45"/>
      <c r="F131" s="45">
        <f>0</f>
        <v>0</v>
      </c>
      <c r="G131" s="45">
        <f>0</f>
        <v>0</v>
      </c>
      <c r="H131" s="45">
        <f>0</f>
        <v>0</v>
      </c>
      <c r="I131" s="45">
        <f>0</f>
        <v>0</v>
      </c>
      <c r="J131" s="45">
        <f>0</f>
        <v>0</v>
      </c>
      <c r="K131" s="45">
        <f>0</f>
        <v>0</v>
      </c>
      <c r="L131" s="45">
        <f>0</f>
        <v>0</v>
      </c>
      <c r="M131" s="45">
        <f>0</f>
        <v>0</v>
      </c>
      <c r="N131" s="45">
        <f>0</f>
        <v>0</v>
      </c>
      <c r="O131" s="45">
        <f>0</f>
        <v>0</v>
      </c>
      <c r="P131" s="45">
        <f>0</f>
        <v>0</v>
      </c>
      <c r="Q131" s="45">
        <f>0</f>
        <v>0</v>
      </c>
      <c r="R131" s="45">
        <f>0</f>
        <v>0</v>
      </c>
      <c r="S131" s="45">
        <f>0</f>
        <v>0</v>
      </c>
      <c r="T131" s="45">
        <f>0</f>
        <v>0</v>
      </c>
      <c r="U131" s="45">
        <f>0</f>
        <v>0</v>
      </c>
      <c r="V131" s="45">
        <f>0</f>
        <v>0</v>
      </c>
      <c r="W131" s="45">
        <f>0</f>
        <v>0</v>
      </c>
      <c r="X131" s="45">
        <f>0</f>
        <v>0</v>
      </c>
      <c r="Y131" s="45">
        <f>0</f>
        <v>0</v>
      </c>
      <c r="Z131" s="45">
        <f>0</f>
        <v>0</v>
      </c>
      <c r="AA131" s="45">
        <f>0</f>
        <v>0</v>
      </c>
      <c r="AB131" s="45">
        <f>0</f>
        <v>0</v>
      </c>
      <c r="AC131" s="45">
        <f>0</f>
        <v>0</v>
      </c>
      <c r="AD131" s="45">
        <f>0</f>
        <v>0</v>
      </c>
      <c r="AE131" s="45">
        <f>0</f>
        <v>0</v>
      </c>
      <c r="AF131" s="45">
        <f>0</f>
        <v>0</v>
      </c>
      <c r="AG131" s="45">
        <f>0</f>
        <v>0</v>
      </c>
      <c r="AH131" s="45">
        <f>0</f>
        <v>0</v>
      </c>
      <c r="AI131" s="45">
        <f>0</f>
        <v>0</v>
      </c>
      <c r="AJ131" s="45">
        <f>0</f>
        <v>0</v>
      </c>
      <c r="AK131" s="45">
        <f>0</f>
        <v>0</v>
      </c>
      <c r="AL131" s="45">
        <f>0</f>
        <v>0</v>
      </c>
      <c r="AM131" s="45">
        <f>0</f>
        <v>0</v>
      </c>
      <c r="AN131" s="46">
        <f>0</f>
        <v>0</v>
      </c>
      <c r="AO131" s="8"/>
    </row>
    <row r="132" spans="2:41" hidden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</row>
    <row r="133" spans="2:41" hidden="1" x14ac:dyDescent="0.35">
      <c r="B133" s="8"/>
      <c r="C133" s="23" t="s">
        <v>90</v>
      </c>
      <c r="D133" s="24"/>
      <c r="E133" s="26">
        <f t="array" ref="E133:AN133">_yS</f>
        <v>2024</v>
      </c>
      <c r="F133" s="26">
        <v>2025</v>
      </c>
      <c r="G133" s="26">
        <v>2026</v>
      </c>
      <c r="H133" s="26">
        <v>2027</v>
      </c>
      <c r="I133" s="26">
        <v>2028</v>
      </c>
      <c r="J133" s="26">
        <v>2029</v>
      </c>
      <c r="K133" s="26">
        <v>2030</v>
      </c>
      <c r="L133" s="26">
        <v>2031</v>
      </c>
      <c r="M133" s="26">
        <v>2032</v>
      </c>
      <c r="N133" s="26">
        <v>2033</v>
      </c>
      <c r="O133" s="26">
        <v>2034</v>
      </c>
      <c r="P133" s="26">
        <v>2035</v>
      </c>
      <c r="Q133" s="26">
        <v>2036</v>
      </c>
      <c r="R133" s="26">
        <v>2037</v>
      </c>
      <c r="S133" s="26">
        <v>2038</v>
      </c>
      <c r="T133" s="26">
        <v>2039</v>
      </c>
      <c r="U133" s="26">
        <v>2040</v>
      </c>
      <c r="V133" s="26">
        <v>2041</v>
      </c>
      <c r="W133" s="26">
        <v>2042</v>
      </c>
      <c r="X133" s="26">
        <v>2043</v>
      </c>
      <c r="Y133" s="26">
        <v>2044</v>
      </c>
      <c r="Z133" s="26">
        <v>2045</v>
      </c>
      <c r="AA133" s="26">
        <v>2046</v>
      </c>
      <c r="AB133" s="26">
        <v>2047</v>
      </c>
      <c r="AC133" s="26">
        <v>2048</v>
      </c>
      <c r="AD133" s="26">
        <v>2049</v>
      </c>
      <c r="AE133" s="26">
        <v>2050</v>
      </c>
      <c r="AF133" s="26">
        <v>2051</v>
      </c>
      <c r="AG133" s="26">
        <v>2052</v>
      </c>
      <c r="AH133" s="26">
        <v>2053</v>
      </c>
      <c r="AI133" s="26">
        <v>2054</v>
      </c>
      <c r="AJ133" s="26">
        <v>2055</v>
      </c>
      <c r="AK133" s="26">
        <v>2056</v>
      </c>
      <c r="AL133" s="26">
        <v>2057</v>
      </c>
      <c r="AM133" s="26">
        <v>2058</v>
      </c>
      <c r="AN133" s="27">
        <v>2059</v>
      </c>
      <c r="AO133" s="8"/>
    </row>
    <row r="134" spans="2:41" hidden="1" x14ac:dyDescent="0.35">
      <c r="B134" s="8"/>
      <c r="C134" s="19" t="str">
        <f>"EL 0: " &amp; INDEX(_doName,2,1)</f>
        <v>EL 0: Baseline</v>
      </c>
      <c r="D134" s="11"/>
      <c r="E134" s="33"/>
      <c r="F134" s="33">
        <f ca="1">0 + INDEX(doEff,1)*(INDEX(eff0Pol_Com,1)+0) + SUMPRODUCT(doEff,INDEX(polEff_Com,,1),N(_el&gt;0))</f>
        <v>2.4508478241509826</v>
      </c>
      <c r="G134" s="33">
        <f ca="1">0 + INDEX(doEff,1)*(INDEX(eff0Pol_Com,1)+0) + SUMPRODUCT(doEff,INDEX(polEff_Com,,2),N(_el&gt;0))</f>
        <v>2.450499856367121</v>
      </c>
      <c r="H134" s="33">
        <f ca="1">0 + INDEX(doEff,1)*(INDEX(eff0Pol_Com,1)+0) + SUMPRODUCT(doEff,INDEX(polEff_Com,,3),N(_el&gt;0))</f>
        <v>2.7501359216143109</v>
      </c>
      <c r="I134" s="33">
        <f ca="1">0 + INDEX(doEff,1)*(INDEX(eff0Pol_Com,1)+0) + SUMPRODUCT(doEff,INDEX(polEff_Com,,4),N(_el&gt;0))</f>
        <v>2.749829671373262</v>
      </c>
      <c r="J134" s="33">
        <f ca="1">0 + INDEX(doEff,1)*(INDEX(eff0Pol_Com,1)+0) + SUMPRODUCT(doEff,INDEX(polEff_Com,,5),N(_el&gt;0))</f>
        <v>2.7495273812875713</v>
      </c>
      <c r="K134" s="33">
        <f ca="1">0 + INDEX(doEff,1)*(INDEX(eff0Pol_Com,1)+0) + SUMPRODUCT(doEff,INDEX(polEff_Com,,6),N(_el&gt;0))</f>
        <v>2.7494434485501329</v>
      </c>
      <c r="L134" s="33">
        <f ca="1">0 + INDEX(doEff,1)*(INDEX(eff0Pol_Com,1)+0) + SUMPRODUCT(doEff,INDEX(polEff_Com,,7),N(_el&gt;0))</f>
        <v>2.7493605080072911</v>
      </c>
      <c r="M134" s="33">
        <f ca="1">0 + INDEX(doEff,1)*(INDEX(eff0Pol_Com,1)+0) + SUMPRODUCT(doEff,INDEX(polEff_Com,,8),N(_el&gt;0))</f>
        <v>2.7492785252437129</v>
      </c>
      <c r="N134" s="33">
        <f ca="1">0 + INDEX(doEff,1)*(INDEX(eff0Pol_Com,1)+0) + SUMPRODUCT(doEff,INDEX(polEff_Com,,9),N(_el&gt;0))</f>
        <v>2.7491974693091095</v>
      </c>
      <c r="O134" s="33">
        <f ca="1">0 + INDEX(doEff,1)*(INDEX(eff0Pol_Com,1)+0) + SUMPRODUCT(doEff,INDEX(polEff_Com,,10),N(_el&gt;0))</f>
        <v>2.7491173108317879</v>
      </c>
      <c r="P134" s="33">
        <f ca="1">0 + INDEX(doEff,1)*(INDEX(eff0Pol_Com,1)+0) + SUMPRODUCT(doEff,INDEX(polEff_Com,,11),N(_el&gt;0))</f>
        <v>2.749105756330025</v>
      </c>
      <c r="Q134" s="33">
        <f ca="1">0 + INDEX(doEff,1)*(INDEX(eff0Pol_Com,1)+0) + SUMPRODUCT(doEff,INDEX(polEff_Com,,12),N(_el&gt;0))</f>
        <v>2.7490943459018942</v>
      </c>
      <c r="R134" s="33">
        <f ca="1">0 + INDEX(doEff,1)*(INDEX(eff0Pol_Com,1)+0) + SUMPRODUCT(doEff,INDEX(polEff_Com,,13),N(_el&gt;0))</f>
        <v>2.7490830698838864</v>
      </c>
      <c r="S134" s="33">
        <f ca="1">0 + INDEX(doEff,1)*(INDEX(eff0Pol_Com,1)+0) + SUMPRODUCT(doEff,INDEX(polEff_Com,,14),N(_el&gt;0))</f>
        <v>2.7490719194518434</v>
      </c>
      <c r="T134" s="33">
        <f ca="1">0 + INDEX(doEff,1)*(INDEX(eff0Pol_Com,1)+0) + SUMPRODUCT(doEff,INDEX(polEff_Com,,15),N(_el&gt;0))</f>
        <v>2.7490608864887425</v>
      </c>
      <c r="U134" s="33">
        <f ca="1">0 + INDEX(doEff,1)*(INDEX(eff0Pol_Com,1)+0) + SUMPRODUCT(doEff,INDEX(polEff_Com,,16),N(_el&gt;0))</f>
        <v>2.7490499648554154</v>
      </c>
      <c r="V134" s="33">
        <f ca="1">0 + INDEX(doEff,1)*(INDEX(eff0Pol_Com,1)+0) + SUMPRODUCT(doEff,INDEX(polEff_Com,,17),N(_el&gt;0))</f>
        <v>2.7490391488084436</v>
      </c>
      <c r="W134" s="33">
        <f ca="1">0 + INDEX(doEff,1)*(INDEX(eff0Pol_Com,1)+0) + SUMPRODUCT(doEff,INDEX(polEff_Com,,18),N(_el&gt;0))</f>
        <v>2.7490284334019863</v>
      </c>
      <c r="X134" s="33">
        <f ca="1">0 + INDEX(doEff,1)*(INDEX(eff0Pol_Com,1)+0) + SUMPRODUCT(doEff,INDEX(polEff_Com,,19),N(_el&gt;0))</f>
        <v>2.7490178142469999</v>
      </c>
      <c r="Y134" s="33">
        <f ca="1">0 + INDEX(doEff,1)*(INDEX(eff0Pol_Com,1)+0) + SUMPRODUCT(doEff,INDEX(polEff_Com,,20),N(_el&gt;0))</f>
        <v>2.7490072873263571</v>
      </c>
      <c r="Z134" s="33">
        <f ca="1">0 + INDEX(doEff,1)*(INDEX(eff0Pol_Com,1)+0) + SUMPRODUCT(doEff,INDEX(polEff_Com,,21),N(_el&gt;0))</f>
        <v>2.7490022275961503</v>
      </c>
      <c r="AA134" s="33">
        <f ca="1">0 + INDEX(doEff,1)*(INDEX(eff0Pol_Com,1)+0) + SUMPRODUCT(doEff,INDEX(polEff_Com,,22),N(_el&gt;0))</f>
        <v>2.7489972021331228</v>
      </c>
      <c r="AB134" s="33">
        <f ca="1">0 + INDEX(doEff,1)*(INDEX(eff0Pol_Com,1)+0) + SUMPRODUCT(doEff,INDEX(polEff_Com,,23),N(_el&gt;0))</f>
        <v>2.748992208122595</v>
      </c>
      <c r="AC134" s="33">
        <f ca="1">0 + INDEX(doEff,1)*(INDEX(eff0Pol_Com,1)+0) + SUMPRODUCT(doEff,INDEX(polEff_Com,,24),N(_el&gt;0))</f>
        <v>2.7489872429302413</v>
      </c>
      <c r="AD134" s="33">
        <f ca="1">0 + INDEX(doEff,1)*(INDEX(eff0Pol_Com,1)+0) + SUMPRODUCT(doEff,INDEX(polEff_Com,,25),N(_el&gt;0))</f>
        <v>2.7489823041126042</v>
      </c>
      <c r="AE134" s="33">
        <f ca="1">0 + INDEX(doEff,1)*(INDEX(eff0Pol_Com,1)+0) + SUMPRODUCT(doEff,INDEX(polEff_Com,,26),N(_el&gt;0))</f>
        <v>2.7489773894179828</v>
      </c>
      <c r="AF134" s="33">
        <f ca="1">0 + INDEX(doEff,1)*(INDEX(eff0Pol_Com,1)+0) + SUMPRODUCT(doEff,INDEX(polEff_Com,,27),N(_el&gt;0))</f>
        <v>2.7489724967750728</v>
      </c>
      <c r="AG134" s="33">
        <f ca="1">0 + INDEX(doEff,1)*(INDEX(eff0Pol_Com,1)+0) + SUMPRODUCT(doEff,INDEX(polEff_Com,,28),N(_el&gt;0))</f>
        <v>2.7489676242742465</v>
      </c>
      <c r="AH134" s="33">
        <f ca="1">0 + INDEX(doEff,1)*(INDEX(eff0Pol_Com,1)+0) + SUMPRODUCT(doEff,INDEX(polEff_Com,,29),N(_el&gt;0))</f>
        <v>2.7489627701461781</v>
      </c>
      <c r="AI134" s="33">
        <f ca="1">0 + INDEX(doEff,1)*(INDEX(eff0Pol_Com,1)+0) + SUMPRODUCT(doEff,INDEX(polEff_Com,,30),N(_el&gt;0))</f>
        <v>2.7489579327418294</v>
      </c>
      <c r="AJ134" s="33">
        <f ca="1">0 + INDEX(doEff,1)*(INDEX(eff0Pol_Com,1)+0) + SUMPRODUCT(doEff,INDEX(polEff_Com,,31),N(_el&gt;0))</f>
        <v>2.7489531105166725</v>
      </c>
      <c r="AK134" s="33">
        <f ca="1">0 + INDEX(doEff,1)*(INDEX(eff0Pol_Com,1)+0) + SUMPRODUCT(doEff,INDEX(polEff_Com,,32),N(_el&gt;0))</f>
        <v>2.748948302019445</v>
      </c>
      <c r="AL134" s="33">
        <f ca="1">0 + INDEX(doEff,1)*(INDEX(eff0Pol_Com,1)+0) + SUMPRODUCT(doEff,INDEX(polEff_Com,,33),N(_el&gt;0))</f>
        <v>2.7489435058841347</v>
      </c>
      <c r="AM134" s="33">
        <f ca="1">0 + INDEX(doEff,1)*(INDEX(eff0Pol_Com,1)+0) + SUMPRODUCT(doEff,INDEX(polEff_Com,,34),N(_el&gt;0))</f>
        <v>2.7489387208257532</v>
      </c>
      <c r="AN134" s="34">
        <f ca="1">0 + INDEX(doEff,1)*(INDEX(eff0Pol_Com,1)+0) + SUMPRODUCT(doEff,INDEX(polEff_Com,,35),N(_el&gt;0))</f>
        <v>2.7479296875000001</v>
      </c>
      <c r="AO134" s="8"/>
    </row>
    <row r="135" spans="2:41" hidden="1" x14ac:dyDescent="0.35">
      <c r="B135" s="8"/>
      <c r="C135" s="19" t="str">
        <f>"EL 1: " &amp; INDEX(_doName,2,2)</f>
        <v>EL 1: Tier 1</v>
      </c>
      <c r="D135" s="11"/>
      <c r="E135" s="33"/>
      <c r="F135" s="33">
        <f ca="1">SUMPRODUCT(OFFSET(doEff,0,0,1,1),OFFSET(INDEX(polEff_Com,1,2),0,0,1,1)) + INDEX(doEff,2)*(INDEX(eff0Pol_Com,2)+INDEX(pushPol_Com,1)) + SUMPRODUCT(doEff,INDEX(polEff_Com,,1),N(_el&gt;1))</f>
        <v>2.4508478241509826</v>
      </c>
      <c r="G135" s="33">
        <f ca="1">SUMPRODUCT(OFFSET(doEff,0,0,1,1),OFFSET(INDEX(polEff_Com,1,3),0,0,1,1)) + INDEX(doEff,2)*(INDEX(eff0Pol_Com,2)+INDEX(pushPol_Com,1)) + SUMPRODUCT(doEff,INDEX(polEff_Com,,2),N(_el&gt;1))</f>
        <v>2.450499856367121</v>
      </c>
      <c r="H135" s="33">
        <f ca="1">SUMPRODUCT(OFFSET(doEff,0,0,1,1),OFFSET(INDEX(polEff_Com,1,4),0,0,1,1)) + INDEX(doEff,2)*(INDEX(eff0Pol_Com,2)+INDEX(pushPol_Com,1)) + SUMPRODUCT(doEff,INDEX(polEff_Com,,3),N(_el&gt;1))</f>
        <v>2.7501359216143109</v>
      </c>
      <c r="I135" s="33">
        <f ca="1">SUMPRODUCT(OFFSET(doEff,0,0,1,1),OFFSET(INDEX(polEff_Com,1,5),0,0,1,1)) + INDEX(doEff,2)*(INDEX(eff0Pol_Com,2)+INDEX(pushPol_Com,1)) + SUMPRODUCT(doEff,INDEX(polEff_Com,,4),N(_el&gt;1))</f>
        <v>2.749829671373262</v>
      </c>
      <c r="J135" s="33">
        <f ca="1">SUMPRODUCT(OFFSET(doEff,0,0,1,1),OFFSET(INDEX(polEff_Com,1,6),0,0,1,1)) + INDEX(doEff,2)*(INDEX(eff0Pol_Com,2)+INDEX(pushPol_Com,1)) + SUMPRODUCT(doEff,INDEX(polEff_Com,,5),N(_el&gt;1))</f>
        <v>2.7495273812875713</v>
      </c>
      <c r="K135" s="33">
        <f ca="1">SUMPRODUCT(OFFSET(doEff,0,0,1,1),OFFSET(INDEX(polEff_Com,1,7),0,0,1,1)) + INDEX(doEff,2)*(INDEX(eff0Pol_Com,2)+INDEX(pushPol_Com,1)) + SUMPRODUCT(doEff,INDEX(polEff_Com,,6),N(_el&gt;1))</f>
        <v>2.7494434485501329</v>
      </c>
      <c r="L135" s="33">
        <f ca="1">SUMPRODUCT(OFFSET(doEff,0,0,1,1),OFFSET(INDEX(polEff_Com,1,8),0,0,1,1)) + INDEX(doEff,2)*(INDEX(eff0Pol_Com,2)+INDEX(pushPol_Com,1)) + SUMPRODUCT(doEff,INDEX(polEff_Com,,7),N(_el&gt;1))</f>
        <v>2.7493605080072911</v>
      </c>
      <c r="M135" s="33">
        <f ca="1">SUMPRODUCT(OFFSET(doEff,0,0,1,1),OFFSET(INDEX(polEff_Com,1,9),0,0,1,1)) + INDEX(doEff,2)*(INDEX(eff0Pol_Com,2)+INDEX(pushPol_Com,1)) + SUMPRODUCT(doEff,INDEX(polEff_Com,,8),N(_el&gt;1))</f>
        <v>2.7492785252437129</v>
      </c>
      <c r="N135" s="33">
        <f ca="1">SUMPRODUCT(OFFSET(doEff,0,0,1,1),OFFSET(INDEX(polEff_Com,1,10),0,0,1,1)) + INDEX(doEff,2)*(INDEX(eff0Pol_Com,2)+INDEX(pushPol_Com,1)) + SUMPRODUCT(doEff,INDEX(polEff_Com,,9),N(_el&gt;1))</f>
        <v>2.7491974693091095</v>
      </c>
      <c r="O135" s="33">
        <f ca="1">SUMPRODUCT(OFFSET(doEff,0,0,1,1),OFFSET(INDEX(polEff_Com,1,11),0,0,1,1)) + INDEX(doEff,2)*(INDEX(eff0Pol_Com,2)+INDEX(pushPol_Com,1)) + SUMPRODUCT(doEff,INDEX(polEff_Com,,10),N(_el&gt;1))</f>
        <v>2.7491173108317879</v>
      </c>
      <c r="P135" s="33">
        <f ca="1">SUMPRODUCT(OFFSET(doEff,0,0,1,1),OFFSET(INDEX(polEff_Com,1,12),0,0,1,1)) + INDEX(doEff,2)*(INDEX(eff0Pol_Com,2)+INDEX(pushPol_Com,1)) + SUMPRODUCT(doEff,INDEX(polEff_Com,,11),N(_el&gt;1))</f>
        <v>2.749105756330025</v>
      </c>
      <c r="Q135" s="33">
        <f ca="1">SUMPRODUCT(OFFSET(doEff,0,0,1,1),OFFSET(INDEX(polEff_Com,1,13),0,0,1,1)) + INDEX(doEff,2)*(INDEX(eff0Pol_Com,2)+INDEX(pushPol_Com,1)) + SUMPRODUCT(doEff,INDEX(polEff_Com,,12),N(_el&gt;1))</f>
        <v>2.7490943459018942</v>
      </c>
      <c r="R135" s="33">
        <f ca="1">SUMPRODUCT(OFFSET(doEff,0,0,1,1),OFFSET(INDEX(polEff_Com,1,14),0,0,1,1)) + INDEX(doEff,2)*(INDEX(eff0Pol_Com,2)+INDEX(pushPol_Com,1)) + SUMPRODUCT(doEff,INDEX(polEff_Com,,13),N(_el&gt;1))</f>
        <v>2.7490830698838864</v>
      </c>
      <c r="S135" s="33">
        <f ca="1">SUMPRODUCT(OFFSET(doEff,0,0,1,1),OFFSET(INDEX(polEff_Com,1,15),0,0,1,1)) + INDEX(doEff,2)*(INDEX(eff0Pol_Com,2)+INDEX(pushPol_Com,1)) + SUMPRODUCT(doEff,INDEX(polEff_Com,,14),N(_el&gt;1))</f>
        <v>2.7490719194518434</v>
      </c>
      <c r="T135" s="33">
        <f ca="1">SUMPRODUCT(OFFSET(doEff,0,0,1,1),OFFSET(INDEX(polEff_Com,1,16),0,0,1,1)) + INDEX(doEff,2)*(INDEX(eff0Pol_Com,2)+INDEX(pushPol_Com,1)) + SUMPRODUCT(doEff,INDEX(polEff_Com,,15),N(_el&gt;1))</f>
        <v>2.7490608864887425</v>
      </c>
      <c r="U135" s="33">
        <f ca="1">SUMPRODUCT(OFFSET(doEff,0,0,1,1),OFFSET(INDEX(polEff_Com,1,17),0,0,1,1)) + INDEX(doEff,2)*(INDEX(eff0Pol_Com,2)+INDEX(pushPol_Com,1)) + SUMPRODUCT(doEff,INDEX(polEff_Com,,16),N(_el&gt;1))</f>
        <v>2.7490499648554154</v>
      </c>
      <c r="V135" s="33">
        <f ca="1">SUMPRODUCT(OFFSET(doEff,0,0,1,1),OFFSET(INDEX(polEff_Com,1,18),0,0,1,1)) + INDEX(doEff,2)*(INDEX(eff0Pol_Com,2)+INDEX(pushPol_Com,1)) + SUMPRODUCT(doEff,INDEX(polEff_Com,,17),N(_el&gt;1))</f>
        <v>2.7490391488084436</v>
      </c>
      <c r="W135" s="33">
        <f ca="1">SUMPRODUCT(OFFSET(doEff,0,0,1,1),OFFSET(INDEX(polEff_Com,1,19),0,0,1,1)) + INDEX(doEff,2)*(INDEX(eff0Pol_Com,2)+INDEX(pushPol_Com,1)) + SUMPRODUCT(doEff,INDEX(polEff_Com,,18),N(_el&gt;1))</f>
        <v>2.7490284334019863</v>
      </c>
      <c r="X135" s="33">
        <f ca="1">SUMPRODUCT(OFFSET(doEff,0,0,1,1),OFFSET(INDEX(polEff_Com,1,20),0,0,1,1)) + INDEX(doEff,2)*(INDEX(eff0Pol_Com,2)+INDEX(pushPol_Com,1)) + SUMPRODUCT(doEff,INDEX(polEff_Com,,19),N(_el&gt;1))</f>
        <v>2.7490178142469999</v>
      </c>
      <c r="Y135" s="33">
        <f ca="1">SUMPRODUCT(OFFSET(doEff,0,0,1,1),OFFSET(INDEX(polEff_Com,1,21),0,0,1,1)) + INDEX(doEff,2)*(INDEX(eff0Pol_Com,2)+INDEX(pushPol_Com,1)) + SUMPRODUCT(doEff,INDEX(polEff_Com,,20),N(_el&gt;1))</f>
        <v>2.7490072873263571</v>
      </c>
      <c r="Z135" s="33">
        <f ca="1">SUMPRODUCT(OFFSET(doEff,0,0,1,1),OFFSET(INDEX(polEff_Com,1,22),0,0,1,1)) + INDEX(doEff,2)*(INDEX(eff0Pol_Com,2)+INDEX(pushPol_Com,1)) + SUMPRODUCT(doEff,INDEX(polEff_Com,,21),N(_el&gt;1))</f>
        <v>2.7490022275961503</v>
      </c>
      <c r="AA135" s="33">
        <f ca="1">SUMPRODUCT(OFFSET(doEff,0,0,1,1),OFFSET(INDEX(polEff_Com,1,23),0,0,1,1)) + INDEX(doEff,2)*(INDEX(eff0Pol_Com,2)+INDEX(pushPol_Com,1)) + SUMPRODUCT(doEff,INDEX(polEff_Com,,22),N(_el&gt;1))</f>
        <v>2.7489972021331228</v>
      </c>
      <c r="AB135" s="33">
        <f ca="1">SUMPRODUCT(OFFSET(doEff,0,0,1,1),OFFSET(INDEX(polEff_Com,1,24),0,0,1,1)) + INDEX(doEff,2)*(INDEX(eff0Pol_Com,2)+INDEX(pushPol_Com,1)) + SUMPRODUCT(doEff,INDEX(polEff_Com,,23),N(_el&gt;1))</f>
        <v>2.748992208122595</v>
      </c>
      <c r="AC135" s="33">
        <f ca="1">SUMPRODUCT(OFFSET(doEff,0,0,1,1),OFFSET(INDEX(polEff_Com,1,25),0,0,1,1)) + INDEX(doEff,2)*(INDEX(eff0Pol_Com,2)+INDEX(pushPol_Com,1)) + SUMPRODUCT(doEff,INDEX(polEff_Com,,24),N(_el&gt;1))</f>
        <v>2.7489872429302413</v>
      </c>
      <c r="AD135" s="33">
        <f ca="1">SUMPRODUCT(OFFSET(doEff,0,0,1,1),OFFSET(INDEX(polEff_Com,1,26),0,0,1,1)) + INDEX(doEff,2)*(INDEX(eff0Pol_Com,2)+INDEX(pushPol_Com,1)) + SUMPRODUCT(doEff,INDEX(polEff_Com,,25),N(_el&gt;1))</f>
        <v>2.7489823041126042</v>
      </c>
      <c r="AE135" s="33">
        <f ca="1">SUMPRODUCT(OFFSET(doEff,0,0,1,1),OFFSET(INDEX(polEff_Com,1,27),0,0,1,1)) + INDEX(doEff,2)*(INDEX(eff0Pol_Com,2)+INDEX(pushPol_Com,1)) + SUMPRODUCT(doEff,INDEX(polEff_Com,,26),N(_el&gt;1))</f>
        <v>2.7489773894179828</v>
      </c>
      <c r="AF135" s="33">
        <f ca="1">SUMPRODUCT(OFFSET(doEff,0,0,1,1),OFFSET(INDEX(polEff_Com,1,28),0,0,1,1)) + INDEX(doEff,2)*(INDEX(eff0Pol_Com,2)+INDEX(pushPol_Com,1)) + SUMPRODUCT(doEff,INDEX(polEff_Com,,27),N(_el&gt;1))</f>
        <v>2.7489724967750728</v>
      </c>
      <c r="AG135" s="33">
        <f ca="1">SUMPRODUCT(OFFSET(doEff,0,0,1,1),OFFSET(INDEX(polEff_Com,1,29),0,0,1,1)) + INDEX(doEff,2)*(INDEX(eff0Pol_Com,2)+INDEX(pushPol_Com,1)) + SUMPRODUCT(doEff,INDEX(polEff_Com,,28),N(_el&gt;1))</f>
        <v>2.7489676242742465</v>
      </c>
      <c r="AH135" s="33">
        <f ca="1">SUMPRODUCT(OFFSET(doEff,0,0,1,1),OFFSET(INDEX(polEff_Com,1,30),0,0,1,1)) + INDEX(doEff,2)*(INDEX(eff0Pol_Com,2)+INDEX(pushPol_Com,1)) + SUMPRODUCT(doEff,INDEX(polEff_Com,,29),N(_el&gt;1))</f>
        <v>2.7489627701461781</v>
      </c>
      <c r="AI135" s="33">
        <f ca="1">SUMPRODUCT(OFFSET(doEff,0,0,1,1),OFFSET(INDEX(polEff_Com,1,31),0,0,1,1)) + INDEX(doEff,2)*(INDEX(eff0Pol_Com,2)+INDEX(pushPol_Com,1)) + SUMPRODUCT(doEff,INDEX(polEff_Com,,30),N(_el&gt;1))</f>
        <v>2.7489579327418294</v>
      </c>
      <c r="AJ135" s="33">
        <f ca="1">SUMPRODUCT(OFFSET(doEff,0,0,1,1),OFFSET(INDEX(polEff_Com,1,32),0,0,1,1)) + INDEX(doEff,2)*(INDEX(eff0Pol_Com,2)+INDEX(pushPol_Com,1)) + SUMPRODUCT(doEff,INDEX(polEff_Com,,31),N(_el&gt;1))</f>
        <v>2.7489531105166725</v>
      </c>
      <c r="AK135" s="33">
        <f ca="1">SUMPRODUCT(OFFSET(doEff,0,0,1,1),OFFSET(INDEX(polEff_Com,1,33),0,0,1,1)) + INDEX(doEff,2)*(INDEX(eff0Pol_Com,2)+INDEX(pushPol_Com,1)) + SUMPRODUCT(doEff,INDEX(polEff_Com,,32),N(_el&gt;1))</f>
        <v>2.748948302019445</v>
      </c>
      <c r="AL135" s="33">
        <f ca="1">SUMPRODUCT(OFFSET(doEff,0,0,1,1),OFFSET(INDEX(polEff_Com,1,34),0,0,1,1)) + INDEX(doEff,2)*(INDEX(eff0Pol_Com,2)+INDEX(pushPol_Com,1)) + SUMPRODUCT(doEff,INDEX(polEff_Com,,33),N(_el&gt;1))</f>
        <v>2.7489435058841347</v>
      </c>
      <c r="AM135" s="33">
        <f ca="1">SUMPRODUCT(OFFSET(doEff,0,0,1,1),OFFSET(INDEX(polEff_Com,1,35),0,0,1,1)) + INDEX(doEff,2)*(INDEX(eff0Pol_Com,2)+INDEX(pushPol_Com,1)) + SUMPRODUCT(doEff,INDEX(polEff_Com,,34),N(_el&gt;1))</f>
        <v>2.7489387208257532</v>
      </c>
      <c r="AN135" s="34">
        <f ca="1">SUMPRODUCT(OFFSET(doEff,0,0,1,1),OFFSET(INDEX(polEff_Com,1,36),0,0,1,1)) + INDEX(doEff,2)*(INDEX(eff0Pol_Com,2)+INDEX(pushPol_Com,1)) + SUMPRODUCT(doEff,INDEX(polEff_Com,,35),N(_el&gt;1))</f>
        <v>2.7479296875000001</v>
      </c>
      <c r="AO135" s="8"/>
    </row>
    <row r="136" spans="2:41" hidden="1" x14ac:dyDescent="0.35">
      <c r="B136" s="8"/>
      <c r="C136" s="19" t="str">
        <f>"EL 2: " &amp; INDEX(_doName,2,3)</f>
        <v>EL 2: Tier 2</v>
      </c>
      <c r="D136" s="11"/>
      <c r="E136" s="33"/>
      <c r="F136" s="33">
        <f ca="1">SUMPRODUCT(OFFSET(doEff,0,0,2,1),OFFSET(INDEX(polEff_Com,1,2),0,0,2,1)) + INDEX(doEff,3)*(INDEX(eff0Pol_Com,3)+INDEX(pushPol_Com,2)) + SUMPRODUCT(doEff,INDEX(polEff_Com,,1),N(_el&gt;2))</f>
        <v>2.4513179505744604</v>
      </c>
      <c r="G136" s="33">
        <f ca="1">SUMPRODUCT(OFFSET(doEff,0,0,2,1),OFFSET(INDEX(polEff_Com,1,3),0,0,2,1)) + INDEX(doEff,3)*(INDEX(eff0Pol_Com,3)+INDEX(pushPol_Com,2)) + SUMPRODUCT(doEff,INDEX(polEff_Com,,2),N(_el&gt;2))</f>
        <v>1.295957114788064</v>
      </c>
      <c r="H136" s="33">
        <f ca="1">SUMPRODUCT(OFFSET(doEff,0,0,2,1),OFFSET(INDEX(polEff_Com,1,4),0,0,2,1)) + INDEX(doEff,3)*(INDEX(eff0Pol_Com,3)+INDEX(pushPol_Com,2)) + SUMPRODUCT(doEff,INDEX(polEff_Com,,3),N(_el&gt;2))</f>
        <v>2.7501359216143109</v>
      </c>
      <c r="I136" s="33">
        <f ca="1">SUMPRODUCT(OFFSET(doEff,0,0,2,1),OFFSET(INDEX(polEff_Com,1,5),0,0,2,1)) + INDEX(doEff,3)*(INDEX(eff0Pol_Com,3)+INDEX(pushPol_Com,2)) + SUMPRODUCT(doEff,INDEX(polEff_Com,,4),N(_el&gt;2))</f>
        <v>2.749829671373262</v>
      </c>
      <c r="J136" s="33">
        <f ca="1">SUMPRODUCT(OFFSET(doEff,0,0,2,1),OFFSET(INDEX(polEff_Com,1,6),0,0,2,1)) + INDEX(doEff,3)*(INDEX(eff0Pol_Com,3)+INDEX(pushPol_Com,2)) + SUMPRODUCT(doEff,INDEX(polEff_Com,,5),N(_el&gt;2))</f>
        <v>2.7495273812875709</v>
      </c>
      <c r="K136" s="33">
        <f ca="1">SUMPRODUCT(OFFSET(doEff,0,0,2,1),OFFSET(INDEX(polEff_Com,1,7),0,0,2,1)) + INDEX(doEff,3)*(INDEX(eff0Pol_Com,3)+INDEX(pushPol_Com,2)) + SUMPRODUCT(doEff,INDEX(polEff_Com,,6),N(_el&gt;2))</f>
        <v>2.7494434485501325</v>
      </c>
      <c r="L136" s="33">
        <f ca="1">SUMPRODUCT(OFFSET(doEff,0,0,2,1),OFFSET(INDEX(polEff_Com,1,8),0,0,2,1)) + INDEX(doEff,3)*(INDEX(eff0Pol_Com,3)+INDEX(pushPol_Com,2)) + SUMPRODUCT(doEff,INDEX(polEff_Com,,7),N(_el&gt;2))</f>
        <v>2.7493605080072911</v>
      </c>
      <c r="M136" s="33">
        <f ca="1">SUMPRODUCT(OFFSET(doEff,0,0,2,1),OFFSET(INDEX(polEff_Com,1,9),0,0,2,1)) + INDEX(doEff,3)*(INDEX(eff0Pol_Com,3)+INDEX(pushPol_Com,2)) + SUMPRODUCT(doEff,INDEX(polEff_Com,,8),N(_el&gt;2))</f>
        <v>2.7492785252437129</v>
      </c>
      <c r="N136" s="33">
        <f ca="1">SUMPRODUCT(OFFSET(doEff,0,0,2,1),OFFSET(INDEX(polEff_Com,1,10),0,0,2,1)) + INDEX(doEff,3)*(INDEX(eff0Pol_Com,3)+INDEX(pushPol_Com,2)) + SUMPRODUCT(doEff,INDEX(polEff_Com,,9),N(_el&gt;2))</f>
        <v>2.749197469309109</v>
      </c>
      <c r="O136" s="33">
        <f ca="1">SUMPRODUCT(OFFSET(doEff,0,0,2,1),OFFSET(INDEX(polEff_Com,1,11),0,0,2,1)) + INDEX(doEff,3)*(INDEX(eff0Pol_Com,3)+INDEX(pushPol_Com,2)) + SUMPRODUCT(doEff,INDEX(polEff_Com,,10),N(_el&gt;2))</f>
        <v>2.7491173108317879</v>
      </c>
      <c r="P136" s="33">
        <f ca="1">SUMPRODUCT(OFFSET(doEff,0,0,2,1),OFFSET(INDEX(polEff_Com,1,12),0,0,2,1)) + INDEX(doEff,3)*(INDEX(eff0Pol_Com,3)+INDEX(pushPol_Com,2)) + SUMPRODUCT(doEff,INDEX(polEff_Com,,11),N(_el&gt;2))</f>
        <v>2.7491057563300245</v>
      </c>
      <c r="Q136" s="33">
        <f ca="1">SUMPRODUCT(OFFSET(doEff,0,0,2,1),OFFSET(INDEX(polEff_Com,1,13),0,0,2,1)) + INDEX(doEff,3)*(INDEX(eff0Pol_Com,3)+INDEX(pushPol_Com,2)) + SUMPRODUCT(doEff,INDEX(polEff_Com,,12),N(_el&gt;2))</f>
        <v>2.7490943459018942</v>
      </c>
      <c r="R136" s="33">
        <f ca="1">SUMPRODUCT(OFFSET(doEff,0,0,2,1),OFFSET(INDEX(polEff_Com,1,14),0,0,2,1)) + INDEX(doEff,3)*(INDEX(eff0Pol_Com,3)+INDEX(pushPol_Com,2)) + SUMPRODUCT(doEff,INDEX(polEff_Com,,13),N(_el&gt;2))</f>
        <v>2.7490830698838864</v>
      </c>
      <c r="S136" s="33">
        <f ca="1">SUMPRODUCT(OFFSET(doEff,0,0,2,1),OFFSET(INDEX(polEff_Com,1,15),0,0,2,1)) + INDEX(doEff,3)*(INDEX(eff0Pol_Com,3)+INDEX(pushPol_Com,2)) + SUMPRODUCT(doEff,INDEX(polEff_Com,,14),N(_el&gt;2))</f>
        <v>2.7490719194518434</v>
      </c>
      <c r="T136" s="33">
        <f ca="1">SUMPRODUCT(OFFSET(doEff,0,0,2,1),OFFSET(INDEX(polEff_Com,1,16),0,0,2,1)) + INDEX(doEff,3)*(INDEX(eff0Pol_Com,3)+INDEX(pushPol_Com,2)) + SUMPRODUCT(doEff,INDEX(polEff_Com,,15),N(_el&gt;2))</f>
        <v>2.7490608864887429</v>
      </c>
      <c r="U136" s="33">
        <f ca="1">SUMPRODUCT(OFFSET(doEff,0,0,2,1),OFFSET(INDEX(polEff_Com,1,17),0,0,2,1)) + INDEX(doEff,3)*(INDEX(eff0Pol_Com,3)+INDEX(pushPol_Com,2)) + SUMPRODUCT(doEff,INDEX(polEff_Com,,16),N(_el&gt;2))</f>
        <v>2.7490499648554154</v>
      </c>
      <c r="V136" s="33">
        <f ca="1">SUMPRODUCT(OFFSET(doEff,0,0,2,1),OFFSET(INDEX(polEff_Com,1,18),0,0,2,1)) + INDEX(doEff,3)*(INDEX(eff0Pol_Com,3)+INDEX(pushPol_Com,2)) + SUMPRODUCT(doEff,INDEX(polEff_Com,,17),N(_el&gt;2))</f>
        <v>2.7490391488084436</v>
      </c>
      <c r="W136" s="33">
        <f ca="1">SUMPRODUCT(OFFSET(doEff,0,0,2,1),OFFSET(INDEX(polEff_Com,1,19),0,0,2,1)) + INDEX(doEff,3)*(INDEX(eff0Pol_Com,3)+INDEX(pushPol_Com,2)) + SUMPRODUCT(doEff,INDEX(polEff_Com,,18),N(_el&gt;2))</f>
        <v>2.7490284334019863</v>
      </c>
      <c r="X136" s="33">
        <f ca="1">SUMPRODUCT(OFFSET(doEff,0,0,2,1),OFFSET(INDEX(polEff_Com,1,20),0,0,2,1)) + INDEX(doEff,3)*(INDEX(eff0Pol_Com,3)+INDEX(pushPol_Com,2)) + SUMPRODUCT(doEff,INDEX(polEff_Com,,19),N(_el&gt;2))</f>
        <v>2.7490178142469999</v>
      </c>
      <c r="Y136" s="33">
        <f ca="1">SUMPRODUCT(OFFSET(doEff,0,0,2,1),OFFSET(INDEX(polEff_Com,1,21),0,0,2,1)) + INDEX(doEff,3)*(INDEX(eff0Pol_Com,3)+INDEX(pushPol_Com,2)) + SUMPRODUCT(doEff,INDEX(polEff_Com,,20),N(_el&gt;2))</f>
        <v>2.7490072873263571</v>
      </c>
      <c r="Z136" s="33">
        <f ca="1">SUMPRODUCT(OFFSET(doEff,0,0,2,1),OFFSET(INDEX(polEff_Com,1,22),0,0,2,1)) + INDEX(doEff,3)*(INDEX(eff0Pol_Com,3)+INDEX(pushPol_Com,2)) + SUMPRODUCT(doEff,INDEX(polEff_Com,,21),N(_el&gt;2))</f>
        <v>2.7490022275961503</v>
      </c>
      <c r="AA136" s="33">
        <f ca="1">SUMPRODUCT(OFFSET(doEff,0,0,2,1),OFFSET(INDEX(polEff_Com,1,23),0,0,2,1)) + INDEX(doEff,3)*(INDEX(eff0Pol_Com,3)+INDEX(pushPol_Com,2)) + SUMPRODUCT(doEff,INDEX(polEff_Com,,22),N(_el&gt;2))</f>
        <v>2.7489972021331228</v>
      </c>
      <c r="AB136" s="33">
        <f ca="1">SUMPRODUCT(OFFSET(doEff,0,0,2,1),OFFSET(INDEX(polEff_Com,1,24),0,0,2,1)) + INDEX(doEff,3)*(INDEX(eff0Pol_Com,3)+INDEX(pushPol_Com,2)) + SUMPRODUCT(doEff,INDEX(polEff_Com,,23),N(_el&gt;2))</f>
        <v>2.748992208122595</v>
      </c>
      <c r="AC136" s="33">
        <f ca="1">SUMPRODUCT(OFFSET(doEff,0,0,2,1),OFFSET(INDEX(polEff_Com,1,25),0,0,2,1)) + INDEX(doEff,3)*(INDEX(eff0Pol_Com,3)+INDEX(pushPol_Com,2)) + SUMPRODUCT(doEff,INDEX(polEff_Com,,24),N(_el&gt;2))</f>
        <v>2.7489872429302413</v>
      </c>
      <c r="AD136" s="33">
        <f ca="1">SUMPRODUCT(OFFSET(doEff,0,0,2,1),OFFSET(INDEX(polEff_Com,1,26),0,0,2,1)) + INDEX(doEff,3)*(INDEX(eff0Pol_Com,3)+INDEX(pushPol_Com,2)) + SUMPRODUCT(doEff,INDEX(polEff_Com,,25),N(_el&gt;2))</f>
        <v>2.7489823041126042</v>
      </c>
      <c r="AE136" s="33">
        <f ca="1">SUMPRODUCT(OFFSET(doEff,0,0,2,1),OFFSET(INDEX(polEff_Com,1,27),0,0,2,1)) + INDEX(doEff,3)*(INDEX(eff0Pol_Com,3)+INDEX(pushPol_Com,2)) + SUMPRODUCT(doEff,INDEX(polEff_Com,,26),N(_el&gt;2))</f>
        <v>2.7489773894179832</v>
      </c>
      <c r="AF136" s="33">
        <f ca="1">SUMPRODUCT(OFFSET(doEff,0,0,2,1),OFFSET(INDEX(polEff_Com,1,28),0,0,2,1)) + INDEX(doEff,3)*(INDEX(eff0Pol_Com,3)+INDEX(pushPol_Com,2)) + SUMPRODUCT(doEff,INDEX(polEff_Com,,27),N(_el&gt;2))</f>
        <v>2.7489724967750728</v>
      </c>
      <c r="AG136" s="33">
        <f ca="1">SUMPRODUCT(OFFSET(doEff,0,0,2,1),OFFSET(INDEX(polEff_Com,1,29),0,0,2,1)) + INDEX(doEff,3)*(INDEX(eff0Pol_Com,3)+INDEX(pushPol_Com,2)) + SUMPRODUCT(doEff,INDEX(polEff_Com,,28),N(_el&gt;2))</f>
        <v>2.7489676242742469</v>
      </c>
      <c r="AH136" s="33">
        <f ca="1">SUMPRODUCT(OFFSET(doEff,0,0,2,1),OFFSET(INDEX(polEff_Com,1,30),0,0,2,1)) + INDEX(doEff,3)*(INDEX(eff0Pol_Com,3)+INDEX(pushPol_Com,2)) + SUMPRODUCT(doEff,INDEX(polEff_Com,,29),N(_el&gt;2))</f>
        <v>2.7489627701461781</v>
      </c>
      <c r="AI136" s="33">
        <f ca="1">SUMPRODUCT(OFFSET(doEff,0,0,2,1),OFFSET(INDEX(polEff_Com,1,31),0,0,2,1)) + INDEX(doEff,3)*(INDEX(eff0Pol_Com,3)+INDEX(pushPol_Com,2)) + SUMPRODUCT(doEff,INDEX(polEff_Com,,30),N(_el&gt;2))</f>
        <v>2.7489579327418294</v>
      </c>
      <c r="AJ136" s="33">
        <f ca="1">SUMPRODUCT(OFFSET(doEff,0,0,2,1),OFFSET(INDEX(polEff_Com,1,32),0,0,2,1)) + INDEX(doEff,3)*(INDEX(eff0Pol_Com,3)+INDEX(pushPol_Com,2)) + SUMPRODUCT(doEff,INDEX(polEff_Com,,31),N(_el&gt;2))</f>
        <v>2.7489531105166725</v>
      </c>
      <c r="AK136" s="33">
        <f ca="1">SUMPRODUCT(OFFSET(doEff,0,0,2,1),OFFSET(INDEX(polEff_Com,1,33),0,0,2,1)) + INDEX(doEff,3)*(INDEX(eff0Pol_Com,3)+INDEX(pushPol_Com,2)) + SUMPRODUCT(doEff,INDEX(polEff_Com,,32),N(_el&gt;2))</f>
        <v>2.748948302019445</v>
      </c>
      <c r="AL136" s="33">
        <f ca="1">SUMPRODUCT(OFFSET(doEff,0,0,2,1),OFFSET(INDEX(polEff_Com,1,34),0,0,2,1)) + INDEX(doEff,3)*(INDEX(eff0Pol_Com,3)+INDEX(pushPol_Com,2)) + SUMPRODUCT(doEff,INDEX(polEff_Com,,33),N(_el&gt;2))</f>
        <v>2.7489435058841343</v>
      </c>
      <c r="AM136" s="33">
        <f ca="1">SUMPRODUCT(OFFSET(doEff,0,0,2,1),OFFSET(INDEX(polEff_Com,1,35),0,0,2,1)) + INDEX(doEff,3)*(INDEX(eff0Pol_Com,3)+INDEX(pushPol_Com,2)) + SUMPRODUCT(doEff,INDEX(polEff_Com,,34),N(_el&gt;2))</f>
        <v>2.7489387208257527</v>
      </c>
      <c r="AN136" s="34">
        <f ca="1">SUMPRODUCT(OFFSET(doEff,0,0,2,1),OFFSET(INDEX(polEff_Com,1,36),0,0,2,1)) + INDEX(doEff,3)*(INDEX(eff0Pol_Com,3)+INDEX(pushPol_Com,2)) + SUMPRODUCT(doEff,INDEX(polEff_Com,,35),N(_el&gt;2))</f>
        <v>2.7479296875000001</v>
      </c>
      <c r="AO136" s="8"/>
    </row>
    <row r="137" spans="2:41" hidden="1" x14ac:dyDescent="0.35">
      <c r="B137" s="8"/>
      <c r="C137" s="19" t="str">
        <f>"EL 3: " &amp; INDEX(_doName,2,4)</f>
        <v>EL 3: EL 3</v>
      </c>
      <c r="D137" s="11"/>
      <c r="E137" s="33"/>
      <c r="F137" s="33">
        <f ca="1">SUMPRODUCT(OFFSET(doEff,0,0,3,1),OFFSET(INDEX(polEff_Com,1,2),0,0,3,1)) + INDEX(doEff,4)*(INDEX(eff0Pol_Com,4)+INDEX(pushPol_Com,3)) + SUMPRODUCT(doEff,INDEX(polEff_Com,,1),N(_el&gt;3))</f>
        <v>2.4508921644957655</v>
      </c>
      <c r="G137" s="33">
        <f ca="1">SUMPRODUCT(OFFSET(doEff,0,0,3,1),OFFSET(INDEX(polEff_Com,1,3),0,0,3,1)) + INDEX(doEff,4)*(INDEX(eff0Pol_Com,4)+INDEX(pushPol_Com,3)) + SUMPRODUCT(doEff,INDEX(polEff_Com,,2),N(_el&gt;3))</f>
        <v>4.2734332804036361</v>
      </c>
      <c r="H137" s="33">
        <f ca="1">SUMPRODUCT(OFFSET(doEff,0,0,3,1),OFFSET(INDEX(polEff_Com,1,4),0,0,3,1)) + INDEX(doEff,4)*(INDEX(eff0Pol_Com,4)+INDEX(pushPol_Com,3)) + SUMPRODUCT(doEff,INDEX(polEff_Com,,3),N(_el&gt;3))</f>
        <v>2.7503595848919598</v>
      </c>
      <c r="I137" s="33">
        <f ca="1">SUMPRODUCT(OFFSET(doEff,0,0,3,1),OFFSET(INDEX(polEff_Com,1,5),0,0,3,1)) + INDEX(doEff,4)*(INDEX(eff0Pol_Com,4)+INDEX(pushPol_Com,3)) + SUMPRODUCT(doEff,INDEX(polEff_Com,,4),N(_el&gt;3))</f>
        <v>2.7500504424366095</v>
      </c>
      <c r="J137" s="33">
        <f ca="1">SUMPRODUCT(OFFSET(doEff,0,0,3,1),OFFSET(INDEX(polEff_Com,1,6),0,0,3,1)) + INDEX(doEff,4)*(INDEX(eff0Pol_Com,4)+INDEX(pushPol_Com,3)) + SUMPRODUCT(doEff,INDEX(polEff_Com,,5),N(_el&gt;3))</f>
        <v>2.7495886797573887</v>
      </c>
      <c r="K137" s="33">
        <f ca="1">SUMPRODUCT(OFFSET(doEff,0,0,3,1),OFFSET(INDEX(polEff_Com,1,7),0,0,3,1)) + INDEX(doEff,4)*(INDEX(eff0Pol_Com,4)+INDEX(pushPol_Com,3)) + SUMPRODUCT(doEff,INDEX(polEff_Com,,6),N(_el&gt;3))</f>
        <v>2.7495040223919638</v>
      </c>
      <c r="L137" s="33">
        <f ca="1">SUMPRODUCT(OFFSET(doEff,0,0,3,1),OFFSET(INDEX(polEff_Com,1,8),0,0,3,1)) + INDEX(doEff,4)*(INDEX(eff0Pol_Com,4)+INDEX(pushPol_Com,3)) + SUMPRODUCT(doEff,INDEX(polEff_Com,,7),N(_el&gt;3))</f>
        <v>2.7494203823556336</v>
      </c>
      <c r="M137" s="33">
        <f ca="1">SUMPRODUCT(OFFSET(doEff,0,0,3,1),OFFSET(INDEX(polEff_Com,1,9),0,0,3,1)) + INDEX(doEff,4)*(INDEX(eff0Pol_Com,4)+INDEX(pushPol_Com,3)) + SUMPRODUCT(doEff,INDEX(polEff_Com,,8),N(_el&gt;3))</f>
        <v>2.749337722702446</v>
      </c>
      <c r="N137" s="33">
        <f ca="1">SUMPRODUCT(OFFSET(doEff,0,0,3,1),OFFSET(INDEX(polEff_Com,1,10),0,0,3,1)) + INDEX(doEff,4)*(INDEX(eff0Pol_Com,4)+INDEX(pushPol_Com,3)) + SUMPRODUCT(doEff,INDEX(polEff_Com,,9),N(_el&gt;3))</f>
        <v>2.7492560113292157</v>
      </c>
      <c r="O137" s="33">
        <f ca="1">SUMPRODUCT(OFFSET(doEff,0,0,3,1),OFFSET(INDEX(polEff_Com,1,11),0,0,3,1)) + INDEX(doEff,4)*(INDEX(eff0Pol_Com,4)+INDEX(pushPol_Com,3)) + SUMPRODUCT(doEff,INDEX(polEff_Com,,10),N(_el&gt;3))</f>
        <v>2.7491257494136705</v>
      </c>
      <c r="P137" s="33">
        <f ca="1">SUMPRODUCT(OFFSET(doEff,0,0,3,1),OFFSET(INDEX(polEff_Com,1,12),0,0,3,1)) + INDEX(doEff,4)*(INDEX(eff0Pol_Com,4)+INDEX(pushPol_Com,3)) + SUMPRODUCT(doEff,INDEX(polEff_Com,,11),N(_el&gt;3))</f>
        <v>2.7491140896908308</v>
      </c>
      <c r="Q137" s="33">
        <f ca="1">SUMPRODUCT(OFFSET(doEff,0,0,3,1),OFFSET(INDEX(polEff_Com,1,13),0,0,3,1)) + INDEX(doEff,4)*(INDEX(eff0Pol_Com,4)+INDEX(pushPol_Com,3)) + SUMPRODUCT(doEff,INDEX(polEff_Com,,12),N(_el&gt;3))</f>
        <v>2.7491025810991543</v>
      </c>
      <c r="R137" s="33">
        <f ca="1">SUMPRODUCT(OFFSET(doEff,0,0,3,1),OFFSET(INDEX(polEff_Com,1,14),0,0,3,1)) + INDEX(doEff,4)*(INDEX(eff0Pol_Com,4)+INDEX(pushPol_Com,3)) + SUMPRODUCT(doEff,INDEX(polEff_Com,,13),N(_el&gt;3))</f>
        <v>2.749091213362139</v>
      </c>
      <c r="S137" s="33">
        <f ca="1">SUMPRODUCT(OFFSET(doEff,0,0,3,1),OFFSET(INDEX(polEff_Com,1,15),0,0,3,1)) + INDEX(doEff,4)*(INDEX(eff0Pol_Com,4)+INDEX(pushPol_Com,3)) + SUMPRODUCT(doEff,INDEX(polEff_Com,,14),N(_el&gt;3))</f>
        <v>2.7490799771391798</v>
      </c>
      <c r="T137" s="33">
        <f ca="1">SUMPRODUCT(OFFSET(doEff,0,0,3,1),OFFSET(INDEX(polEff_Com,1,16),0,0,3,1)) + INDEX(doEff,4)*(INDEX(eff0Pol_Com,4)+INDEX(pushPol_Com,3)) + SUMPRODUCT(doEff,INDEX(polEff_Com,,15),N(_el&gt;3))</f>
        <v>2.7490688628687745</v>
      </c>
      <c r="U137" s="33">
        <f ca="1">SUMPRODUCT(OFFSET(doEff,0,0,3,1),OFFSET(INDEX(polEff_Com,1,17),0,0,3,1)) + INDEX(doEff,4)*(INDEX(eff0Pol_Com,4)+INDEX(pushPol_Com,3)) + SUMPRODUCT(doEff,INDEX(polEff_Com,,16),N(_el&gt;3))</f>
        <v>2.7490578641227223</v>
      </c>
      <c r="V137" s="33">
        <f ca="1">SUMPRODUCT(OFFSET(doEff,0,0,3,1),OFFSET(INDEX(polEff_Com,1,18),0,0,3,1)) + INDEX(doEff,4)*(INDEX(eff0Pol_Com,4)+INDEX(pushPol_Com,3)) + SUMPRODUCT(doEff,INDEX(polEff_Com,,17),N(_el&gt;3))</f>
        <v>2.7490469745751165</v>
      </c>
      <c r="W137" s="33">
        <f ca="1">SUMPRODUCT(OFFSET(doEff,0,0,3,1),OFFSET(INDEX(polEff_Com,1,19),0,0,3,1)) + INDEX(doEff,4)*(INDEX(eff0Pol_Com,4)+INDEX(pushPol_Com,3)) + SUMPRODUCT(doEff,INDEX(polEff_Com,,18),N(_el&gt;3))</f>
        <v>2.7490361888734656</v>
      </c>
      <c r="X137" s="33">
        <f ca="1">SUMPRODUCT(OFFSET(doEff,0,0,3,1),OFFSET(INDEX(polEff_Com,1,20),0,0,3,1)) + INDEX(doEff,4)*(INDEX(eff0Pol_Com,4)+INDEX(pushPol_Com,3)) + SUMPRODUCT(doEff,INDEX(polEff_Com,,19),N(_el&gt;3))</f>
        <v>2.7490255023571106</v>
      </c>
      <c r="Y137" s="33">
        <f ca="1">SUMPRODUCT(OFFSET(doEff,0,0,3,1),OFFSET(INDEX(polEff_Com,1,21),0,0,3,1)) + INDEX(doEff,4)*(INDEX(eff0Pol_Com,4)+INDEX(pushPol_Com,3)) + SUMPRODUCT(doEff,INDEX(polEff_Com,,20),N(_el&gt;3))</f>
        <v>2.7490109825915043</v>
      </c>
      <c r="Z137" s="33">
        <f ca="1">SUMPRODUCT(OFFSET(doEff,0,0,3,1),OFFSET(INDEX(polEff_Com,1,22),0,0,3,1)) + INDEX(doEff,4)*(INDEX(eff0Pol_Com,4)+INDEX(pushPol_Com,3)) + SUMPRODUCT(doEff,INDEX(polEff_Com,,21),N(_el&gt;3))</f>
        <v>2.7490058978349992</v>
      </c>
      <c r="AA137" s="33">
        <f ca="1">SUMPRODUCT(OFFSET(doEff,0,0,3,1),OFFSET(INDEX(polEff_Com,1,23),0,0,3,1)) + INDEX(doEff,4)*(INDEX(eff0Pol_Com,4)+INDEX(pushPol_Com,3)) + SUMPRODUCT(doEff,INDEX(polEff_Com,,22),N(_el&gt;3))</f>
        <v>2.7490008494013161</v>
      </c>
      <c r="AB137" s="33">
        <f ca="1">SUMPRODUCT(OFFSET(doEff,0,0,3,1),OFFSET(INDEX(polEff_Com,1,24),0,0,3,1)) + INDEX(doEff,4)*(INDEX(eff0Pol_Com,4)+INDEX(pushPol_Com,3)) + SUMPRODUCT(doEff,INDEX(polEff_Com,,23),N(_el&gt;3))</f>
        <v>2.7489958343440541</v>
      </c>
      <c r="AC137" s="33">
        <f ca="1">SUMPRODUCT(OFFSET(doEff,0,0,3,1),OFFSET(INDEX(polEff_Com,1,25),0,0,3,1)) + INDEX(doEff,4)*(INDEX(eff0Pol_Com,4)+INDEX(pushPol_Com,3)) + SUMPRODUCT(doEff,INDEX(polEff_Com,,24),N(_el&gt;3))</f>
        <v>2.748990849889493</v>
      </c>
      <c r="AD137" s="33">
        <f ca="1">SUMPRODUCT(OFFSET(doEff,0,0,3,1),OFFSET(INDEX(polEff_Com,1,26),0,0,3,1)) + INDEX(doEff,4)*(INDEX(eff0Pol_Com,4)+INDEX(pushPol_Com,3)) + SUMPRODUCT(doEff,INDEX(polEff_Com,,25),N(_el&gt;3))</f>
        <v>2.7489858934541305</v>
      </c>
      <c r="AE137" s="33">
        <f ca="1">SUMPRODUCT(OFFSET(doEff,0,0,3,1),OFFSET(INDEX(polEff_Com,1,27),0,0,3,1)) + INDEX(doEff,4)*(INDEX(eff0Pol_Com,4)+INDEX(pushPol_Com,3)) + SUMPRODUCT(doEff,INDEX(polEff_Com,,26),N(_el&gt;3))</f>
        <v>2.7489809626545165</v>
      </c>
      <c r="AF137" s="33">
        <f ca="1">SUMPRODUCT(OFFSET(doEff,0,0,3,1),OFFSET(INDEX(polEff_Com,1,28),0,0,3,1)) + INDEX(doEff,4)*(INDEX(eff0Pol_Com,4)+INDEX(pushPol_Com,3)) + SUMPRODUCT(doEff,INDEX(polEff_Com,,27),N(_el&gt;3))</f>
        <v>2.7489760553012692</v>
      </c>
      <c r="AG137" s="33">
        <f ca="1">SUMPRODUCT(OFFSET(doEff,0,0,3,1),OFFSET(INDEX(polEff_Com,1,29),0,0,3,1)) + INDEX(doEff,4)*(INDEX(eff0Pol_Com,4)+INDEX(pushPol_Com,3)) + SUMPRODUCT(doEff,INDEX(polEff_Com,,28),N(_el&gt;3))</f>
        <v>2.7489711693822922</v>
      </c>
      <c r="AH137" s="33">
        <f ca="1">SUMPRODUCT(OFFSET(doEff,0,0,3,1),OFFSET(INDEX(polEff_Com,1,30),0,0,3,1)) + INDEX(doEff,4)*(INDEX(eff0Pol_Com,4)+INDEX(pushPol_Com,3)) + SUMPRODUCT(doEff,INDEX(polEff_Com,,29),N(_el&gt;3))</f>
        <v>2.7489663030404157</v>
      </c>
      <c r="AI137" s="33">
        <f ca="1">SUMPRODUCT(OFFSET(doEff,0,0,3,1),OFFSET(INDEX(polEff_Com,1,31),0,0,3,1)) + INDEX(doEff,4)*(INDEX(eff0Pol_Com,4)+INDEX(pushPol_Com,3)) + SUMPRODUCT(doEff,INDEX(polEff_Com,,30),N(_el&gt;3))</f>
        <v>2.7489614545502716</v>
      </c>
      <c r="AJ137" s="33">
        <f ca="1">SUMPRODUCT(OFFSET(doEff,0,0,3,1),OFFSET(INDEX(polEff_Com,1,32),0,0,3,1)) + INDEX(doEff,4)*(INDEX(eff0Pol_Com,4)+INDEX(pushPol_Com,3)) + SUMPRODUCT(doEff,INDEX(polEff_Com,,31),N(_el&gt;3))</f>
        <v>2.7489566222992163</v>
      </c>
      <c r="AK137" s="33">
        <f ca="1">SUMPRODUCT(OFFSET(doEff,0,0,3,1),OFFSET(INDEX(polEff_Com,1,33),0,0,3,1)) + INDEX(doEff,4)*(INDEX(eff0Pol_Com,4)+INDEX(pushPol_Com,3)) + SUMPRODUCT(doEff,INDEX(polEff_Com,,32),N(_el&gt;3))</f>
        <v>2.7489518047737285</v>
      </c>
      <c r="AL137" s="33">
        <f ca="1">SUMPRODUCT(OFFSET(doEff,0,0,3,1),OFFSET(INDEX(polEff_Com,1,34),0,0,3,1)) + INDEX(doEff,4)*(INDEX(eff0Pol_Com,4)+INDEX(pushPol_Com,3)) + SUMPRODUCT(doEff,INDEX(polEff_Com,,33),N(_el&gt;3))</f>
        <v>2.7489470005486205</v>
      </c>
      <c r="AM137" s="33">
        <f ca="1">SUMPRODUCT(OFFSET(doEff,0,0,3,1),OFFSET(INDEX(polEff_Com,1,35),0,0,3,1)) + INDEX(doEff,4)*(INDEX(eff0Pol_Com,4)+INDEX(pushPol_Com,3)) + SUMPRODUCT(doEff,INDEX(polEff_Com,,34),N(_el&gt;3))</f>
        <v>2.7496756466159895</v>
      </c>
      <c r="AN137" s="34">
        <f ca="1">SUMPRODUCT(OFFSET(doEff,0,0,3,1),OFFSET(INDEX(polEff_Com,1,36),0,0,3,1)) + INDEX(doEff,4)*(INDEX(eff0Pol_Com,4)+INDEX(pushPol_Com,3)) + SUMPRODUCT(doEff,INDEX(polEff_Com,,35),N(_el&gt;3))</f>
        <v>2.7479296875000001</v>
      </c>
      <c r="AO137" s="8"/>
    </row>
    <row r="138" spans="2:41" hidden="1" x14ac:dyDescent="0.35">
      <c r="B138" s="8"/>
      <c r="C138" s="35" t="str">
        <f>"EL 4: " &amp; INDEX(_doName,2,5)</f>
        <v>EL 4: EL 4</v>
      </c>
      <c r="D138" s="15"/>
      <c r="E138" s="21"/>
      <c r="F138" s="21">
        <f ca="1">SUMPRODUCT(OFFSET(doEff,0,0,4,1),OFFSET(INDEX(polEff_Com,1,2),0,0,4,1)) + INDEX(doEff,5)*(INDEX(eff0Pol_Com,5)+INDEX(pushPol_Com,4)) + 0</f>
        <v>2.4505314043244861</v>
      </c>
      <c r="G138" s="21">
        <f ca="1">SUMPRODUCT(OFFSET(doEff,0,0,4,1),OFFSET(INDEX(polEff_Com,1,3),0,0,4,1)) + INDEX(doEff,5)*(INDEX(eff0Pol_Com,5)+INDEX(pushPol_Com,4)) + 0</f>
        <v>2.7499344566016783</v>
      </c>
      <c r="H138" s="21">
        <f ca="1">SUMPRODUCT(OFFSET(doEff,0,0,4,1),OFFSET(INDEX(polEff_Com,1,4),0,0,4,1)) + INDEX(doEff,5)*(INDEX(eff0Pol_Com,5)+INDEX(pushPol_Com,4)) + 0</f>
        <v>2.7498722850431667</v>
      </c>
      <c r="I138" s="21">
        <f ca="1">SUMPRODUCT(OFFSET(doEff,0,0,4,1),OFFSET(INDEX(polEff_Com,1,5),0,0,4,1)) + INDEX(doEff,5)*(INDEX(eff0Pol_Com,5)+INDEX(pushPol_Com,4)) + 0</f>
        <v>2.7495694439154503</v>
      </c>
      <c r="J138" s="21">
        <f ca="1">SUMPRODUCT(OFFSET(doEff,0,0,4,1),OFFSET(INDEX(polEff_Com,1,6),0,0,4,1)) + INDEX(doEff,5)*(INDEX(eff0Pol_Com,5)+INDEX(pushPol_Com,4)) + 0</f>
        <v>2.7494551275024666</v>
      </c>
      <c r="K138" s="21">
        <f ca="1">SUMPRODUCT(OFFSET(doEff,0,0,4,1),OFFSET(INDEX(polEff_Com,1,7),0,0,4,1)) + INDEX(doEff,5)*(INDEX(eff0Pol_Com,5)+INDEX(pushPol_Com,4)) + 0</f>
        <v>2.7493720488991524</v>
      </c>
      <c r="L138" s="21">
        <f ca="1">SUMPRODUCT(OFFSET(doEff,0,0,4,1),OFFSET(INDEX(polEff_Com,1,8),0,0,4,1)) + INDEX(doEff,5)*(INDEX(eff0Pol_Com,5)+INDEX(pushPol_Com,4)) + 0</f>
        <v>2.7492899328638769</v>
      </c>
      <c r="M138" s="21">
        <f ca="1">SUMPRODUCT(OFFSET(doEff,0,0,4,1),OFFSET(INDEX(polEff_Com,1,9),0,0,4,1)) + INDEX(doEff,5)*(INDEX(eff0Pol_Com,5)+INDEX(pushPol_Com,4)) + 0</f>
        <v>2.7492087479642024</v>
      </c>
      <c r="N138" s="21">
        <f ca="1">SUMPRODUCT(OFFSET(doEff,0,0,4,1),OFFSET(INDEX(polEff_Com,1,10),0,0,4,1)) + INDEX(doEff,5)*(INDEX(eff0Pol_Com,5)+INDEX(pushPol_Com,4)) + 0</f>
        <v>2.7491284646087806</v>
      </c>
      <c r="O138" s="21">
        <f ca="1">SUMPRODUCT(OFFSET(doEff,0,0,4,1),OFFSET(INDEX(polEff_Com,1,11),0,0,4,1)) + INDEX(doEff,5)*(INDEX(eff0Pol_Com,5)+INDEX(pushPol_Com,4)) + 0</f>
        <v>2.7491073640992871</v>
      </c>
      <c r="P138" s="21">
        <f ca="1">SUMPRODUCT(OFFSET(doEff,0,0,4,1),OFFSET(INDEX(polEff_Com,1,12),0,0,4,1)) + INDEX(doEff,5)*(INDEX(eff0Pol_Com,5)+INDEX(pushPol_Com,4)) + 0</f>
        <v>2.749095933623805</v>
      </c>
      <c r="Q138" s="21">
        <f ca="1">SUMPRODUCT(OFFSET(doEff,0,0,4,1),OFFSET(INDEX(polEff_Com,1,13),0,0,4,1)) + INDEX(doEff,5)*(INDEX(eff0Pol_Com,5)+INDEX(pushPol_Com,4)) + 0</f>
        <v>2.7490846389030894</v>
      </c>
      <c r="R138" s="21">
        <f ca="1">SUMPRODUCT(OFFSET(doEff,0,0,4,1),OFFSET(INDEX(polEff_Com,1,14),0,0,4,1)) + INDEX(doEff,5)*(INDEX(eff0Pol_Com,5)+INDEX(pushPol_Com,4)) + 0</f>
        <v>2.7490734709961906</v>
      </c>
      <c r="S138" s="21">
        <f ca="1">SUMPRODUCT(OFFSET(doEff,0,0,4,1),OFFSET(INDEX(polEff_Com,1,15),0,0,4,1)) + INDEX(doEff,5)*(INDEX(eff0Pol_Com,5)+INDEX(pushPol_Com,4)) + 0</f>
        <v>2.74906242168769</v>
      </c>
      <c r="T138" s="21">
        <f ca="1">SUMPRODUCT(OFFSET(doEff,0,0,4,1),OFFSET(INDEX(polEff_Com,1,16),0,0,4,1)) + INDEX(doEff,5)*(INDEX(eff0Pol_Com,5)+INDEX(pushPol_Com,4)) + 0</f>
        <v>2.7490514845632066</v>
      </c>
      <c r="U138" s="21">
        <f ca="1">SUMPRODUCT(OFFSET(doEff,0,0,4,1),OFFSET(INDEX(polEff_Com,1,17),0,0,4,1)) + INDEX(doEff,5)*(INDEX(eff0Pol_Com,5)+INDEX(pushPol_Com,4)) + 0</f>
        <v>2.749040653824256</v>
      </c>
      <c r="V138" s="21">
        <f ca="1">SUMPRODUCT(OFFSET(doEff,0,0,4,1),OFFSET(INDEX(polEff_Com,1,18),0,0,4,1)) + INDEX(doEff,5)*(INDEX(eff0Pol_Com,5)+INDEX(pushPol_Com,4)) + 0</f>
        <v>2.7490299244140166</v>
      </c>
      <c r="W138" s="21">
        <f ca="1">SUMPRODUCT(OFFSET(doEff,0,0,4,1),OFFSET(INDEX(polEff_Com,1,19),0,0,4,1)) + INDEX(doEff,5)*(INDEX(eff0Pol_Com,5)+INDEX(pushPol_Com,4)) + 0</f>
        <v>2.7490192918659684</v>
      </c>
      <c r="X138" s="21">
        <f ca="1">SUMPRODUCT(OFFSET(doEff,0,0,4,1),OFFSET(INDEX(polEff_Com,1,20),0,0,4,1)) + INDEX(doEff,5)*(INDEX(eff0Pol_Com,5)+INDEX(pushPol_Com,4)) + 0</f>
        <v>2.7490087521112332</v>
      </c>
      <c r="Y138" s="21">
        <f ca="1">SUMPRODUCT(OFFSET(doEff,0,0,4,1),OFFSET(INDEX(polEff_Com,1,21),0,0,4,1)) + INDEX(doEff,5)*(INDEX(eff0Pol_Com,5)+INDEX(pushPol_Com,4)) + 0</f>
        <v>2.7490029316402422</v>
      </c>
      <c r="Z138" s="21">
        <f ca="1">SUMPRODUCT(OFFSET(doEff,0,0,4,1),OFFSET(INDEX(polEff_Com,1,22),0,0,4,1)) + INDEX(doEff,5)*(INDEX(eff0Pol_Com,5)+INDEX(pushPol_Com,4)) + 0</f>
        <v>2.7489979014090542</v>
      </c>
      <c r="AA138" s="21">
        <f ca="1">SUMPRODUCT(OFFSET(doEff,0,0,4,1),OFFSET(INDEX(polEff_Com,1,23),0,0,4,1)) + INDEX(doEff,5)*(INDEX(eff0Pol_Com,5)+INDEX(pushPol_Com,4)) + 0</f>
        <v>2.7489929030220193</v>
      </c>
      <c r="AB138" s="21">
        <f ca="1">SUMPRODUCT(OFFSET(doEff,0,0,4,1),OFFSET(INDEX(polEff_Com,1,24),0,0,4,1)) + INDEX(doEff,5)*(INDEX(eff0Pol_Com,5)+INDEX(pushPol_Com,4)) + 0</f>
        <v>2.7489879338197154</v>
      </c>
      <c r="AC138" s="21">
        <f ca="1">SUMPRODUCT(OFFSET(doEff,0,0,4,1),OFFSET(INDEX(polEff_Com,1,25),0,0,4,1)) + INDEX(doEff,5)*(INDEX(eff0Pol_Com,5)+INDEX(pushPol_Com,4)) + 0</f>
        <v>2.7489829913321269</v>
      </c>
      <c r="AD138" s="21">
        <f ca="1">SUMPRODUCT(OFFSET(doEff,0,0,4,1),OFFSET(INDEX(polEff_Com,1,26),0,0,4,1)) + INDEX(doEff,5)*(INDEX(eff0Pol_Com,5)+INDEX(pushPol_Com,4)) + 0</f>
        <v>2.7489780732808708</v>
      </c>
      <c r="AE138" s="21">
        <f ca="1">SUMPRODUCT(OFFSET(doEff,0,0,4,1),OFFSET(INDEX(polEff_Com,1,27),0,0,4,1)) + INDEX(doEff,5)*(INDEX(eff0Pol_Com,5)+INDEX(pushPol_Com,4)) + 0</f>
        <v>2.7489731775695407</v>
      </c>
      <c r="AF138" s="21">
        <f ca="1">SUMPRODUCT(OFFSET(doEff,0,0,4,1),OFFSET(INDEX(polEff_Com,1,28),0,0,4,1)) + INDEX(doEff,5)*(INDEX(eff0Pol_Com,5)+INDEX(pushPol_Com,4)) + 0</f>
        <v>2.7489683022660127</v>
      </c>
      <c r="AG138" s="21">
        <f ca="1">SUMPRODUCT(OFFSET(doEff,0,0,4,1),OFFSET(INDEX(polEff_Com,1,29),0,0,4,1)) + INDEX(doEff,5)*(INDEX(eff0Pol_Com,5)+INDEX(pushPol_Com,4)) + 0</f>
        <v>2.7489634455814378</v>
      </c>
      <c r="AH138" s="21">
        <f ca="1">SUMPRODUCT(OFFSET(doEff,0,0,4,1),OFFSET(INDEX(polEff_Com,1,30),0,0,4,1)) + INDEX(doEff,5)*(INDEX(eff0Pol_Com,5)+INDEX(pushPol_Com,4)) + 0</f>
        <v>2.7489586058500413</v>
      </c>
      <c r="AI138" s="21">
        <f ca="1">SUMPRODUCT(OFFSET(doEff,0,0,4,1),OFFSET(INDEX(polEff_Com,1,31),0,0,4,1)) + INDEX(doEff,5)*(INDEX(eff0Pol_Com,5)+INDEX(pushPol_Com,4)) + 0</f>
        <v>2.748953781512752</v>
      </c>
      <c r="AJ138" s="21">
        <f ca="1">SUMPRODUCT(OFFSET(doEff,0,0,4,1),OFFSET(INDEX(polEff_Com,1,32),0,0,4,1)) + INDEX(doEff,5)*(INDEX(eff0Pol_Com,5)+INDEX(pushPol_Com,4)) + 0</f>
        <v>2.7489489711053299</v>
      </c>
      <c r="AK138" s="21">
        <f ca="1">SUMPRODUCT(OFFSET(doEff,0,0,4,1),OFFSET(INDEX(polEff_Com,1,33),0,0,4,1)) + INDEX(doEff,5)*(INDEX(eff0Pol_Com,5)+INDEX(pushPol_Com,4)) + 0</f>
        <v>2.7489441732499014</v>
      </c>
      <c r="AL138" s="21">
        <f ca="1">SUMPRODUCT(OFFSET(doEff,0,0,4,1),OFFSET(INDEX(polEff_Com,1,34),0,0,4,1)) + INDEX(doEff,5)*(INDEX(eff0Pol_Com,5)+INDEX(pushPol_Com,4)) + 0</f>
        <v>2.7489393866502034</v>
      </c>
      <c r="AM138" s="21">
        <f ca="1">SUMPRODUCT(OFFSET(doEff,0,0,4,1),OFFSET(INDEX(polEff_Com,1,35),0,0,4,1)) + INDEX(doEff,5)*(INDEX(eff0Pol_Com,5)+INDEX(pushPol_Com,4)) + 0</f>
        <v>2.7480700910239917</v>
      </c>
      <c r="AN138" s="22">
        <f ca="1">SUMPRODUCT(OFFSET(doEff,0,0,4,1),OFFSET(INDEX(polEff_Com,1,36),0,0,4,1)) + INDEX(doEff,5)*(INDEX(eff0Pol_Com,5)+INDEX(pushPol_Com,4)) + 0</f>
        <v>2.7479296875000001</v>
      </c>
      <c r="AO138" s="8"/>
    </row>
    <row r="139" spans="2:41" hidden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</row>
    <row r="140" spans="2:41" hidden="1" x14ac:dyDescent="0.35">
      <c r="B140" s="8"/>
      <c r="C140" s="23" t="s">
        <v>88</v>
      </c>
      <c r="D140" s="24"/>
      <c r="E140" s="26">
        <f t="array" ref="E140:AN140">_yS</f>
        <v>2024</v>
      </c>
      <c r="F140" s="26">
        <v>2025</v>
      </c>
      <c r="G140" s="26">
        <v>2026</v>
      </c>
      <c r="H140" s="26">
        <v>2027</v>
      </c>
      <c r="I140" s="26">
        <v>2028</v>
      </c>
      <c r="J140" s="26">
        <v>2029</v>
      </c>
      <c r="K140" s="26">
        <v>2030</v>
      </c>
      <c r="L140" s="26">
        <v>2031</v>
      </c>
      <c r="M140" s="26">
        <v>2032</v>
      </c>
      <c r="N140" s="26">
        <v>2033</v>
      </c>
      <c r="O140" s="26">
        <v>2034</v>
      </c>
      <c r="P140" s="26">
        <v>2035</v>
      </c>
      <c r="Q140" s="26">
        <v>2036</v>
      </c>
      <c r="R140" s="26">
        <v>2037</v>
      </c>
      <c r="S140" s="26">
        <v>2038</v>
      </c>
      <c r="T140" s="26">
        <v>2039</v>
      </c>
      <c r="U140" s="26">
        <v>2040</v>
      </c>
      <c r="V140" s="26">
        <v>2041</v>
      </c>
      <c r="W140" s="26">
        <v>2042</v>
      </c>
      <c r="X140" s="26">
        <v>2043</v>
      </c>
      <c r="Y140" s="26">
        <v>2044</v>
      </c>
      <c r="Z140" s="26">
        <v>2045</v>
      </c>
      <c r="AA140" s="26">
        <v>2046</v>
      </c>
      <c r="AB140" s="26">
        <v>2047</v>
      </c>
      <c r="AC140" s="26">
        <v>2048</v>
      </c>
      <c r="AD140" s="26">
        <v>2049</v>
      </c>
      <c r="AE140" s="26">
        <v>2050</v>
      </c>
      <c r="AF140" s="26">
        <v>2051</v>
      </c>
      <c r="AG140" s="26">
        <v>2052</v>
      </c>
      <c r="AH140" s="26">
        <v>2053</v>
      </c>
      <c r="AI140" s="26">
        <v>2054</v>
      </c>
      <c r="AJ140" s="26">
        <v>2055</v>
      </c>
      <c r="AK140" s="26">
        <v>2056</v>
      </c>
      <c r="AL140" s="26">
        <v>2057</v>
      </c>
      <c r="AM140" s="26">
        <v>2058</v>
      </c>
      <c r="AN140" s="27">
        <v>2059</v>
      </c>
      <c r="AO140" s="8"/>
    </row>
    <row r="141" spans="2:41" hidden="1" x14ac:dyDescent="0.35">
      <c r="B141" s="8"/>
      <c r="C141" s="19" t="s">
        <v>89</v>
      </c>
      <c r="D141" s="11"/>
      <c r="E141" s="43">
        <f>0</f>
        <v>0</v>
      </c>
      <c r="F141" s="43">
        <f t="array" ref="F141:AN141">$E$141</f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0</v>
      </c>
      <c r="Y141" s="43">
        <v>0</v>
      </c>
      <c r="Z141" s="43">
        <v>0</v>
      </c>
      <c r="AA141" s="43">
        <v>0</v>
      </c>
      <c r="AB141" s="43">
        <v>0</v>
      </c>
      <c r="AC141" s="43">
        <v>0</v>
      </c>
      <c r="AD141" s="43">
        <v>0</v>
      </c>
      <c r="AE141" s="43">
        <v>0</v>
      </c>
      <c r="AF141" s="43">
        <v>0</v>
      </c>
      <c r="AG141" s="43">
        <v>0</v>
      </c>
      <c r="AH141" s="43">
        <v>0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4">
        <v>0</v>
      </c>
      <c r="AO141" s="8"/>
    </row>
    <row r="142" spans="2:41" hidden="1" x14ac:dyDescent="0.35">
      <c r="B142" s="8"/>
      <c r="C142" s="19" t="str">
        <f>"EL 0: " &amp; INDEX(_doName,2,1)</f>
        <v>EL 0: Baseline</v>
      </c>
      <c r="D142" s="11"/>
      <c r="E142" s="43"/>
      <c r="F142" s="43">
        <f>(INDEX(teffSumBC_Com,1,2)&lt;INDEX(effGoalBC_Com,2)) * MIN(INDEX(bcEff_Com,1,1),(INDEX(effGoalBC_Com,2)-INDEX(teffSumBC_Com,1,2))/(INDEX(doEff,2)-INDEX(doEff,1)))</f>
        <v>0</v>
      </c>
      <c r="G142" s="43">
        <f ca="1">(INDEX(teffSumBC_Com,1,3)&lt;INDEX(effGoalBC_Com,3)) * MIN(INDEX(bcEff_Com,1,2),(INDEX(effGoalBC_Com,3)-INDEX(teffSumBC_Com,1,3))/(INDEX(doEff,2)-INDEX(doEff,1)))</f>
        <v>0</v>
      </c>
      <c r="H142" s="43">
        <f ca="1">(INDEX(teffSumBC_Com,1,4)&lt;INDEX(effGoalBC_Com,4)) * MIN(INDEX(bcEff_Com,1,3),(INDEX(effGoalBC_Com,4)-INDEX(teffSumBC_Com,1,4))/(INDEX(doEff,2)-INDEX(doEff,1)))</f>
        <v>0</v>
      </c>
      <c r="I142" s="43">
        <f ca="1">(INDEX(teffSumBC_Com,1,5)&lt;INDEX(effGoalBC_Com,5)) * MIN(INDEX(bcEff_Com,1,4),(INDEX(effGoalBC_Com,5)-INDEX(teffSumBC_Com,1,5))/(INDEX(doEff,2)-INDEX(doEff,1)))</f>
        <v>0</v>
      </c>
      <c r="J142" s="43">
        <f ca="1">(INDEX(teffSumBC_Com,1,6)&lt;INDEX(effGoalBC_Com,6)) * MIN(INDEX(bcEff_Com,1,5),(INDEX(effGoalBC_Com,6)-INDEX(teffSumBC_Com,1,6))/(INDEX(doEff,2)-INDEX(doEff,1)))</f>
        <v>0</v>
      </c>
      <c r="K142" s="43">
        <f ca="1">(INDEX(teffSumBC_Com,1,7)&lt;INDEX(effGoalBC_Com,7)) * MIN(INDEX(bcEff_Com,1,6),(INDEX(effGoalBC_Com,7)-INDEX(teffSumBC_Com,1,7))/(INDEX(doEff,2)-INDEX(doEff,1)))</f>
        <v>0</v>
      </c>
      <c r="L142" s="43">
        <f ca="1">(INDEX(teffSumBC_Com,1,8)&lt;INDEX(effGoalBC_Com,8)) * MIN(INDEX(bcEff_Com,1,7),(INDEX(effGoalBC_Com,8)-INDEX(teffSumBC_Com,1,8))/(INDEX(doEff,2)-INDEX(doEff,1)))</f>
        <v>0</v>
      </c>
      <c r="M142" s="43">
        <f ca="1">(INDEX(teffSumBC_Com,1,9)&lt;INDEX(effGoalBC_Com,9)) * MIN(INDEX(bcEff_Com,1,8),(INDEX(effGoalBC_Com,9)-INDEX(teffSumBC_Com,1,9))/(INDEX(doEff,2)-INDEX(doEff,1)))</f>
        <v>0</v>
      </c>
      <c r="N142" s="43">
        <f ca="1">(INDEX(teffSumBC_Com,1,10)&lt;INDEX(effGoalBC_Com,10)) * MIN(INDEX(bcEff_Com,1,9),(INDEX(effGoalBC_Com,10)-INDEX(teffSumBC_Com,1,10))/(INDEX(doEff,2)-INDEX(doEff,1)))</f>
        <v>0</v>
      </c>
      <c r="O142" s="43">
        <f ca="1">(INDEX(teffSumBC_Com,1,11)&lt;INDEX(effGoalBC_Com,11)) * MIN(INDEX(bcEff_Com,1,10),(INDEX(effGoalBC_Com,11)-INDEX(teffSumBC_Com,1,11))/(INDEX(doEff,2)-INDEX(doEff,1)))</f>
        <v>0</v>
      </c>
      <c r="P142" s="43">
        <f ca="1">(INDEX(teffSumBC_Com,1,12)&lt;INDEX(effGoalBC_Com,12)) * MIN(INDEX(bcEff_Com,1,11),(INDEX(effGoalBC_Com,12)-INDEX(teffSumBC_Com,1,12))/(INDEX(doEff,2)-INDEX(doEff,1)))</f>
        <v>0</v>
      </c>
      <c r="Q142" s="43">
        <f ca="1">(INDEX(teffSumBC_Com,1,13)&lt;INDEX(effGoalBC_Com,13)) * MIN(INDEX(bcEff_Com,1,12),(INDEX(effGoalBC_Com,13)-INDEX(teffSumBC_Com,1,13))/(INDEX(doEff,2)-INDEX(doEff,1)))</f>
        <v>0</v>
      </c>
      <c r="R142" s="43">
        <f ca="1">(INDEX(teffSumBC_Com,1,14)&lt;INDEX(effGoalBC_Com,14)) * MIN(INDEX(bcEff_Com,1,13),(INDEX(effGoalBC_Com,14)-INDEX(teffSumBC_Com,1,14))/(INDEX(doEff,2)-INDEX(doEff,1)))</f>
        <v>0</v>
      </c>
      <c r="S142" s="43">
        <f ca="1">(INDEX(teffSumBC_Com,1,15)&lt;INDEX(effGoalBC_Com,15)) * MIN(INDEX(bcEff_Com,1,14),(INDEX(effGoalBC_Com,15)-INDEX(teffSumBC_Com,1,15))/(INDEX(doEff,2)-INDEX(doEff,1)))</f>
        <v>0</v>
      </c>
      <c r="T142" s="43">
        <f ca="1">(INDEX(teffSumBC_Com,1,16)&lt;INDEX(effGoalBC_Com,16)) * MIN(INDEX(bcEff_Com,1,15),(INDEX(effGoalBC_Com,16)-INDEX(teffSumBC_Com,1,16))/(INDEX(doEff,2)-INDEX(doEff,1)))</f>
        <v>0</v>
      </c>
      <c r="U142" s="43">
        <f ca="1">(INDEX(teffSumBC_Com,1,17)&lt;INDEX(effGoalBC_Com,17)) * MIN(INDEX(bcEff_Com,1,16),(INDEX(effGoalBC_Com,17)-INDEX(teffSumBC_Com,1,17))/(INDEX(doEff,2)-INDEX(doEff,1)))</f>
        <v>0</v>
      </c>
      <c r="V142" s="43">
        <f ca="1">(INDEX(teffSumBC_Com,1,18)&lt;INDEX(effGoalBC_Com,18)) * MIN(INDEX(bcEff_Com,1,17),(INDEX(effGoalBC_Com,18)-INDEX(teffSumBC_Com,1,18))/(INDEX(doEff,2)-INDEX(doEff,1)))</f>
        <v>0</v>
      </c>
      <c r="W142" s="43">
        <f ca="1">(INDEX(teffSumBC_Com,1,19)&lt;INDEX(effGoalBC_Com,19)) * MIN(INDEX(bcEff_Com,1,18),(INDEX(effGoalBC_Com,19)-INDEX(teffSumBC_Com,1,19))/(INDEX(doEff,2)-INDEX(doEff,1)))</f>
        <v>0</v>
      </c>
      <c r="X142" s="43">
        <f ca="1">(INDEX(teffSumBC_Com,1,20)&lt;INDEX(effGoalBC_Com,20)) * MIN(INDEX(bcEff_Com,1,19),(INDEX(effGoalBC_Com,20)-INDEX(teffSumBC_Com,1,20))/(INDEX(doEff,2)-INDEX(doEff,1)))</f>
        <v>0</v>
      </c>
      <c r="Y142" s="43">
        <f ca="1">(INDEX(teffSumBC_Com,1,21)&lt;INDEX(effGoalBC_Com,21)) * MIN(INDEX(bcEff_Com,1,20),(INDEX(effGoalBC_Com,21)-INDEX(teffSumBC_Com,1,21))/(INDEX(doEff,2)-INDEX(doEff,1)))</f>
        <v>0</v>
      </c>
      <c r="Z142" s="43">
        <f ca="1">(INDEX(teffSumBC_Com,1,22)&lt;INDEX(effGoalBC_Com,22)) * MIN(INDEX(bcEff_Com,1,21),(INDEX(effGoalBC_Com,22)-INDEX(teffSumBC_Com,1,22))/(INDEX(doEff,2)-INDEX(doEff,1)))</f>
        <v>0</v>
      </c>
      <c r="AA142" s="43">
        <f ca="1">(INDEX(teffSumBC_Com,1,23)&lt;INDEX(effGoalBC_Com,23)) * MIN(INDEX(bcEff_Com,1,22),(INDEX(effGoalBC_Com,23)-INDEX(teffSumBC_Com,1,23))/(INDEX(doEff,2)-INDEX(doEff,1)))</f>
        <v>0</v>
      </c>
      <c r="AB142" s="43">
        <f ca="1">(INDEX(teffSumBC_Com,1,24)&lt;INDEX(effGoalBC_Com,24)) * MIN(INDEX(bcEff_Com,1,23),(INDEX(effGoalBC_Com,24)-INDEX(teffSumBC_Com,1,24))/(INDEX(doEff,2)-INDEX(doEff,1)))</f>
        <v>0</v>
      </c>
      <c r="AC142" s="43">
        <f ca="1">(INDEX(teffSumBC_Com,1,25)&lt;INDEX(effGoalBC_Com,25)) * MIN(INDEX(bcEff_Com,1,24),(INDEX(effGoalBC_Com,25)-INDEX(teffSumBC_Com,1,25))/(INDEX(doEff,2)-INDEX(doEff,1)))</f>
        <v>0</v>
      </c>
      <c r="AD142" s="43">
        <f ca="1">(INDEX(teffSumBC_Com,1,26)&lt;INDEX(effGoalBC_Com,26)) * MIN(INDEX(bcEff_Com,1,25),(INDEX(effGoalBC_Com,26)-INDEX(teffSumBC_Com,1,26))/(INDEX(doEff,2)-INDEX(doEff,1)))</f>
        <v>0</v>
      </c>
      <c r="AE142" s="43">
        <f ca="1">(INDEX(teffSumBC_Com,1,27)&lt;INDEX(effGoalBC_Com,27)) * MIN(INDEX(bcEff_Com,1,26),(INDEX(effGoalBC_Com,27)-INDEX(teffSumBC_Com,1,27))/(INDEX(doEff,2)-INDEX(doEff,1)))</f>
        <v>0</v>
      </c>
      <c r="AF142" s="43">
        <f ca="1">(INDEX(teffSumBC_Com,1,28)&lt;INDEX(effGoalBC_Com,28)) * MIN(INDEX(bcEff_Com,1,27),(INDEX(effGoalBC_Com,28)-INDEX(teffSumBC_Com,1,28))/(INDEX(doEff,2)-INDEX(doEff,1)))</f>
        <v>0</v>
      </c>
      <c r="AG142" s="43">
        <f ca="1">(INDEX(teffSumBC_Com,1,29)&lt;INDEX(effGoalBC_Com,29)) * MIN(INDEX(bcEff_Com,1,28),(INDEX(effGoalBC_Com,29)-INDEX(teffSumBC_Com,1,29))/(INDEX(doEff,2)-INDEX(doEff,1)))</f>
        <v>0</v>
      </c>
      <c r="AH142" s="43">
        <f ca="1">(INDEX(teffSumBC_Com,1,30)&lt;INDEX(effGoalBC_Com,30)) * MIN(INDEX(bcEff_Com,1,29),(INDEX(effGoalBC_Com,30)-INDEX(teffSumBC_Com,1,30))/(INDEX(doEff,2)-INDEX(doEff,1)))</f>
        <v>0</v>
      </c>
      <c r="AI142" s="43">
        <f ca="1">(INDEX(teffSumBC_Com,1,31)&lt;INDEX(effGoalBC_Com,31)) * MIN(INDEX(bcEff_Com,1,30),(INDEX(effGoalBC_Com,31)-INDEX(teffSumBC_Com,1,31))/(INDEX(doEff,2)-INDEX(doEff,1)))</f>
        <v>0</v>
      </c>
      <c r="AJ142" s="43">
        <f ca="1">(INDEX(teffSumBC_Com,1,32)&lt;INDEX(effGoalBC_Com,32)) * MIN(INDEX(bcEff_Com,1,31),(INDEX(effGoalBC_Com,32)-INDEX(teffSumBC_Com,1,32))/(INDEX(doEff,2)-INDEX(doEff,1)))</f>
        <v>0</v>
      </c>
      <c r="AK142" s="43">
        <f ca="1">(INDEX(teffSumBC_Com,1,33)&lt;INDEX(effGoalBC_Com,33)) * MIN(INDEX(bcEff_Com,1,32),(INDEX(effGoalBC_Com,33)-INDEX(teffSumBC_Com,1,33))/(INDEX(doEff,2)-INDEX(doEff,1)))</f>
        <v>0</v>
      </c>
      <c r="AL142" s="43">
        <f ca="1">(INDEX(teffSumBC_Com,1,34)&lt;INDEX(effGoalBC_Com,34)) * MIN(INDEX(bcEff_Com,1,33),(INDEX(effGoalBC_Com,34)-INDEX(teffSumBC_Com,1,34))/(INDEX(doEff,2)-INDEX(doEff,1)))</f>
        <v>0</v>
      </c>
      <c r="AM142" s="43">
        <f ca="1">(INDEX(teffSumBC_Com,1,35)&lt;INDEX(effGoalBC_Com,35)) * MIN(INDEX(bcEff_Com,1,34),(INDEX(effGoalBC_Com,35)-INDEX(teffSumBC_Com,1,35))/(INDEX(doEff,2)-INDEX(doEff,1)))</f>
        <v>0</v>
      </c>
      <c r="AN142" s="44">
        <f ca="1">(INDEX(teffSumBC_Com,1,36)&lt;INDEX(effGoalBC_Com,36)) * MIN(INDEX(bcEff_Com,1,35),(INDEX(effGoalBC_Com,36)-INDEX(teffSumBC_Com,1,36))/(INDEX(doEff,2)-INDEX(doEff,1)))</f>
        <v>0</v>
      </c>
      <c r="AO142" s="8"/>
    </row>
    <row r="143" spans="2:41" hidden="1" x14ac:dyDescent="0.35">
      <c r="B143" s="8"/>
      <c r="C143" s="19" t="str">
        <f>"EL 1: " &amp; INDEX(_doName,2,2)</f>
        <v>EL 1: Tier 1</v>
      </c>
      <c r="D143" s="11"/>
      <c r="E143" s="43"/>
      <c r="F143" s="43">
        <f ca="1">(INDEX(teffSumBC_Com,2,2)&lt;INDEX(effGoalBC_Com,2)) * MIN(INDEX(bcEff_Com,2,1)+INDEX(pushBC_Com,1),(INDEX(effGoalBC_Com,2)-INDEX(teffSumBC_Com,2,2))/(INDEX(doEff,3)-INDEX(doEff,2)))</f>
        <v>0</v>
      </c>
      <c r="G143" s="43">
        <f ca="1">(INDEX(teffSumBC_Com,2,3)&lt;INDEX(effGoalBC_Com,3)) * MIN(INDEX(bcEff_Com,2,2)+INDEX(pushBC_Com,1),(INDEX(effGoalBC_Com,3)-INDEX(teffSumBC_Com,2,3))/(INDEX(doEff,3)-INDEX(doEff,2)))</f>
        <v>0</v>
      </c>
      <c r="H143" s="43">
        <f ca="1">(INDEX(teffSumBC_Com,2,4)&lt;INDEX(effGoalBC_Com,4)) * MIN(INDEX(bcEff_Com,2,3)+INDEX(pushBC_Com,1),(INDEX(effGoalBC_Com,4)-INDEX(teffSumBC_Com,2,4))/(INDEX(doEff,3)-INDEX(doEff,2)))</f>
        <v>0</v>
      </c>
      <c r="I143" s="43">
        <f ca="1">(INDEX(teffSumBC_Com,2,5)&lt;INDEX(effGoalBC_Com,5)) * MIN(INDEX(bcEff_Com,2,4)+INDEX(pushBC_Com,1),(INDEX(effGoalBC_Com,5)-INDEX(teffSumBC_Com,2,5))/(INDEX(doEff,3)-INDEX(doEff,2)))</f>
        <v>0</v>
      </c>
      <c r="J143" s="43">
        <f ca="1">(INDEX(teffSumBC_Com,2,6)&lt;INDEX(effGoalBC_Com,6)) * MIN(INDEX(bcEff_Com,2,5)+INDEX(pushBC_Com,1),(INDEX(effGoalBC_Com,6)-INDEX(teffSumBC_Com,2,6))/(INDEX(doEff,3)-INDEX(doEff,2)))</f>
        <v>0</v>
      </c>
      <c r="K143" s="43">
        <f ca="1">(INDEX(teffSumBC_Com,2,7)&lt;INDEX(effGoalBC_Com,7)) * MIN(INDEX(bcEff_Com,2,6)+INDEX(pushBC_Com,1),(INDEX(effGoalBC_Com,7)-INDEX(teffSumBC_Com,2,7))/(INDEX(doEff,3)-INDEX(doEff,2)))</f>
        <v>0</v>
      </c>
      <c r="L143" s="43">
        <f ca="1">(INDEX(teffSumBC_Com,2,8)&lt;INDEX(effGoalBC_Com,8)) * MIN(INDEX(bcEff_Com,2,7)+INDEX(pushBC_Com,1),(INDEX(effGoalBC_Com,8)-INDEX(teffSumBC_Com,2,8))/(INDEX(doEff,3)-INDEX(doEff,2)))</f>
        <v>0</v>
      </c>
      <c r="M143" s="43">
        <f ca="1">(INDEX(teffSumBC_Com,2,9)&lt;INDEX(effGoalBC_Com,9)) * MIN(INDEX(bcEff_Com,2,8)+INDEX(pushBC_Com,1),(INDEX(effGoalBC_Com,9)-INDEX(teffSumBC_Com,2,9))/(INDEX(doEff,3)-INDEX(doEff,2)))</f>
        <v>0</v>
      </c>
      <c r="N143" s="43">
        <f ca="1">(INDEX(teffSumBC_Com,2,10)&lt;INDEX(effGoalBC_Com,10)) * MIN(INDEX(bcEff_Com,2,9)+INDEX(pushBC_Com,1),(INDEX(effGoalBC_Com,10)-INDEX(teffSumBC_Com,2,10))/(INDEX(doEff,3)-INDEX(doEff,2)))</f>
        <v>0</v>
      </c>
      <c r="O143" s="43">
        <f ca="1">(INDEX(teffSumBC_Com,2,11)&lt;INDEX(effGoalBC_Com,11)) * MIN(INDEX(bcEff_Com,2,10)+INDEX(pushBC_Com,1),(INDEX(effGoalBC_Com,11)-INDEX(teffSumBC_Com,2,11))/(INDEX(doEff,3)-INDEX(doEff,2)))</f>
        <v>0</v>
      </c>
      <c r="P143" s="43">
        <f ca="1">(INDEX(teffSumBC_Com,2,12)&lt;INDEX(effGoalBC_Com,12)) * MIN(INDEX(bcEff_Com,2,11)+INDEX(pushBC_Com,1),(INDEX(effGoalBC_Com,12)-INDEX(teffSumBC_Com,2,12))/(INDEX(doEff,3)-INDEX(doEff,2)))</f>
        <v>0</v>
      </c>
      <c r="Q143" s="43">
        <f ca="1">(INDEX(teffSumBC_Com,2,13)&lt;INDEX(effGoalBC_Com,13)) * MIN(INDEX(bcEff_Com,2,12)+INDEX(pushBC_Com,1),(INDEX(effGoalBC_Com,13)-INDEX(teffSumBC_Com,2,13))/(INDEX(doEff,3)-INDEX(doEff,2)))</f>
        <v>0</v>
      </c>
      <c r="R143" s="43">
        <f ca="1">(INDEX(teffSumBC_Com,2,14)&lt;INDEX(effGoalBC_Com,14)) * MIN(INDEX(bcEff_Com,2,13)+INDEX(pushBC_Com,1),(INDEX(effGoalBC_Com,14)-INDEX(teffSumBC_Com,2,14))/(INDEX(doEff,3)-INDEX(doEff,2)))</f>
        <v>0</v>
      </c>
      <c r="S143" s="43">
        <f ca="1">(INDEX(teffSumBC_Com,2,15)&lt;INDEX(effGoalBC_Com,15)) * MIN(INDEX(bcEff_Com,2,14)+INDEX(pushBC_Com,1),(INDEX(effGoalBC_Com,15)-INDEX(teffSumBC_Com,2,15))/(INDEX(doEff,3)-INDEX(doEff,2)))</f>
        <v>0</v>
      </c>
      <c r="T143" s="43">
        <f ca="1">(INDEX(teffSumBC_Com,2,16)&lt;INDEX(effGoalBC_Com,16)) * MIN(INDEX(bcEff_Com,2,15)+INDEX(pushBC_Com,1),(INDEX(effGoalBC_Com,16)-INDEX(teffSumBC_Com,2,16))/(INDEX(doEff,3)-INDEX(doEff,2)))</f>
        <v>0</v>
      </c>
      <c r="U143" s="43">
        <f ca="1">(INDEX(teffSumBC_Com,2,17)&lt;INDEX(effGoalBC_Com,17)) * MIN(INDEX(bcEff_Com,2,16)+INDEX(pushBC_Com,1),(INDEX(effGoalBC_Com,17)-INDEX(teffSumBC_Com,2,17))/(INDEX(doEff,3)-INDEX(doEff,2)))</f>
        <v>0</v>
      </c>
      <c r="V143" s="43">
        <f ca="1">(INDEX(teffSumBC_Com,2,18)&lt;INDEX(effGoalBC_Com,18)) * MIN(INDEX(bcEff_Com,2,17)+INDEX(pushBC_Com,1),(INDEX(effGoalBC_Com,18)-INDEX(teffSumBC_Com,2,18))/(INDEX(doEff,3)-INDEX(doEff,2)))</f>
        <v>0</v>
      </c>
      <c r="W143" s="43">
        <f ca="1">(INDEX(teffSumBC_Com,2,19)&lt;INDEX(effGoalBC_Com,19)) * MIN(INDEX(bcEff_Com,2,18)+INDEX(pushBC_Com,1),(INDEX(effGoalBC_Com,19)-INDEX(teffSumBC_Com,2,19))/(INDEX(doEff,3)-INDEX(doEff,2)))</f>
        <v>0</v>
      </c>
      <c r="X143" s="43">
        <f ca="1">(INDEX(teffSumBC_Com,2,20)&lt;INDEX(effGoalBC_Com,20)) * MIN(INDEX(bcEff_Com,2,19)+INDEX(pushBC_Com,1),(INDEX(effGoalBC_Com,20)-INDEX(teffSumBC_Com,2,20))/(INDEX(doEff,3)-INDEX(doEff,2)))</f>
        <v>0</v>
      </c>
      <c r="Y143" s="43">
        <f ca="1">(INDEX(teffSumBC_Com,2,21)&lt;INDEX(effGoalBC_Com,21)) * MIN(INDEX(bcEff_Com,2,20)+INDEX(pushBC_Com,1),(INDEX(effGoalBC_Com,21)-INDEX(teffSumBC_Com,2,21))/(INDEX(doEff,3)-INDEX(doEff,2)))</f>
        <v>0</v>
      </c>
      <c r="Z143" s="43">
        <f ca="1">(INDEX(teffSumBC_Com,2,22)&lt;INDEX(effGoalBC_Com,22)) * MIN(INDEX(bcEff_Com,2,21)+INDEX(pushBC_Com,1),(INDEX(effGoalBC_Com,22)-INDEX(teffSumBC_Com,2,22))/(INDEX(doEff,3)-INDEX(doEff,2)))</f>
        <v>0</v>
      </c>
      <c r="AA143" s="43">
        <f ca="1">(INDEX(teffSumBC_Com,2,23)&lt;INDEX(effGoalBC_Com,23)) * MIN(INDEX(bcEff_Com,2,22)+INDEX(pushBC_Com,1),(INDEX(effGoalBC_Com,23)-INDEX(teffSumBC_Com,2,23))/(INDEX(doEff,3)-INDEX(doEff,2)))</f>
        <v>0</v>
      </c>
      <c r="AB143" s="43">
        <f ca="1">(INDEX(teffSumBC_Com,2,24)&lt;INDEX(effGoalBC_Com,24)) * MIN(INDEX(bcEff_Com,2,23)+INDEX(pushBC_Com,1),(INDEX(effGoalBC_Com,24)-INDEX(teffSumBC_Com,2,24))/(INDEX(doEff,3)-INDEX(doEff,2)))</f>
        <v>0</v>
      </c>
      <c r="AC143" s="43">
        <f ca="1">(INDEX(teffSumBC_Com,2,25)&lt;INDEX(effGoalBC_Com,25)) * MIN(INDEX(bcEff_Com,2,24)+INDEX(pushBC_Com,1),(INDEX(effGoalBC_Com,25)-INDEX(teffSumBC_Com,2,25))/(INDEX(doEff,3)-INDEX(doEff,2)))</f>
        <v>0</v>
      </c>
      <c r="AD143" s="43">
        <f ca="1">(INDEX(teffSumBC_Com,2,26)&lt;INDEX(effGoalBC_Com,26)) * MIN(INDEX(bcEff_Com,2,25)+INDEX(pushBC_Com,1),(INDEX(effGoalBC_Com,26)-INDEX(teffSumBC_Com,2,26))/(INDEX(doEff,3)-INDEX(doEff,2)))</f>
        <v>0</v>
      </c>
      <c r="AE143" s="43">
        <f ca="1">(INDEX(teffSumBC_Com,2,27)&lt;INDEX(effGoalBC_Com,27)) * MIN(INDEX(bcEff_Com,2,26)+INDEX(pushBC_Com,1),(INDEX(effGoalBC_Com,27)-INDEX(teffSumBC_Com,2,27))/(INDEX(doEff,3)-INDEX(doEff,2)))</f>
        <v>0</v>
      </c>
      <c r="AF143" s="43">
        <f ca="1">(INDEX(teffSumBC_Com,2,28)&lt;INDEX(effGoalBC_Com,28)) * MIN(INDEX(bcEff_Com,2,27)+INDEX(pushBC_Com,1),(INDEX(effGoalBC_Com,28)-INDEX(teffSumBC_Com,2,28))/(INDEX(doEff,3)-INDEX(doEff,2)))</f>
        <v>0</v>
      </c>
      <c r="AG143" s="43">
        <f ca="1">(INDEX(teffSumBC_Com,2,29)&lt;INDEX(effGoalBC_Com,29)) * MIN(INDEX(bcEff_Com,2,28)+INDEX(pushBC_Com,1),(INDEX(effGoalBC_Com,29)-INDEX(teffSumBC_Com,2,29))/(INDEX(doEff,3)-INDEX(doEff,2)))</f>
        <v>0</v>
      </c>
      <c r="AH143" s="43">
        <f ca="1">(INDEX(teffSumBC_Com,2,30)&lt;INDEX(effGoalBC_Com,30)) * MIN(INDEX(bcEff_Com,2,29)+INDEX(pushBC_Com,1),(INDEX(effGoalBC_Com,30)-INDEX(teffSumBC_Com,2,30))/(INDEX(doEff,3)-INDEX(doEff,2)))</f>
        <v>0</v>
      </c>
      <c r="AI143" s="43">
        <f ca="1">(INDEX(teffSumBC_Com,2,31)&lt;INDEX(effGoalBC_Com,31)) * MIN(INDEX(bcEff_Com,2,30)+INDEX(pushBC_Com,1),(INDEX(effGoalBC_Com,31)-INDEX(teffSumBC_Com,2,31))/(INDEX(doEff,3)-INDEX(doEff,2)))</f>
        <v>0</v>
      </c>
      <c r="AJ143" s="43">
        <f ca="1">(INDEX(teffSumBC_Com,2,32)&lt;INDEX(effGoalBC_Com,32)) * MIN(INDEX(bcEff_Com,2,31)+INDEX(pushBC_Com,1),(INDEX(effGoalBC_Com,32)-INDEX(teffSumBC_Com,2,32))/(INDEX(doEff,3)-INDEX(doEff,2)))</f>
        <v>0</v>
      </c>
      <c r="AK143" s="43">
        <f ca="1">(INDEX(teffSumBC_Com,2,33)&lt;INDEX(effGoalBC_Com,33)) * MIN(INDEX(bcEff_Com,2,32)+INDEX(pushBC_Com,1),(INDEX(effGoalBC_Com,33)-INDEX(teffSumBC_Com,2,33))/(INDEX(doEff,3)-INDEX(doEff,2)))</f>
        <v>0</v>
      </c>
      <c r="AL143" s="43">
        <f ca="1">(INDEX(teffSumBC_Com,2,34)&lt;INDEX(effGoalBC_Com,34)) * MIN(INDEX(bcEff_Com,2,33)+INDEX(pushBC_Com,1),(INDEX(effGoalBC_Com,34)-INDEX(teffSumBC_Com,2,34))/(INDEX(doEff,3)-INDEX(doEff,2)))</f>
        <v>0</v>
      </c>
      <c r="AM143" s="43">
        <f ca="1">(INDEX(teffSumBC_Com,2,35)&lt;INDEX(effGoalBC_Com,35)) * MIN(INDEX(bcEff_Com,2,34)+INDEX(pushBC_Com,1),(INDEX(effGoalBC_Com,35)-INDEX(teffSumBC_Com,2,35))/(INDEX(doEff,3)-INDEX(doEff,2)))</f>
        <v>0</v>
      </c>
      <c r="AN143" s="44">
        <f ca="1">(INDEX(teffSumBC_Com,2,36)&lt;INDEX(effGoalBC_Com,36)) * MIN(INDEX(bcEff_Com,2,35)+INDEX(pushBC_Com,1),(INDEX(effGoalBC_Com,36)-INDEX(teffSumBC_Com,2,36))/(INDEX(doEff,3)-INDEX(doEff,2)))</f>
        <v>0</v>
      </c>
      <c r="AO143" s="8"/>
    </row>
    <row r="144" spans="2:41" hidden="1" x14ac:dyDescent="0.35">
      <c r="B144" s="8"/>
      <c r="C144" s="19" t="str">
        <f>"EL 2: " &amp; INDEX(_doName,2,3)</f>
        <v>EL 2: Tier 2</v>
      </c>
      <c r="D144" s="11"/>
      <c r="E144" s="43"/>
      <c r="F144" s="43">
        <f ca="1">(INDEX(teffSumBC_Com,3,2)&lt;INDEX(effGoalBC_Com,2)) * MIN(INDEX(bcEff_Com,3,1)+INDEX(pushBC_Com,2),(INDEX(effGoalBC_Com,2)-INDEX(teffSumBC_Com,3,2))/(INDEX(doEff,4)-INDEX(doEff,3)))</f>
        <v>0</v>
      </c>
      <c r="G144" s="43">
        <f ca="1">(INDEX(teffSumBC_Com,3,3)&lt;INDEX(effGoalBC_Com,3)) * MIN(INDEX(bcEff_Com,3,2)+INDEX(pushBC_Com,2),(INDEX(effGoalBC_Com,3)-INDEX(teffSumBC_Com,3,3))/(INDEX(doEff,4)-INDEX(doEff,3)))</f>
        <v>0</v>
      </c>
      <c r="H144" s="43">
        <f ca="1">(INDEX(teffSumBC_Com,3,4)&lt;INDEX(effGoalBC_Com,4)) * MIN(INDEX(bcEff_Com,3,3)+INDEX(pushBC_Com,2),(INDEX(effGoalBC_Com,4)-INDEX(teffSumBC_Com,3,4))/(INDEX(doEff,4)-INDEX(doEff,3)))</f>
        <v>0</v>
      </c>
      <c r="I144" s="43">
        <f ca="1">(INDEX(teffSumBC_Com,3,5)&lt;INDEX(effGoalBC_Com,5)) * MIN(INDEX(bcEff_Com,3,4)+INDEX(pushBC_Com,2),(INDEX(effGoalBC_Com,5)-INDEX(teffSumBC_Com,3,5))/(INDEX(doEff,4)-INDEX(doEff,3)))</f>
        <v>0</v>
      </c>
      <c r="J144" s="43">
        <f ca="1">(INDEX(teffSumBC_Com,3,6)&lt;INDEX(effGoalBC_Com,6)) * MIN(INDEX(bcEff_Com,3,5)+INDEX(pushBC_Com,2),(INDEX(effGoalBC_Com,6)-INDEX(teffSumBC_Com,3,6))/(INDEX(doEff,4)-INDEX(doEff,3)))</f>
        <v>0</v>
      </c>
      <c r="K144" s="43">
        <f ca="1">(INDEX(teffSumBC_Com,3,7)&lt;INDEX(effGoalBC_Com,7)) * MIN(INDEX(bcEff_Com,3,6)+INDEX(pushBC_Com,2),(INDEX(effGoalBC_Com,7)-INDEX(teffSumBC_Com,3,7))/(INDEX(doEff,4)-INDEX(doEff,3)))</f>
        <v>0</v>
      </c>
      <c r="L144" s="43">
        <f ca="1">(INDEX(teffSumBC_Com,3,8)&lt;INDEX(effGoalBC_Com,8)) * MIN(INDEX(bcEff_Com,3,7)+INDEX(pushBC_Com,2),(INDEX(effGoalBC_Com,8)-INDEX(teffSumBC_Com,3,8))/(INDEX(doEff,4)-INDEX(doEff,3)))</f>
        <v>0</v>
      </c>
      <c r="M144" s="43">
        <f ca="1">(INDEX(teffSumBC_Com,3,9)&lt;INDEX(effGoalBC_Com,9)) * MIN(INDEX(bcEff_Com,3,8)+INDEX(pushBC_Com,2),(INDEX(effGoalBC_Com,9)-INDEX(teffSumBC_Com,3,9))/(INDEX(doEff,4)-INDEX(doEff,3)))</f>
        <v>0</v>
      </c>
      <c r="N144" s="43">
        <f ca="1">(INDEX(teffSumBC_Com,3,10)&lt;INDEX(effGoalBC_Com,10)) * MIN(INDEX(bcEff_Com,3,9)+INDEX(pushBC_Com,2),(INDEX(effGoalBC_Com,10)-INDEX(teffSumBC_Com,3,10))/(INDEX(doEff,4)-INDEX(doEff,3)))</f>
        <v>0</v>
      </c>
      <c r="O144" s="43">
        <f ca="1">(INDEX(teffSumBC_Com,3,11)&lt;INDEX(effGoalBC_Com,11)) * MIN(INDEX(bcEff_Com,3,10)+INDEX(pushBC_Com,2),(INDEX(effGoalBC_Com,11)-INDEX(teffSumBC_Com,3,11))/(INDEX(doEff,4)-INDEX(doEff,3)))</f>
        <v>0</v>
      </c>
      <c r="P144" s="43">
        <f ca="1">(INDEX(teffSumBC_Com,3,12)&lt;INDEX(effGoalBC_Com,12)) * MIN(INDEX(bcEff_Com,3,11)+INDEX(pushBC_Com,2),(INDEX(effGoalBC_Com,12)-INDEX(teffSumBC_Com,3,12))/(INDEX(doEff,4)-INDEX(doEff,3)))</f>
        <v>0</v>
      </c>
      <c r="Q144" s="43">
        <f ca="1">(INDEX(teffSumBC_Com,3,13)&lt;INDEX(effGoalBC_Com,13)) * MIN(INDEX(bcEff_Com,3,12)+INDEX(pushBC_Com,2),(INDEX(effGoalBC_Com,13)-INDEX(teffSumBC_Com,3,13))/(INDEX(doEff,4)-INDEX(doEff,3)))</f>
        <v>0</v>
      </c>
      <c r="R144" s="43">
        <f ca="1">(INDEX(teffSumBC_Com,3,14)&lt;INDEX(effGoalBC_Com,14)) * MIN(INDEX(bcEff_Com,3,13)+INDEX(pushBC_Com,2),(INDEX(effGoalBC_Com,14)-INDEX(teffSumBC_Com,3,14))/(INDEX(doEff,4)-INDEX(doEff,3)))</f>
        <v>0</v>
      </c>
      <c r="S144" s="43">
        <f ca="1">(INDEX(teffSumBC_Com,3,15)&lt;INDEX(effGoalBC_Com,15)) * MIN(INDEX(bcEff_Com,3,14)+INDEX(pushBC_Com,2),(INDEX(effGoalBC_Com,15)-INDEX(teffSumBC_Com,3,15))/(INDEX(doEff,4)-INDEX(doEff,3)))</f>
        <v>0</v>
      </c>
      <c r="T144" s="43">
        <f ca="1">(INDEX(teffSumBC_Com,3,16)&lt;INDEX(effGoalBC_Com,16)) * MIN(INDEX(bcEff_Com,3,15)+INDEX(pushBC_Com,2),(INDEX(effGoalBC_Com,16)-INDEX(teffSumBC_Com,3,16))/(INDEX(doEff,4)-INDEX(doEff,3)))</f>
        <v>0</v>
      </c>
      <c r="U144" s="43">
        <f ca="1">(INDEX(teffSumBC_Com,3,17)&lt;INDEX(effGoalBC_Com,17)) * MIN(INDEX(bcEff_Com,3,16)+INDEX(pushBC_Com,2),(INDEX(effGoalBC_Com,17)-INDEX(teffSumBC_Com,3,17))/(INDEX(doEff,4)-INDEX(doEff,3)))</f>
        <v>0</v>
      </c>
      <c r="V144" s="43">
        <f ca="1">(INDEX(teffSumBC_Com,3,18)&lt;INDEX(effGoalBC_Com,18)) * MIN(INDEX(bcEff_Com,3,17)+INDEX(pushBC_Com,2),(INDEX(effGoalBC_Com,18)-INDEX(teffSumBC_Com,3,18))/(INDEX(doEff,4)-INDEX(doEff,3)))</f>
        <v>0</v>
      </c>
      <c r="W144" s="43">
        <f ca="1">(INDEX(teffSumBC_Com,3,19)&lt;INDEX(effGoalBC_Com,19)) * MIN(INDEX(bcEff_Com,3,18)+INDEX(pushBC_Com,2),(INDEX(effGoalBC_Com,19)-INDEX(teffSumBC_Com,3,19))/(INDEX(doEff,4)-INDEX(doEff,3)))</f>
        <v>0</v>
      </c>
      <c r="X144" s="43">
        <f ca="1">(INDEX(teffSumBC_Com,3,20)&lt;INDEX(effGoalBC_Com,20)) * MIN(INDEX(bcEff_Com,3,19)+INDEX(pushBC_Com,2),(INDEX(effGoalBC_Com,20)-INDEX(teffSumBC_Com,3,20))/(INDEX(doEff,4)-INDEX(doEff,3)))</f>
        <v>0</v>
      </c>
      <c r="Y144" s="43">
        <f ca="1">(INDEX(teffSumBC_Com,3,21)&lt;INDEX(effGoalBC_Com,21)) * MIN(INDEX(bcEff_Com,3,20)+INDEX(pushBC_Com,2),(INDEX(effGoalBC_Com,21)-INDEX(teffSumBC_Com,3,21))/(INDEX(doEff,4)-INDEX(doEff,3)))</f>
        <v>0</v>
      </c>
      <c r="Z144" s="43">
        <f ca="1">(INDEX(teffSumBC_Com,3,22)&lt;INDEX(effGoalBC_Com,22)) * MIN(INDEX(bcEff_Com,3,21)+INDEX(pushBC_Com,2),(INDEX(effGoalBC_Com,22)-INDEX(teffSumBC_Com,3,22))/(INDEX(doEff,4)-INDEX(doEff,3)))</f>
        <v>0</v>
      </c>
      <c r="AA144" s="43">
        <f ca="1">(INDEX(teffSumBC_Com,3,23)&lt;INDEX(effGoalBC_Com,23)) * MIN(INDEX(bcEff_Com,3,22)+INDEX(pushBC_Com,2),(INDEX(effGoalBC_Com,23)-INDEX(teffSumBC_Com,3,23))/(INDEX(doEff,4)-INDEX(doEff,3)))</f>
        <v>0</v>
      </c>
      <c r="AB144" s="43">
        <f ca="1">(INDEX(teffSumBC_Com,3,24)&lt;INDEX(effGoalBC_Com,24)) * MIN(INDEX(bcEff_Com,3,23)+INDEX(pushBC_Com,2),(INDEX(effGoalBC_Com,24)-INDEX(teffSumBC_Com,3,24))/(INDEX(doEff,4)-INDEX(doEff,3)))</f>
        <v>0</v>
      </c>
      <c r="AC144" s="43">
        <f ca="1">(INDEX(teffSumBC_Com,3,25)&lt;INDEX(effGoalBC_Com,25)) * MIN(INDEX(bcEff_Com,3,24)+INDEX(pushBC_Com,2),(INDEX(effGoalBC_Com,25)-INDEX(teffSumBC_Com,3,25))/(INDEX(doEff,4)-INDEX(doEff,3)))</f>
        <v>0</v>
      </c>
      <c r="AD144" s="43">
        <f ca="1">(INDEX(teffSumBC_Com,3,26)&lt;INDEX(effGoalBC_Com,26)) * MIN(INDEX(bcEff_Com,3,25)+INDEX(pushBC_Com,2),(INDEX(effGoalBC_Com,26)-INDEX(teffSumBC_Com,3,26))/(INDEX(doEff,4)-INDEX(doEff,3)))</f>
        <v>0</v>
      </c>
      <c r="AE144" s="43">
        <f ca="1">(INDEX(teffSumBC_Com,3,27)&lt;INDEX(effGoalBC_Com,27)) * MIN(INDEX(bcEff_Com,3,26)+INDEX(pushBC_Com,2),(INDEX(effGoalBC_Com,27)-INDEX(teffSumBC_Com,3,27))/(INDEX(doEff,4)-INDEX(doEff,3)))</f>
        <v>0</v>
      </c>
      <c r="AF144" s="43">
        <f ca="1">(INDEX(teffSumBC_Com,3,28)&lt;INDEX(effGoalBC_Com,28)) * MIN(INDEX(bcEff_Com,3,27)+INDEX(pushBC_Com,2),(INDEX(effGoalBC_Com,28)-INDEX(teffSumBC_Com,3,28))/(INDEX(doEff,4)-INDEX(doEff,3)))</f>
        <v>0</v>
      </c>
      <c r="AG144" s="43">
        <f ca="1">(INDEX(teffSumBC_Com,3,29)&lt;INDEX(effGoalBC_Com,29)) * MIN(INDEX(bcEff_Com,3,28)+INDEX(pushBC_Com,2),(INDEX(effGoalBC_Com,29)-INDEX(teffSumBC_Com,3,29))/(INDEX(doEff,4)-INDEX(doEff,3)))</f>
        <v>0</v>
      </c>
      <c r="AH144" s="43">
        <f ca="1">(INDEX(teffSumBC_Com,3,30)&lt;INDEX(effGoalBC_Com,30)) * MIN(INDEX(bcEff_Com,3,29)+INDEX(pushBC_Com,2),(INDEX(effGoalBC_Com,30)-INDEX(teffSumBC_Com,3,30))/(INDEX(doEff,4)-INDEX(doEff,3)))</f>
        <v>0</v>
      </c>
      <c r="AI144" s="43">
        <f ca="1">(INDEX(teffSumBC_Com,3,31)&lt;INDEX(effGoalBC_Com,31)) * MIN(INDEX(bcEff_Com,3,30)+INDEX(pushBC_Com,2),(INDEX(effGoalBC_Com,31)-INDEX(teffSumBC_Com,3,31))/(INDEX(doEff,4)-INDEX(doEff,3)))</f>
        <v>0</v>
      </c>
      <c r="AJ144" s="43">
        <f ca="1">(INDEX(teffSumBC_Com,3,32)&lt;INDEX(effGoalBC_Com,32)) * MIN(INDEX(bcEff_Com,3,31)+INDEX(pushBC_Com,2),(INDEX(effGoalBC_Com,32)-INDEX(teffSumBC_Com,3,32))/(INDEX(doEff,4)-INDEX(doEff,3)))</f>
        <v>0</v>
      </c>
      <c r="AK144" s="43">
        <f ca="1">(INDEX(teffSumBC_Com,3,33)&lt;INDEX(effGoalBC_Com,33)) * MIN(INDEX(bcEff_Com,3,32)+INDEX(pushBC_Com,2),(INDEX(effGoalBC_Com,33)-INDEX(teffSumBC_Com,3,33))/(INDEX(doEff,4)-INDEX(doEff,3)))</f>
        <v>0</v>
      </c>
      <c r="AL144" s="43">
        <f ca="1">(INDEX(teffSumBC_Com,3,34)&lt;INDEX(effGoalBC_Com,34)) * MIN(INDEX(bcEff_Com,3,33)+INDEX(pushBC_Com,2),(INDEX(effGoalBC_Com,34)-INDEX(teffSumBC_Com,3,34))/(INDEX(doEff,4)-INDEX(doEff,3)))</f>
        <v>0</v>
      </c>
      <c r="AM144" s="43">
        <f ca="1">(INDEX(teffSumBC_Com,3,35)&lt;INDEX(effGoalBC_Com,35)) * MIN(INDEX(bcEff_Com,3,34)+INDEX(pushBC_Com,2),(INDEX(effGoalBC_Com,35)-INDEX(teffSumBC_Com,3,35))/(INDEX(doEff,4)-INDEX(doEff,3)))</f>
        <v>0</v>
      </c>
      <c r="AN144" s="44">
        <f ca="1">(INDEX(teffSumBC_Com,3,36)&lt;INDEX(effGoalBC_Com,36)) * MIN(INDEX(bcEff_Com,3,35)+INDEX(pushBC_Com,2),(INDEX(effGoalBC_Com,36)-INDEX(teffSumBC_Com,3,36))/(INDEX(doEff,4)-INDEX(doEff,3)))</f>
        <v>0</v>
      </c>
      <c r="AO144" s="8"/>
    </row>
    <row r="145" spans="2:41" hidden="1" x14ac:dyDescent="0.35">
      <c r="B145" s="8"/>
      <c r="C145" s="19" t="str">
        <f>"EL 3: " &amp; INDEX(_doName,2,4)</f>
        <v>EL 3: EL 3</v>
      </c>
      <c r="D145" s="11"/>
      <c r="E145" s="43"/>
      <c r="F145" s="43">
        <f ca="1">(INDEX(teffSumBC_Com,4,2)&lt;INDEX(effGoalBC_Com,2)) * MIN(INDEX(bcEff_Com,4,1)+INDEX(pushBC_Com,3),(INDEX(effGoalBC_Com,2)-INDEX(teffSumBC_Com,4,2))/(INDEX(doEff,5)-INDEX(doEff,4)))</f>
        <v>0</v>
      </c>
      <c r="G145" s="43">
        <f ca="1">(INDEX(teffSumBC_Com,4,3)&lt;INDEX(effGoalBC_Com,3)) * MIN(INDEX(bcEff_Com,4,2)+INDEX(pushBC_Com,3),(INDEX(effGoalBC_Com,3)-INDEX(teffSumBC_Com,4,3))/(INDEX(doEff,5)-INDEX(doEff,4)))</f>
        <v>0</v>
      </c>
      <c r="H145" s="43">
        <f ca="1">(INDEX(teffSumBC_Com,4,4)&lt;INDEX(effGoalBC_Com,4)) * MIN(INDEX(bcEff_Com,4,3)+INDEX(pushBC_Com,3),(INDEX(effGoalBC_Com,4)-INDEX(teffSumBC_Com,4,4))/(INDEX(doEff,5)-INDEX(doEff,4)))</f>
        <v>0</v>
      </c>
      <c r="I145" s="43">
        <f ca="1">(INDEX(teffSumBC_Com,4,5)&lt;INDEX(effGoalBC_Com,5)) * MIN(INDEX(bcEff_Com,4,4)+INDEX(pushBC_Com,3),(INDEX(effGoalBC_Com,5)-INDEX(teffSumBC_Com,4,5))/(INDEX(doEff,5)-INDEX(doEff,4)))</f>
        <v>0</v>
      </c>
      <c r="J145" s="43">
        <f ca="1">(INDEX(teffSumBC_Com,4,6)&lt;INDEX(effGoalBC_Com,6)) * MIN(INDEX(bcEff_Com,4,5)+INDEX(pushBC_Com,3),(INDEX(effGoalBC_Com,6)-INDEX(teffSumBC_Com,4,6))/(INDEX(doEff,5)-INDEX(doEff,4)))</f>
        <v>0</v>
      </c>
      <c r="K145" s="43">
        <f ca="1">(INDEX(teffSumBC_Com,4,7)&lt;INDEX(effGoalBC_Com,7)) * MIN(INDEX(bcEff_Com,4,6)+INDEX(pushBC_Com,3),(INDEX(effGoalBC_Com,7)-INDEX(teffSumBC_Com,4,7))/(INDEX(doEff,5)-INDEX(doEff,4)))</f>
        <v>0</v>
      </c>
      <c r="L145" s="43">
        <f ca="1">(INDEX(teffSumBC_Com,4,8)&lt;INDEX(effGoalBC_Com,8)) * MIN(INDEX(bcEff_Com,4,7)+INDEX(pushBC_Com,3),(INDEX(effGoalBC_Com,8)-INDEX(teffSumBC_Com,4,8))/(INDEX(doEff,5)-INDEX(doEff,4)))</f>
        <v>0</v>
      </c>
      <c r="M145" s="43">
        <f ca="1">(INDEX(teffSumBC_Com,4,9)&lt;INDEX(effGoalBC_Com,9)) * MIN(INDEX(bcEff_Com,4,8)+INDEX(pushBC_Com,3),(INDEX(effGoalBC_Com,9)-INDEX(teffSumBC_Com,4,9))/(INDEX(doEff,5)-INDEX(doEff,4)))</f>
        <v>0</v>
      </c>
      <c r="N145" s="43">
        <f ca="1">(INDEX(teffSumBC_Com,4,10)&lt;INDEX(effGoalBC_Com,10)) * MIN(INDEX(bcEff_Com,4,9)+INDEX(pushBC_Com,3),(INDEX(effGoalBC_Com,10)-INDEX(teffSumBC_Com,4,10))/(INDEX(doEff,5)-INDEX(doEff,4)))</f>
        <v>0</v>
      </c>
      <c r="O145" s="43">
        <f ca="1">(INDEX(teffSumBC_Com,4,11)&lt;INDEX(effGoalBC_Com,11)) * MIN(INDEX(bcEff_Com,4,10)+INDEX(pushBC_Com,3),(INDEX(effGoalBC_Com,11)-INDEX(teffSumBC_Com,4,11))/(INDEX(doEff,5)-INDEX(doEff,4)))</f>
        <v>0</v>
      </c>
      <c r="P145" s="43">
        <f ca="1">(INDEX(teffSumBC_Com,4,12)&lt;INDEX(effGoalBC_Com,12)) * MIN(INDEX(bcEff_Com,4,11)+INDEX(pushBC_Com,3),(INDEX(effGoalBC_Com,12)-INDEX(teffSumBC_Com,4,12))/(INDEX(doEff,5)-INDEX(doEff,4)))</f>
        <v>0</v>
      </c>
      <c r="Q145" s="43">
        <f ca="1">(INDEX(teffSumBC_Com,4,13)&lt;INDEX(effGoalBC_Com,13)) * MIN(INDEX(bcEff_Com,4,12)+INDEX(pushBC_Com,3),(INDEX(effGoalBC_Com,13)-INDEX(teffSumBC_Com,4,13))/(INDEX(doEff,5)-INDEX(doEff,4)))</f>
        <v>0</v>
      </c>
      <c r="R145" s="43">
        <f ca="1">(INDEX(teffSumBC_Com,4,14)&lt;INDEX(effGoalBC_Com,14)) * MIN(INDEX(bcEff_Com,4,13)+INDEX(pushBC_Com,3),(INDEX(effGoalBC_Com,14)-INDEX(teffSumBC_Com,4,14))/(INDEX(doEff,5)-INDEX(doEff,4)))</f>
        <v>0</v>
      </c>
      <c r="S145" s="43">
        <f ca="1">(INDEX(teffSumBC_Com,4,15)&lt;INDEX(effGoalBC_Com,15)) * MIN(INDEX(bcEff_Com,4,14)+INDEX(pushBC_Com,3),(INDEX(effGoalBC_Com,15)-INDEX(teffSumBC_Com,4,15))/(INDEX(doEff,5)-INDEX(doEff,4)))</f>
        <v>0</v>
      </c>
      <c r="T145" s="43">
        <f ca="1">(INDEX(teffSumBC_Com,4,16)&lt;INDEX(effGoalBC_Com,16)) * MIN(INDEX(bcEff_Com,4,15)+INDEX(pushBC_Com,3),(INDEX(effGoalBC_Com,16)-INDEX(teffSumBC_Com,4,16))/(INDEX(doEff,5)-INDEX(doEff,4)))</f>
        <v>0</v>
      </c>
      <c r="U145" s="43">
        <f ca="1">(INDEX(teffSumBC_Com,4,17)&lt;INDEX(effGoalBC_Com,17)) * MIN(INDEX(bcEff_Com,4,16)+INDEX(pushBC_Com,3),(INDEX(effGoalBC_Com,17)-INDEX(teffSumBC_Com,4,17))/(INDEX(doEff,5)-INDEX(doEff,4)))</f>
        <v>0</v>
      </c>
      <c r="V145" s="43">
        <f ca="1">(INDEX(teffSumBC_Com,4,18)&lt;INDEX(effGoalBC_Com,18)) * MIN(INDEX(bcEff_Com,4,17)+INDEX(pushBC_Com,3),(INDEX(effGoalBC_Com,18)-INDEX(teffSumBC_Com,4,18))/(INDEX(doEff,5)-INDEX(doEff,4)))</f>
        <v>0</v>
      </c>
      <c r="W145" s="43">
        <f ca="1">(INDEX(teffSumBC_Com,4,19)&lt;INDEX(effGoalBC_Com,19)) * MIN(INDEX(bcEff_Com,4,18)+INDEX(pushBC_Com,3),(INDEX(effGoalBC_Com,19)-INDEX(teffSumBC_Com,4,19))/(INDEX(doEff,5)-INDEX(doEff,4)))</f>
        <v>0</v>
      </c>
      <c r="X145" s="43">
        <f ca="1">(INDEX(teffSumBC_Com,4,20)&lt;INDEX(effGoalBC_Com,20)) * MIN(INDEX(bcEff_Com,4,19)+INDEX(pushBC_Com,3),(INDEX(effGoalBC_Com,20)-INDEX(teffSumBC_Com,4,20))/(INDEX(doEff,5)-INDEX(doEff,4)))</f>
        <v>0</v>
      </c>
      <c r="Y145" s="43">
        <f ca="1">(INDEX(teffSumBC_Com,4,21)&lt;INDEX(effGoalBC_Com,21)) * MIN(INDEX(bcEff_Com,4,20)+INDEX(pushBC_Com,3),(INDEX(effGoalBC_Com,21)-INDEX(teffSumBC_Com,4,21))/(INDEX(doEff,5)-INDEX(doEff,4)))</f>
        <v>0</v>
      </c>
      <c r="Z145" s="43">
        <f ca="1">(INDEX(teffSumBC_Com,4,22)&lt;INDEX(effGoalBC_Com,22)) * MIN(INDEX(bcEff_Com,4,21)+INDEX(pushBC_Com,3),(INDEX(effGoalBC_Com,22)-INDEX(teffSumBC_Com,4,22))/(INDEX(doEff,5)-INDEX(doEff,4)))</f>
        <v>0</v>
      </c>
      <c r="AA145" s="43">
        <f ca="1">(INDEX(teffSumBC_Com,4,23)&lt;INDEX(effGoalBC_Com,23)) * MIN(INDEX(bcEff_Com,4,22)+INDEX(pushBC_Com,3),(INDEX(effGoalBC_Com,23)-INDEX(teffSumBC_Com,4,23))/(INDEX(doEff,5)-INDEX(doEff,4)))</f>
        <v>0</v>
      </c>
      <c r="AB145" s="43">
        <f ca="1">(INDEX(teffSumBC_Com,4,24)&lt;INDEX(effGoalBC_Com,24)) * MIN(INDEX(bcEff_Com,4,23)+INDEX(pushBC_Com,3),(INDEX(effGoalBC_Com,24)-INDEX(teffSumBC_Com,4,24))/(INDEX(doEff,5)-INDEX(doEff,4)))</f>
        <v>0</v>
      </c>
      <c r="AC145" s="43">
        <f ca="1">(INDEX(teffSumBC_Com,4,25)&lt;INDEX(effGoalBC_Com,25)) * MIN(INDEX(bcEff_Com,4,24)+INDEX(pushBC_Com,3),(INDEX(effGoalBC_Com,25)-INDEX(teffSumBC_Com,4,25))/(INDEX(doEff,5)-INDEX(doEff,4)))</f>
        <v>0</v>
      </c>
      <c r="AD145" s="43">
        <f ca="1">(INDEX(teffSumBC_Com,4,26)&lt;INDEX(effGoalBC_Com,26)) * MIN(INDEX(bcEff_Com,4,25)+INDEX(pushBC_Com,3),(INDEX(effGoalBC_Com,26)-INDEX(teffSumBC_Com,4,26))/(INDEX(doEff,5)-INDEX(doEff,4)))</f>
        <v>0</v>
      </c>
      <c r="AE145" s="43">
        <f ca="1">(INDEX(teffSumBC_Com,4,27)&lt;INDEX(effGoalBC_Com,27)) * MIN(INDEX(bcEff_Com,4,26)+INDEX(pushBC_Com,3),(INDEX(effGoalBC_Com,27)-INDEX(teffSumBC_Com,4,27))/(INDEX(doEff,5)-INDEX(doEff,4)))</f>
        <v>0</v>
      </c>
      <c r="AF145" s="43">
        <f ca="1">(INDEX(teffSumBC_Com,4,28)&lt;INDEX(effGoalBC_Com,28)) * MIN(INDEX(bcEff_Com,4,27)+INDEX(pushBC_Com,3),(INDEX(effGoalBC_Com,28)-INDEX(teffSumBC_Com,4,28))/(INDEX(doEff,5)-INDEX(doEff,4)))</f>
        <v>0</v>
      </c>
      <c r="AG145" s="43">
        <f ca="1">(INDEX(teffSumBC_Com,4,29)&lt;INDEX(effGoalBC_Com,29)) * MIN(INDEX(bcEff_Com,4,28)+INDEX(pushBC_Com,3),(INDEX(effGoalBC_Com,29)-INDEX(teffSumBC_Com,4,29))/(INDEX(doEff,5)-INDEX(doEff,4)))</f>
        <v>0</v>
      </c>
      <c r="AH145" s="43">
        <f ca="1">(INDEX(teffSumBC_Com,4,30)&lt;INDEX(effGoalBC_Com,30)) * MIN(INDEX(bcEff_Com,4,29)+INDEX(pushBC_Com,3),(INDEX(effGoalBC_Com,30)-INDEX(teffSumBC_Com,4,30))/(INDEX(doEff,5)-INDEX(doEff,4)))</f>
        <v>0</v>
      </c>
      <c r="AI145" s="43">
        <f ca="1">(INDEX(teffSumBC_Com,4,31)&lt;INDEX(effGoalBC_Com,31)) * MIN(INDEX(bcEff_Com,4,30)+INDEX(pushBC_Com,3),(INDEX(effGoalBC_Com,31)-INDEX(teffSumBC_Com,4,31))/(INDEX(doEff,5)-INDEX(doEff,4)))</f>
        <v>0</v>
      </c>
      <c r="AJ145" s="43">
        <f ca="1">(INDEX(teffSumBC_Com,4,32)&lt;INDEX(effGoalBC_Com,32)) * MIN(INDEX(bcEff_Com,4,31)+INDEX(pushBC_Com,3),(INDEX(effGoalBC_Com,32)-INDEX(teffSumBC_Com,4,32))/(INDEX(doEff,5)-INDEX(doEff,4)))</f>
        <v>0</v>
      </c>
      <c r="AK145" s="43">
        <f ca="1">(INDEX(teffSumBC_Com,4,33)&lt;INDEX(effGoalBC_Com,33)) * MIN(INDEX(bcEff_Com,4,32)+INDEX(pushBC_Com,3),(INDEX(effGoalBC_Com,33)-INDEX(teffSumBC_Com,4,33))/(INDEX(doEff,5)-INDEX(doEff,4)))</f>
        <v>0</v>
      </c>
      <c r="AL145" s="43">
        <f ca="1">(INDEX(teffSumBC_Com,4,34)&lt;INDEX(effGoalBC_Com,34)) * MIN(INDEX(bcEff_Com,4,33)+INDEX(pushBC_Com,3),(INDEX(effGoalBC_Com,34)-INDEX(teffSumBC_Com,4,34))/(INDEX(doEff,5)-INDEX(doEff,4)))</f>
        <v>0</v>
      </c>
      <c r="AM145" s="43">
        <f ca="1">(INDEX(teffSumBC_Com,4,35)&lt;INDEX(effGoalBC_Com,35)) * MIN(INDEX(bcEff_Com,4,34)+INDEX(pushBC_Com,3),(INDEX(effGoalBC_Com,35)-INDEX(teffSumBC_Com,4,35))/(INDEX(doEff,5)-INDEX(doEff,4)))</f>
        <v>0</v>
      </c>
      <c r="AN145" s="44">
        <f ca="1">(INDEX(teffSumBC_Com,4,36)&lt;INDEX(effGoalBC_Com,36)) * MIN(INDEX(bcEff_Com,4,35)+INDEX(pushBC_Com,3),(INDEX(effGoalBC_Com,36)-INDEX(teffSumBC_Com,4,36))/(INDEX(doEff,5)-INDEX(doEff,4)))</f>
        <v>0</v>
      </c>
      <c r="AO145" s="8"/>
    </row>
    <row r="146" spans="2:41" hidden="1" x14ac:dyDescent="0.35">
      <c r="B146" s="8"/>
      <c r="C146" s="35" t="str">
        <f>"EL 4: " &amp; INDEX(_doName,2,5)</f>
        <v>EL 4: EL 4</v>
      </c>
      <c r="D146" s="15"/>
      <c r="E146" s="45"/>
      <c r="F146" s="45">
        <f>0</f>
        <v>0</v>
      </c>
      <c r="G146" s="45">
        <f>0</f>
        <v>0</v>
      </c>
      <c r="H146" s="45">
        <f>0</f>
        <v>0</v>
      </c>
      <c r="I146" s="45">
        <f>0</f>
        <v>0</v>
      </c>
      <c r="J146" s="45">
        <f>0</f>
        <v>0</v>
      </c>
      <c r="K146" s="45">
        <f>0</f>
        <v>0</v>
      </c>
      <c r="L146" s="45">
        <f>0</f>
        <v>0</v>
      </c>
      <c r="M146" s="45">
        <f>0</f>
        <v>0</v>
      </c>
      <c r="N146" s="45">
        <f>0</f>
        <v>0</v>
      </c>
      <c r="O146" s="45">
        <f>0</f>
        <v>0</v>
      </c>
      <c r="P146" s="45">
        <f>0</f>
        <v>0</v>
      </c>
      <c r="Q146" s="45">
        <f>0</f>
        <v>0</v>
      </c>
      <c r="R146" s="45">
        <f>0</f>
        <v>0</v>
      </c>
      <c r="S146" s="45">
        <f>0</f>
        <v>0</v>
      </c>
      <c r="T146" s="45">
        <f>0</f>
        <v>0</v>
      </c>
      <c r="U146" s="45">
        <f>0</f>
        <v>0</v>
      </c>
      <c r="V146" s="45">
        <f>0</f>
        <v>0</v>
      </c>
      <c r="W146" s="45">
        <f>0</f>
        <v>0</v>
      </c>
      <c r="X146" s="45">
        <f>0</f>
        <v>0</v>
      </c>
      <c r="Y146" s="45">
        <f>0</f>
        <v>0</v>
      </c>
      <c r="Z146" s="45">
        <f>0</f>
        <v>0</v>
      </c>
      <c r="AA146" s="45">
        <f>0</f>
        <v>0</v>
      </c>
      <c r="AB146" s="45">
        <f>0</f>
        <v>0</v>
      </c>
      <c r="AC146" s="45">
        <f>0</f>
        <v>0</v>
      </c>
      <c r="AD146" s="45">
        <f>0</f>
        <v>0</v>
      </c>
      <c r="AE146" s="45">
        <f>0</f>
        <v>0</v>
      </c>
      <c r="AF146" s="45">
        <f>0</f>
        <v>0</v>
      </c>
      <c r="AG146" s="45">
        <f>0</f>
        <v>0</v>
      </c>
      <c r="AH146" s="45">
        <f>0</f>
        <v>0</v>
      </c>
      <c r="AI146" s="45">
        <f>0</f>
        <v>0</v>
      </c>
      <c r="AJ146" s="45">
        <f>0</f>
        <v>0</v>
      </c>
      <c r="AK146" s="45">
        <f>0</f>
        <v>0</v>
      </c>
      <c r="AL146" s="45">
        <f>0</f>
        <v>0</v>
      </c>
      <c r="AM146" s="45">
        <f>0</f>
        <v>0</v>
      </c>
      <c r="AN146" s="46">
        <f>0</f>
        <v>0</v>
      </c>
      <c r="AO146" s="8"/>
    </row>
    <row r="147" spans="2:41" hidden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</row>
    <row r="148" spans="2:41" hidden="1" x14ac:dyDescent="0.35">
      <c r="B148" s="8"/>
      <c r="C148" s="23" t="s">
        <v>87</v>
      </c>
      <c r="D148" s="24"/>
      <c r="E148" s="26">
        <f t="array" ref="E148:AN148">_yS</f>
        <v>2024</v>
      </c>
      <c r="F148" s="26">
        <v>2025</v>
      </c>
      <c r="G148" s="26">
        <v>2026</v>
      </c>
      <c r="H148" s="26">
        <v>2027</v>
      </c>
      <c r="I148" s="26">
        <v>2028</v>
      </c>
      <c r="J148" s="26">
        <v>2029</v>
      </c>
      <c r="K148" s="26">
        <v>2030</v>
      </c>
      <c r="L148" s="26">
        <v>2031</v>
      </c>
      <c r="M148" s="26">
        <v>2032</v>
      </c>
      <c r="N148" s="26">
        <v>2033</v>
      </c>
      <c r="O148" s="26">
        <v>2034</v>
      </c>
      <c r="P148" s="26">
        <v>2035</v>
      </c>
      <c r="Q148" s="26">
        <v>2036</v>
      </c>
      <c r="R148" s="26">
        <v>2037</v>
      </c>
      <c r="S148" s="26">
        <v>2038</v>
      </c>
      <c r="T148" s="26">
        <v>2039</v>
      </c>
      <c r="U148" s="26">
        <v>2040</v>
      </c>
      <c r="V148" s="26">
        <v>2041</v>
      </c>
      <c r="W148" s="26">
        <v>2042</v>
      </c>
      <c r="X148" s="26">
        <v>2043</v>
      </c>
      <c r="Y148" s="26">
        <v>2044</v>
      </c>
      <c r="Z148" s="26">
        <v>2045</v>
      </c>
      <c r="AA148" s="26">
        <v>2046</v>
      </c>
      <c r="AB148" s="26">
        <v>2047</v>
      </c>
      <c r="AC148" s="26">
        <v>2048</v>
      </c>
      <c r="AD148" s="26">
        <v>2049</v>
      </c>
      <c r="AE148" s="26">
        <v>2050</v>
      </c>
      <c r="AF148" s="26">
        <v>2051</v>
      </c>
      <c r="AG148" s="26">
        <v>2052</v>
      </c>
      <c r="AH148" s="26">
        <v>2053</v>
      </c>
      <c r="AI148" s="26">
        <v>2054</v>
      </c>
      <c r="AJ148" s="26">
        <v>2055</v>
      </c>
      <c r="AK148" s="26">
        <v>2056</v>
      </c>
      <c r="AL148" s="26">
        <v>2057</v>
      </c>
      <c r="AM148" s="26">
        <v>2058</v>
      </c>
      <c r="AN148" s="27">
        <v>2059</v>
      </c>
      <c r="AO148" s="8"/>
    </row>
    <row r="149" spans="2:41" hidden="1" x14ac:dyDescent="0.35">
      <c r="B149" s="8"/>
      <c r="C149" s="19" t="str">
        <f>"EL 0: " &amp; INDEX(_doName,2,1)</f>
        <v>EL 0: Baseline</v>
      </c>
      <c r="D149" s="11"/>
      <c r="E149" s="33"/>
      <c r="F149" s="33">
        <f>0 + INDEX(doEff,1)*(INDEX(eff0BC_Com,1)+0) + SUMPRODUCT(doEff,INDEX(bcEff_Com,,1),N(_el&gt;0))</f>
        <v>2.3591484375</v>
      </c>
      <c r="G149" s="33">
        <f ca="1">0 + INDEX(doEff,1)*(INDEX(eff0BC_Com,1)+0) + SUMPRODUCT(doEff,INDEX(bcEff_Com,,2),N(_el&gt;0))</f>
        <v>2.3591484375</v>
      </c>
      <c r="H149" s="33">
        <f ca="1">0 + INDEX(doEff,1)*(INDEX(eff0BC_Com,1)+0) + SUMPRODUCT(doEff,INDEX(bcEff_Com,,3),N(_el&gt;0))</f>
        <v>2.3591484375</v>
      </c>
      <c r="I149" s="33">
        <f ca="1">0 + INDEX(doEff,1)*(INDEX(eff0BC_Com,1)+0) + SUMPRODUCT(doEff,INDEX(bcEff_Com,,4),N(_el&gt;0))</f>
        <v>2.3591484375</v>
      </c>
      <c r="J149" s="33">
        <f ca="1">0 + INDEX(doEff,1)*(INDEX(eff0BC_Com,1)+0) + SUMPRODUCT(doEff,INDEX(bcEff_Com,,5),N(_el&gt;0))</f>
        <v>2.3591484375</v>
      </c>
      <c r="K149" s="33">
        <f ca="1">0 + INDEX(doEff,1)*(INDEX(eff0BC_Com,1)+0) + SUMPRODUCT(doEff,INDEX(bcEff_Com,,6),N(_el&gt;0))</f>
        <v>2.3591484375</v>
      </c>
      <c r="L149" s="33">
        <f ca="1">0 + INDEX(doEff,1)*(INDEX(eff0BC_Com,1)+0) + SUMPRODUCT(doEff,INDEX(bcEff_Com,,7),N(_el&gt;0))</f>
        <v>2.3591484375</v>
      </c>
      <c r="M149" s="33">
        <f ca="1">0 + INDEX(doEff,1)*(INDEX(eff0BC_Com,1)+0) + SUMPRODUCT(doEff,INDEX(bcEff_Com,,8),N(_el&gt;0))</f>
        <v>2.3591484375</v>
      </c>
      <c r="N149" s="33">
        <f ca="1">0 + INDEX(doEff,1)*(INDEX(eff0BC_Com,1)+0) + SUMPRODUCT(doEff,INDEX(bcEff_Com,,9),N(_el&gt;0))</f>
        <v>2.3591484375</v>
      </c>
      <c r="O149" s="33">
        <f ca="1">0 + INDEX(doEff,1)*(INDEX(eff0BC_Com,1)+0) + SUMPRODUCT(doEff,INDEX(bcEff_Com,,10),N(_el&gt;0))</f>
        <v>2.3591484375</v>
      </c>
      <c r="P149" s="33">
        <f ca="1">0 + INDEX(doEff,1)*(INDEX(eff0BC_Com,1)+0) + SUMPRODUCT(doEff,INDEX(bcEff_Com,,11),N(_el&gt;0))</f>
        <v>2.3591484375</v>
      </c>
      <c r="Q149" s="33">
        <f ca="1">0 + INDEX(doEff,1)*(INDEX(eff0BC_Com,1)+0) + SUMPRODUCT(doEff,INDEX(bcEff_Com,,12),N(_el&gt;0))</f>
        <v>2.3591484375</v>
      </c>
      <c r="R149" s="33">
        <f ca="1">0 + INDEX(doEff,1)*(INDEX(eff0BC_Com,1)+0) + SUMPRODUCT(doEff,INDEX(bcEff_Com,,13),N(_el&gt;0))</f>
        <v>2.3591484375</v>
      </c>
      <c r="S149" s="33">
        <f ca="1">0 + INDEX(doEff,1)*(INDEX(eff0BC_Com,1)+0) + SUMPRODUCT(doEff,INDEX(bcEff_Com,,14),N(_el&gt;0))</f>
        <v>2.3591484375</v>
      </c>
      <c r="T149" s="33">
        <f ca="1">0 + INDEX(doEff,1)*(INDEX(eff0BC_Com,1)+0) + SUMPRODUCT(doEff,INDEX(bcEff_Com,,15),N(_el&gt;0))</f>
        <v>2.3591484375</v>
      </c>
      <c r="U149" s="33">
        <f ca="1">0 + INDEX(doEff,1)*(INDEX(eff0BC_Com,1)+0) + SUMPRODUCT(doEff,INDEX(bcEff_Com,,16),N(_el&gt;0))</f>
        <v>2.3591484375</v>
      </c>
      <c r="V149" s="33">
        <f ca="1">0 + INDEX(doEff,1)*(INDEX(eff0BC_Com,1)+0) + SUMPRODUCT(doEff,INDEX(bcEff_Com,,17),N(_el&gt;0))</f>
        <v>2.3591484375</v>
      </c>
      <c r="W149" s="33">
        <f ca="1">0 + INDEX(doEff,1)*(INDEX(eff0BC_Com,1)+0) + SUMPRODUCT(doEff,INDEX(bcEff_Com,,18),N(_el&gt;0))</f>
        <v>2.3591484375</v>
      </c>
      <c r="X149" s="33">
        <f ca="1">0 + INDEX(doEff,1)*(INDEX(eff0BC_Com,1)+0) + SUMPRODUCT(doEff,INDEX(bcEff_Com,,19),N(_el&gt;0))</f>
        <v>2.3591484375</v>
      </c>
      <c r="Y149" s="33">
        <f ca="1">0 + INDEX(doEff,1)*(INDEX(eff0BC_Com,1)+0) + SUMPRODUCT(doEff,INDEX(bcEff_Com,,20),N(_el&gt;0))</f>
        <v>2.3591484375</v>
      </c>
      <c r="Z149" s="33">
        <f ca="1">0 + INDEX(doEff,1)*(INDEX(eff0BC_Com,1)+0) + SUMPRODUCT(doEff,INDEX(bcEff_Com,,21),N(_el&gt;0))</f>
        <v>2.3591484375</v>
      </c>
      <c r="AA149" s="33">
        <f ca="1">0 + INDEX(doEff,1)*(INDEX(eff0BC_Com,1)+0) + SUMPRODUCT(doEff,INDEX(bcEff_Com,,22),N(_el&gt;0))</f>
        <v>2.3591484375</v>
      </c>
      <c r="AB149" s="33">
        <f ca="1">0 + INDEX(doEff,1)*(INDEX(eff0BC_Com,1)+0) + SUMPRODUCT(doEff,INDEX(bcEff_Com,,23),N(_el&gt;0))</f>
        <v>2.3591484375</v>
      </c>
      <c r="AC149" s="33">
        <f ca="1">0 + INDEX(doEff,1)*(INDEX(eff0BC_Com,1)+0) + SUMPRODUCT(doEff,INDEX(bcEff_Com,,24),N(_el&gt;0))</f>
        <v>2.3591484375</v>
      </c>
      <c r="AD149" s="33">
        <f ca="1">0 + INDEX(doEff,1)*(INDEX(eff0BC_Com,1)+0) + SUMPRODUCT(doEff,INDEX(bcEff_Com,,25),N(_el&gt;0))</f>
        <v>2.3591484375</v>
      </c>
      <c r="AE149" s="33">
        <f ca="1">0 + INDEX(doEff,1)*(INDEX(eff0BC_Com,1)+0) + SUMPRODUCT(doEff,INDEX(bcEff_Com,,26),N(_el&gt;0))</f>
        <v>2.3591484375</v>
      </c>
      <c r="AF149" s="33">
        <f ca="1">0 + INDEX(doEff,1)*(INDEX(eff0BC_Com,1)+0) + SUMPRODUCT(doEff,INDEX(bcEff_Com,,27),N(_el&gt;0))</f>
        <v>2.3591484375</v>
      </c>
      <c r="AG149" s="33">
        <f ca="1">0 + INDEX(doEff,1)*(INDEX(eff0BC_Com,1)+0) + SUMPRODUCT(doEff,INDEX(bcEff_Com,,28),N(_el&gt;0))</f>
        <v>2.3591484375</v>
      </c>
      <c r="AH149" s="33">
        <f ca="1">0 + INDEX(doEff,1)*(INDEX(eff0BC_Com,1)+0) + SUMPRODUCT(doEff,INDEX(bcEff_Com,,29),N(_el&gt;0))</f>
        <v>2.3591484375</v>
      </c>
      <c r="AI149" s="33">
        <f ca="1">0 + INDEX(doEff,1)*(INDEX(eff0BC_Com,1)+0) + SUMPRODUCT(doEff,INDEX(bcEff_Com,,30),N(_el&gt;0))</f>
        <v>2.3591484375</v>
      </c>
      <c r="AJ149" s="33">
        <f ca="1">0 + INDEX(doEff,1)*(INDEX(eff0BC_Com,1)+0) + SUMPRODUCT(doEff,INDEX(bcEff_Com,,31),N(_el&gt;0))</f>
        <v>2.3591484375</v>
      </c>
      <c r="AK149" s="33">
        <f ca="1">0 + INDEX(doEff,1)*(INDEX(eff0BC_Com,1)+0) + SUMPRODUCT(doEff,INDEX(bcEff_Com,,32),N(_el&gt;0))</f>
        <v>2.3591484375</v>
      </c>
      <c r="AL149" s="33">
        <f ca="1">0 + INDEX(doEff,1)*(INDEX(eff0BC_Com,1)+0) + SUMPRODUCT(doEff,INDEX(bcEff_Com,,33),N(_el&gt;0))</f>
        <v>2.3591484375</v>
      </c>
      <c r="AM149" s="33">
        <f ca="1">0 + INDEX(doEff,1)*(INDEX(eff0BC_Com,1)+0) + SUMPRODUCT(doEff,INDEX(bcEff_Com,,34),N(_el&gt;0))</f>
        <v>2.3591484375</v>
      </c>
      <c r="AN149" s="34">
        <f ca="1">0 + INDEX(doEff,1)*(INDEX(eff0BC_Com,1)+0) + SUMPRODUCT(doEff,INDEX(bcEff_Com,,35),N(_el&gt;0))</f>
        <v>2.3591484375</v>
      </c>
      <c r="AO149" s="8"/>
    </row>
    <row r="150" spans="2:41" hidden="1" x14ac:dyDescent="0.35">
      <c r="B150" s="8"/>
      <c r="C150" s="19" t="str">
        <f>"EL 1: " &amp; INDEX(_doName,2,2)</f>
        <v>EL 1: Tier 1</v>
      </c>
      <c r="D150" s="11"/>
      <c r="E150" s="33"/>
      <c r="F150" s="33">
        <f ca="1">SUMPRODUCT(OFFSET(doEff,0,0,1,1),OFFSET(INDEX(bcEff_Com,1,2),0,0,1,1)) + INDEX(doEff,2)*(INDEX(eff0BC_Com,2)+INDEX(pushBC_Com,1)) + SUMPRODUCT(doEff,INDEX(bcEff_Com,,1),N(_el&gt;1))</f>
        <v>2.3591484375</v>
      </c>
      <c r="G150" s="33">
        <f ca="1">SUMPRODUCT(OFFSET(doEff,0,0,1,1),OFFSET(INDEX(bcEff_Com,1,3),0,0,1,1)) + INDEX(doEff,2)*(INDEX(eff0BC_Com,2)+INDEX(pushBC_Com,1)) + SUMPRODUCT(doEff,INDEX(bcEff_Com,,2),N(_el&gt;1))</f>
        <v>2.3591484375</v>
      </c>
      <c r="H150" s="33">
        <f ca="1">SUMPRODUCT(OFFSET(doEff,0,0,1,1),OFFSET(INDEX(bcEff_Com,1,4),0,0,1,1)) + INDEX(doEff,2)*(INDEX(eff0BC_Com,2)+INDEX(pushBC_Com,1)) + SUMPRODUCT(doEff,INDEX(bcEff_Com,,3),N(_el&gt;1))</f>
        <v>2.3591484375</v>
      </c>
      <c r="I150" s="33">
        <f ca="1">SUMPRODUCT(OFFSET(doEff,0,0,1,1),OFFSET(INDEX(bcEff_Com,1,5),0,0,1,1)) + INDEX(doEff,2)*(INDEX(eff0BC_Com,2)+INDEX(pushBC_Com,1)) + SUMPRODUCT(doEff,INDEX(bcEff_Com,,4),N(_el&gt;1))</f>
        <v>2.3591484375</v>
      </c>
      <c r="J150" s="33">
        <f ca="1">SUMPRODUCT(OFFSET(doEff,0,0,1,1),OFFSET(INDEX(bcEff_Com,1,6),0,0,1,1)) + INDEX(doEff,2)*(INDEX(eff0BC_Com,2)+INDEX(pushBC_Com,1)) + SUMPRODUCT(doEff,INDEX(bcEff_Com,,5),N(_el&gt;1))</f>
        <v>2.3591484375</v>
      </c>
      <c r="K150" s="33">
        <f ca="1">SUMPRODUCT(OFFSET(doEff,0,0,1,1),OFFSET(INDEX(bcEff_Com,1,7),0,0,1,1)) + INDEX(doEff,2)*(INDEX(eff0BC_Com,2)+INDEX(pushBC_Com,1)) + SUMPRODUCT(doEff,INDEX(bcEff_Com,,6),N(_el&gt;1))</f>
        <v>2.3591484375</v>
      </c>
      <c r="L150" s="33">
        <f ca="1">SUMPRODUCT(OFFSET(doEff,0,0,1,1),OFFSET(INDEX(bcEff_Com,1,8),0,0,1,1)) + INDEX(doEff,2)*(INDEX(eff0BC_Com,2)+INDEX(pushBC_Com,1)) + SUMPRODUCT(doEff,INDEX(bcEff_Com,,7),N(_el&gt;1))</f>
        <v>2.3591484375</v>
      </c>
      <c r="M150" s="33">
        <f ca="1">SUMPRODUCT(OFFSET(doEff,0,0,1,1),OFFSET(INDEX(bcEff_Com,1,9),0,0,1,1)) + INDEX(doEff,2)*(INDEX(eff0BC_Com,2)+INDEX(pushBC_Com,1)) + SUMPRODUCT(doEff,INDEX(bcEff_Com,,8),N(_el&gt;1))</f>
        <v>2.3591484375</v>
      </c>
      <c r="N150" s="33">
        <f ca="1">SUMPRODUCT(OFFSET(doEff,0,0,1,1),OFFSET(INDEX(bcEff_Com,1,10),0,0,1,1)) + INDEX(doEff,2)*(INDEX(eff0BC_Com,2)+INDEX(pushBC_Com,1)) + SUMPRODUCT(doEff,INDEX(bcEff_Com,,9),N(_el&gt;1))</f>
        <v>2.3591484375</v>
      </c>
      <c r="O150" s="33">
        <f ca="1">SUMPRODUCT(OFFSET(doEff,0,0,1,1),OFFSET(INDEX(bcEff_Com,1,11),0,0,1,1)) + INDEX(doEff,2)*(INDEX(eff0BC_Com,2)+INDEX(pushBC_Com,1)) + SUMPRODUCT(doEff,INDEX(bcEff_Com,,10),N(_el&gt;1))</f>
        <v>2.3591484375</v>
      </c>
      <c r="P150" s="33">
        <f ca="1">SUMPRODUCT(OFFSET(doEff,0,0,1,1),OFFSET(INDEX(bcEff_Com,1,12),0,0,1,1)) + INDEX(doEff,2)*(INDEX(eff0BC_Com,2)+INDEX(pushBC_Com,1)) + SUMPRODUCT(doEff,INDEX(bcEff_Com,,11),N(_el&gt;1))</f>
        <v>2.3591484375</v>
      </c>
      <c r="Q150" s="33">
        <f ca="1">SUMPRODUCT(OFFSET(doEff,0,0,1,1),OFFSET(INDEX(bcEff_Com,1,13),0,0,1,1)) + INDEX(doEff,2)*(INDEX(eff0BC_Com,2)+INDEX(pushBC_Com,1)) + SUMPRODUCT(doEff,INDEX(bcEff_Com,,12),N(_el&gt;1))</f>
        <v>2.3591484375</v>
      </c>
      <c r="R150" s="33">
        <f ca="1">SUMPRODUCT(OFFSET(doEff,0,0,1,1),OFFSET(INDEX(bcEff_Com,1,14),0,0,1,1)) + INDEX(doEff,2)*(INDEX(eff0BC_Com,2)+INDEX(pushBC_Com,1)) + SUMPRODUCT(doEff,INDEX(bcEff_Com,,13),N(_el&gt;1))</f>
        <v>2.3591484375</v>
      </c>
      <c r="S150" s="33">
        <f ca="1">SUMPRODUCT(OFFSET(doEff,0,0,1,1),OFFSET(INDEX(bcEff_Com,1,15),0,0,1,1)) + INDEX(doEff,2)*(INDEX(eff0BC_Com,2)+INDEX(pushBC_Com,1)) + SUMPRODUCT(doEff,INDEX(bcEff_Com,,14),N(_el&gt;1))</f>
        <v>2.3591484375</v>
      </c>
      <c r="T150" s="33">
        <f ca="1">SUMPRODUCT(OFFSET(doEff,0,0,1,1),OFFSET(INDEX(bcEff_Com,1,16),0,0,1,1)) + INDEX(doEff,2)*(INDEX(eff0BC_Com,2)+INDEX(pushBC_Com,1)) + SUMPRODUCT(doEff,INDEX(bcEff_Com,,15),N(_el&gt;1))</f>
        <v>2.3591484375</v>
      </c>
      <c r="U150" s="33">
        <f ca="1">SUMPRODUCT(OFFSET(doEff,0,0,1,1),OFFSET(INDEX(bcEff_Com,1,17),0,0,1,1)) + INDEX(doEff,2)*(INDEX(eff0BC_Com,2)+INDEX(pushBC_Com,1)) + SUMPRODUCT(doEff,INDEX(bcEff_Com,,16),N(_el&gt;1))</f>
        <v>2.3591484375</v>
      </c>
      <c r="V150" s="33">
        <f ca="1">SUMPRODUCT(OFFSET(doEff,0,0,1,1),OFFSET(INDEX(bcEff_Com,1,18),0,0,1,1)) + INDEX(doEff,2)*(INDEX(eff0BC_Com,2)+INDEX(pushBC_Com,1)) + SUMPRODUCT(doEff,INDEX(bcEff_Com,,17),N(_el&gt;1))</f>
        <v>2.3591484375</v>
      </c>
      <c r="W150" s="33">
        <f ca="1">SUMPRODUCT(OFFSET(doEff,0,0,1,1),OFFSET(INDEX(bcEff_Com,1,19),0,0,1,1)) + INDEX(doEff,2)*(INDEX(eff0BC_Com,2)+INDEX(pushBC_Com,1)) + SUMPRODUCT(doEff,INDEX(bcEff_Com,,18),N(_el&gt;1))</f>
        <v>2.3591484375</v>
      </c>
      <c r="X150" s="33">
        <f ca="1">SUMPRODUCT(OFFSET(doEff,0,0,1,1),OFFSET(INDEX(bcEff_Com,1,20),0,0,1,1)) + INDEX(doEff,2)*(INDEX(eff0BC_Com,2)+INDEX(pushBC_Com,1)) + SUMPRODUCT(doEff,INDEX(bcEff_Com,,19),N(_el&gt;1))</f>
        <v>2.3591484375</v>
      </c>
      <c r="Y150" s="33">
        <f ca="1">SUMPRODUCT(OFFSET(doEff,0,0,1,1),OFFSET(INDEX(bcEff_Com,1,21),0,0,1,1)) + INDEX(doEff,2)*(INDEX(eff0BC_Com,2)+INDEX(pushBC_Com,1)) + SUMPRODUCT(doEff,INDEX(bcEff_Com,,20),N(_el&gt;1))</f>
        <v>2.3591484375</v>
      </c>
      <c r="Z150" s="33">
        <f ca="1">SUMPRODUCT(OFFSET(doEff,0,0,1,1),OFFSET(INDEX(bcEff_Com,1,22),0,0,1,1)) + INDEX(doEff,2)*(INDEX(eff0BC_Com,2)+INDEX(pushBC_Com,1)) + SUMPRODUCT(doEff,INDEX(bcEff_Com,,21),N(_el&gt;1))</f>
        <v>2.3591484375</v>
      </c>
      <c r="AA150" s="33">
        <f ca="1">SUMPRODUCT(OFFSET(doEff,0,0,1,1),OFFSET(INDEX(bcEff_Com,1,23),0,0,1,1)) + INDEX(doEff,2)*(INDEX(eff0BC_Com,2)+INDEX(pushBC_Com,1)) + SUMPRODUCT(doEff,INDEX(bcEff_Com,,22),N(_el&gt;1))</f>
        <v>2.3591484375</v>
      </c>
      <c r="AB150" s="33">
        <f ca="1">SUMPRODUCT(OFFSET(doEff,0,0,1,1),OFFSET(INDEX(bcEff_Com,1,24),0,0,1,1)) + INDEX(doEff,2)*(INDEX(eff0BC_Com,2)+INDEX(pushBC_Com,1)) + SUMPRODUCT(doEff,INDEX(bcEff_Com,,23),N(_el&gt;1))</f>
        <v>2.3591484375</v>
      </c>
      <c r="AC150" s="33">
        <f ca="1">SUMPRODUCT(OFFSET(doEff,0,0,1,1),OFFSET(INDEX(bcEff_Com,1,25),0,0,1,1)) + INDEX(doEff,2)*(INDEX(eff0BC_Com,2)+INDEX(pushBC_Com,1)) + SUMPRODUCT(doEff,INDEX(bcEff_Com,,24),N(_el&gt;1))</f>
        <v>2.3591484375</v>
      </c>
      <c r="AD150" s="33">
        <f ca="1">SUMPRODUCT(OFFSET(doEff,0,0,1,1),OFFSET(INDEX(bcEff_Com,1,26),0,0,1,1)) + INDEX(doEff,2)*(INDEX(eff0BC_Com,2)+INDEX(pushBC_Com,1)) + SUMPRODUCT(doEff,INDEX(bcEff_Com,,25),N(_el&gt;1))</f>
        <v>2.3591484375</v>
      </c>
      <c r="AE150" s="33">
        <f ca="1">SUMPRODUCT(OFFSET(doEff,0,0,1,1),OFFSET(INDEX(bcEff_Com,1,27),0,0,1,1)) + INDEX(doEff,2)*(INDEX(eff0BC_Com,2)+INDEX(pushBC_Com,1)) + SUMPRODUCT(doEff,INDEX(bcEff_Com,,26),N(_el&gt;1))</f>
        <v>2.3591484375</v>
      </c>
      <c r="AF150" s="33">
        <f ca="1">SUMPRODUCT(OFFSET(doEff,0,0,1,1),OFFSET(INDEX(bcEff_Com,1,28),0,0,1,1)) + INDEX(doEff,2)*(INDEX(eff0BC_Com,2)+INDEX(pushBC_Com,1)) + SUMPRODUCT(doEff,INDEX(bcEff_Com,,27),N(_el&gt;1))</f>
        <v>2.3591484375</v>
      </c>
      <c r="AG150" s="33">
        <f ca="1">SUMPRODUCT(OFFSET(doEff,0,0,1,1),OFFSET(INDEX(bcEff_Com,1,29),0,0,1,1)) + INDEX(doEff,2)*(INDEX(eff0BC_Com,2)+INDEX(pushBC_Com,1)) + SUMPRODUCT(doEff,INDEX(bcEff_Com,,28),N(_el&gt;1))</f>
        <v>2.3591484375</v>
      </c>
      <c r="AH150" s="33">
        <f ca="1">SUMPRODUCT(OFFSET(doEff,0,0,1,1),OFFSET(INDEX(bcEff_Com,1,30),0,0,1,1)) + INDEX(doEff,2)*(INDEX(eff0BC_Com,2)+INDEX(pushBC_Com,1)) + SUMPRODUCT(doEff,INDEX(bcEff_Com,,29),N(_el&gt;1))</f>
        <v>2.3591484375</v>
      </c>
      <c r="AI150" s="33">
        <f ca="1">SUMPRODUCT(OFFSET(doEff,0,0,1,1),OFFSET(INDEX(bcEff_Com,1,31),0,0,1,1)) + INDEX(doEff,2)*(INDEX(eff0BC_Com,2)+INDEX(pushBC_Com,1)) + SUMPRODUCT(doEff,INDEX(bcEff_Com,,30),N(_el&gt;1))</f>
        <v>2.3591484375</v>
      </c>
      <c r="AJ150" s="33">
        <f ca="1">SUMPRODUCT(OFFSET(doEff,0,0,1,1),OFFSET(INDEX(bcEff_Com,1,32),0,0,1,1)) + INDEX(doEff,2)*(INDEX(eff0BC_Com,2)+INDEX(pushBC_Com,1)) + SUMPRODUCT(doEff,INDEX(bcEff_Com,,31),N(_el&gt;1))</f>
        <v>2.3591484375</v>
      </c>
      <c r="AK150" s="33">
        <f ca="1">SUMPRODUCT(OFFSET(doEff,0,0,1,1),OFFSET(INDEX(bcEff_Com,1,33),0,0,1,1)) + INDEX(doEff,2)*(INDEX(eff0BC_Com,2)+INDEX(pushBC_Com,1)) + SUMPRODUCT(doEff,INDEX(bcEff_Com,,32),N(_el&gt;1))</f>
        <v>2.3591484375</v>
      </c>
      <c r="AL150" s="33">
        <f ca="1">SUMPRODUCT(OFFSET(doEff,0,0,1,1),OFFSET(INDEX(bcEff_Com,1,34),0,0,1,1)) + INDEX(doEff,2)*(INDEX(eff0BC_Com,2)+INDEX(pushBC_Com,1)) + SUMPRODUCT(doEff,INDEX(bcEff_Com,,33),N(_el&gt;1))</f>
        <v>2.3591484375</v>
      </c>
      <c r="AM150" s="33">
        <f ca="1">SUMPRODUCT(OFFSET(doEff,0,0,1,1),OFFSET(INDEX(bcEff_Com,1,35),0,0,1,1)) + INDEX(doEff,2)*(INDEX(eff0BC_Com,2)+INDEX(pushBC_Com,1)) + SUMPRODUCT(doEff,INDEX(bcEff_Com,,34),N(_el&gt;1))</f>
        <v>2.3591484375</v>
      </c>
      <c r="AN150" s="34">
        <f ca="1">SUMPRODUCT(OFFSET(doEff,0,0,1,1),OFFSET(INDEX(bcEff_Com,1,36),0,0,1,1)) + INDEX(doEff,2)*(INDEX(eff0BC_Com,2)+INDEX(pushBC_Com,1)) + SUMPRODUCT(doEff,INDEX(bcEff_Com,,35),N(_el&gt;1))</f>
        <v>2.3591484375</v>
      </c>
      <c r="AO150" s="8"/>
    </row>
    <row r="151" spans="2:41" hidden="1" x14ac:dyDescent="0.35">
      <c r="B151" s="8"/>
      <c r="C151" s="19" t="str">
        <f>"EL 2: " &amp; INDEX(_doName,2,3)</f>
        <v>EL 2: Tier 2</v>
      </c>
      <c r="D151" s="11"/>
      <c r="E151" s="33"/>
      <c r="F151" s="33">
        <f ca="1">SUMPRODUCT(OFFSET(doEff,0,0,2,1),OFFSET(INDEX(bcEff_Com,1,2),0,0,2,1)) + INDEX(doEff,3)*(INDEX(eff0BC_Com,3)+INDEX(pushBC_Com,2)) + SUMPRODUCT(doEff,INDEX(bcEff_Com,,1),N(_el&gt;2))</f>
        <v>2.3591484375</v>
      </c>
      <c r="G151" s="33">
        <f ca="1">SUMPRODUCT(OFFSET(doEff,0,0,2,1),OFFSET(INDEX(bcEff_Com,1,3),0,0,2,1)) + INDEX(doEff,3)*(INDEX(eff0BC_Com,3)+INDEX(pushBC_Com,2)) + SUMPRODUCT(doEff,INDEX(bcEff_Com,,2),N(_el&gt;2))</f>
        <v>2.3591484375</v>
      </c>
      <c r="H151" s="33">
        <f ca="1">SUMPRODUCT(OFFSET(doEff,0,0,2,1),OFFSET(INDEX(bcEff_Com,1,4),0,0,2,1)) + INDEX(doEff,3)*(INDEX(eff0BC_Com,3)+INDEX(pushBC_Com,2)) + SUMPRODUCT(doEff,INDEX(bcEff_Com,,3),N(_el&gt;2))</f>
        <v>2.3591484375</v>
      </c>
      <c r="I151" s="33">
        <f ca="1">SUMPRODUCT(OFFSET(doEff,0,0,2,1),OFFSET(INDEX(bcEff_Com,1,5),0,0,2,1)) + INDEX(doEff,3)*(INDEX(eff0BC_Com,3)+INDEX(pushBC_Com,2)) + SUMPRODUCT(doEff,INDEX(bcEff_Com,,4),N(_el&gt;2))</f>
        <v>2.3591484375</v>
      </c>
      <c r="J151" s="33">
        <f ca="1">SUMPRODUCT(OFFSET(doEff,0,0,2,1),OFFSET(INDEX(bcEff_Com,1,6),0,0,2,1)) + INDEX(doEff,3)*(INDEX(eff0BC_Com,3)+INDEX(pushBC_Com,2)) + SUMPRODUCT(doEff,INDEX(bcEff_Com,,5),N(_el&gt;2))</f>
        <v>2.3591484375</v>
      </c>
      <c r="K151" s="33">
        <f ca="1">SUMPRODUCT(OFFSET(doEff,0,0,2,1),OFFSET(INDEX(bcEff_Com,1,7),0,0,2,1)) + INDEX(doEff,3)*(INDEX(eff0BC_Com,3)+INDEX(pushBC_Com,2)) + SUMPRODUCT(doEff,INDEX(bcEff_Com,,6),N(_el&gt;2))</f>
        <v>2.3591484375</v>
      </c>
      <c r="L151" s="33">
        <f ca="1">SUMPRODUCT(OFFSET(doEff,0,0,2,1),OFFSET(INDEX(bcEff_Com,1,8),0,0,2,1)) + INDEX(doEff,3)*(INDEX(eff0BC_Com,3)+INDEX(pushBC_Com,2)) + SUMPRODUCT(doEff,INDEX(bcEff_Com,,7),N(_el&gt;2))</f>
        <v>2.3591484375</v>
      </c>
      <c r="M151" s="33">
        <f ca="1">SUMPRODUCT(OFFSET(doEff,0,0,2,1),OFFSET(INDEX(bcEff_Com,1,9),0,0,2,1)) + INDEX(doEff,3)*(INDEX(eff0BC_Com,3)+INDEX(pushBC_Com,2)) + SUMPRODUCT(doEff,INDEX(bcEff_Com,,8),N(_el&gt;2))</f>
        <v>2.3591484375</v>
      </c>
      <c r="N151" s="33">
        <f ca="1">SUMPRODUCT(OFFSET(doEff,0,0,2,1),OFFSET(INDEX(bcEff_Com,1,10),0,0,2,1)) + INDEX(doEff,3)*(INDEX(eff0BC_Com,3)+INDEX(pushBC_Com,2)) + SUMPRODUCT(doEff,INDEX(bcEff_Com,,9),N(_el&gt;2))</f>
        <v>2.3591484375</v>
      </c>
      <c r="O151" s="33">
        <f ca="1">SUMPRODUCT(OFFSET(doEff,0,0,2,1),OFFSET(INDEX(bcEff_Com,1,11),0,0,2,1)) + INDEX(doEff,3)*(INDEX(eff0BC_Com,3)+INDEX(pushBC_Com,2)) + SUMPRODUCT(doEff,INDEX(bcEff_Com,,10),N(_el&gt;2))</f>
        <v>2.3591484375</v>
      </c>
      <c r="P151" s="33">
        <f ca="1">SUMPRODUCT(OFFSET(doEff,0,0,2,1),OFFSET(INDEX(bcEff_Com,1,12),0,0,2,1)) + INDEX(doEff,3)*(INDEX(eff0BC_Com,3)+INDEX(pushBC_Com,2)) + SUMPRODUCT(doEff,INDEX(bcEff_Com,,11),N(_el&gt;2))</f>
        <v>2.3591484375</v>
      </c>
      <c r="Q151" s="33">
        <f ca="1">SUMPRODUCT(OFFSET(doEff,0,0,2,1),OFFSET(INDEX(bcEff_Com,1,13),0,0,2,1)) + INDEX(doEff,3)*(INDEX(eff0BC_Com,3)+INDEX(pushBC_Com,2)) + SUMPRODUCT(doEff,INDEX(bcEff_Com,,12),N(_el&gt;2))</f>
        <v>2.3591484375</v>
      </c>
      <c r="R151" s="33">
        <f ca="1">SUMPRODUCT(OFFSET(doEff,0,0,2,1),OFFSET(INDEX(bcEff_Com,1,14),0,0,2,1)) + INDEX(doEff,3)*(INDEX(eff0BC_Com,3)+INDEX(pushBC_Com,2)) + SUMPRODUCT(doEff,INDEX(bcEff_Com,,13),N(_el&gt;2))</f>
        <v>2.3591484375</v>
      </c>
      <c r="S151" s="33">
        <f ca="1">SUMPRODUCT(OFFSET(doEff,0,0,2,1),OFFSET(INDEX(bcEff_Com,1,15),0,0,2,1)) + INDEX(doEff,3)*(INDEX(eff0BC_Com,3)+INDEX(pushBC_Com,2)) + SUMPRODUCT(doEff,INDEX(bcEff_Com,,14),N(_el&gt;2))</f>
        <v>2.3591484375</v>
      </c>
      <c r="T151" s="33">
        <f ca="1">SUMPRODUCT(OFFSET(doEff,0,0,2,1),OFFSET(INDEX(bcEff_Com,1,16),0,0,2,1)) + INDEX(doEff,3)*(INDEX(eff0BC_Com,3)+INDEX(pushBC_Com,2)) + SUMPRODUCT(doEff,INDEX(bcEff_Com,,15),N(_el&gt;2))</f>
        <v>2.3591484375</v>
      </c>
      <c r="U151" s="33">
        <f ca="1">SUMPRODUCT(OFFSET(doEff,0,0,2,1),OFFSET(INDEX(bcEff_Com,1,17),0,0,2,1)) + INDEX(doEff,3)*(INDEX(eff0BC_Com,3)+INDEX(pushBC_Com,2)) + SUMPRODUCT(doEff,INDEX(bcEff_Com,,16),N(_el&gt;2))</f>
        <v>2.3591484375</v>
      </c>
      <c r="V151" s="33">
        <f ca="1">SUMPRODUCT(OFFSET(doEff,0,0,2,1),OFFSET(INDEX(bcEff_Com,1,18),0,0,2,1)) + INDEX(doEff,3)*(INDEX(eff0BC_Com,3)+INDEX(pushBC_Com,2)) + SUMPRODUCT(doEff,INDEX(bcEff_Com,,17),N(_el&gt;2))</f>
        <v>2.3591484375</v>
      </c>
      <c r="W151" s="33">
        <f ca="1">SUMPRODUCT(OFFSET(doEff,0,0,2,1),OFFSET(INDEX(bcEff_Com,1,19),0,0,2,1)) + INDEX(doEff,3)*(INDEX(eff0BC_Com,3)+INDEX(pushBC_Com,2)) + SUMPRODUCT(doEff,INDEX(bcEff_Com,,18),N(_el&gt;2))</f>
        <v>2.3591484375</v>
      </c>
      <c r="X151" s="33">
        <f ca="1">SUMPRODUCT(OFFSET(doEff,0,0,2,1),OFFSET(INDEX(bcEff_Com,1,20),0,0,2,1)) + INDEX(doEff,3)*(INDEX(eff0BC_Com,3)+INDEX(pushBC_Com,2)) + SUMPRODUCT(doEff,INDEX(bcEff_Com,,19),N(_el&gt;2))</f>
        <v>2.3591484375</v>
      </c>
      <c r="Y151" s="33">
        <f ca="1">SUMPRODUCT(OFFSET(doEff,0,0,2,1),OFFSET(INDEX(bcEff_Com,1,21),0,0,2,1)) + INDEX(doEff,3)*(INDEX(eff0BC_Com,3)+INDEX(pushBC_Com,2)) + SUMPRODUCT(doEff,INDEX(bcEff_Com,,20),N(_el&gt;2))</f>
        <v>2.3591484375</v>
      </c>
      <c r="Z151" s="33">
        <f ca="1">SUMPRODUCT(OFFSET(doEff,0,0,2,1),OFFSET(INDEX(bcEff_Com,1,22),0,0,2,1)) + INDEX(doEff,3)*(INDEX(eff0BC_Com,3)+INDEX(pushBC_Com,2)) + SUMPRODUCT(doEff,INDEX(bcEff_Com,,21),N(_el&gt;2))</f>
        <v>2.3591484375</v>
      </c>
      <c r="AA151" s="33">
        <f ca="1">SUMPRODUCT(OFFSET(doEff,0,0,2,1),OFFSET(INDEX(bcEff_Com,1,23),0,0,2,1)) + INDEX(doEff,3)*(INDEX(eff0BC_Com,3)+INDEX(pushBC_Com,2)) + SUMPRODUCT(doEff,INDEX(bcEff_Com,,22),N(_el&gt;2))</f>
        <v>2.3591484375</v>
      </c>
      <c r="AB151" s="33">
        <f ca="1">SUMPRODUCT(OFFSET(doEff,0,0,2,1),OFFSET(INDEX(bcEff_Com,1,24),0,0,2,1)) + INDEX(doEff,3)*(INDEX(eff0BC_Com,3)+INDEX(pushBC_Com,2)) + SUMPRODUCT(doEff,INDEX(bcEff_Com,,23),N(_el&gt;2))</f>
        <v>2.3591484375</v>
      </c>
      <c r="AC151" s="33">
        <f ca="1">SUMPRODUCT(OFFSET(doEff,0,0,2,1),OFFSET(INDEX(bcEff_Com,1,25),0,0,2,1)) + INDEX(doEff,3)*(INDEX(eff0BC_Com,3)+INDEX(pushBC_Com,2)) + SUMPRODUCT(doEff,INDEX(bcEff_Com,,24),N(_el&gt;2))</f>
        <v>2.3591484375</v>
      </c>
      <c r="AD151" s="33">
        <f ca="1">SUMPRODUCT(OFFSET(doEff,0,0,2,1),OFFSET(INDEX(bcEff_Com,1,26),0,0,2,1)) + INDEX(doEff,3)*(INDEX(eff0BC_Com,3)+INDEX(pushBC_Com,2)) + SUMPRODUCT(doEff,INDEX(bcEff_Com,,25),N(_el&gt;2))</f>
        <v>2.3591484375</v>
      </c>
      <c r="AE151" s="33">
        <f ca="1">SUMPRODUCT(OFFSET(doEff,0,0,2,1),OFFSET(INDEX(bcEff_Com,1,27),0,0,2,1)) + INDEX(doEff,3)*(INDEX(eff0BC_Com,3)+INDEX(pushBC_Com,2)) + SUMPRODUCT(doEff,INDEX(bcEff_Com,,26),N(_el&gt;2))</f>
        <v>2.3591484375</v>
      </c>
      <c r="AF151" s="33">
        <f ca="1">SUMPRODUCT(OFFSET(doEff,0,0,2,1),OFFSET(INDEX(bcEff_Com,1,28),0,0,2,1)) + INDEX(doEff,3)*(INDEX(eff0BC_Com,3)+INDEX(pushBC_Com,2)) + SUMPRODUCT(doEff,INDEX(bcEff_Com,,27),N(_el&gt;2))</f>
        <v>2.3591484375</v>
      </c>
      <c r="AG151" s="33">
        <f ca="1">SUMPRODUCT(OFFSET(doEff,0,0,2,1),OFFSET(INDEX(bcEff_Com,1,29),0,0,2,1)) + INDEX(doEff,3)*(INDEX(eff0BC_Com,3)+INDEX(pushBC_Com,2)) + SUMPRODUCT(doEff,INDEX(bcEff_Com,,28),N(_el&gt;2))</f>
        <v>2.3591484375</v>
      </c>
      <c r="AH151" s="33">
        <f ca="1">SUMPRODUCT(OFFSET(doEff,0,0,2,1),OFFSET(INDEX(bcEff_Com,1,30),0,0,2,1)) + INDEX(doEff,3)*(INDEX(eff0BC_Com,3)+INDEX(pushBC_Com,2)) + SUMPRODUCT(doEff,INDEX(bcEff_Com,,29),N(_el&gt;2))</f>
        <v>2.3591484375</v>
      </c>
      <c r="AI151" s="33">
        <f ca="1">SUMPRODUCT(OFFSET(doEff,0,0,2,1),OFFSET(INDEX(bcEff_Com,1,31),0,0,2,1)) + INDEX(doEff,3)*(INDEX(eff0BC_Com,3)+INDEX(pushBC_Com,2)) + SUMPRODUCT(doEff,INDEX(bcEff_Com,,30),N(_el&gt;2))</f>
        <v>2.3591484375</v>
      </c>
      <c r="AJ151" s="33">
        <f ca="1">SUMPRODUCT(OFFSET(doEff,0,0,2,1),OFFSET(INDEX(bcEff_Com,1,32),0,0,2,1)) + INDEX(doEff,3)*(INDEX(eff0BC_Com,3)+INDEX(pushBC_Com,2)) + SUMPRODUCT(doEff,INDEX(bcEff_Com,,31),N(_el&gt;2))</f>
        <v>2.3591484375</v>
      </c>
      <c r="AK151" s="33">
        <f ca="1">SUMPRODUCT(OFFSET(doEff,0,0,2,1),OFFSET(INDEX(bcEff_Com,1,33),0,0,2,1)) + INDEX(doEff,3)*(INDEX(eff0BC_Com,3)+INDEX(pushBC_Com,2)) + SUMPRODUCT(doEff,INDEX(bcEff_Com,,32),N(_el&gt;2))</f>
        <v>2.3591484375</v>
      </c>
      <c r="AL151" s="33">
        <f ca="1">SUMPRODUCT(OFFSET(doEff,0,0,2,1),OFFSET(INDEX(bcEff_Com,1,34),0,0,2,1)) + INDEX(doEff,3)*(INDEX(eff0BC_Com,3)+INDEX(pushBC_Com,2)) + SUMPRODUCT(doEff,INDEX(bcEff_Com,,33),N(_el&gt;2))</f>
        <v>2.3591484375</v>
      </c>
      <c r="AM151" s="33">
        <f ca="1">SUMPRODUCT(OFFSET(doEff,0,0,2,1),OFFSET(INDEX(bcEff_Com,1,35),0,0,2,1)) + INDEX(doEff,3)*(INDEX(eff0BC_Com,3)+INDEX(pushBC_Com,2)) + SUMPRODUCT(doEff,INDEX(bcEff_Com,,34),N(_el&gt;2))</f>
        <v>2.3591484375</v>
      </c>
      <c r="AN151" s="34">
        <f ca="1">SUMPRODUCT(OFFSET(doEff,0,0,2,1),OFFSET(INDEX(bcEff_Com,1,36),0,0,2,1)) + INDEX(doEff,3)*(INDEX(eff0BC_Com,3)+INDEX(pushBC_Com,2)) + SUMPRODUCT(doEff,INDEX(bcEff_Com,,35),N(_el&gt;2))</f>
        <v>2.3591484375</v>
      </c>
      <c r="AO151" s="8"/>
    </row>
    <row r="152" spans="2:41" hidden="1" x14ac:dyDescent="0.35">
      <c r="B152" s="8"/>
      <c r="C152" s="19" t="str">
        <f>"EL 3: " &amp; INDEX(_doName,2,4)</f>
        <v>EL 3: EL 3</v>
      </c>
      <c r="D152" s="11"/>
      <c r="E152" s="33"/>
      <c r="F152" s="33">
        <f ca="1">SUMPRODUCT(OFFSET(doEff,0,0,3,1),OFFSET(INDEX(bcEff_Com,1,2),0,0,3,1)) + INDEX(doEff,4)*(INDEX(eff0BC_Com,4)+INDEX(pushBC_Com,3)) + SUMPRODUCT(doEff,INDEX(bcEff_Com,,1),N(_el&gt;3))</f>
        <v>2.3591484375</v>
      </c>
      <c r="G152" s="33">
        <f ca="1">SUMPRODUCT(OFFSET(doEff,0,0,3,1),OFFSET(INDEX(bcEff_Com,1,3),0,0,3,1)) + INDEX(doEff,4)*(INDEX(eff0BC_Com,4)+INDEX(pushBC_Com,3)) + SUMPRODUCT(doEff,INDEX(bcEff_Com,,2),N(_el&gt;3))</f>
        <v>2.3591484375</v>
      </c>
      <c r="H152" s="33">
        <f ca="1">SUMPRODUCT(OFFSET(doEff,0,0,3,1),OFFSET(INDEX(bcEff_Com,1,4),0,0,3,1)) + INDEX(doEff,4)*(INDEX(eff0BC_Com,4)+INDEX(pushBC_Com,3)) + SUMPRODUCT(doEff,INDEX(bcEff_Com,,3),N(_el&gt;3))</f>
        <v>2.3591484375</v>
      </c>
      <c r="I152" s="33">
        <f ca="1">SUMPRODUCT(OFFSET(doEff,0,0,3,1),OFFSET(INDEX(bcEff_Com,1,5),0,0,3,1)) + INDEX(doEff,4)*(INDEX(eff0BC_Com,4)+INDEX(pushBC_Com,3)) + SUMPRODUCT(doEff,INDEX(bcEff_Com,,4),N(_el&gt;3))</f>
        <v>2.3591484375</v>
      </c>
      <c r="J152" s="33">
        <f ca="1">SUMPRODUCT(OFFSET(doEff,0,0,3,1),OFFSET(INDEX(bcEff_Com,1,6),0,0,3,1)) + INDEX(doEff,4)*(INDEX(eff0BC_Com,4)+INDEX(pushBC_Com,3)) + SUMPRODUCT(doEff,INDEX(bcEff_Com,,5),N(_el&gt;3))</f>
        <v>2.3591484375</v>
      </c>
      <c r="K152" s="33">
        <f ca="1">SUMPRODUCT(OFFSET(doEff,0,0,3,1),OFFSET(INDEX(bcEff_Com,1,7),0,0,3,1)) + INDEX(doEff,4)*(INDEX(eff0BC_Com,4)+INDEX(pushBC_Com,3)) + SUMPRODUCT(doEff,INDEX(bcEff_Com,,6),N(_el&gt;3))</f>
        <v>2.3591484375</v>
      </c>
      <c r="L152" s="33">
        <f ca="1">SUMPRODUCT(OFFSET(doEff,0,0,3,1),OFFSET(INDEX(bcEff_Com,1,8),0,0,3,1)) + INDEX(doEff,4)*(INDEX(eff0BC_Com,4)+INDEX(pushBC_Com,3)) + SUMPRODUCT(doEff,INDEX(bcEff_Com,,7),N(_el&gt;3))</f>
        <v>2.3591484375</v>
      </c>
      <c r="M152" s="33">
        <f ca="1">SUMPRODUCT(OFFSET(doEff,0,0,3,1),OFFSET(INDEX(bcEff_Com,1,9),0,0,3,1)) + INDEX(doEff,4)*(INDEX(eff0BC_Com,4)+INDEX(pushBC_Com,3)) + SUMPRODUCT(doEff,INDEX(bcEff_Com,,8),N(_el&gt;3))</f>
        <v>2.3591484375</v>
      </c>
      <c r="N152" s="33">
        <f ca="1">SUMPRODUCT(OFFSET(doEff,0,0,3,1),OFFSET(INDEX(bcEff_Com,1,10),0,0,3,1)) + INDEX(doEff,4)*(INDEX(eff0BC_Com,4)+INDEX(pushBC_Com,3)) + SUMPRODUCT(doEff,INDEX(bcEff_Com,,9),N(_el&gt;3))</f>
        <v>2.3591484375</v>
      </c>
      <c r="O152" s="33">
        <f ca="1">SUMPRODUCT(OFFSET(doEff,0,0,3,1),OFFSET(INDEX(bcEff_Com,1,11),0,0,3,1)) + INDEX(doEff,4)*(INDEX(eff0BC_Com,4)+INDEX(pushBC_Com,3)) + SUMPRODUCT(doEff,INDEX(bcEff_Com,,10),N(_el&gt;3))</f>
        <v>2.3591484375</v>
      </c>
      <c r="P152" s="33">
        <f ca="1">SUMPRODUCT(OFFSET(doEff,0,0,3,1),OFFSET(INDEX(bcEff_Com,1,12),0,0,3,1)) + INDEX(doEff,4)*(INDEX(eff0BC_Com,4)+INDEX(pushBC_Com,3)) + SUMPRODUCT(doEff,INDEX(bcEff_Com,,11),N(_el&gt;3))</f>
        <v>2.3591484375</v>
      </c>
      <c r="Q152" s="33">
        <f ca="1">SUMPRODUCT(OFFSET(doEff,0,0,3,1),OFFSET(INDEX(bcEff_Com,1,13),0,0,3,1)) + INDEX(doEff,4)*(INDEX(eff0BC_Com,4)+INDEX(pushBC_Com,3)) + SUMPRODUCT(doEff,INDEX(bcEff_Com,,12),N(_el&gt;3))</f>
        <v>2.3591484375</v>
      </c>
      <c r="R152" s="33">
        <f ca="1">SUMPRODUCT(OFFSET(doEff,0,0,3,1),OFFSET(INDEX(bcEff_Com,1,14),0,0,3,1)) + INDEX(doEff,4)*(INDEX(eff0BC_Com,4)+INDEX(pushBC_Com,3)) + SUMPRODUCT(doEff,INDEX(bcEff_Com,,13),N(_el&gt;3))</f>
        <v>2.3591484375</v>
      </c>
      <c r="S152" s="33">
        <f ca="1">SUMPRODUCT(OFFSET(doEff,0,0,3,1),OFFSET(INDEX(bcEff_Com,1,15),0,0,3,1)) + INDEX(doEff,4)*(INDEX(eff0BC_Com,4)+INDEX(pushBC_Com,3)) + SUMPRODUCT(doEff,INDEX(bcEff_Com,,14),N(_el&gt;3))</f>
        <v>2.3591484375</v>
      </c>
      <c r="T152" s="33">
        <f ca="1">SUMPRODUCT(OFFSET(doEff,0,0,3,1),OFFSET(INDEX(bcEff_Com,1,16),0,0,3,1)) + INDEX(doEff,4)*(INDEX(eff0BC_Com,4)+INDEX(pushBC_Com,3)) + SUMPRODUCT(doEff,INDEX(bcEff_Com,,15),N(_el&gt;3))</f>
        <v>2.3591484375</v>
      </c>
      <c r="U152" s="33">
        <f ca="1">SUMPRODUCT(OFFSET(doEff,0,0,3,1),OFFSET(INDEX(bcEff_Com,1,17),0,0,3,1)) + INDEX(doEff,4)*(INDEX(eff0BC_Com,4)+INDEX(pushBC_Com,3)) + SUMPRODUCT(doEff,INDEX(bcEff_Com,,16),N(_el&gt;3))</f>
        <v>2.3591484375</v>
      </c>
      <c r="V152" s="33">
        <f ca="1">SUMPRODUCT(OFFSET(doEff,0,0,3,1),OFFSET(INDEX(bcEff_Com,1,18),0,0,3,1)) + INDEX(doEff,4)*(INDEX(eff0BC_Com,4)+INDEX(pushBC_Com,3)) + SUMPRODUCT(doEff,INDEX(bcEff_Com,,17),N(_el&gt;3))</f>
        <v>2.3591484375</v>
      </c>
      <c r="W152" s="33">
        <f ca="1">SUMPRODUCT(OFFSET(doEff,0,0,3,1),OFFSET(INDEX(bcEff_Com,1,19),0,0,3,1)) + INDEX(doEff,4)*(INDEX(eff0BC_Com,4)+INDEX(pushBC_Com,3)) + SUMPRODUCT(doEff,INDEX(bcEff_Com,,18),N(_el&gt;3))</f>
        <v>2.3591484375</v>
      </c>
      <c r="X152" s="33">
        <f ca="1">SUMPRODUCT(OFFSET(doEff,0,0,3,1),OFFSET(INDEX(bcEff_Com,1,20),0,0,3,1)) + INDEX(doEff,4)*(INDEX(eff0BC_Com,4)+INDEX(pushBC_Com,3)) + SUMPRODUCT(doEff,INDEX(bcEff_Com,,19),N(_el&gt;3))</f>
        <v>2.3591484375</v>
      </c>
      <c r="Y152" s="33">
        <f ca="1">SUMPRODUCT(OFFSET(doEff,0,0,3,1),OFFSET(INDEX(bcEff_Com,1,21),0,0,3,1)) + INDEX(doEff,4)*(INDEX(eff0BC_Com,4)+INDEX(pushBC_Com,3)) + SUMPRODUCT(doEff,INDEX(bcEff_Com,,20),N(_el&gt;3))</f>
        <v>2.3591484375</v>
      </c>
      <c r="Z152" s="33">
        <f ca="1">SUMPRODUCT(OFFSET(doEff,0,0,3,1),OFFSET(INDEX(bcEff_Com,1,22),0,0,3,1)) + INDEX(doEff,4)*(INDEX(eff0BC_Com,4)+INDEX(pushBC_Com,3)) + SUMPRODUCT(doEff,INDEX(bcEff_Com,,21),N(_el&gt;3))</f>
        <v>2.3591484375</v>
      </c>
      <c r="AA152" s="33">
        <f ca="1">SUMPRODUCT(OFFSET(doEff,0,0,3,1),OFFSET(INDEX(bcEff_Com,1,23),0,0,3,1)) + INDEX(doEff,4)*(INDEX(eff0BC_Com,4)+INDEX(pushBC_Com,3)) + SUMPRODUCT(doEff,INDEX(bcEff_Com,,22),N(_el&gt;3))</f>
        <v>2.3591484375</v>
      </c>
      <c r="AB152" s="33">
        <f ca="1">SUMPRODUCT(OFFSET(doEff,0,0,3,1),OFFSET(INDEX(bcEff_Com,1,24),0,0,3,1)) + INDEX(doEff,4)*(INDEX(eff0BC_Com,4)+INDEX(pushBC_Com,3)) + SUMPRODUCT(doEff,INDEX(bcEff_Com,,23),N(_el&gt;3))</f>
        <v>2.3591484375</v>
      </c>
      <c r="AC152" s="33">
        <f ca="1">SUMPRODUCT(OFFSET(doEff,0,0,3,1),OFFSET(INDEX(bcEff_Com,1,25),0,0,3,1)) + INDEX(doEff,4)*(INDEX(eff0BC_Com,4)+INDEX(pushBC_Com,3)) + SUMPRODUCT(doEff,INDEX(bcEff_Com,,24),N(_el&gt;3))</f>
        <v>2.3591484375</v>
      </c>
      <c r="AD152" s="33">
        <f ca="1">SUMPRODUCT(OFFSET(doEff,0,0,3,1),OFFSET(INDEX(bcEff_Com,1,26),0,0,3,1)) + INDEX(doEff,4)*(INDEX(eff0BC_Com,4)+INDEX(pushBC_Com,3)) + SUMPRODUCT(doEff,INDEX(bcEff_Com,,25),N(_el&gt;3))</f>
        <v>2.3591484375</v>
      </c>
      <c r="AE152" s="33">
        <f ca="1">SUMPRODUCT(OFFSET(doEff,0,0,3,1),OFFSET(INDEX(bcEff_Com,1,27),0,0,3,1)) + INDEX(doEff,4)*(INDEX(eff0BC_Com,4)+INDEX(pushBC_Com,3)) + SUMPRODUCT(doEff,INDEX(bcEff_Com,,26),N(_el&gt;3))</f>
        <v>2.3591484375</v>
      </c>
      <c r="AF152" s="33">
        <f ca="1">SUMPRODUCT(OFFSET(doEff,0,0,3,1),OFFSET(INDEX(bcEff_Com,1,28),0,0,3,1)) + INDEX(doEff,4)*(INDEX(eff0BC_Com,4)+INDEX(pushBC_Com,3)) + SUMPRODUCT(doEff,INDEX(bcEff_Com,,27),N(_el&gt;3))</f>
        <v>2.3591484375</v>
      </c>
      <c r="AG152" s="33">
        <f ca="1">SUMPRODUCT(OFFSET(doEff,0,0,3,1),OFFSET(INDEX(bcEff_Com,1,29),0,0,3,1)) + INDEX(doEff,4)*(INDEX(eff0BC_Com,4)+INDEX(pushBC_Com,3)) + SUMPRODUCT(doEff,INDEX(bcEff_Com,,28),N(_el&gt;3))</f>
        <v>2.3591484375</v>
      </c>
      <c r="AH152" s="33">
        <f ca="1">SUMPRODUCT(OFFSET(doEff,0,0,3,1),OFFSET(INDEX(bcEff_Com,1,30),0,0,3,1)) + INDEX(doEff,4)*(INDEX(eff0BC_Com,4)+INDEX(pushBC_Com,3)) + SUMPRODUCT(doEff,INDEX(bcEff_Com,,29),N(_el&gt;3))</f>
        <v>2.3591484375</v>
      </c>
      <c r="AI152" s="33">
        <f ca="1">SUMPRODUCT(OFFSET(doEff,0,0,3,1),OFFSET(INDEX(bcEff_Com,1,31),0,0,3,1)) + INDEX(doEff,4)*(INDEX(eff0BC_Com,4)+INDEX(pushBC_Com,3)) + SUMPRODUCT(doEff,INDEX(bcEff_Com,,30),N(_el&gt;3))</f>
        <v>2.3591484375</v>
      </c>
      <c r="AJ152" s="33">
        <f ca="1">SUMPRODUCT(OFFSET(doEff,0,0,3,1),OFFSET(INDEX(bcEff_Com,1,32),0,0,3,1)) + INDEX(doEff,4)*(INDEX(eff0BC_Com,4)+INDEX(pushBC_Com,3)) + SUMPRODUCT(doEff,INDEX(bcEff_Com,,31),N(_el&gt;3))</f>
        <v>2.3591484375</v>
      </c>
      <c r="AK152" s="33">
        <f ca="1">SUMPRODUCT(OFFSET(doEff,0,0,3,1),OFFSET(INDEX(bcEff_Com,1,33),0,0,3,1)) + INDEX(doEff,4)*(INDEX(eff0BC_Com,4)+INDEX(pushBC_Com,3)) + SUMPRODUCT(doEff,INDEX(bcEff_Com,,32),N(_el&gt;3))</f>
        <v>2.3591484375</v>
      </c>
      <c r="AL152" s="33">
        <f ca="1">SUMPRODUCT(OFFSET(doEff,0,0,3,1),OFFSET(INDEX(bcEff_Com,1,34),0,0,3,1)) + INDEX(doEff,4)*(INDEX(eff0BC_Com,4)+INDEX(pushBC_Com,3)) + SUMPRODUCT(doEff,INDEX(bcEff_Com,,33),N(_el&gt;3))</f>
        <v>2.3591484375</v>
      </c>
      <c r="AM152" s="33">
        <f ca="1">SUMPRODUCT(OFFSET(doEff,0,0,3,1),OFFSET(INDEX(bcEff_Com,1,35),0,0,3,1)) + INDEX(doEff,4)*(INDEX(eff0BC_Com,4)+INDEX(pushBC_Com,3)) + SUMPRODUCT(doEff,INDEX(bcEff_Com,,34),N(_el&gt;3))</f>
        <v>2.3591484375</v>
      </c>
      <c r="AN152" s="34">
        <f ca="1">SUMPRODUCT(OFFSET(doEff,0,0,3,1),OFFSET(INDEX(bcEff_Com,1,36),0,0,3,1)) + INDEX(doEff,4)*(INDEX(eff0BC_Com,4)+INDEX(pushBC_Com,3)) + SUMPRODUCT(doEff,INDEX(bcEff_Com,,35),N(_el&gt;3))</f>
        <v>2.3591484375</v>
      </c>
      <c r="AO152" s="8"/>
    </row>
    <row r="153" spans="2:41" hidden="1" x14ac:dyDescent="0.35">
      <c r="B153" s="8"/>
      <c r="C153" s="35" t="str">
        <f>"EL 4: " &amp; INDEX(_doName,2,5)</f>
        <v>EL 4: EL 4</v>
      </c>
      <c r="D153" s="15"/>
      <c r="E153" s="21"/>
      <c r="F153" s="21">
        <f ca="1">SUMPRODUCT(OFFSET(doEff,0,0,4,1),OFFSET(INDEX(bcEff_Com,1,2),0,0,4,1)) + INDEX(doEff,5)*(INDEX(eff0BC_Com,5)+INDEX(pushBC_Com,4)) + 0</f>
        <v>2.3591484375</v>
      </c>
      <c r="G153" s="21">
        <f ca="1">SUMPRODUCT(OFFSET(doEff,0,0,4,1),OFFSET(INDEX(bcEff_Com,1,3),0,0,4,1)) + INDEX(doEff,5)*(INDEX(eff0BC_Com,5)+INDEX(pushBC_Com,4)) + 0</f>
        <v>2.3591484375</v>
      </c>
      <c r="H153" s="21">
        <f ca="1">SUMPRODUCT(OFFSET(doEff,0,0,4,1),OFFSET(INDEX(bcEff_Com,1,4),0,0,4,1)) + INDEX(doEff,5)*(INDEX(eff0BC_Com,5)+INDEX(pushBC_Com,4)) + 0</f>
        <v>2.3591484375</v>
      </c>
      <c r="I153" s="21">
        <f ca="1">SUMPRODUCT(OFFSET(doEff,0,0,4,1),OFFSET(INDEX(bcEff_Com,1,5),0,0,4,1)) + INDEX(doEff,5)*(INDEX(eff0BC_Com,5)+INDEX(pushBC_Com,4)) + 0</f>
        <v>2.3591484375</v>
      </c>
      <c r="J153" s="21">
        <f ca="1">SUMPRODUCT(OFFSET(doEff,0,0,4,1),OFFSET(INDEX(bcEff_Com,1,6),0,0,4,1)) + INDEX(doEff,5)*(INDEX(eff0BC_Com,5)+INDEX(pushBC_Com,4)) + 0</f>
        <v>2.3591484375</v>
      </c>
      <c r="K153" s="21">
        <f ca="1">SUMPRODUCT(OFFSET(doEff,0,0,4,1),OFFSET(INDEX(bcEff_Com,1,7),0,0,4,1)) + INDEX(doEff,5)*(INDEX(eff0BC_Com,5)+INDEX(pushBC_Com,4)) + 0</f>
        <v>2.3591484375</v>
      </c>
      <c r="L153" s="21">
        <f ca="1">SUMPRODUCT(OFFSET(doEff,0,0,4,1),OFFSET(INDEX(bcEff_Com,1,8),0,0,4,1)) + INDEX(doEff,5)*(INDEX(eff0BC_Com,5)+INDEX(pushBC_Com,4)) + 0</f>
        <v>2.3591484375</v>
      </c>
      <c r="M153" s="21">
        <f ca="1">SUMPRODUCT(OFFSET(doEff,0,0,4,1),OFFSET(INDEX(bcEff_Com,1,9),0,0,4,1)) + INDEX(doEff,5)*(INDEX(eff0BC_Com,5)+INDEX(pushBC_Com,4)) + 0</f>
        <v>2.3591484375</v>
      </c>
      <c r="N153" s="21">
        <f ca="1">SUMPRODUCT(OFFSET(doEff,0,0,4,1),OFFSET(INDEX(bcEff_Com,1,10),0,0,4,1)) + INDEX(doEff,5)*(INDEX(eff0BC_Com,5)+INDEX(pushBC_Com,4)) + 0</f>
        <v>2.3591484375</v>
      </c>
      <c r="O153" s="21">
        <f ca="1">SUMPRODUCT(OFFSET(doEff,0,0,4,1),OFFSET(INDEX(bcEff_Com,1,11),0,0,4,1)) + INDEX(doEff,5)*(INDEX(eff0BC_Com,5)+INDEX(pushBC_Com,4)) + 0</f>
        <v>2.3591484375</v>
      </c>
      <c r="P153" s="21">
        <f ca="1">SUMPRODUCT(OFFSET(doEff,0,0,4,1),OFFSET(INDEX(bcEff_Com,1,12),0,0,4,1)) + INDEX(doEff,5)*(INDEX(eff0BC_Com,5)+INDEX(pushBC_Com,4)) + 0</f>
        <v>2.3591484375</v>
      </c>
      <c r="Q153" s="21">
        <f ca="1">SUMPRODUCT(OFFSET(doEff,0,0,4,1),OFFSET(INDEX(bcEff_Com,1,13),0,0,4,1)) + INDEX(doEff,5)*(INDEX(eff0BC_Com,5)+INDEX(pushBC_Com,4)) + 0</f>
        <v>2.3591484375</v>
      </c>
      <c r="R153" s="21">
        <f ca="1">SUMPRODUCT(OFFSET(doEff,0,0,4,1),OFFSET(INDEX(bcEff_Com,1,14),0,0,4,1)) + INDEX(doEff,5)*(INDEX(eff0BC_Com,5)+INDEX(pushBC_Com,4)) + 0</f>
        <v>2.3591484375</v>
      </c>
      <c r="S153" s="21">
        <f ca="1">SUMPRODUCT(OFFSET(doEff,0,0,4,1),OFFSET(INDEX(bcEff_Com,1,15),0,0,4,1)) + INDEX(doEff,5)*(INDEX(eff0BC_Com,5)+INDEX(pushBC_Com,4)) + 0</f>
        <v>2.3591484375</v>
      </c>
      <c r="T153" s="21">
        <f ca="1">SUMPRODUCT(OFFSET(doEff,0,0,4,1),OFFSET(INDEX(bcEff_Com,1,16),0,0,4,1)) + INDEX(doEff,5)*(INDEX(eff0BC_Com,5)+INDEX(pushBC_Com,4)) + 0</f>
        <v>2.3591484375</v>
      </c>
      <c r="U153" s="21">
        <f ca="1">SUMPRODUCT(OFFSET(doEff,0,0,4,1),OFFSET(INDEX(bcEff_Com,1,17),0,0,4,1)) + INDEX(doEff,5)*(INDEX(eff0BC_Com,5)+INDEX(pushBC_Com,4)) + 0</f>
        <v>2.3591484375</v>
      </c>
      <c r="V153" s="21">
        <f ca="1">SUMPRODUCT(OFFSET(doEff,0,0,4,1),OFFSET(INDEX(bcEff_Com,1,18),0,0,4,1)) + INDEX(doEff,5)*(INDEX(eff0BC_Com,5)+INDEX(pushBC_Com,4)) + 0</f>
        <v>2.3591484375</v>
      </c>
      <c r="W153" s="21">
        <f ca="1">SUMPRODUCT(OFFSET(doEff,0,0,4,1),OFFSET(INDEX(bcEff_Com,1,19),0,0,4,1)) + INDEX(doEff,5)*(INDEX(eff0BC_Com,5)+INDEX(pushBC_Com,4)) + 0</f>
        <v>2.3591484375</v>
      </c>
      <c r="X153" s="21">
        <f ca="1">SUMPRODUCT(OFFSET(doEff,0,0,4,1),OFFSET(INDEX(bcEff_Com,1,20),0,0,4,1)) + INDEX(doEff,5)*(INDEX(eff0BC_Com,5)+INDEX(pushBC_Com,4)) + 0</f>
        <v>2.3591484375</v>
      </c>
      <c r="Y153" s="21">
        <f ca="1">SUMPRODUCT(OFFSET(doEff,0,0,4,1),OFFSET(INDEX(bcEff_Com,1,21),0,0,4,1)) + INDEX(doEff,5)*(INDEX(eff0BC_Com,5)+INDEX(pushBC_Com,4)) + 0</f>
        <v>2.3591484375</v>
      </c>
      <c r="Z153" s="21">
        <f ca="1">SUMPRODUCT(OFFSET(doEff,0,0,4,1),OFFSET(INDEX(bcEff_Com,1,22),0,0,4,1)) + INDEX(doEff,5)*(INDEX(eff0BC_Com,5)+INDEX(pushBC_Com,4)) + 0</f>
        <v>2.3591484375</v>
      </c>
      <c r="AA153" s="21">
        <f ca="1">SUMPRODUCT(OFFSET(doEff,0,0,4,1),OFFSET(INDEX(bcEff_Com,1,23),0,0,4,1)) + INDEX(doEff,5)*(INDEX(eff0BC_Com,5)+INDEX(pushBC_Com,4)) + 0</f>
        <v>2.3591484375</v>
      </c>
      <c r="AB153" s="21">
        <f ca="1">SUMPRODUCT(OFFSET(doEff,0,0,4,1),OFFSET(INDEX(bcEff_Com,1,24),0,0,4,1)) + INDEX(doEff,5)*(INDEX(eff0BC_Com,5)+INDEX(pushBC_Com,4)) + 0</f>
        <v>2.3591484375</v>
      </c>
      <c r="AC153" s="21">
        <f ca="1">SUMPRODUCT(OFFSET(doEff,0,0,4,1),OFFSET(INDEX(bcEff_Com,1,25),0,0,4,1)) + INDEX(doEff,5)*(INDEX(eff0BC_Com,5)+INDEX(pushBC_Com,4)) + 0</f>
        <v>2.3591484375</v>
      </c>
      <c r="AD153" s="21">
        <f ca="1">SUMPRODUCT(OFFSET(doEff,0,0,4,1),OFFSET(INDEX(bcEff_Com,1,26),0,0,4,1)) + INDEX(doEff,5)*(INDEX(eff0BC_Com,5)+INDEX(pushBC_Com,4)) + 0</f>
        <v>2.3591484375</v>
      </c>
      <c r="AE153" s="21">
        <f ca="1">SUMPRODUCT(OFFSET(doEff,0,0,4,1),OFFSET(INDEX(bcEff_Com,1,27),0,0,4,1)) + INDEX(doEff,5)*(INDEX(eff0BC_Com,5)+INDEX(pushBC_Com,4)) + 0</f>
        <v>2.3591484375</v>
      </c>
      <c r="AF153" s="21">
        <f ca="1">SUMPRODUCT(OFFSET(doEff,0,0,4,1),OFFSET(INDEX(bcEff_Com,1,28),0,0,4,1)) + INDEX(doEff,5)*(INDEX(eff0BC_Com,5)+INDEX(pushBC_Com,4)) + 0</f>
        <v>2.3591484375</v>
      </c>
      <c r="AG153" s="21">
        <f ca="1">SUMPRODUCT(OFFSET(doEff,0,0,4,1),OFFSET(INDEX(bcEff_Com,1,29),0,0,4,1)) + INDEX(doEff,5)*(INDEX(eff0BC_Com,5)+INDEX(pushBC_Com,4)) + 0</f>
        <v>2.3591484375</v>
      </c>
      <c r="AH153" s="21">
        <f ca="1">SUMPRODUCT(OFFSET(doEff,0,0,4,1),OFFSET(INDEX(bcEff_Com,1,30),0,0,4,1)) + INDEX(doEff,5)*(INDEX(eff0BC_Com,5)+INDEX(pushBC_Com,4)) + 0</f>
        <v>2.3591484375</v>
      </c>
      <c r="AI153" s="21">
        <f ca="1">SUMPRODUCT(OFFSET(doEff,0,0,4,1),OFFSET(INDEX(bcEff_Com,1,31),0,0,4,1)) + INDEX(doEff,5)*(INDEX(eff0BC_Com,5)+INDEX(pushBC_Com,4)) + 0</f>
        <v>2.3591484375</v>
      </c>
      <c r="AJ153" s="21">
        <f ca="1">SUMPRODUCT(OFFSET(doEff,0,0,4,1),OFFSET(INDEX(bcEff_Com,1,32),0,0,4,1)) + INDEX(doEff,5)*(INDEX(eff0BC_Com,5)+INDEX(pushBC_Com,4)) + 0</f>
        <v>2.3591484375</v>
      </c>
      <c r="AK153" s="21">
        <f ca="1">SUMPRODUCT(OFFSET(doEff,0,0,4,1),OFFSET(INDEX(bcEff_Com,1,33),0,0,4,1)) + INDEX(doEff,5)*(INDEX(eff0BC_Com,5)+INDEX(pushBC_Com,4)) + 0</f>
        <v>2.3591484375</v>
      </c>
      <c r="AL153" s="21">
        <f ca="1">SUMPRODUCT(OFFSET(doEff,0,0,4,1),OFFSET(INDEX(bcEff_Com,1,34),0,0,4,1)) + INDEX(doEff,5)*(INDEX(eff0BC_Com,5)+INDEX(pushBC_Com,4)) + 0</f>
        <v>2.3591484375</v>
      </c>
      <c r="AM153" s="21">
        <f ca="1">SUMPRODUCT(OFFSET(doEff,0,0,4,1),OFFSET(INDEX(bcEff_Com,1,35),0,0,4,1)) + INDEX(doEff,5)*(INDEX(eff0BC_Com,5)+INDEX(pushBC_Com,4)) + 0</f>
        <v>2.3591484375</v>
      </c>
      <c r="AN153" s="22">
        <f ca="1">SUMPRODUCT(OFFSET(doEff,0,0,4,1),OFFSET(INDEX(bcEff_Com,1,36),0,0,4,1)) + INDEX(doEff,5)*(INDEX(eff0BC_Com,5)+INDEX(pushBC_Com,4)) + 0</f>
        <v>2.3591484375</v>
      </c>
      <c r="AO153" s="8"/>
    </row>
    <row r="154" spans="2:41" hidden="1" x14ac:dyDescent="0.3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</row>
    <row r="155" spans="2:41" x14ac:dyDescent="0.35">
      <c r="B155" s="8"/>
      <c r="C155" s="23" t="s">
        <v>73</v>
      </c>
      <c r="D155" s="24"/>
      <c r="E155" s="25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</row>
    <row r="156" spans="2:41" x14ac:dyDescent="0.35">
      <c r="B156" s="8"/>
      <c r="C156" s="19" t="str">
        <f>"EL 0: " &amp; INDEX(_doName,2,1)</f>
        <v>EL 0: Baseline</v>
      </c>
      <c r="D156" s="11" t="s">
        <v>74</v>
      </c>
      <c r="E156" s="34">
        <f t="array" ref="E156:E160">TRANSPOSE(effmed)</f>
        <v>1.53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</row>
    <row r="157" spans="2:41" x14ac:dyDescent="0.35">
      <c r="B157" s="8"/>
      <c r="C157" s="19" t="str">
        <f>"EL 1: " &amp; INDEX(_doName,2,2)</f>
        <v>EL 1: Tier 1</v>
      </c>
      <c r="D157" s="11" t="s">
        <v>74</v>
      </c>
      <c r="E157" s="34">
        <v>1.9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</row>
    <row r="158" spans="2:41" x14ac:dyDescent="0.35">
      <c r="B158" s="8"/>
      <c r="C158" s="19" t="str">
        <f>"EL 2: " &amp; INDEX(_doName,2,3)</f>
        <v>EL 2: Tier 2</v>
      </c>
      <c r="D158" s="11" t="s">
        <v>74</v>
      </c>
      <c r="E158" s="34">
        <v>2.39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</row>
    <row r="159" spans="2:41" x14ac:dyDescent="0.35">
      <c r="B159" s="8"/>
      <c r="C159" s="19" t="str">
        <f>"EL 3: " &amp; INDEX(_doName,2,4)</f>
        <v>EL 3: EL 3</v>
      </c>
      <c r="D159" s="11" t="s">
        <v>74</v>
      </c>
      <c r="E159" s="34">
        <v>5.4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</row>
    <row r="160" spans="2:41" x14ac:dyDescent="0.35">
      <c r="B160" s="8"/>
      <c r="C160" s="35" t="str">
        <f>"EL 4: " &amp; INDEX(_doName,2,5)</f>
        <v>EL 4: EL 4</v>
      </c>
      <c r="D160" s="15" t="s">
        <v>74</v>
      </c>
      <c r="E160" s="22">
        <v>12.75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</row>
    <row r="161" spans="2:41" x14ac:dyDescent="0.3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</row>
    <row r="162" spans="2:41" hidden="1" x14ac:dyDescent="0.35">
      <c r="B162" s="8"/>
      <c r="C162" s="23" t="s">
        <v>86</v>
      </c>
      <c r="D162" s="24"/>
      <c r="E162" s="26">
        <f t="array" ref="E162:AN162">_yS</f>
        <v>2024</v>
      </c>
      <c r="F162" s="26">
        <v>2025</v>
      </c>
      <c r="G162" s="26">
        <v>2026</v>
      </c>
      <c r="H162" s="26">
        <v>2027</v>
      </c>
      <c r="I162" s="26">
        <v>2028</v>
      </c>
      <c r="J162" s="26">
        <v>2029</v>
      </c>
      <c r="K162" s="26">
        <v>2030</v>
      </c>
      <c r="L162" s="26">
        <v>2031</v>
      </c>
      <c r="M162" s="26">
        <v>2032</v>
      </c>
      <c r="N162" s="26">
        <v>2033</v>
      </c>
      <c r="O162" s="26">
        <v>2034</v>
      </c>
      <c r="P162" s="26">
        <v>2035</v>
      </c>
      <c r="Q162" s="26">
        <v>2036</v>
      </c>
      <c r="R162" s="26">
        <v>2037</v>
      </c>
      <c r="S162" s="26">
        <v>2038</v>
      </c>
      <c r="T162" s="26">
        <v>2039</v>
      </c>
      <c r="U162" s="26">
        <v>2040</v>
      </c>
      <c r="V162" s="26">
        <v>2041</v>
      </c>
      <c r="W162" s="26">
        <v>2042</v>
      </c>
      <c r="X162" s="26">
        <v>2043</v>
      </c>
      <c r="Y162" s="26">
        <v>2044</v>
      </c>
      <c r="Z162" s="26">
        <v>2045</v>
      </c>
      <c r="AA162" s="26">
        <v>2046</v>
      </c>
      <c r="AB162" s="26">
        <v>2047</v>
      </c>
      <c r="AC162" s="26">
        <v>2048</v>
      </c>
      <c r="AD162" s="26">
        <v>2049</v>
      </c>
      <c r="AE162" s="26">
        <v>2050</v>
      </c>
      <c r="AF162" s="26">
        <v>2051</v>
      </c>
      <c r="AG162" s="26">
        <v>2052</v>
      </c>
      <c r="AH162" s="26">
        <v>2053</v>
      </c>
      <c r="AI162" s="26">
        <v>2054</v>
      </c>
      <c r="AJ162" s="26">
        <v>2055</v>
      </c>
      <c r="AK162" s="26">
        <v>2056</v>
      </c>
      <c r="AL162" s="26">
        <v>2057</v>
      </c>
      <c r="AM162" s="26">
        <v>2058</v>
      </c>
      <c r="AN162" s="27">
        <v>2059</v>
      </c>
      <c r="AO162" s="8"/>
    </row>
    <row r="163" spans="2:41" hidden="1" x14ac:dyDescent="0.35">
      <c r="B163" s="8"/>
      <c r="C163" s="19" t="str">
        <f>"EL 0: " &amp; INDEX(_doName,2,1)</f>
        <v>EL 0: Baseline</v>
      </c>
      <c r="D163" s="11"/>
      <c r="E163" s="32">
        <f t="array" ref="E163:AN163">tlccQu0_Res</f>
        <v>91.292163146559488</v>
      </c>
      <c r="F163" s="32">
        <v>90.676144356457584</v>
      </c>
      <c r="G163" s="32">
        <v>90.088185879628369</v>
      </c>
      <c r="H163" s="32">
        <v>89.523695697787659</v>
      </c>
      <c r="I163" s="32">
        <v>88.979381125918096</v>
      </c>
      <c r="J163" s="32">
        <v>88.453023307142359</v>
      </c>
      <c r="K163" s="32">
        <v>87.943090833982751</v>
      </c>
      <c r="L163" s="32">
        <v>87.448459885889164</v>
      </c>
      <c r="M163" s="32">
        <v>86.968154341588516</v>
      </c>
      <c r="N163" s="32">
        <v>86.501221401086099</v>
      </c>
      <c r="O163" s="32">
        <v>86.046701998454324</v>
      </c>
      <c r="P163" s="32">
        <v>85.603635389652936</v>
      </c>
      <c r="Q163" s="32">
        <v>85.171102711642362</v>
      </c>
      <c r="R163" s="32">
        <v>84.748272547527591</v>
      </c>
      <c r="S163" s="32">
        <v>84.334387460179201</v>
      </c>
      <c r="T163" s="32">
        <v>83.928856301037698</v>
      </c>
      <c r="U163" s="32">
        <v>83.53113142111394</v>
      </c>
      <c r="V163" s="32">
        <v>83.140736849623352</v>
      </c>
      <c r="W163" s="32">
        <v>82.757248348181662</v>
      </c>
      <c r="X163" s="32">
        <v>82.380278230922357</v>
      </c>
      <c r="Y163" s="32">
        <v>82.009467763890257</v>
      </c>
      <c r="Z163" s="32">
        <v>81.644481020593801</v>
      </c>
      <c r="AA163" s="32">
        <v>81.28500503587955</v>
      </c>
      <c r="AB163" s="32">
        <v>80.930749725010344</v>
      </c>
      <c r="AC163" s="32">
        <v>80.581447634057142</v>
      </c>
      <c r="AD163" s="32">
        <v>80.236853039228336</v>
      </c>
      <c r="AE163" s="32">
        <v>79.896740250743704</v>
      </c>
      <c r="AF163" s="32">
        <v>79.560901502056311</v>
      </c>
      <c r="AG163" s="32">
        <v>79.229144767176535</v>
      </c>
      <c r="AH163" s="32">
        <v>78.901291780611999</v>
      </c>
      <c r="AI163" s="32">
        <v>78.577176440272069</v>
      </c>
      <c r="AJ163" s="32">
        <v>78.256643589870322</v>
      </c>
      <c r="AK163" s="32">
        <v>77.939548073532137</v>
      </c>
      <c r="AL163" s="32">
        <v>77.625754083386568</v>
      </c>
      <c r="AM163" s="32">
        <v>77.315134436409139</v>
      </c>
      <c r="AN163" s="55">
        <v>77.007570046037969</v>
      </c>
      <c r="AO163" s="8"/>
    </row>
    <row r="164" spans="2:41" hidden="1" x14ac:dyDescent="0.35">
      <c r="B164" s="8"/>
      <c r="C164" s="19" t="str">
        <f>"EL 1: " &amp; INDEX(_doName,2,2)</f>
        <v>EL 1: Tier 1</v>
      </c>
      <c r="D164" s="11"/>
      <c r="E164" s="32">
        <f t="array" ref="E164:AN164">tlccQu1_Res</f>
        <v>93.518771846471594</v>
      </c>
      <c r="F164" s="32">
        <v>92.874070304722494</v>
      </c>
      <c r="G164" s="32">
        <v>92.258735606192403</v>
      </c>
      <c r="H164" s="32">
        <v>91.66796192139175</v>
      </c>
      <c r="I164" s="32">
        <v>91.098303252988558</v>
      </c>
      <c r="J164" s="32">
        <v>90.547437430827074</v>
      </c>
      <c r="K164" s="32">
        <v>90.013761742818375</v>
      </c>
      <c r="L164" s="32">
        <v>89.496100041655012</v>
      </c>
      <c r="M164" s="32">
        <v>88.99343075640472</v>
      </c>
      <c r="N164" s="32">
        <v>88.504756723287102</v>
      </c>
      <c r="O164" s="32">
        <v>88.029074220837614</v>
      </c>
      <c r="P164" s="32">
        <v>87.565377771343677</v>
      </c>
      <c r="Q164" s="32">
        <v>87.112705728135154</v>
      </c>
      <c r="R164" s="32">
        <v>86.670187962309029</v>
      </c>
      <c r="S164" s="32">
        <v>86.237031769335886</v>
      </c>
      <c r="T164" s="32">
        <v>85.812618475899541</v>
      </c>
      <c r="U164" s="32">
        <v>85.396374933658876</v>
      </c>
      <c r="V164" s="32">
        <v>84.987803009921251</v>
      </c>
      <c r="W164" s="32">
        <v>84.586458713131861</v>
      </c>
      <c r="X164" s="32">
        <v>84.191936306193242</v>
      </c>
      <c r="Y164" s="32">
        <v>83.803860351963436</v>
      </c>
      <c r="Z164" s="32">
        <v>83.421879282713462</v>
      </c>
      <c r="AA164" s="32">
        <v>83.045665561166558</v>
      </c>
      <c r="AB164" s="32">
        <v>82.674915595808542</v>
      </c>
      <c r="AC164" s="32">
        <v>82.309349479657328</v>
      </c>
      <c r="AD164" s="32">
        <v>81.948710047655965</v>
      </c>
      <c r="AE164" s="32">
        <v>81.592761101572094</v>
      </c>
      <c r="AF164" s="32">
        <v>81.241285200939217</v>
      </c>
      <c r="AG164" s="32">
        <v>80.894081378751821</v>
      </c>
      <c r="AH164" s="32">
        <v>80.550963069210908</v>
      </c>
      <c r="AI164" s="32">
        <v>80.211756436265318</v>
      </c>
      <c r="AJ164" s="32">
        <v>79.876299099321017</v>
      </c>
      <c r="AK164" s="32">
        <v>79.544439143829834</v>
      </c>
      <c r="AL164" s="32">
        <v>79.216034438504238</v>
      </c>
      <c r="AM164" s="32">
        <v>78.890951878488849</v>
      </c>
      <c r="AN164" s="55">
        <v>78.569066832374247</v>
      </c>
      <c r="AO164" s="8"/>
    </row>
    <row r="165" spans="2:41" hidden="1" x14ac:dyDescent="0.35">
      <c r="B165" s="8"/>
      <c r="C165" s="19" t="str">
        <f>"EL 2: " &amp; INDEX(_doName,2,3)</f>
        <v>EL 2: Tier 2</v>
      </c>
      <c r="D165" s="11"/>
      <c r="E165" s="32">
        <f t="array" ref="E165:AN165">tlccQu2_Res</f>
        <v>95.879684700041821</v>
      </c>
      <c r="F165" s="32">
        <v>95.205273865985347</v>
      </c>
      <c r="G165" s="32">
        <v>94.561583165116701</v>
      </c>
      <c r="H165" s="32">
        <v>93.943585304549998</v>
      </c>
      <c r="I165" s="32">
        <v>93.347675487670998</v>
      </c>
      <c r="J165" s="32">
        <v>92.771424533517532</v>
      </c>
      <c r="K165" s="32">
        <v>92.213155873434687</v>
      </c>
      <c r="L165" s="32">
        <v>91.671639160610468</v>
      </c>
      <c r="M165" s="32">
        <v>91.145805747833947</v>
      </c>
      <c r="N165" s="32">
        <v>90.634612519782294</v>
      </c>
      <c r="O165" s="32">
        <v>90.13700950125579</v>
      </c>
      <c r="P165" s="32">
        <v>89.651944879874861</v>
      </c>
      <c r="Q165" s="32">
        <v>89.178412694135005</v>
      </c>
      <c r="R165" s="32">
        <v>88.715502717642721</v>
      </c>
      <c r="S165" s="32">
        <v>88.262385716266863</v>
      </c>
      <c r="T165" s="32">
        <v>87.818414506837911</v>
      </c>
      <c r="U165" s="32">
        <v>87.382989529054313</v>
      </c>
      <c r="V165" s="32">
        <v>86.955589695152284</v>
      </c>
      <c r="W165" s="32">
        <v>86.535750553450839</v>
      </c>
      <c r="X165" s="32">
        <v>86.123047669577502</v>
      </c>
      <c r="Y165" s="32">
        <v>85.717088305405156</v>
      </c>
      <c r="Z165" s="32">
        <v>85.317504692175774</v>
      </c>
      <c r="AA165" s="32">
        <v>84.923954198960615</v>
      </c>
      <c r="AB165" s="32">
        <v>84.536119244067905</v>
      </c>
      <c r="AC165" s="32">
        <v>84.153707021774409</v>
      </c>
      <c r="AD165" s="32">
        <v>83.776448516280794</v>
      </c>
      <c r="AE165" s="32">
        <v>83.404096644810679</v>
      </c>
      <c r="AF165" s="32">
        <v>83.036423946753402</v>
      </c>
      <c r="AG165" s="32">
        <v>82.673220194093346</v>
      </c>
      <c r="AH165" s="32">
        <v>82.314290223661246</v>
      </c>
      <c r="AI165" s="32">
        <v>81.959452188650999</v>
      </c>
      <c r="AJ165" s="32">
        <v>81.608536225606784</v>
      </c>
      <c r="AK165" s="32">
        <v>81.261383419417527</v>
      </c>
      <c r="AL165" s="32">
        <v>80.917845089067271</v>
      </c>
      <c r="AM165" s="32">
        <v>80.577781995930593</v>
      </c>
      <c r="AN165" s="55">
        <v>80.241063765303281</v>
      </c>
      <c r="AO165" s="8"/>
    </row>
    <row r="166" spans="2:41" hidden="1" x14ac:dyDescent="0.35">
      <c r="B166" s="8"/>
      <c r="C166" s="19" t="str">
        <f>"EL 3: " &amp; INDEX(_doName,2,4)</f>
        <v>EL 3: EL 3</v>
      </c>
      <c r="D166" s="11"/>
      <c r="E166" s="32">
        <f t="array" ref="E166:AN166">tlccQu3_Res</f>
        <v>104.69927128348147</v>
      </c>
      <c r="F166" s="32">
        <v>104.03923625168777</v>
      </c>
      <c r="G166" s="32">
        <v>103.40926651994769</v>
      </c>
      <c r="H166" s="32">
        <v>102.80444195760467</v>
      </c>
      <c r="I166" s="32">
        <v>102.22123460821479</v>
      </c>
      <c r="J166" s="32">
        <v>101.65726707145664</v>
      </c>
      <c r="K166" s="32">
        <v>101.11089851656426</v>
      </c>
      <c r="L166" s="32">
        <v>100.58092482290942</v>
      </c>
      <c r="M166" s="32">
        <v>100.06630012266167</v>
      </c>
      <c r="N166" s="32">
        <v>99.566003535638657</v>
      </c>
      <c r="O166" s="32">
        <v>99.079007468006878</v>
      </c>
      <c r="P166" s="32">
        <v>98.604282527914435</v>
      </c>
      <c r="Q166" s="32">
        <v>98.140844197023114</v>
      </c>
      <c r="R166" s="32">
        <v>97.687801651407497</v>
      </c>
      <c r="S166" s="32">
        <v>97.244343332966054</v>
      </c>
      <c r="T166" s="32">
        <v>96.809835853944165</v>
      </c>
      <c r="U166" s="32">
        <v>96.383692434321844</v>
      </c>
      <c r="V166" s="32">
        <v>95.965403093889137</v>
      </c>
      <c r="W166" s="32">
        <v>95.554513281259077</v>
      </c>
      <c r="X166" s="32">
        <v>95.150607609340582</v>
      </c>
      <c r="Y166" s="32">
        <v>94.753301711647964</v>
      </c>
      <c r="Z166" s="32">
        <v>94.362235658815223</v>
      </c>
      <c r="AA166" s="32">
        <v>93.977074123465471</v>
      </c>
      <c r="AB166" s="32">
        <v>93.597506293506996</v>
      </c>
      <c r="AC166" s="32">
        <v>93.223245604689751</v>
      </c>
      <c r="AD166" s="32">
        <v>92.854028775579508</v>
      </c>
      <c r="AE166" s="32">
        <v>92.489613990238681</v>
      </c>
      <c r="AF166" s="32">
        <v>92.129778636627535</v>
      </c>
      <c r="AG166" s="32">
        <v>91.774316967969781</v>
      </c>
      <c r="AH166" s="32">
        <v>91.423037981211948</v>
      </c>
      <c r="AI166" s="32">
        <v>91.075763705810871</v>
      </c>
      <c r="AJ166" s="32">
        <v>90.732327899135484</v>
      </c>
      <c r="AK166" s="32">
        <v>90.392575033523585</v>
      </c>
      <c r="AL166" s="32">
        <v>90.056359597257185</v>
      </c>
      <c r="AM166" s="32">
        <v>89.723545319733987</v>
      </c>
      <c r="AN166" s="55">
        <v>89.394004605328732</v>
      </c>
      <c r="AO166" s="8"/>
    </row>
    <row r="167" spans="2:41" hidden="1" x14ac:dyDescent="0.35">
      <c r="B167" s="8"/>
      <c r="C167" s="35" t="str">
        <f>"EL 4: " &amp; INDEX(_doName,2,5)</f>
        <v>EL 4: EL 4</v>
      </c>
      <c r="D167" s="15"/>
      <c r="E167" s="59">
        <f t="array" ref="E167:AN167">tlccQu4_Res</f>
        <v>113.57176376581597</v>
      </c>
      <c r="F167" s="59">
        <v>112.80879084676513</v>
      </c>
      <c r="G167" s="59">
        <v>112.08057215838249</v>
      </c>
      <c r="H167" s="59">
        <v>111.38142023520284</v>
      </c>
      <c r="I167" s="59">
        <v>110.70725690698275</v>
      </c>
      <c r="J167" s="59">
        <v>110.05533399828361</v>
      </c>
      <c r="K167" s="59">
        <v>109.42375477729746</v>
      </c>
      <c r="L167" s="59">
        <v>108.81112733088887</v>
      </c>
      <c r="M167" s="59">
        <v>108.21624267954445</v>
      </c>
      <c r="N167" s="59">
        <v>107.63792072842803</v>
      </c>
      <c r="O167" s="59">
        <v>107.07497362200317</v>
      </c>
      <c r="P167" s="59">
        <v>106.5262114262993</v>
      </c>
      <c r="Q167" s="59">
        <v>105.99049607925284</v>
      </c>
      <c r="R167" s="59">
        <v>105.46679782562647</v>
      </c>
      <c r="S167" s="59">
        <v>104.95417853816355</v>
      </c>
      <c r="T167" s="59">
        <v>104.45190604708405</v>
      </c>
      <c r="U167" s="59">
        <v>103.95930205920183</v>
      </c>
      <c r="V167" s="59">
        <v>103.47577705870225</v>
      </c>
      <c r="W167" s="59">
        <v>103.0008056031741</v>
      </c>
      <c r="X167" s="59">
        <v>102.53390752249592</v>
      </c>
      <c r="Y167" s="59">
        <v>102.07463850506988</v>
      </c>
      <c r="Z167" s="59">
        <v>101.62258248758754</v>
      </c>
      <c r="AA167" s="59">
        <v>101.17735184561192</v>
      </c>
      <c r="AB167" s="59">
        <v>100.73858729335142</v>
      </c>
      <c r="AC167" s="59">
        <v>100.30595757450622</v>
      </c>
      <c r="AD167" s="59">
        <v>99.87915834673889</v>
      </c>
      <c r="AE167" s="59">
        <v>99.457910080929139</v>
      </c>
      <c r="AF167" s="59">
        <v>99.041955446860257</v>
      </c>
      <c r="AG167" s="59">
        <v>98.631056609855406</v>
      </c>
      <c r="AH167" s="59">
        <v>98.224992778365305</v>
      </c>
      <c r="AI167" s="59">
        <v>97.823558225878031</v>
      </c>
      <c r="AJ167" s="59">
        <v>97.426560782858061</v>
      </c>
      <c r="AK167" s="59">
        <v>97.03382066582617</v>
      </c>
      <c r="AL167" s="59">
        <v>96.645169669316189</v>
      </c>
      <c r="AM167" s="59">
        <v>96.260450270205496</v>
      </c>
      <c r="AN167" s="60">
        <v>95.879514973282539</v>
      </c>
      <c r="AO167" s="8"/>
    </row>
    <row r="168" spans="2:41" hidden="1" x14ac:dyDescent="0.3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</row>
    <row r="169" spans="2:41" hidden="1" x14ac:dyDescent="0.35">
      <c r="B169" s="8"/>
      <c r="C169" s="23" t="s">
        <v>85</v>
      </c>
      <c r="D169" s="24"/>
      <c r="E169" s="26">
        <f t="array" ref="E169:AN169">_yS</f>
        <v>2024</v>
      </c>
      <c r="F169" s="26">
        <v>2025</v>
      </c>
      <c r="G169" s="26">
        <v>2026</v>
      </c>
      <c r="H169" s="26">
        <v>2027</v>
      </c>
      <c r="I169" s="26">
        <v>2028</v>
      </c>
      <c r="J169" s="26">
        <v>2029</v>
      </c>
      <c r="K169" s="26">
        <v>2030</v>
      </c>
      <c r="L169" s="26">
        <v>2031</v>
      </c>
      <c r="M169" s="26">
        <v>2032</v>
      </c>
      <c r="N169" s="26">
        <v>2033</v>
      </c>
      <c r="O169" s="26">
        <v>2034</v>
      </c>
      <c r="P169" s="26">
        <v>2035</v>
      </c>
      <c r="Q169" s="26">
        <v>2036</v>
      </c>
      <c r="R169" s="26">
        <v>2037</v>
      </c>
      <c r="S169" s="26">
        <v>2038</v>
      </c>
      <c r="T169" s="26">
        <v>2039</v>
      </c>
      <c r="U169" s="26">
        <v>2040</v>
      </c>
      <c r="V169" s="26">
        <v>2041</v>
      </c>
      <c r="W169" s="26">
        <v>2042</v>
      </c>
      <c r="X169" s="26">
        <v>2043</v>
      </c>
      <c r="Y169" s="26">
        <v>2044</v>
      </c>
      <c r="Z169" s="26">
        <v>2045</v>
      </c>
      <c r="AA169" s="26">
        <v>2046</v>
      </c>
      <c r="AB169" s="26">
        <v>2047</v>
      </c>
      <c r="AC169" s="26">
        <v>2048</v>
      </c>
      <c r="AD169" s="26">
        <v>2049</v>
      </c>
      <c r="AE169" s="26">
        <v>2050</v>
      </c>
      <c r="AF169" s="26">
        <v>2051</v>
      </c>
      <c r="AG169" s="26">
        <v>2052</v>
      </c>
      <c r="AH169" s="26">
        <v>2053</v>
      </c>
      <c r="AI169" s="26">
        <v>2054</v>
      </c>
      <c r="AJ169" s="26">
        <v>2055</v>
      </c>
      <c r="AK169" s="26">
        <v>2056</v>
      </c>
      <c r="AL169" s="26">
        <v>2057</v>
      </c>
      <c r="AM169" s="26">
        <v>2058</v>
      </c>
      <c r="AN169" s="27">
        <v>2059</v>
      </c>
      <c r="AO169" s="8"/>
    </row>
    <row r="170" spans="2:41" hidden="1" x14ac:dyDescent="0.35">
      <c r="B170" s="8"/>
      <c r="C170" s="19" t="str">
        <f>"EL 0: " &amp; INDEX(_doName,2,1)</f>
        <v>EL 0: Baseline</v>
      </c>
      <c r="D170" s="11"/>
      <c r="E170" s="32">
        <f t="array" ref="E170:AN170">tlccQu0_Com</f>
        <v>88.18009260002971</v>
      </c>
      <c r="F170" s="32">
        <v>87.58507335541681</v>
      </c>
      <c r="G170" s="32">
        <v>87.017157872369921</v>
      </c>
      <c r="H170" s="32">
        <v>86.471910670519634</v>
      </c>
      <c r="I170" s="32">
        <v>85.946151309620845</v>
      </c>
      <c r="J170" s="32">
        <v>85.437736571699901</v>
      </c>
      <c r="K170" s="32">
        <v>84.945187253629868</v>
      </c>
      <c r="L170" s="32">
        <v>84.467417844927056</v>
      </c>
      <c r="M170" s="32">
        <v>84.003485499444707</v>
      </c>
      <c r="N170" s="32">
        <v>83.552469897312406</v>
      </c>
      <c r="O170" s="32">
        <v>83.113444666326942</v>
      </c>
      <c r="P170" s="32">
        <v>82.685481813377933</v>
      </c>
      <c r="Q170" s="32">
        <v>82.267693798668716</v>
      </c>
      <c r="R170" s="32">
        <v>81.859277547584071</v>
      </c>
      <c r="S170" s="32">
        <v>81.45950144336841</v>
      </c>
      <c r="T170" s="32">
        <v>81.067794489203166</v>
      </c>
      <c r="U170" s="32">
        <v>80.683627704977553</v>
      </c>
      <c r="V170" s="32">
        <v>80.306541345337649</v>
      </c>
      <c r="W170" s="32">
        <v>79.936125633817198</v>
      </c>
      <c r="X170" s="32">
        <v>79.572006100424105</v>
      </c>
      <c r="Y170" s="32">
        <v>79.213836240132196</v>
      </c>
      <c r="Z170" s="32">
        <v>78.86129157789216</v>
      </c>
      <c r="AA170" s="32">
        <v>78.514069817260847</v>
      </c>
      <c r="AB170" s="32">
        <v>78.171890762237823</v>
      </c>
      <c r="AC170" s="32">
        <v>77.834496076166133</v>
      </c>
      <c r="AD170" s="32">
        <v>77.501648411764862</v>
      </c>
      <c r="AE170" s="32">
        <v>77.173129772822293</v>
      </c>
      <c r="AF170" s="32">
        <v>76.848739475372682</v>
      </c>
      <c r="AG170" s="32">
        <v>76.528292039425537</v>
      </c>
      <c r="AH170" s="32">
        <v>76.211615276404331</v>
      </c>
      <c r="AI170" s="32">
        <v>75.898548746494384</v>
      </c>
      <c r="AJ170" s="32">
        <v>75.588942582552335</v>
      </c>
      <c r="AK170" s="32">
        <v>75.282656576941264</v>
      </c>
      <c r="AL170" s="32">
        <v>74.979559551362541</v>
      </c>
      <c r="AM170" s="32">
        <v>74.679528658350549</v>
      </c>
      <c r="AN170" s="55">
        <v>74.382448870900873</v>
      </c>
      <c r="AO170" s="8"/>
    </row>
    <row r="171" spans="2:41" hidden="1" x14ac:dyDescent="0.35">
      <c r="B171" s="8"/>
      <c r="C171" s="19" t="str">
        <f>"EL 1: " &amp; INDEX(_doName,2,2)</f>
        <v>EL 1: Tier 1</v>
      </c>
      <c r="D171" s="11"/>
      <c r="E171" s="32">
        <f t="array" ref="E171:AN171">tlccQu1_Com</f>
        <v>90.386577738245563</v>
      </c>
      <c r="F171" s="32">
        <v>89.763468977611524</v>
      </c>
      <c r="G171" s="32">
        <v>89.168743485973991</v>
      </c>
      <c r="H171" s="32">
        <v>88.597756393942831</v>
      </c>
      <c r="I171" s="32">
        <v>88.047177119864884</v>
      </c>
      <c r="J171" s="32">
        <v>87.514761269281621</v>
      </c>
      <c r="K171" s="32">
        <v>86.998959809223948</v>
      </c>
      <c r="L171" s="32">
        <v>86.498635984707434</v>
      </c>
      <c r="M171" s="32">
        <v>86.012802439946029</v>
      </c>
      <c r="N171" s="32">
        <v>85.54049540884472</v>
      </c>
      <c r="O171" s="32">
        <v>85.080744787258723</v>
      </c>
      <c r="P171" s="32">
        <v>84.632578773616686</v>
      </c>
      <c r="Q171" s="32">
        <v>84.195067929370708</v>
      </c>
      <c r="R171" s="32">
        <v>83.767371268564872</v>
      </c>
      <c r="S171" s="32">
        <v>83.348722636467315</v>
      </c>
      <c r="T171" s="32">
        <v>82.938524080787971</v>
      </c>
      <c r="U171" s="32">
        <v>82.536221649458525</v>
      </c>
      <c r="V171" s="32">
        <v>82.141333893584218</v>
      </c>
      <c r="W171" s="32">
        <v>81.753431692076376</v>
      </c>
      <c r="X171" s="32">
        <v>81.372122897059484</v>
      </c>
      <c r="Y171" s="32">
        <v>80.997044645786886</v>
      </c>
      <c r="Z171" s="32">
        <v>80.627857145474309</v>
      </c>
      <c r="AA171" s="32">
        <v>80.264243828945538</v>
      </c>
      <c r="AB171" s="32">
        <v>79.905911272779178</v>
      </c>
      <c r="AC171" s="32">
        <v>79.552588944827576</v>
      </c>
      <c r="AD171" s="32">
        <v>79.204028293180201</v>
      </c>
      <c r="AE171" s="32">
        <v>78.860001030516031</v>
      </c>
      <c r="AF171" s="32">
        <v>78.520296999032084</v>
      </c>
      <c r="AG171" s="32">
        <v>78.184721962646066</v>
      </c>
      <c r="AH171" s="32">
        <v>77.853095604147157</v>
      </c>
      <c r="AI171" s="32">
        <v>77.525249909719108</v>
      </c>
      <c r="AJ171" s="32">
        <v>77.201027937328803</v>
      </c>
      <c r="AK171" s="32">
        <v>76.88028286045315</v>
      </c>
      <c r="AL171" s="32">
        <v>76.562877308162001</v>
      </c>
      <c r="AM171" s="32">
        <v>76.248682633638097</v>
      </c>
      <c r="AN171" s="55">
        <v>75.937578379711624</v>
      </c>
      <c r="AO171" s="8"/>
    </row>
    <row r="172" spans="2:41" hidden="1" x14ac:dyDescent="0.35">
      <c r="B172" s="8"/>
      <c r="C172" s="19" t="str">
        <f>"EL 2: " &amp; INDEX(_doName,2,3)</f>
        <v>EL 2: Tier 2</v>
      </c>
      <c r="D172" s="11"/>
      <c r="E172" s="32">
        <f t="array" ref="E172:AN172">tlccQu2_Com</f>
        <v>92.72628488385557</v>
      </c>
      <c r="F172" s="32">
        <v>92.07405483821951</v>
      </c>
      <c r="G172" s="32">
        <v>91.451534567188531</v>
      </c>
      <c r="H172" s="32">
        <v>90.853862121187078</v>
      </c>
      <c r="I172" s="32">
        <v>90.277551262240507</v>
      </c>
      <c r="J172" s="32">
        <v>89.720252703045261</v>
      </c>
      <c r="K172" s="32">
        <v>89.180345015837901</v>
      </c>
      <c r="L172" s="32">
        <v>88.65663831884784</v>
      </c>
      <c r="M172" s="32">
        <v>88.148099111745665</v>
      </c>
      <c r="N172" s="32">
        <v>87.65371858636837</v>
      </c>
      <c r="O172" s="32">
        <v>87.172481300291508</v>
      </c>
      <c r="P172" s="32">
        <v>86.703370034333958</v>
      </c>
      <c r="Q172" s="32">
        <v>86.245411912194129</v>
      </c>
      <c r="R172" s="32">
        <v>85.797726644036558</v>
      </c>
      <c r="S172" s="32">
        <v>85.359512268522678</v>
      </c>
      <c r="T172" s="32">
        <v>84.93014288777708</v>
      </c>
      <c r="U172" s="32">
        <v>84.509038660517461</v>
      </c>
      <c r="V172" s="32">
        <v>84.095695637105379</v>
      </c>
      <c r="W172" s="32">
        <v>83.689664641273524</v>
      </c>
      <c r="X172" s="32">
        <v>83.290535197928463</v>
      </c>
      <c r="Y172" s="32">
        <v>82.89792748576005</v>
      </c>
      <c r="Z172" s="32">
        <v>82.511485831606251</v>
      </c>
      <c r="AA172" s="32">
        <v>82.13087887337295</v>
      </c>
      <c r="AB172" s="32">
        <v>81.755799474355257</v>
      </c>
      <c r="AC172" s="32">
        <v>81.385964458956622</v>
      </c>
      <c r="AD172" s="32">
        <v>81.021113659074473</v>
      </c>
      <c r="AE172" s="32">
        <v>80.661008118270999</v>
      </c>
      <c r="AF172" s="32">
        <v>80.305427856918101</v>
      </c>
      <c r="AG172" s="32">
        <v>79.954169561217569</v>
      </c>
      <c r="AH172" s="32">
        <v>79.607044486747782</v>
      </c>
      <c r="AI172" s="32">
        <v>79.263876767486678</v>
      </c>
      <c r="AJ172" s="32">
        <v>78.924502126640405</v>
      </c>
      <c r="AK172" s="32">
        <v>78.588766875678303</v>
      </c>
      <c r="AL172" s="32">
        <v>78.256527223574324</v>
      </c>
      <c r="AM172" s="32">
        <v>77.927648511140859</v>
      </c>
      <c r="AN172" s="55">
        <v>77.602004651584835</v>
      </c>
      <c r="AO172" s="8"/>
    </row>
    <row r="173" spans="2:41" hidden="1" x14ac:dyDescent="0.35">
      <c r="B173" s="8"/>
      <c r="C173" s="19" t="str">
        <f>"EL 3: " &amp; INDEX(_doName,2,4)</f>
        <v>EL 3: EL 3</v>
      </c>
      <c r="D173" s="11"/>
      <c r="E173" s="32">
        <f t="array" ref="E173:AN173">tlccQu3_Com</f>
        <v>101.47795893284525</v>
      </c>
      <c r="F173" s="32">
        <v>100.83823138718499</v>
      </c>
      <c r="G173" s="32">
        <v>100.22764411391387</v>
      </c>
      <c r="H173" s="32">
        <v>99.64142836143894</v>
      </c>
      <c r="I173" s="32">
        <v>99.076164718958779</v>
      </c>
      <c r="J173" s="32">
        <v>98.529548932305929</v>
      </c>
      <c r="K173" s="32">
        <v>97.999990654622721</v>
      </c>
      <c r="L173" s="32">
        <v>97.486322812803863</v>
      </c>
      <c r="M173" s="32">
        <v>96.987531717532804</v>
      </c>
      <c r="N173" s="32">
        <v>96.502627898339043</v>
      </c>
      <c r="O173" s="32">
        <v>96.030615377661718</v>
      </c>
      <c r="P173" s="32">
        <v>95.570496435241722</v>
      </c>
      <c r="Q173" s="32">
        <v>95.121316843697471</v>
      </c>
      <c r="R173" s="32">
        <v>94.682213187337396</v>
      </c>
      <c r="S173" s="32">
        <v>94.252398877499587</v>
      </c>
      <c r="T173" s="32">
        <v>93.831260014051225</v>
      </c>
      <c r="U173" s="32">
        <v>93.418227870600589</v>
      </c>
      <c r="V173" s="32">
        <v>93.012808157644344</v>
      </c>
      <c r="W173" s="32">
        <v>92.614560309107731</v>
      </c>
      <c r="X173" s="32">
        <v>92.223081718232805</v>
      </c>
      <c r="Y173" s="32">
        <v>91.837999844447225</v>
      </c>
      <c r="Z173" s="32">
        <v>91.458965832434458</v>
      </c>
      <c r="AA173" s="32">
        <v>91.085654671930712</v>
      </c>
      <c r="AB173" s="32">
        <v>90.717765113688543</v>
      </c>
      <c r="AC173" s="32">
        <v>90.355019410261988</v>
      </c>
      <c r="AD173" s="32">
        <v>89.997162380671796</v>
      </c>
      <c r="AE173" s="32">
        <v>89.643959649000323</v>
      </c>
      <c r="AF173" s="32">
        <v>89.295195452375978</v>
      </c>
      <c r="AG173" s="32">
        <v>88.950670374292244</v>
      </c>
      <c r="AH173" s="32">
        <v>88.610199288341065</v>
      </c>
      <c r="AI173" s="32">
        <v>88.273609699649796</v>
      </c>
      <c r="AJ173" s="32">
        <v>87.94074048042178</v>
      </c>
      <c r="AK173" s="32">
        <v>87.61144088815881</v>
      </c>
      <c r="AL173" s="32">
        <v>87.285569888143428</v>
      </c>
      <c r="AM173" s="32">
        <v>86.96299540244982</v>
      </c>
      <c r="AN173" s="55">
        <v>86.643593761223755</v>
      </c>
      <c r="AO173" s="8"/>
    </row>
    <row r="174" spans="2:41" hidden="1" x14ac:dyDescent="0.35">
      <c r="B174" s="8"/>
      <c r="C174" s="35" t="str">
        <f>"EL 4: " &amp; INDEX(_doName,2,5)</f>
        <v>EL 4: EL 4</v>
      </c>
      <c r="D174" s="15"/>
      <c r="E174" s="59">
        <f t="array" ref="E174:AN174">tlccQu4_Com</f>
        <v>110.27178938147506</v>
      </c>
      <c r="F174" s="59">
        <v>109.53098562670704</v>
      </c>
      <c r="G174" s="59">
        <v>108.82392627351635</v>
      </c>
      <c r="H174" s="59">
        <v>108.14508911309774</v>
      </c>
      <c r="I174" s="59">
        <v>107.49051447171512</v>
      </c>
      <c r="J174" s="59">
        <v>106.8575340257192</v>
      </c>
      <c r="K174" s="59">
        <v>106.24430615529614</v>
      </c>
      <c r="L174" s="59">
        <v>105.64947939114569</v>
      </c>
      <c r="M174" s="59">
        <v>105.07187988221681</v>
      </c>
      <c r="N174" s="59">
        <v>104.51036182285398</v>
      </c>
      <c r="O174" s="59">
        <v>103.96377187219868</v>
      </c>
      <c r="P174" s="59">
        <v>103.4309546713498</v>
      </c>
      <c r="Q174" s="59">
        <v>102.9108052261079</v>
      </c>
      <c r="R174" s="59">
        <v>102.40232370210506</v>
      </c>
      <c r="S174" s="59">
        <v>101.90459923058455</v>
      </c>
      <c r="T174" s="59">
        <v>101.41692091590562</v>
      </c>
      <c r="U174" s="59">
        <v>100.9386301735673</v>
      </c>
      <c r="V174" s="59">
        <v>100.46915461689892</v>
      </c>
      <c r="W174" s="59">
        <v>100.00798407089762</v>
      </c>
      <c r="X174" s="59">
        <v>99.554652317405413</v>
      </c>
      <c r="Y174" s="59">
        <v>99.108727954872222</v>
      </c>
      <c r="Z174" s="59">
        <v>98.669807009246782</v>
      </c>
      <c r="AA174" s="59">
        <v>98.237513119021131</v>
      </c>
      <c r="AB174" s="59">
        <v>97.811497437916671</v>
      </c>
      <c r="AC174" s="59">
        <v>97.391438334713584</v>
      </c>
      <c r="AD174" s="59">
        <v>96.977040310134313</v>
      </c>
      <c r="AE174" s="59">
        <v>96.56803195713853</v>
      </c>
      <c r="AF174" s="59">
        <v>96.164163422571505</v>
      </c>
      <c r="AG174" s="59">
        <v>95.765203782350355</v>
      </c>
      <c r="AH174" s="59">
        <v>95.370938660309605</v>
      </c>
      <c r="AI174" s="59">
        <v>94.981168307587069</v>
      </c>
      <c r="AJ174" s="59">
        <v>94.595706138381416</v>
      </c>
      <c r="AK174" s="59">
        <v>94.214377593054806</v>
      </c>
      <c r="AL174" s="59">
        <v>93.837019353568266</v>
      </c>
      <c r="AM174" s="59">
        <v>93.463478473837114</v>
      </c>
      <c r="AN174" s="60">
        <v>93.09361174431379</v>
      </c>
      <c r="AO174" s="8"/>
    </row>
    <row r="175" spans="2:41" hidden="1" x14ac:dyDescent="0.3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</row>
    <row r="176" spans="2:41" hidden="1" x14ac:dyDescent="0.35">
      <c r="B176" s="8"/>
      <c r="C176" s="23" t="s">
        <v>84</v>
      </c>
      <c r="D176" s="24"/>
      <c r="E176" s="26">
        <f t="array" ref="E176:AN176">_yS</f>
        <v>2024</v>
      </c>
      <c r="F176" s="26">
        <v>2025</v>
      </c>
      <c r="G176" s="26">
        <v>2026</v>
      </c>
      <c r="H176" s="26">
        <v>2027</v>
      </c>
      <c r="I176" s="26">
        <v>2028</v>
      </c>
      <c r="J176" s="26">
        <v>2029</v>
      </c>
      <c r="K176" s="26">
        <v>2030</v>
      </c>
      <c r="L176" s="26">
        <v>2031</v>
      </c>
      <c r="M176" s="26">
        <v>2032</v>
      </c>
      <c r="N176" s="26">
        <v>2033</v>
      </c>
      <c r="O176" s="26">
        <v>2034</v>
      </c>
      <c r="P176" s="26">
        <v>2035</v>
      </c>
      <c r="Q176" s="26">
        <v>2036</v>
      </c>
      <c r="R176" s="26">
        <v>2037</v>
      </c>
      <c r="S176" s="26">
        <v>2038</v>
      </c>
      <c r="T176" s="26">
        <v>2039</v>
      </c>
      <c r="U176" s="26">
        <v>2040</v>
      </c>
      <c r="V176" s="26">
        <v>2041</v>
      </c>
      <c r="W176" s="26">
        <v>2042</v>
      </c>
      <c r="X176" s="26">
        <v>2043</v>
      </c>
      <c r="Y176" s="26">
        <v>2044</v>
      </c>
      <c r="Z176" s="26">
        <v>2045</v>
      </c>
      <c r="AA176" s="26">
        <v>2046</v>
      </c>
      <c r="AB176" s="26">
        <v>2047</v>
      </c>
      <c r="AC176" s="26">
        <v>2048</v>
      </c>
      <c r="AD176" s="26">
        <v>2049</v>
      </c>
      <c r="AE176" s="26">
        <v>2050</v>
      </c>
      <c r="AF176" s="26">
        <v>2051</v>
      </c>
      <c r="AG176" s="26">
        <v>2052</v>
      </c>
      <c r="AH176" s="26">
        <v>2053</v>
      </c>
      <c r="AI176" s="26">
        <v>2054</v>
      </c>
      <c r="AJ176" s="26">
        <v>2055</v>
      </c>
      <c r="AK176" s="26">
        <v>2056</v>
      </c>
      <c r="AL176" s="26">
        <v>2057</v>
      </c>
      <c r="AM176" s="26">
        <v>2058</v>
      </c>
      <c r="AN176" s="27">
        <v>2059</v>
      </c>
      <c r="AO176" s="8"/>
    </row>
    <row r="177" spans="2:41" hidden="1" x14ac:dyDescent="0.35">
      <c r="B177" s="8"/>
      <c r="C177" s="19" t="str">
        <f>"EL 0: " &amp; INDEX(_doName,2,1)</f>
        <v>EL 0: Baseline</v>
      </c>
      <c r="D177" s="11"/>
      <c r="E177" s="32">
        <f t="array" aca="1" ref="E177:AN177" ca="1">tlccEu0_Res</f>
        <v>228.08415514909714</v>
      </c>
      <c r="F177" s="32">
        <f ca="1"/>
        <v>228.26270800239118</v>
      </c>
      <c r="G177" s="32">
        <f ca="1"/>
        <v>228.5434326499435</v>
      </c>
      <c r="H177" s="32">
        <f ca="1"/>
        <v>228.8688213770983</v>
      </c>
      <c r="I177" s="32">
        <f ca="1"/>
        <v>229.17401983639874</v>
      </c>
      <c r="J177" s="32">
        <f ca="1"/>
        <v>229.43003060831523</v>
      </c>
      <c r="K177" s="32">
        <f ca="1"/>
        <v>229.62851326650346</v>
      </c>
      <c r="L177" s="32">
        <f ca="1"/>
        <v>229.78652361726822</v>
      </c>
      <c r="M177" s="32">
        <f ca="1"/>
        <v>229.8677217158652</v>
      </c>
      <c r="N177" s="32">
        <f ca="1"/>
        <v>229.88254423905755</v>
      </c>
      <c r="O177" s="32">
        <f ca="1"/>
        <v>229.776801228349</v>
      </c>
      <c r="P177" s="32">
        <f ca="1"/>
        <v>229.57163454366491</v>
      </c>
      <c r="Q177" s="32">
        <f ca="1"/>
        <v>229.40838345540658</v>
      </c>
      <c r="R177" s="32">
        <f ca="1"/>
        <v>229.23881799393814</v>
      </c>
      <c r="S177" s="32">
        <f ca="1"/>
        <v>229.10949684231321</v>
      </c>
      <c r="T177" s="32">
        <f ca="1"/>
        <v>229.02394473884857</v>
      </c>
      <c r="U177" s="32">
        <f ca="1"/>
        <v>228.90306878355906</v>
      </c>
      <c r="V177" s="32">
        <f ca="1"/>
        <v>228.75425622446701</v>
      </c>
      <c r="W177" s="32">
        <f ca="1"/>
        <v>228.62213360939595</v>
      </c>
      <c r="X177" s="32">
        <f ca="1"/>
        <v>228.45964465469376</v>
      </c>
      <c r="Y177" s="32">
        <f ca="1"/>
        <v>228.30201034126981</v>
      </c>
      <c r="Z177" s="32">
        <f ca="1"/>
        <v>228.21628270033716</v>
      </c>
      <c r="AA177" s="32">
        <f ca="1"/>
        <v>228.10373880413425</v>
      </c>
      <c r="AB177" s="32">
        <f ca="1"/>
        <v>227.99454417444485</v>
      </c>
      <c r="AC177" s="32">
        <f ca="1"/>
        <v>227.90531642100791</v>
      </c>
      <c r="AD177" s="32">
        <f ca="1"/>
        <v>227.78389254899574</v>
      </c>
      <c r="AE177" s="32">
        <f ca="1"/>
        <v>227.68596419526423</v>
      </c>
      <c r="AF177" s="32">
        <f ca="1"/>
        <v>227.68596419526423</v>
      </c>
      <c r="AG177" s="32">
        <f ca="1"/>
        <v>227.68596419526423</v>
      </c>
      <c r="AH177" s="32">
        <f ca="1"/>
        <v>227.68596419526423</v>
      </c>
      <c r="AI177" s="32">
        <f ca="1"/>
        <v>227.68596419526423</v>
      </c>
      <c r="AJ177" s="32">
        <f ca="1"/>
        <v>227.68596419526423</v>
      </c>
      <c r="AK177" s="32">
        <f ca="1"/>
        <v>227.68596419526423</v>
      </c>
      <c r="AL177" s="32">
        <f ca="1"/>
        <v>227.68596419526423</v>
      </c>
      <c r="AM177" s="32">
        <f ca="1"/>
        <v>227.68596419526423</v>
      </c>
      <c r="AN177" s="55">
        <f ca="1"/>
        <v>227.68596419526423</v>
      </c>
      <c r="AO177" s="8"/>
    </row>
    <row r="178" spans="2:41" hidden="1" x14ac:dyDescent="0.35">
      <c r="B178" s="8"/>
      <c r="C178" s="19" t="str">
        <f>"EL 1: " &amp; INDEX(_doName,2,2)</f>
        <v>EL 1: Tier 1</v>
      </c>
      <c r="D178" s="11"/>
      <c r="E178" s="32">
        <f t="array" aca="1" ref="E178:AN178" ca="1">tlccEu1_Res</f>
        <v>194.33312523146355</v>
      </c>
      <c r="F178" s="32">
        <f ca="1"/>
        <v>194.47791125812111</v>
      </c>
      <c r="G178" s="32">
        <f ca="1"/>
        <v>194.70554697244384</v>
      </c>
      <c r="H178" s="32">
        <f ca="1"/>
        <v>194.96940016803703</v>
      </c>
      <c r="I178" s="32">
        <f ca="1"/>
        <v>195.21688135609375</v>
      </c>
      <c r="J178" s="32">
        <f ca="1"/>
        <v>195.42447693221308</v>
      </c>
      <c r="K178" s="32">
        <f ca="1"/>
        <v>195.58542376061342</v>
      </c>
      <c r="L178" s="32">
        <f ca="1"/>
        <v>195.71355215753306</v>
      </c>
      <c r="M178" s="32">
        <f ca="1"/>
        <v>195.77939456694367</v>
      </c>
      <c r="N178" s="32">
        <f ca="1"/>
        <v>195.79141394495116</v>
      </c>
      <c r="O178" s="32">
        <f ca="1"/>
        <v>195.70566840751027</v>
      </c>
      <c r="P178" s="32">
        <f ca="1"/>
        <v>195.53930159493967</v>
      </c>
      <c r="Q178" s="32">
        <f ca="1"/>
        <v>195.40692355683836</v>
      </c>
      <c r="R178" s="32">
        <f ca="1"/>
        <v>195.26942528127768</v>
      </c>
      <c r="S178" s="32">
        <f ca="1"/>
        <v>195.16456055712945</v>
      </c>
      <c r="T178" s="32">
        <f ca="1"/>
        <v>195.09518754569709</v>
      </c>
      <c r="U178" s="32">
        <f ca="1"/>
        <v>194.99717091385992</v>
      </c>
      <c r="V178" s="32">
        <f ca="1"/>
        <v>194.87650087834834</v>
      </c>
      <c r="W178" s="32">
        <f ca="1"/>
        <v>194.76936448643505</v>
      </c>
      <c r="X178" s="32">
        <f ca="1"/>
        <v>194.63760445183993</v>
      </c>
      <c r="Y178" s="32">
        <f ca="1"/>
        <v>194.50978097837265</v>
      </c>
      <c r="Z178" s="32">
        <f ca="1"/>
        <v>194.44026562604762</v>
      </c>
      <c r="AA178" s="32">
        <f ca="1"/>
        <v>194.34900534509907</v>
      </c>
      <c r="AB178" s="32">
        <f ca="1"/>
        <v>194.26046093780786</v>
      </c>
      <c r="AC178" s="32">
        <f ca="1"/>
        <v>194.18810739290851</v>
      </c>
      <c r="AD178" s="32">
        <f ca="1"/>
        <v>194.08964646301752</v>
      </c>
      <c r="AE178" s="32">
        <f ca="1"/>
        <v>194.01023772228712</v>
      </c>
      <c r="AF178" s="32">
        <f ca="1"/>
        <v>194.01023772228712</v>
      </c>
      <c r="AG178" s="32">
        <f ca="1"/>
        <v>194.01023772228712</v>
      </c>
      <c r="AH178" s="32">
        <f ca="1"/>
        <v>194.01023772228712</v>
      </c>
      <c r="AI178" s="32">
        <f ca="1"/>
        <v>194.01023772228712</v>
      </c>
      <c r="AJ178" s="32">
        <f ca="1"/>
        <v>194.01023772228712</v>
      </c>
      <c r="AK178" s="32">
        <f ca="1"/>
        <v>194.01023772228712</v>
      </c>
      <c r="AL178" s="32">
        <f ca="1"/>
        <v>194.01023772228712</v>
      </c>
      <c r="AM178" s="32">
        <f ca="1"/>
        <v>194.01023772228712</v>
      </c>
      <c r="AN178" s="55">
        <f ca="1"/>
        <v>194.01023772228712</v>
      </c>
      <c r="AO178" s="8"/>
    </row>
    <row r="179" spans="2:41" hidden="1" x14ac:dyDescent="0.35">
      <c r="B179" s="8"/>
      <c r="C179" s="19" t="str">
        <f>"EL 2: " &amp; INDEX(_doName,2,3)</f>
        <v>EL 2: Tier 2</v>
      </c>
      <c r="D179" s="11"/>
      <c r="E179" s="32">
        <f t="array" aca="1" ref="E179:AN179" ca="1">tlccEu2_Res</f>
        <v>163.20747211142756</v>
      </c>
      <c r="F179" s="32">
        <f ca="1"/>
        <v>163.32348202280036</v>
      </c>
      <c r="G179" s="32">
        <f ca="1"/>
        <v>163.50587530793638</v>
      </c>
      <c r="H179" s="32">
        <f ca="1"/>
        <v>163.71728787683423</v>
      </c>
      <c r="I179" s="32">
        <f ca="1"/>
        <v>163.91558236253624</v>
      </c>
      <c r="J179" s="32">
        <f ca="1"/>
        <v>164.08191847205563</v>
      </c>
      <c r="K179" s="32">
        <f ca="1"/>
        <v>164.21087723782531</v>
      </c>
      <c r="L179" s="32">
        <f ca="1"/>
        <v>164.31354021100123</v>
      </c>
      <c r="M179" s="32">
        <f ca="1"/>
        <v>164.36629649043385</v>
      </c>
      <c r="N179" s="32">
        <f ca="1"/>
        <v>164.37592702598755</v>
      </c>
      <c r="O179" s="32">
        <f ca="1"/>
        <v>164.30722335044121</v>
      </c>
      <c r="P179" s="32">
        <f ca="1"/>
        <v>164.17392181833037</v>
      </c>
      <c r="Q179" s="32">
        <f ca="1"/>
        <v>164.06785381700206</v>
      </c>
      <c r="R179" s="32">
        <f ca="1"/>
        <v>163.95768322160728</v>
      </c>
      <c r="S179" s="32">
        <f ca="1"/>
        <v>163.87366028351434</v>
      </c>
      <c r="T179" s="32">
        <f ca="1"/>
        <v>163.81807510659004</v>
      </c>
      <c r="U179" s="32">
        <f ca="1"/>
        <v>163.7395392075465</v>
      </c>
      <c r="V179" s="32">
        <f ca="1"/>
        <v>163.64285225198719</v>
      </c>
      <c r="W179" s="32">
        <f ca="1"/>
        <v>163.55700913841065</v>
      </c>
      <c r="X179" s="32">
        <f ca="1"/>
        <v>163.45143631285057</v>
      </c>
      <c r="Y179" s="32">
        <f ca="1"/>
        <v>163.34901765981729</v>
      </c>
      <c r="Z179" s="32">
        <f ca="1"/>
        <v>163.29331843214703</v>
      </c>
      <c r="AA179" s="32">
        <f ca="1"/>
        <v>163.22019606427008</v>
      </c>
      <c r="AB179" s="32">
        <f ca="1"/>
        <v>163.14924979217778</v>
      </c>
      <c r="AC179" s="32">
        <f ca="1"/>
        <v>163.09127646059977</v>
      </c>
      <c r="AD179" s="32">
        <f ca="1"/>
        <v>163.01238456741072</v>
      </c>
      <c r="AE179" s="32">
        <f ca="1"/>
        <v>162.94875825493412</v>
      </c>
      <c r="AF179" s="32">
        <f ca="1"/>
        <v>162.94875825493412</v>
      </c>
      <c r="AG179" s="32">
        <f ca="1"/>
        <v>162.94875825493412</v>
      </c>
      <c r="AH179" s="32">
        <f ca="1"/>
        <v>162.94875825493412</v>
      </c>
      <c r="AI179" s="32">
        <f ca="1"/>
        <v>162.94875825493412</v>
      </c>
      <c r="AJ179" s="32">
        <f ca="1"/>
        <v>162.94875825493412</v>
      </c>
      <c r="AK179" s="32">
        <f ca="1"/>
        <v>162.94875825493412</v>
      </c>
      <c r="AL179" s="32">
        <f ca="1"/>
        <v>162.94875825493412</v>
      </c>
      <c r="AM179" s="32">
        <f ca="1"/>
        <v>162.94875825493412</v>
      </c>
      <c r="AN179" s="55">
        <f ca="1"/>
        <v>162.94875825493412</v>
      </c>
      <c r="AO179" s="8"/>
    </row>
    <row r="180" spans="2:41" hidden="1" x14ac:dyDescent="0.35">
      <c r="B180" s="8"/>
      <c r="C180" s="19" t="str">
        <f>"EL 3: " &amp; INDEX(_doName,2,4)</f>
        <v>EL 3: EL 3</v>
      </c>
      <c r="D180" s="11"/>
      <c r="E180" s="32">
        <f t="array" aca="1" ref="E180:AN180" ca="1">tlccEu3_Res</f>
        <v>246.24844301275209</v>
      </c>
      <c r="F180" s="32">
        <f ca="1"/>
        <v>246.30225223742968</v>
      </c>
      <c r="G180" s="32">
        <f ca="1"/>
        <v>246.38685226119856</v>
      </c>
      <c r="H180" s="32">
        <f ca="1"/>
        <v>246.48491238627642</v>
      </c>
      <c r="I180" s="32">
        <f ca="1"/>
        <v>246.57688791153282</v>
      </c>
      <c r="J180" s="32">
        <f ca="1"/>
        <v>246.65404008743926</v>
      </c>
      <c r="K180" s="32">
        <f ca="1"/>
        <v>246.71385541803755</v>
      </c>
      <c r="L180" s="32">
        <f ca="1"/>
        <v>246.76147389239307</v>
      </c>
      <c r="M180" s="32">
        <f ca="1"/>
        <v>246.78594399550366</v>
      </c>
      <c r="N180" s="32">
        <f ca="1"/>
        <v>246.79041095565597</v>
      </c>
      <c r="O180" s="32">
        <f ca="1"/>
        <v>246.75854392403855</v>
      </c>
      <c r="P180" s="32">
        <f ca="1"/>
        <v>246.69671427512031</v>
      </c>
      <c r="Q180" s="32">
        <f ca="1"/>
        <v>246.64751643635776</v>
      </c>
      <c r="R180" s="32">
        <f ca="1"/>
        <v>246.59641567910083</v>
      </c>
      <c r="S180" s="32">
        <f ca="1"/>
        <v>246.55744306805053</v>
      </c>
      <c r="T180" s="32">
        <f ca="1"/>
        <v>246.53166082894296</v>
      </c>
      <c r="U180" s="32">
        <f ca="1"/>
        <v>246.49523328765031</v>
      </c>
      <c r="V180" s="32">
        <f ca="1"/>
        <v>246.45038668744593</v>
      </c>
      <c r="W180" s="32">
        <f ca="1"/>
        <v>246.41056981894906</v>
      </c>
      <c r="X180" s="32">
        <f ca="1"/>
        <v>246.3616016590463</v>
      </c>
      <c r="Y180" s="32">
        <f ca="1"/>
        <v>246.31409650843437</v>
      </c>
      <c r="Z180" s="32">
        <f ca="1"/>
        <v>246.28826136882768</v>
      </c>
      <c r="AA180" s="32">
        <f ca="1"/>
        <v>246.2543448019112</v>
      </c>
      <c r="AB180" s="32">
        <f ca="1"/>
        <v>246.22143758002065</v>
      </c>
      <c r="AC180" s="32">
        <f ca="1"/>
        <v>246.19454763598677</v>
      </c>
      <c r="AD180" s="32">
        <f ca="1"/>
        <v>246.15795497286331</v>
      </c>
      <c r="AE180" s="32">
        <f ca="1"/>
        <v>246.1284429897668</v>
      </c>
      <c r="AF180" s="32">
        <f ca="1"/>
        <v>246.1284429897668</v>
      </c>
      <c r="AG180" s="32">
        <f ca="1"/>
        <v>246.1284429897668</v>
      </c>
      <c r="AH180" s="32">
        <f ca="1"/>
        <v>246.1284429897668</v>
      </c>
      <c r="AI180" s="32">
        <f ca="1"/>
        <v>246.1284429897668</v>
      </c>
      <c r="AJ180" s="32">
        <f ca="1"/>
        <v>246.1284429897668</v>
      </c>
      <c r="AK180" s="32">
        <f ca="1"/>
        <v>246.1284429897668</v>
      </c>
      <c r="AL180" s="32">
        <f ca="1"/>
        <v>246.1284429897668</v>
      </c>
      <c r="AM180" s="32">
        <f ca="1"/>
        <v>246.1284429897668</v>
      </c>
      <c r="AN180" s="55">
        <f ca="1"/>
        <v>246.1284429897668</v>
      </c>
      <c r="AO180" s="8"/>
    </row>
    <row r="181" spans="2:41" hidden="1" x14ac:dyDescent="0.35">
      <c r="B181" s="8"/>
      <c r="C181" s="35" t="str">
        <f>"EL 4: " &amp; INDEX(_doName,2,5)</f>
        <v>EL 4: EL 4</v>
      </c>
      <c r="D181" s="15"/>
      <c r="E181" s="59">
        <f t="array" aca="1" ref="E181:AN181" ca="1">tlccEu4_Res</f>
        <v>182.56367632151341</v>
      </c>
      <c r="F181" s="59">
        <f ca="1"/>
        <v>182.58609959281014</v>
      </c>
      <c r="G181" s="59">
        <f ca="1"/>
        <v>182.62135394364026</v>
      </c>
      <c r="H181" s="59">
        <f ca="1"/>
        <v>182.66221736066936</v>
      </c>
      <c r="I181" s="59">
        <f ca="1"/>
        <v>182.70054521556492</v>
      </c>
      <c r="J181" s="59">
        <f ca="1"/>
        <v>182.73269591429454</v>
      </c>
      <c r="K181" s="59">
        <f ca="1"/>
        <v>182.75762203790524</v>
      </c>
      <c r="L181" s="59">
        <f ca="1"/>
        <v>182.77746551224647</v>
      </c>
      <c r="M181" s="59">
        <f ca="1"/>
        <v>182.78766264413221</v>
      </c>
      <c r="N181" s="59">
        <f ca="1"/>
        <v>182.78952410673398</v>
      </c>
      <c r="O181" s="59">
        <f ca="1"/>
        <v>182.77624454175864</v>
      </c>
      <c r="P181" s="59">
        <f ca="1"/>
        <v>182.75047901549092</v>
      </c>
      <c r="Q181" s="59">
        <f ca="1"/>
        <v>182.72997739160775</v>
      </c>
      <c r="R181" s="59">
        <f ca="1"/>
        <v>182.70868278737757</v>
      </c>
      <c r="S181" s="59">
        <f ca="1"/>
        <v>182.69244219970957</v>
      </c>
      <c r="T181" s="59">
        <f ca="1"/>
        <v>182.68169827716449</v>
      </c>
      <c r="U181" s="59">
        <f ca="1"/>
        <v>182.66651826581938</v>
      </c>
      <c r="V181" s="59">
        <f ca="1"/>
        <v>182.64782988126925</v>
      </c>
      <c r="W181" s="59">
        <f ca="1"/>
        <v>182.63123747634535</v>
      </c>
      <c r="X181" s="59">
        <f ca="1"/>
        <v>182.61083156377217</v>
      </c>
      <c r="Y181" s="59">
        <f ca="1"/>
        <v>182.59103531347219</v>
      </c>
      <c r="Z181" s="59">
        <f ca="1"/>
        <v>182.5802693463381</v>
      </c>
      <c r="AA181" s="59">
        <f ca="1"/>
        <v>182.56613570315744</v>
      </c>
      <c r="AB181" s="59">
        <f ca="1"/>
        <v>182.55242267219489</v>
      </c>
      <c r="AC181" s="59">
        <f ca="1"/>
        <v>182.54121714909289</v>
      </c>
      <c r="AD181" s="59">
        <f ca="1"/>
        <v>182.52596832851231</v>
      </c>
      <c r="AE181" s="59">
        <f ca="1"/>
        <v>182.51367015459434</v>
      </c>
      <c r="AF181" s="59">
        <f ca="1"/>
        <v>182.51367015459434</v>
      </c>
      <c r="AG181" s="59">
        <f ca="1"/>
        <v>182.51367015459434</v>
      </c>
      <c r="AH181" s="59">
        <f ca="1"/>
        <v>182.51367015459434</v>
      </c>
      <c r="AI181" s="59">
        <f ca="1"/>
        <v>182.51367015459434</v>
      </c>
      <c r="AJ181" s="59">
        <f ca="1"/>
        <v>182.51367015459434</v>
      </c>
      <c r="AK181" s="59">
        <f ca="1"/>
        <v>182.51367015459434</v>
      </c>
      <c r="AL181" s="59">
        <f ca="1"/>
        <v>182.51367015459434</v>
      </c>
      <c r="AM181" s="59">
        <f ca="1"/>
        <v>182.51367015459434</v>
      </c>
      <c r="AN181" s="60">
        <f ca="1"/>
        <v>182.51367015459434</v>
      </c>
      <c r="AO181" s="8"/>
    </row>
    <row r="182" spans="2:41" hidden="1" x14ac:dyDescent="0.3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</row>
    <row r="183" spans="2:41" hidden="1" x14ac:dyDescent="0.35">
      <c r="B183" s="8"/>
      <c r="C183" s="23" t="s">
        <v>83</v>
      </c>
      <c r="D183" s="24"/>
      <c r="E183" s="26">
        <f t="array" ref="E183:AN183">_yS</f>
        <v>2024</v>
      </c>
      <c r="F183" s="26">
        <v>2025</v>
      </c>
      <c r="G183" s="26">
        <v>2026</v>
      </c>
      <c r="H183" s="26">
        <v>2027</v>
      </c>
      <c r="I183" s="26">
        <v>2028</v>
      </c>
      <c r="J183" s="26">
        <v>2029</v>
      </c>
      <c r="K183" s="26">
        <v>2030</v>
      </c>
      <c r="L183" s="26">
        <v>2031</v>
      </c>
      <c r="M183" s="26">
        <v>2032</v>
      </c>
      <c r="N183" s="26">
        <v>2033</v>
      </c>
      <c r="O183" s="26">
        <v>2034</v>
      </c>
      <c r="P183" s="26">
        <v>2035</v>
      </c>
      <c r="Q183" s="26">
        <v>2036</v>
      </c>
      <c r="R183" s="26">
        <v>2037</v>
      </c>
      <c r="S183" s="26">
        <v>2038</v>
      </c>
      <c r="T183" s="26">
        <v>2039</v>
      </c>
      <c r="U183" s="26">
        <v>2040</v>
      </c>
      <c r="V183" s="26">
        <v>2041</v>
      </c>
      <c r="W183" s="26">
        <v>2042</v>
      </c>
      <c r="X183" s="26">
        <v>2043</v>
      </c>
      <c r="Y183" s="26">
        <v>2044</v>
      </c>
      <c r="Z183" s="26">
        <v>2045</v>
      </c>
      <c r="AA183" s="26">
        <v>2046</v>
      </c>
      <c r="AB183" s="26">
        <v>2047</v>
      </c>
      <c r="AC183" s="26">
        <v>2048</v>
      </c>
      <c r="AD183" s="26">
        <v>2049</v>
      </c>
      <c r="AE183" s="26">
        <v>2050</v>
      </c>
      <c r="AF183" s="26">
        <v>2051</v>
      </c>
      <c r="AG183" s="26">
        <v>2052</v>
      </c>
      <c r="AH183" s="26">
        <v>2053</v>
      </c>
      <c r="AI183" s="26">
        <v>2054</v>
      </c>
      <c r="AJ183" s="26">
        <v>2055</v>
      </c>
      <c r="AK183" s="26">
        <v>2056</v>
      </c>
      <c r="AL183" s="26">
        <v>2057</v>
      </c>
      <c r="AM183" s="26">
        <v>2058</v>
      </c>
      <c r="AN183" s="27">
        <v>2059</v>
      </c>
      <c r="AO183" s="8"/>
    </row>
    <row r="184" spans="2:41" hidden="1" x14ac:dyDescent="0.35">
      <c r="B184" s="8"/>
      <c r="C184" s="19" t="str">
        <f>"EL 0: " &amp; INDEX(_doName,2,1)</f>
        <v>EL 0: Baseline</v>
      </c>
      <c r="D184" s="11"/>
      <c r="E184" s="32">
        <f t="array" aca="1" ref="E184:AN184" ca="1">tlccEu0_Com</f>
        <v>290.81264979771117</v>
      </c>
      <c r="F184" s="32">
        <f ca="1"/>
        <v>290.75221213494444</v>
      </c>
      <c r="G184" s="32">
        <f ca="1"/>
        <v>290.79685447080101</v>
      </c>
      <c r="H184" s="32">
        <f ca="1"/>
        <v>290.89907787045223</v>
      </c>
      <c r="I184" s="32">
        <f ca="1"/>
        <v>290.96540297590656</v>
      </c>
      <c r="J184" s="32">
        <f ca="1"/>
        <v>290.96175204267615</v>
      </c>
      <c r="K184" s="32">
        <f ca="1"/>
        <v>290.86957953798526</v>
      </c>
      <c r="L184" s="32">
        <f ca="1"/>
        <v>290.72489683328445</v>
      </c>
      <c r="M184" s="32">
        <f ca="1"/>
        <v>290.4450209216983</v>
      </c>
      <c r="N184" s="32">
        <f ca="1"/>
        <v>290.10484465965214</v>
      </c>
      <c r="O184" s="32">
        <f ca="1"/>
        <v>289.55939347353274</v>
      </c>
      <c r="P184" s="32">
        <f ca="1"/>
        <v>288.86760499257042</v>
      </c>
      <c r="Q184" s="32">
        <f ca="1"/>
        <v>288.26850838710448</v>
      </c>
      <c r="R184" s="32">
        <f ca="1"/>
        <v>287.67630563997204</v>
      </c>
      <c r="S184" s="32">
        <f ca="1"/>
        <v>287.15555029478446</v>
      </c>
      <c r="T184" s="32">
        <f ca="1"/>
        <v>286.72959720848712</v>
      </c>
      <c r="U184" s="32">
        <f ca="1"/>
        <v>286.22558524668011</v>
      </c>
      <c r="V184" s="32">
        <f ca="1"/>
        <v>285.6884295151865</v>
      </c>
      <c r="W184" s="32">
        <f ca="1"/>
        <v>285.22133350658777</v>
      </c>
      <c r="X184" s="32">
        <f ca="1"/>
        <v>284.7282479227585</v>
      </c>
      <c r="Y184" s="32">
        <f ca="1"/>
        <v>284.23787993939192</v>
      </c>
      <c r="Z184" s="32">
        <f ca="1"/>
        <v>283.92235012809783</v>
      </c>
      <c r="AA184" s="32">
        <f ca="1"/>
        <v>283.58313402433566</v>
      </c>
      <c r="AB184" s="32">
        <f ca="1"/>
        <v>283.26955279623166</v>
      </c>
      <c r="AC184" s="32">
        <f ca="1"/>
        <v>283.05242917444616</v>
      </c>
      <c r="AD184" s="32">
        <f ca="1"/>
        <v>282.80064997679381</v>
      </c>
      <c r="AE184" s="32">
        <f ca="1"/>
        <v>282.6037312238193</v>
      </c>
      <c r="AF184" s="32">
        <f ca="1"/>
        <v>282.6037312238193</v>
      </c>
      <c r="AG184" s="32">
        <f ca="1"/>
        <v>282.6037312238193</v>
      </c>
      <c r="AH184" s="32">
        <f ca="1"/>
        <v>282.6037312238193</v>
      </c>
      <c r="AI184" s="32">
        <f ca="1"/>
        <v>282.6037312238193</v>
      </c>
      <c r="AJ184" s="32">
        <f ca="1"/>
        <v>282.6037312238193</v>
      </c>
      <c r="AK184" s="32">
        <f ca="1"/>
        <v>282.6037312238193</v>
      </c>
      <c r="AL184" s="32">
        <f ca="1"/>
        <v>282.6037312238193</v>
      </c>
      <c r="AM184" s="32">
        <f ca="1"/>
        <v>282.6037312238193</v>
      </c>
      <c r="AN184" s="55">
        <f ca="1"/>
        <v>282.6037312238193</v>
      </c>
      <c r="AO184" s="8"/>
    </row>
    <row r="185" spans="2:41" hidden="1" x14ac:dyDescent="0.35">
      <c r="B185" s="8"/>
      <c r="C185" s="19" t="str">
        <f>"EL 1: " &amp; INDEX(_doName,2,2)</f>
        <v>EL 1: Tier 1</v>
      </c>
      <c r="D185" s="11"/>
      <c r="E185" s="32">
        <f t="array" aca="1" ref="E185:AN185" ca="1">tlccEu1_Com</f>
        <v>245.41490115420177</v>
      </c>
      <c r="F185" s="32">
        <f ca="1"/>
        <v>245.36617388363109</v>
      </c>
      <c r="G185" s="32">
        <f ca="1"/>
        <v>245.40216632739231</v>
      </c>
      <c r="H185" s="32">
        <f ca="1"/>
        <v>245.4845829369275</v>
      </c>
      <c r="I185" s="32">
        <f ca="1"/>
        <v>245.53805690020064</v>
      </c>
      <c r="J185" s="32">
        <f ca="1"/>
        <v>245.5351133712287</v>
      </c>
      <c r="K185" s="32">
        <f ca="1"/>
        <v>245.46080019679977</v>
      </c>
      <c r="L185" s="32">
        <f ca="1"/>
        <v>245.34415119059861</v>
      </c>
      <c r="M185" s="32">
        <f ca="1"/>
        <v>245.11850399238182</v>
      </c>
      <c r="N185" s="32">
        <f ca="1"/>
        <v>244.8442402302897</v>
      </c>
      <c r="O185" s="32">
        <f ca="1"/>
        <v>244.40447558168401</v>
      </c>
      <c r="P185" s="32">
        <f ca="1"/>
        <v>243.84672792986518</v>
      </c>
      <c r="Q185" s="32">
        <f ca="1"/>
        <v>243.36371219007361</v>
      </c>
      <c r="R185" s="32">
        <f ca="1"/>
        <v>242.88625455569053</v>
      </c>
      <c r="S185" s="32">
        <f ca="1"/>
        <v>242.46640068569488</v>
      </c>
      <c r="T185" s="32">
        <f ca="1"/>
        <v>242.12298020356019</v>
      </c>
      <c r="U185" s="32">
        <f ca="1"/>
        <v>241.71662552156926</v>
      </c>
      <c r="V185" s="32">
        <f ca="1"/>
        <v>241.28354900158325</v>
      </c>
      <c r="W185" s="32">
        <f ca="1"/>
        <v>240.90695744341292</v>
      </c>
      <c r="X185" s="32">
        <f ca="1"/>
        <v>240.5094120460916</v>
      </c>
      <c r="Y185" s="32">
        <f ca="1"/>
        <v>240.1140576873874</v>
      </c>
      <c r="Z185" s="32">
        <f ca="1"/>
        <v>239.85966488355916</v>
      </c>
      <c r="AA185" s="32">
        <f ca="1"/>
        <v>239.58617523963031</v>
      </c>
      <c r="AB185" s="32">
        <f ca="1"/>
        <v>239.3333534618144</v>
      </c>
      <c r="AC185" s="32">
        <f ca="1"/>
        <v>239.15829967942585</v>
      </c>
      <c r="AD185" s="32">
        <f ca="1"/>
        <v>238.95530518019385</v>
      </c>
      <c r="AE185" s="32">
        <f ca="1"/>
        <v>238.79654137435853</v>
      </c>
      <c r="AF185" s="32">
        <f ca="1"/>
        <v>238.79654137435853</v>
      </c>
      <c r="AG185" s="32">
        <f ca="1"/>
        <v>238.79654137435853</v>
      </c>
      <c r="AH185" s="32">
        <f ca="1"/>
        <v>238.79654137435853</v>
      </c>
      <c r="AI185" s="32">
        <f ca="1"/>
        <v>238.79654137435853</v>
      </c>
      <c r="AJ185" s="32">
        <f ca="1"/>
        <v>238.79654137435853</v>
      </c>
      <c r="AK185" s="32">
        <f ca="1"/>
        <v>238.79654137435853</v>
      </c>
      <c r="AL185" s="32">
        <f ca="1"/>
        <v>238.79654137435853</v>
      </c>
      <c r="AM185" s="32">
        <f ca="1"/>
        <v>238.79654137435853</v>
      </c>
      <c r="AN185" s="55">
        <f ca="1"/>
        <v>238.79654137435853</v>
      </c>
      <c r="AO185" s="8"/>
    </row>
    <row r="186" spans="2:41" hidden="1" x14ac:dyDescent="0.35">
      <c r="B186" s="8"/>
      <c r="C186" s="19" t="str">
        <f>"EL 2: " &amp; INDEX(_doName,2,3)</f>
        <v>EL 2: Tier 2</v>
      </c>
      <c r="D186" s="11"/>
      <c r="E186" s="32">
        <f t="array" aca="1" ref="E186:AN186" ca="1">tlccEu2_Com</f>
        <v>204.05305885517197</v>
      </c>
      <c r="F186" s="32">
        <f ca="1"/>
        <v>204.01426828972879</v>
      </c>
      <c r="G186" s="32">
        <f ca="1"/>
        <v>204.04292097699869</v>
      </c>
      <c r="H186" s="32">
        <f ca="1"/>
        <v>204.10853078539407</v>
      </c>
      <c r="I186" s="32">
        <f ca="1"/>
        <v>204.15110007457352</v>
      </c>
      <c r="J186" s="32">
        <f ca="1"/>
        <v>204.14875680453434</v>
      </c>
      <c r="K186" s="32">
        <f ca="1"/>
        <v>204.08959793882713</v>
      </c>
      <c r="L186" s="32">
        <f ca="1"/>
        <v>203.99673657278055</v>
      </c>
      <c r="M186" s="32">
        <f ca="1"/>
        <v>203.81710446314327</v>
      </c>
      <c r="N186" s="32">
        <f ca="1"/>
        <v>203.59876991890349</v>
      </c>
      <c r="O186" s="32">
        <f ca="1"/>
        <v>203.24868424446476</v>
      </c>
      <c r="P186" s="32">
        <f ca="1"/>
        <v>202.80467524221166</v>
      </c>
      <c r="Q186" s="32">
        <f ca="1"/>
        <v>202.42015845222977</v>
      </c>
      <c r="R186" s="32">
        <f ca="1"/>
        <v>202.04006633141273</v>
      </c>
      <c r="S186" s="32">
        <f ca="1"/>
        <v>201.70583113149576</v>
      </c>
      <c r="T186" s="32">
        <f ca="1"/>
        <v>201.43244264634728</v>
      </c>
      <c r="U186" s="32">
        <f ca="1"/>
        <v>201.10895381349735</v>
      </c>
      <c r="V186" s="32">
        <f ca="1"/>
        <v>200.76419239153319</v>
      </c>
      <c r="W186" s="32">
        <f ca="1"/>
        <v>200.46439723963101</v>
      </c>
      <c r="X186" s="32">
        <f ca="1"/>
        <v>200.14792125871145</v>
      </c>
      <c r="Y186" s="32">
        <f ca="1"/>
        <v>199.83318950901747</v>
      </c>
      <c r="Z186" s="32">
        <f ca="1"/>
        <v>199.63067373931443</v>
      </c>
      <c r="AA186" s="32">
        <f ca="1"/>
        <v>199.41295545124746</v>
      </c>
      <c r="AB186" s="32">
        <f ca="1"/>
        <v>199.21169033619077</v>
      </c>
      <c r="AC186" s="32">
        <f ca="1"/>
        <v>199.07233438371748</v>
      </c>
      <c r="AD186" s="32">
        <f ca="1"/>
        <v>198.91073552306261</v>
      </c>
      <c r="AE186" s="32">
        <f ca="1"/>
        <v>198.78434761485187</v>
      </c>
      <c r="AF186" s="32">
        <f ca="1"/>
        <v>198.78434761485187</v>
      </c>
      <c r="AG186" s="32">
        <f ca="1"/>
        <v>198.78434761485187</v>
      </c>
      <c r="AH186" s="32">
        <f ca="1"/>
        <v>198.78434761485187</v>
      </c>
      <c r="AI186" s="32">
        <f ca="1"/>
        <v>198.78434761485187</v>
      </c>
      <c r="AJ186" s="32">
        <f ca="1"/>
        <v>198.78434761485187</v>
      </c>
      <c r="AK186" s="32">
        <f ca="1"/>
        <v>198.78434761485187</v>
      </c>
      <c r="AL186" s="32">
        <f ca="1"/>
        <v>198.78434761485187</v>
      </c>
      <c r="AM186" s="32">
        <f ca="1"/>
        <v>198.78434761485187</v>
      </c>
      <c r="AN186" s="55">
        <f ca="1"/>
        <v>198.78434761485187</v>
      </c>
      <c r="AO186" s="8"/>
    </row>
    <row r="187" spans="2:41" hidden="1" x14ac:dyDescent="0.35">
      <c r="B187" s="8"/>
      <c r="C187" s="19" t="str">
        <f>"EL 3: " &amp; INDEX(_doName,2,4)</f>
        <v>EL 3: EL 3</v>
      </c>
      <c r="D187" s="11"/>
      <c r="E187" s="32">
        <f t="array" aca="1" ref="E187:AN187" ca="1">tlccEu3_Com</f>
        <v>290.99406824194745</v>
      </c>
      <c r="F187" s="32">
        <f ca="1"/>
        <v>290.9767549050402</v>
      </c>
      <c r="G187" s="32">
        <f ca="1"/>
        <v>290.98954341746156</v>
      </c>
      <c r="H187" s="32">
        <f ca="1"/>
        <v>291.01882694824275</v>
      </c>
      <c r="I187" s="32">
        <f ca="1"/>
        <v>291.03782683744384</v>
      </c>
      <c r="J187" s="32">
        <f ca="1"/>
        <v>291.03678096912023</v>
      </c>
      <c r="K187" s="32">
        <f ca="1"/>
        <v>291.01037667824841</v>
      </c>
      <c r="L187" s="32">
        <f ca="1"/>
        <v>290.96892999919976</v>
      </c>
      <c r="M187" s="32">
        <f ca="1"/>
        <v>290.88875505980428</v>
      </c>
      <c r="N187" s="32">
        <f ca="1"/>
        <v>290.79130611881197</v>
      </c>
      <c r="O187" s="32">
        <f ca="1"/>
        <v>290.63505288664754</v>
      </c>
      <c r="P187" s="32">
        <f ca="1"/>
        <v>290.43687899157629</v>
      </c>
      <c r="Q187" s="32">
        <f ca="1"/>
        <v>290.26525816946605</v>
      </c>
      <c r="R187" s="32">
        <f ca="1"/>
        <v>290.09561220353748</v>
      </c>
      <c r="S187" s="32">
        <f ca="1"/>
        <v>289.94643349071555</v>
      </c>
      <c r="T187" s="32">
        <f ca="1"/>
        <v>289.82441240399305</v>
      </c>
      <c r="U187" s="32">
        <f ca="1"/>
        <v>289.68003010162391</v>
      </c>
      <c r="V187" s="32">
        <f ca="1"/>
        <v>289.52615323535713</v>
      </c>
      <c r="W187" s="32">
        <f ca="1"/>
        <v>289.39234609929809</v>
      </c>
      <c r="X187" s="32">
        <f ca="1"/>
        <v>289.25109383297672</v>
      </c>
      <c r="Y187" s="32">
        <f ca="1"/>
        <v>289.11062006685273</v>
      </c>
      <c r="Z187" s="32">
        <f ca="1"/>
        <v>289.02023149659459</v>
      </c>
      <c r="AA187" s="32">
        <f ca="1"/>
        <v>288.92305760832761</v>
      </c>
      <c r="AB187" s="32">
        <f ca="1"/>
        <v>288.83322724094688</v>
      </c>
      <c r="AC187" s="32">
        <f ca="1"/>
        <v>288.77102870046042</v>
      </c>
      <c r="AD187" s="32">
        <f ca="1"/>
        <v>288.69890251497191</v>
      </c>
      <c r="AE187" s="32">
        <f ca="1"/>
        <v>288.64249198290406</v>
      </c>
      <c r="AF187" s="32">
        <f ca="1"/>
        <v>288.64249198290406</v>
      </c>
      <c r="AG187" s="32">
        <f ca="1"/>
        <v>288.64249198290406</v>
      </c>
      <c r="AH187" s="32">
        <f ca="1"/>
        <v>288.64249198290406</v>
      </c>
      <c r="AI187" s="32">
        <f ca="1"/>
        <v>288.64249198290406</v>
      </c>
      <c r="AJ187" s="32">
        <f ca="1"/>
        <v>288.64249198290406</v>
      </c>
      <c r="AK187" s="32">
        <f ca="1"/>
        <v>288.64249198290406</v>
      </c>
      <c r="AL187" s="32">
        <f ca="1"/>
        <v>288.64249198290406</v>
      </c>
      <c r="AM187" s="32">
        <f ca="1"/>
        <v>288.64249198290406</v>
      </c>
      <c r="AN187" s="55">
        <f ca="1"/>
        <v>288.64249198290406</v>
      </c>
      <c r="AO187" s="8"/>
    </row>
    <row r="188" spans="2:41" hidden="1" x14ac:dyDescent="0.35">
      <c r="B188" s="8"/>
      <c r="C188" s="35" t="str">
        <f>"EL 4: " &amp; INDEX(_doName,2,5)</f>
        <v>EL 4: EL 4</v>
      </c>
      <c r="D188" s="15"/>
      <c r="E188" s="59">
        <f t="array" aca="1" ref="E188:AN188" ca="1">tlccEu4_Com</f>
        <v>212.91046714003085</v>
      </c>
      <c r="F188" s="59">
        <f ca="1"/>
        <v>212.90315598851222</v>
      </c>
      <c r="G188" s="59">
        <f ca="1"/>
        <v>212.9085563773865</v>
      </c>
      <c r="H188" s="59">
        <f ca="1"/>
        <v>212.92092235464941</v>
      </c>
      <c r="I188" s="59">
        <f ca="1"/>
        <v>212.92894571083605</v>
      </c>
      <c r="J188" s="59">
        <f ca="1"/>
        <v>212.92850405699289</v>
      </c>
      <c r="K188" s="59">
        <f ca="1"/>
        <v>212.91735393773288</v>
      </c>
      <c r="L188" s="59">
        <f ca="1"/>
        <v>212.89985165310165</v>
      </c>
      <c r="M188" s="59">
        <f ca="1"/>
        <v>212.86599502956028</v>
      </c>
      <c r="N188" s="59">
        <f ca="1"/>
        <v>212.82484386518701</v>
      </c>
      <c r="O188" s="59">
        <f ca="1"/>
        <v>212.75886056793223</v>
      </c>
      <c r="P188" s="59">
        <f ca="1"/>
        <v>212.67517483007265</v>
      </c>
      <c r="Q188" s="59">
        <f ca="1"/>
        <v>212.6027020398235</v>
      </c>
      <c r="R188" s="59">
        <f ca="1"/>
        <v>212.53106320046717</v>
      </c>
      <c r="S188" s="59">
        <f ca="1"/>
        <v>212.46806736213563</v>
      </c>
      <c r="T188" s="59">
        <f ca="1"/>
        <v>212.41653976475391</v>
      </c>
      <c r="U188" s="59">
        <f ca="1"/>
        <v>212.35556937557485</v>
      </c>
      <c r="V188" s="59">
        <f ca="1"/>
        <v>212.29058958048921</v>
      </c>
      <c r="W188" s="59">
        <f ca="1"/>
        <v>212.23408491872257</v>
      </c>
      <c r="X188" s="59">
        <f ca="1"/>
        <v>212.17443629483503</v>
      </c>
      <c r="Y188" s="59">
        <f ca="1"/>
        <v>212.11511641941061</v>
      </c>
      <c r="Z188" s="59">
        <f ca="1"/>
        <v>212.07694673922441</v>
      </c>
      <c r="AA188" s="59">
        <f ca="1"/>
        <v>212.03591172531716</v>
      </c>
      <c r="AB188" s="59">
        <f ca="1"/>
        <v>211.99797776547976</v>
      </c>
      <c r="AC188" s="59">
        <f ca="1"/>
        <v>211.97171229417475</v>
      </c>
      <c r="AD188" s="59">
        <f ca="1"/>
        <v>211.94125453358308</v>
      </c>
      <c r="AE188" s="59">
        <f ca="1"/>
        <v>211.91743324774998</v>
      </c>
      <c r="AF188" s="59">
        <f ca="1"/>
        <v>211.91743324774998</v>
      </c>
      <c r="AG188" s="59">
        <f ca="1"/>
        <v>211.91743324774998</v>
      </c>
      <c r="AH188" s="59">
        <f ca="1"/>
        <v>211.91743324774998</v>
      </c>
      <c r="AI188" s="59">
        <f ca="1"/>
        <v>211.91743324774998</v>
      </c>
      <c r="AJ188" s="59">
        <f ca="1"/>
        <v>211.91743324774998</v>
      </c>
      <c r="AK188" s="59">
        <f ca="1"/>
        <v>211.91743324774998</v>
      </c>
      <c r="AL188" s="59">
        <f ca="1"/>
        <v>211.91743324774998</v>
      </c>
      <c r="AM188" s="59">
        <f ca="1"/>
        <v>211.91743324774998</v>
      </c>
      <c r="AN188" s="60">
        <f ca="1"/>
        <v>211.91743324774998</v>
      </c>
      <c r="AO188" s="8"/>
    </row>
    <row r="189" spans="2:41" hidden="1" x14ac:dyDescent="0.3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</row>
    <row r="190" spans="2:41" hidden="1" x14ac:dyDescent="0.35">
      <c r="B190" s="8"/>
      <c r="C190" s="23" t="s">
        <v>82</v>
      </c>
      <c r="D190" s="24"/>
      <c r="E190" s="26">
        <f t="array" ref="E190:AN190">_yS</f>
        <v>2024</v>
      </c>
      <c r="F190" s="26">
        <v>2025</v>
      </c>
      <c r="G190" s="26">
        <v>2026</v>
      </c>
      <c r="H190" s="26">
        <v>2027</v>
      </c>
      <c r="I190" s="26">
        <v>2028</v>
      </c>
      <c r="J190" s="26">
        <v>2029</v>
      </c>
      <c r="K190" s="26">
        <v>2030</v>
      </c>
      <c r="L190" s="26">
        <v>2031</v>
      </c>
      <c r="M190" s="26">
        <v>2032</v>
      </c>
      <c r="N190" s="26">
        <v>2033</v>
      </c>
      <c r="O190" s="26">
        <v>2034</v>
      </c>
      <c r="P190" s="26">
        <v>2035</v>
      </c>
      <c r="Q190" s="26">
        <v>2036</v>
      </c>
      <c r="R190" s="26">
        <v>2037</v>
      </c>
      <c r="S190" s="26">
        <v>2038</v>
      </c>
      <c r="T190" s="26">
        <v>2039</v>
      </c>
      <c r="U190" s="26">
        <v>2040</v>
      </c>
      <c r="V190" s="26">
        <v>2041</v>
      </c>
      <c r="W190" s="26">
        <v>2042</v>
      </c>
      <c r="X190" s="26">
        <v>2043</v>
      </c>
      <c r="Y190" s="26">
        <v>2044</v>
      </c>
      <c r="Z190" s="26">
        <v>2045</v>
      </c>
      <c r="AA190" s="26">
        <v>2046</v>
      </c>
      <c r="AB190" s="26">
        <v>2047</v>
      </c>
      <c r="AC190" s="26">
        <v>2048</v>
      </c>
      <c r="AD190" s="26">
        <v>2049</v>
      </c>
      <c r="AE190" s="26">
        <v>2050</v>
      </c>
      <c r="AF190" s="26">
        <v>2051</v>
      </c>
      <c r="AG190" s="26">
        <v>2052</v>
      </c>
      <c r="AH190" s="26">
        <v>2053</v>
      </c>
      <c r="AI190" s="26">
        <v>2054</v>
      </c>
      <c r="AJ190" s="26">
        <v>2055</v>
      </c>
      <c r="AK190" s="26">
        <v>2056</v>
      </c>
      <c r="AL190" s="26">
        <v>2057</v>
      </c>
      <c r="AM190" s="26">
        <v>2058</v>
      </c>
      <c r="AN190" s="27">
        <v>2059</v>
      </c>
      <c r="AO190" s="8"/>
    </row>
    <row r="191" spans="2:41" hidden="1" x14ac:dyDescent="0.35">
      <c r="B191" s="8"/>
      <c r="C191" s="19" t="str">
        <f>"EL 0: " &amp; INDEX(_doName,2,1)</f>
        <v>EL 0: Baseline</v>
      </c>
      <c r="D191" s="11"/>
      <c r="E191" s="32">
        <f t="array" aca="1" ref="E191:AN191" ca="1">tlccFuElec0_Res</f>
        <v>7.8432075173868583</v>
      </c>
      <c r="F191" s="32">
        <f ca="1"/>
        <v>7.8044441991119475</v>
      </c>
      <c r="G191" s="32">
        <f ca="1"/>
        <v>7.7763272147561517</v>
      </c>
      <c r="H191" s="32">
        <f ca="1"/>
        <v>7.7543358837777587</v>
      </c>
      <c r="I191" s="32">
        <f ca="1"/>
        <v>7.7390307605795492</v>
      </c>
      <c r="J191" s="32">
        <f ca="1"/>
        <v>7.7269591596839629</v>
      </c>
      <c r="K191" s="32">
        <f ca="1"/>
        <v>7.7165008986138304</v>
      </c>
      <c r="L191" s="32">
        <f ca="1"/>
        <v>7.7052178468278525</v>
      </c>
      <c r="M191" s="32">
        <f ca="1"/>
        <v>7.6943586975651028</v>
      </c>
      <c r="N191" s="32">
        <f ca="1"/>
        <v>7.6840730804830182</v>
      </c>
      <c r="O191" s="32">
        <f ca="1"/>
        <v>7.6733316447479814</v>
      </c>
      <c r="P191" s="32">
        <f ca="1"/>
        <v>7.6642551317687646</v>
      </c>
      <c r="Q191" s="32">
        <f ca="1"/>
        <v>7.6549438677661792</v>
      </c>
      <c r="R191" s="32">
        <f ca="1"/>
        <v>7.6468279389250178</v>
      </c>
      <c r="S191" s="32">
        <f ca="1"/>
        <v>7.6399913704862641</v>
      </c>
      <c r="T191" s="32">
        <f ca="1"/>
        <v>7.6336261748908374</v>
      </c>
      <c r="U191" s="32">
        <f ca="1"/>
        <v>7.6270845801004317</v>
      </c>
      <c r="V191" s="32">
        <f ca="1"/>
        <v>7.6212259825797739</v>
      </c>
      <c r="W191" s="32">
        <f ca="1"/>
        <v>7.616433990158904</v>
      </c>
      <c r="X191" s="32">
        <f ca="1"/>
        <v>7.6123820614477014</v>
      </c>
      <c r="Y191" s="32">
        <f ca="1"/>
        <v>7.6091226740501012</v>
      </c>
      <c r="Z191" s="32">
        <f ca="1"/>
        <v>7.6078589789309348</v>
      </c>
      <c r="AA191" s="32">
        <f ca="1"/>
        <v>7.6078251625142306</v>
      </c>
      <c r="AB191" s="32">
        <f ca="1"/>
        <v>7.608172931840933</v>
      </c>
      <c r="AC191" s="32">
        <f ca="1"/>
        <v>7.6089176297795076</v>
      </c>
      <c r="AD191" s="32">
        <f ca="1"/>
        <v>7.609542706440438</v>
      </c>
      <c r="AE191" s="32">
        <f ca="1"/>
        <v>7.6096902319593678</v>
      </c>
      <c r="AF191" s="32">
        <f ca="1"/>
        <v>7.6096902319593678</v>
      </c>
      <c r="AG191" s="32">
        <f ca="1"/>
        <v>7.6096902319593678</v>
      </c>
      <c r="AH191" s="32">
        <f ca="1"/>
        <v>7.6096902319593678</v>
      </c>
      <c r="AI191" s="32">
        <f ca="1"/>
        <v>7.6096902319593678</v>
      </c>
      <c r="AJ191" s="32">
        <f ca="1"/>
        <v>7.6096902319593678</v>
      </c>
      <c r="AK191" s="32">
        <f ca="1"/>
        <v>7.6096902319593678</v>
      </c>
      <c r="AL191" s="32">
        <f ca="1"/>
        <v>7.6096902319593678</v>
      </c>
      <c r="AM191" s="32">
        <f ca="1"/>
        <v>7.6096902319593678</v>
      </c>
      <c r="AN191" s="55">
        <f ca="1"/>
        <v>7.6096902319593678</v>
      </c>
      <c r="AO191" s="8"/>
    </row>
    <row r="192" spans="2:41" hidden="1" x14ac:dyDescent="0.35">
      <c r="B192" s="8"/>
      <c r="C192" s="19" t="str">
        <f>"EL 1: " &amp; INDEX(_doName,2,2)</f>
        <v>EL 1: Tier 1</v>
      </c>
      <c r="D192" s="11"/>
      <c r="E192" s="32">
        <f t="array" aca="1" ref="E192:AN192" ca="1">tlccFuElec1_Res</f>
        <v>6.359947946747293</v>
      </c>
      <c r="F192" s="32">
        <f ca="1"/>
        <v>6.3285153108103875</v>
      </c>
      <c r="G192" s="32">
        <f ca="1"/>
        <v>6.3057156390528863</v>
      </c>
      <c r="H192" s="32">
        <f ca="1"/>
        <v>6.2878831744658878</v>
      </c>
      <c r="I192" s="32">
        <f ca="1"/>
        <v>6.2754724628222931</v>
      </c>
      <c r="J192" s="32">
        <f ca="1"/>
        <v>6.2656837694644247</v>
      </c>
      <c r="K192" s="32">
        <f ca="1"/>
        <v>6.2572033109438383</v>
      </c>
      <c r="L192" s="32">
        <f ca="1"/>
        <v>6.2480540410972605</v>
      </c>
      <c r="M192" s="32">
        <f ca="1"/>
        <v>6.2392485079140672</v>
      </c>
      <c r="N192" s="32">
        <f ca="1"/>
        <v>6.2309080440034501</v>
      </c>
      <c r="O192" s="32">
        <f ca="1"/>
        <v>6.2221979630835298</v>
      </c>
      <c r="P192" s="32">
        <f ca="1"/>
        <v>6.2148379448820714</v>
      </c>
      <c r="Q192" s="32">
        <f ca="1"/>
        <v>6.2072875703390542</v>
      </c>
      <c r="R192" s="32">
        <f ca="1"/>
        <v>6.2007064764619813</v>
      </c>
      <c r="S192" s="32">
        <f ca="1"/>
        <v>6.1951627981507222</v>
      </c>
      <c r="T192" s="32">
        <f ca="1"/>
        <v>6.1900013495255228</v>
      </c>
      <c r="U192" s="32">
        <f ca="1"/>
        <v>6.1846968612452535</v>
      </c>
      <c r="V192" s="32">
        <f ca="1"/>
        <v>6.179946205956619</v>
      </c>
      <c r="W192" s="32">
        <f ca="1"/>
        <v>6.1760604459164332</v>
      </c>
      <c r="X192" s="32">
        <f ca="1"/>
        <v>6.1727747932507286</v>
      </c>
      <c r="Y192" s="32">
        <f ca="1"/>
        <v>6.1701318013190409</v>
      </c>
      <c r="Z192" s="32">
        <f ca="1"/>
        <v>6.1691070885136421</v>
      </c>
      <c r="AA192" s="32">
        <f ca="1"/>
        <v>6.1690796672514221</v>
      </c>
      <c r="AB192" s="32">
        <f ca="1"/>
        <v>6.1693616685640738</v>
      </c>
      <c r="AC192" s="32">
        <f ca="1"/>
        <v>6.1699655337703536</v>
      </c>
      <c r="AD192" s="32">
        <f ca="1"/>
        <v>6.1704723997454582</v>
      </c>
      <c r="AE192" s="32">
        <f ca="1"/>
        <v>6.1705920261379941</v>
      </c>
      <c r="AF192" s="32">
        <f ca="1"/>
        <v>6.1705920261379941</v>
      </c>
      <c r="AG192" s="32">
        <f ca="1"/>
        <v>6.1705920261379941</v>
      </c>
      <c r="AH192" s="32">
        <f ca="1"/>
        <v>6.1705920261379941</v>
      </c>
      <c r="AI192" s="32">
        <f ca="1"/>
        <v>6.1705920261379941</v>
      </c>
      <c r="AJ192" s="32">
        <f ca="1"/>
        <v>6.1705920261379941</v>
      </c>
      <c r="AK192" s="32">
        <f ca="1"/>
        <v>6.1705920261379941</v>
      </c>
      <c r="AL192" s="32">
        <f ca="1"/>
        <v>6.1705920261379941</v>
      </c>
      <c r="AM192" s="32">
        <f ca="1"/>
        <v>6.1705920261379941</v>
      </c>
      <c r="AN192" s="55">
        <f ca="1"/>
        <v>6.1705920261379941</v>
      </c>
      <c r="AO192" s="8"/>
    </row>
    <row r="193" spans="2:41" hidden="1" x14ac:dyDescent="0.35">
      <c r="B193" s="8"/>
      <c r="C193" s="19" t="str">
        <f>"EL 2: " &amp; INDEX(_doName,2,3)</f>
        <v>EL 2: Tier 2</v>
      </c>
      <c r="D193" s="11"/>
      <c r="E193" s="32">
        <f t="array" aca="1" ref="E193:AN193" ca="1">tlccFuElec2_Res</f>
        <v>5.0959130150230481</v>
      </c>
      <c r="F193" s="32">
        <f ca="1"/>
        <v>5.0707275921377413</v>
      </c>
      <c r="G193" s="32">
        <f ca="1"/>
        <v>5.0524593382117455</v>
      </c>
      <c r="H193" s="32">
        <f ca="1"/>
        <v>5.0381710627196021</v>
      </c>
      <c r="I193" s="32">
        <f ca="1"/>
        <v>5.0282269707993787</v>
      </c>
      <c r="J193" s="32">
        <f ca="1"/>
        <v>5.0203837729776186</v>
      </c>
      <c r="K193" s="32">
        <f ca="1"/>
        <v>5.0135887992906838</v>
      </c>
      <c r="L193" s="32">
        <f ca="1"/>
        <v>5.0062579400321612</v>
      </c>
      <c r="M193" s="32">
        <f ca="1"/>
        <v>4.9992025000304237</v>
      </c>
      <c r="N193" s="32">
        <f ca="1"/>
        <v>4.9925196971286825</v>
      </c>
      <c r="O193" s="32">
        <f ca="1"/>
        <v>4.9855407383237731</v>
      </c>
      <c r="P193" s="32">
        <f ca="1"/>
        <v>4.9796435182745409</v>
      </c>
      <c r="Q193" s="32">
        <f ca="1"/>
        <v>4.9735937750652859</v>
      </c>
      <c r="R193" s="32">
        <f ca="1"/>
        <v>4.9683206687093717</v>
      </c>
      <c r="S193" s="32">
        <f ca="1"/>
        <v>4.963878792345918</v>
      </c>
      <c r="T193" s="32">
        <f ca="1"/>
        <v>4.9597431778022534</v>
      </c>
      <c r="U193" s="32">
        <f ca="1"/>
        <v>4.955492952628747</v>
      </c>
      <c r="V193" s="32">
        <f ca="1"/>
        <v>4.9516864865510453</v>
      </c>
      <c r="W193" s="32">
        <f ca="1"/>
        <v>4.9485730184334065</v>
      </c>
      <c r="X193" s="32">
        <f ca="1"/>
        <v>4.9459403867951908</v>
      </c>
      <c r="Y193" s="32">
        <f ca="1"/>
        <v>4.9438226875473248</v>
      </c>
      <c r="Z193" s="32">
        <f ca="1"/>
        <v>4.9430016356510809</v>
      </c>
      <c r="AA193" s="32">
        <f ca="1"/>
        <v>4.9429796643443655</v>
      </c>
      <c r="AB193" s="32">
        <f ca="1"/>
        <v>4.9432056181055328</v>
      </c>
      <c r="AC193" s="32">
        <f ca="1"/>
        <v>4.9436894655504755</v>
      </c>
      <c r="AD193" s="32">
        <f ca="1"/>
        <v>4.9440955922894094</v>
      </c>
      <c r="AE193" s="32">
        <f ca="1"/>
        <v>4.9441914430252591</v>
      </c>
      <c r="AF193" s="32">
        <f ca="1"/>
        <v>4.9441914430252591</v>
      </c>
      <c r="AG193" s="32">
        <f ca="1"/>
        <v>4.9441914430252591</v>
      </c>
      <c r="AH193" s="32">
        <f ca="1"/>
        <v>4.9441914430252591</v>
      </c>
      <c r="AI193" s="32">
        <f ca="1"/>
        <v>4.9441914430252591</v>
      </c>
      <c r="AJ193" s="32">
        <f ca="1"/>
        <v>4.9441914430252591</v>
      </c>
      <c r="AK193" s="32">
        <f ca="1"/>
        <v>4.9441914430252591</v>
      </c>
      <c r="AL193" s="32">
        <f ca="1"/>
        <v>4.9441914430252591</v>
      </c>
      <c r="AM193" s="32">
        <f ca="1"/>
        <v>4.9441914430252591</v>
      </c>
      <c r="AN193" s="55">
        <f ca="1"/>
        <v>4.9441914430252591</v>
      </c>
      <c r="AO193" s="8"/>
    </row>
    <row r="194" spans="2:41" hidden="1" x14ac:dyDescent="0.35">
      <c r="B194" s="8"/>
      <c r="C194" s="19" t="str">
        <f>"EL 3: " &amp; INDEX(_doName,2,4)</f>
        <v>EL 3: EL 3</v>
      </c>
      <c r="D194" s="11"/>
      <c r="E194" s="32">
        <f t="array" aca="1" ref="E194:AN194" ca="1">tlccFuElec3_Res</f>
        <v>2.363652597592194</v>
      </c>
      <c r="F194" s="32">
        <f ca="1"/>
        <v>2.3519707674571793</v>
      </c>
      <c r="G194" s="32">
        <f ca="1"/>
        <v>2.3434973485196191</v>
      </c>
      <c r="H194" s="32">
        <f ca="1"/>
        <v>2.3368699749002984</v>
      </c>
      <c r="I194" s="32">
        <f ca="1"/>
        <v>2.3322575769593135</v>
      </c>
      <c r="J194" s="32">
        <f ca="1"/>
        <v>2.3286196430208457</v>
      </c>
      <c r="K194" s="32">
        <f ca="1"/>
        <v>2.3254679100225899</v>
      </c>
      <c r="L194" s="32">
        <f ca="1"/>
        <v>2.3220676156145199</v>
      </c>
      <c r="M194" s="32">
        <f ca="1"/>
        <v>2.3187950697452906</v>
      </c>
      <c r="N194" s="32">
        <f ca="1"/>
        <v>2.3156953652583172</v>
      </c>
      <c r="O194" s="32">
        <f ca="1"/>
        <v>2.3124582938916975</v>
      </c>
      <c r="P194" s="32">
        <f ca="1"/>
        <v>2.3097229686522662</v>
      </c>
      <c r="Q194" s="32">
        <f ca="1"/>
        <v>2.3069168981386667</v>
      </c>
      <c r="R194" s="32">
        <f ca="1"/>
        <v>2.3044710574230209</v>
      </c>
      <c r="S194" s="32">
        <f ca="1"/>
        <v>2.3024107686045681</v>
      </c>
      <c r="T194" s="32">
        <f ca="1"/>
        <v>2.3004925341233355</v>
      </c>
      <c r="U194" s="32">
        <f ca="1"/>
        <v>2.2985211394503704</v>
      </c>
      <c r="V194" s="32">
        <f ca="1"/>
        <v>2.2967555748880084</v>
      </c>
      <c r="W194" s="32">
        <f ca="1"/>
        <v>2.2953114456452051</v>
      </c>
      <c r="X194" s="32">
        <f ca="1"/>
        <v>2.2940903442269063</v>
      </c>
      <c r="Y194" s="32">
        <f ca="1"/>
        <v>2.293108085441605</v>
      </c>
      <c r="Z194" s="32">
        <f ca="1"/>
        <v>2.292727254481266</v>
      </c>
      <c r="AA194" s="32">
        <f ca="1"/>
        <v>2.2927170634642611</v>
      </c>
      <c r="AB194" s="32">
        <f ca="1"/>
        <v>2.2928218682741046</v>
      </c>
      <c r="AC194" s="32">
        <f ca="1"/>
        <v>2.2930462926837651</v>
      </c>
      <c r="AD194" s="32">
        <f ca="1"/>
        <v>2.2932346676655597</v>
      </c>
      <c r="AE194" s="32">
        <f ca="1"/>
        <v>2.2932791263994718</v>
      </c>
      <c r="AF194" s="32">
        <f ca="1"/>
        <v>2.2932791263994718</v>
      </c>
      <c r="AG194" s="32">
        <f ca="1"/>
        <v>2.2932791263994718</v>
      </c>
      <c r="AH194" s="32">
        <f ca="1"/>
        <v>2.2932791263994718</v>
      </c>
      <c r="AI194" s="32">
        <f ca="1"/>
        <v>2.2932791263994718</v>
      </c>
      <c r="AJ194" s="32">
        <f ca="1"/>
        <v>2.2932791263994718</v>
      </c>
      <c r="AK194" s="32">
        <f ca="1"/>
        <v>2.2932791263994718</v>
      </c>
      <c r="AL194" s="32">
        <f ca="1"/>
        <v>2.2932791263994718</v>
      </c>
      <c r="AM194" s="32">
        <f ca="1"/>
        <v>2.2932791263994718</v>
      </c>
      <c r="AN194" s="55">
        <f ca="1"/>
        <v>2.2932791263994718</v>
      </c>
      <c r="AO194" s="8"/>
    </row>
    <row r="195" spans="2:41" hidden="1" x14ac:dyDescent="0.35">
      <c r="B195" s="8"/>
      <c r="C195" s="35" t="str">
        <f>"EL 4: " &amp; INDEX(_doName,2,5)</f>
        <v>EL 4: EL 4</v>
      </c>
      <c r="D195" s="15"/>
      <c r="E195" s="59">
        <f t="array" aca="1" ref="E195:AN195" ca="1">tlccFuElec4_Res</f>
        <v>0.98497653078298575</v>
      </c>
      <c r="F195" s="59">
        <f ca="1"/>
        <v>0.98010850215166112</v>
      </c>
      <c r="G195" s="59">
        <f ca="1"/>
        <v>0.97657747614661683</v>
      </c>
      <c r="H195" s="59">
        <f ca="1"/>
        <v>0.97381573041358871</v>
      </c>
      <c r="I195" s="59">
        <f ca="1"/>
        <v>0.97189366127063137</v>
      </c>
      <c r="J195" s="59">
        <f ca="1"/>
        <v>0.97037766879628051</v>
      </c>
      <c r="K195" s="59">
        <f ca="1"/>
        <v>0.96906428499455832</v>
      </c>
      <c r="L195" s="59">
        <f ca="1"/>
        <v>0.96764732118476959</v>
      </c>
      <c r="M195" s="59">
        <f ca="1"/>
        <v>0.9662835924877583</v>
      </c>
      <c r="N195" s="59">
        <f ca="1"/>
        <v>0.96499188990204754</v>
      </c>
      <c r="O195" s="59">
        <f ca="1"/>
        <v>0.96364294406802842</v>
      </c>
      <c r="P195" s="59">
        <f ca="1"/>
        <v>0.96250308486552028</v>
      </c>
      <c r="Q195" s="59">
        <f ca="1"/>
        <v>0.96133374483541878</v>
      </c>
      <c r="R195" s="59">
        <f ca="1"/>
        <v>0.96031451903827791</v>
      </c>
      <c r="S195" s="59">
        <f ca="1"/>
        <v>0.95945595964808794</v>
      </c>
      <c r="T195" s="59">
        <f ca="1"/>
        <v>0.95865659685404725</v>
      </c>
      <c r="U195" s="59">
        <f ca="1"/>
        <v>0.95783508125240635</v>
      </c>
      <c r="V195" s="59">
        <f ca="1"/>
        <v>0.95709933875823405</v>
      </c>
      <c r="W195" s="59">
        <f ca="1"/>
        <v>0.95649754414043464</v>
      </c>
      <c r="X195" s="59">
        <f ca="1"/>
        <v>0.9559886892266648</v>
      </c>
      <c r="Y195" s="59">
        <f ca="1"/>
        <v>0.95557936433193913</v>
      </c>
      <c r="Z195" s="59">
        <f ca="1"/>
        <v>0.95542066522424818</v>
      </c>
      <c r="AA195" s="59">
        <f ca="1"/>
        <v>0.95541641844424974</v>
      </c>
      <c r="AB195" s="59">
        <f ca="1"/>
        <v>0.95546009249267549</v>
      </c>
      <c r="AC195" s="59">
        <f ca="1"/>
        <v>0.95555361417884699</v>
      </c>
      <c r="AD195" s="59">
        <f ca="1"/>
        <v>0.95563211342033616</v>
      </c>
      <c r="AE195" s="59">
        <f ca="1"/>
        <v>0.95565064017402912</v>
      </c>
      <c r="AF195" s="59">
        <f ca="1"/>
        <v>0.95565064017402912</v>
      </c>
      <c r="AG195" s="59">
        <f ca="1"/>
        <v>0.95565064017402912</v>
      </c>
      <c r="AH195" s="59">
        <f ca="1"/>
        <v>0.95565064017402912</v>
      </c>
      <c r="AI195" s="59">
        <f ca="1"/>
        <v>0.95565064017402912</v>
      </c>
      <c r="AJ195" s="59">
        <f ca="1"/>
        <v>0.95565064017402912</v>
      </c>
      <c r="AK195" s="59">
        <f ca="1"/>
        <v>0.95565064017402912</v>
      </c>
      <c r="AL195" s="59">
        <f ca="1"/>
        <v>0.95565064017402912</v>
      </c>
      <c r="AM195" s="59">
        <f ca="1"/>
        <v>0.95565064017402912</v>
      </c>
      <c r="AN195" s="60">
        <f ca="1"/>
        <v>0.95565064017402912</v>
      </c>
      <c r="AO195" s="8"/>
    </row>
    <row r="196" spans="2:41" hidden="1" x14ac:dyDescent="0.3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</row>
    <row r="197" spans="2:41" hidden="1" x14ac:dyDescent="0.35">
      <c r="B197" s="8"/>
      <c r="C197" s="23" t="s">
        <v>81</v>
      </c>
      <c r="D197" s="24"/>
      <c r="E197" s="26">
        <f t="array" ref="E197:AN197">_yS</f>
        <v>2024</v>
      </c>
      <c r="F197" s="26">
        <v>2025</v>
      </c>
      <c r="G197" s="26">
        <v>2026</v>
      </c>
      <c r="H197" s="26">
        <v>2027</v>
      </c>
      <c r="I197" s="26">
        <v>2028</v>
      </c>
      <c r="J197" s="26">
        <v>2029</v>
      </c>
      <c r="K197" s="26">
        <v>2030</v>
      </c>
      <c r="L197" s="26">
        <v>2031</v>
      </c>
      <c r="M197" s="26">
        <v>2032</v>
      </c>
      <c r="N197" s="26">
        <v>2033</v>
      </c>
      <c r="O197" s="26">
        <v>2034</v>
      </c>
      <c r="P197" s="26">
        <v>2035</v>
      </c>
      <c r="Q197" s="26">
        <v>2036</v>
      </c>
      <c r="R197" s="26">
        <v>2037</v>
      </c>
      <c r="S197" s="26">
        <v>2038</v>
      </c>
      <c r="T197" s="26">
        <v>2039</v>
      </c>
      <c r="U197" s="26">
        <v>2040</v>
      </c>
      <c r="V197" s="26">
        <v>2041</v>
      </c>
      <c r="W197" s="26">
        <v>2042</v>
      </c>
      <c r="X197" s="26">
        <v>2043</v>
      </c>
      <c r="Y197" s="26">
        <v>2044</v>
      </c>
      <c r="Z197" s="26">
        <v>2045</v>
      </c>
      <c r="AA197" s="26">
        <v>2046</v>
      </c>
      <c r="AB197" s="26">
        <v>2047</v>
      </c>
      <c r="AC197" s="26">
        <v>2048</v>
      </c>
      <c r="AD197" s="26">
        <v>2049</v>
      </c>
      <c r="AE197" s="26">
        <v>2050</v>
      </c>
      <c r="AF197" s="26">
        <v>2051</v>
      </c>
      <c r="AG197" s="26">
        <v>2052</v>
      </c>
      <c r="AH197" s="26">
        <v>2053</v>
      </c>
      <c r="AI197" s="26">
        <v>2054</v>
      </c>
      <c r="AJ197" s="26">
        <v>2055</v>
      </c>
      <c r="AK197" s="26">
        <v>2056</v>
      </c>
      <c r="AL197" s="26">
        <v>2057</v>
      </c>
      <c r="AM197" s="26">
        <v>2058</v>
      </c>
      <c r="AN197" s="27">
        <v>2059</v>
      </c>
      <c r="AO197" s="8"/>
    </row>
    <row r="198" spans="2:41" hidden="1" x14ac:dyDescent="0.35">
      <c r="B198" s="8"/>
      <c r="C198" s="19" t="str">
        <f>"EL 0: " &amp; INDEX(_doName,2,1)</f>
        <v>EL 0: Baseline</v>
      </c>
      <c r="D198" s="11"/>
      <c r="E198" s="32">
        <f t="array" aca="1" ref="E198:AN198" ca="1">tlccFuElec0_Com</f>
        <v>16.208002449190829</v>
      </c>
      <c r="F198" s="32">
        <f ca="1"/>
        <v>16.124811468746739</v>
      </c>
      <c r="G198" s="32">
        <f ca="1"/>
        <v>16.065319257823646</v>
      </c>
      <c r="H198" s="32">
        <f ca="1"/>
        <v>16.01958470011953</v>
      </c>
      <c r="I198" s="32">
        <f ca="1"/>
        <v>15.98908261186406</v>
      </c>
      <c r="J198" s="32">
        <f ca="1"/>
        <v>15.965888058418578</v>
      </c>
      <c r="K198" s="32">
        <f ca="1"/>
        <v>15.946093305414763</v>
      </c>
      <c r="L198" s="32">
        <f ca="1"/>
        <v>15.924895475412093</v>
      </c>
      <c r="M198" s="32">
        <f ca="1"/>
        <v>15.90486387642377</v>
      </c>
      <c r="N198" s="32">
        <f ca="1"/>
        <v>15.885984168057625</v>
      </c>
      <c r="O198" s="32">
        <f ca="1"/>
        <v>15.866467971380223</v>
      </c>
      <c r="P198" s="32">
        <f ca="1"/>
        <v>15.849725992094269</v>
      </c>
      <c r="Q198" s="32">
        <f ca="1"/>
        <v>15.832287564334083</v>
      </c>
      <c r="R198" s="32">
        <f ca="1"/>
        <v>15.817082833467394</v>
      </c>
      <c r="S198" s="32">
        <f ca="1"/>
        <v>15.804453092593178</v>
      </c>
      <c r="T198" s="32">
        <f ca="1"/>
        <v>15.79287779011004</v>
      </c>
      <c r="U198" s="32">
        <f ca="1"/>
        <v>15.780949083701525</v>
      </c>
      <c r="V198" s="32">
        <f ca="1"/>
        <v>15.770211933259398</v>
      </c>
      <c r="W198" s="32">
        <f ca="1"/>
        <v>15.761535776611066</v>
      </c>
      <c r="X198" s="32">
        <f ca="1"/>
        <v>15.754282799035376</v>
      </c>
      <c r="Y198" s="32">
        <f ca="1"/>
        <v>15.748468124625095</v>
      </c>
      <c r="Z198" s="32">
        <f ca="1"/>
        <v>15.746528555938699</v>
      </c>
      <c r="AA198" s="32">
        <f ca="1"/>
        <v>15.746935679880274</v>
      </c>
      <c r="AB198" s="32">
        <f ca="1"/>
        <v>15.748035060732938</v>
      </c>
      <c r="AC198" s="32">
        <f ca="1"/>
        <v>15.749777646495662</v>
      </c>
      <c r="AD198" s="32">
        <f ca="1"/>
        <v>15.751171286979325</v>
      </c>
      <c r="AE198" s="32">
        <f ca="1"/>
        <v>15.751534322245266</v>
      </c>
      <c r="AF198" s="32">
        <f ca="1"/>
        <v>15.751534322245266</v>
      </c>
      <c r="AG198" s="32">
        <f ca="1"/>
        <v>15.751534322245266</v>
      </c>
      <c r="AH198" s="32">
        <f ca="1"/>
        <v>15.751534322245266</v>
      </c>
      <c r="AI198" s="32">
        <f ca="1"/>
        <v>15.751534322245266</v>
      </c>
      <c r="AJ198" s="32">
        <f ca="1"/>
        <v>15.751534322245266</v>
      </c>
      <c r="AK198" s="32">
        <f ca="1"/>
        <v>15.751534322245266</v>
      </c>
      <c r="AL198" s="32">
        <f ca="1"/>
        <v>15.751534322245266</v>
      </c>
      <c r="AM198" s="32">
        <f ca="1"/>
        <v>15.751534322245266</v>
      </c>
      <c r="AN198" s="55">
        <f ca="1"/>
        <v>15.751534322245266</v>
      </c>
      <c r="AO198" s="8"/>
    </row>
    <row r="199" spans="2:41" hidden="1" x14ac:dyDescent="0.35">
      <c r="B199" s="8"/>
      <c r="C199" s="19" t="str">
        <f>"EL 1: " &amp; INDEX(_doName,2,2)</f>
        <v>EL 1: Tier 1</v>
      </c>
      <c r="D199" s="11"/>
      <c r="E199" s="32">
        <f t="array" aca="1" ref="E199:AN199" ca="1">tlccFuElec1_Com</f>
        <v>13.067542399859448</v>
      </c>
      <c r="F199" s="32">
        <f ca="1"/>
        <v>13.000470490927611</v>
      </c>
      <c r="G199" s="32">
        <f ca="1"/>
        <v>12.952505481597438</v>
      </c>
      <c r="H199" s="32">
        <f ca="1"/>
        <v>12.915632444725018</v>
      </c>
      <c r="I199" s="32">
        <f ca="1"/>
        <v>12.891040436375306</v>
      </c>
      <c r="J199" s="32">
        <f ca="1"/>
        <v>12.872340056020311</v>
      </c>
      <c r="K199" s="32">
        <f ca="1"/>
        <v>12.856380731298891</v>
      </c>
      <c r="L199" s="32">
        <f ca="1"/>
        <v>12.839290189561055</v>
      </c>
      <c r="M199" s="32">
        <f ca="1"/>
        <v>12.823139910096481</v>
      </c>
      <c r="N199" s="32">
        <f ca="1"/>
        <v>12.80791833110518</v>
      </c>
      <c r="O199" s="32">
        <f ca="1"/>
        <v>12.792183589679432</v>
      </c>
      <c r="P199" s="32">
        <f ca="1"/>
        <v>12.778685533712164</v>
      </c>
      <c r="Q199" s="32">
        <f ca="1"/>
        <v>12.764625973019385</v>
      </c>
      <c r="R199" s="32">
        <f ca="1"/>
        <v>12.752367308455279</v>
      </c>
      <c r="S199" s="32">
        <f ca="1"/>
        <v>12.742184704220707</v>
      </c>
      <c r="T199" s="32">
        <f ca="1"/>
        <v>12.73285223055754</v>
      </c>
      <c r="U199" s="32">
        <f ca="1"/>
        <v>12.723234828458953</v>
      </c>
      <c r="V199" s="32">
        <f ca="1"/>
        <v>12.714578106626883</v>
      </c>
      <c r="W199" s="32">
        <f ca="1"/>
        <v>12.707583040749682</v>
      </c>
      <c r="X199" s="32">
        <f ca="1"/>
        <v>12.701735398987989</v>
      </c>
      <c r="Y199" s="32">
        <f ca="1"/>
        <v>12.697047374992684</v>
      </c>
      <c r="Z199" s="32">
        <f ca="1"/>
        <v>12.695483616835173</v>
      </c>
      <c r="AA199" s="32">
        <f ca="1"/>
        <v>12.695811856504756</v>
      </c>
      <c r="AB199" s="32">
        <f ca="1"/>
        <v>12.696698221493333</v>
      </c>
      <c r="AC199" s="32">
        <f ca="1"/>
        <v>12.698103164108019</v>
      </c>
      <c r="AD199" s="32">
        <f ca="1"/>
        <v>12.699226773026981</v>
      </c>
      <c r="AE199" s="32">
        <f ca="1"/>
        <v>12.699519466635904</v>
      </c>
      <c r="AF199" s="32">
        <f ca="1"/>
        <v>12.699519466635904</v>
      </c>
      <c r="AG199" s="32">
        <f ca="1"/>
        <v>12.699519466635904</v>
      </c>
      <c r="AH199" s="32">
        <f ca="1"/>
        <v>12.699519466635904</v>
      </c>
      <c r="AI199" s="32">
        <f ca="1"/>
        <v>12.699519466635904</v>
      </c>
      <c r="AJ199" s="32">
        <f ca="1"/>
        <v>12.699519466635904</v>
      </c>
      <c r="AK199" s="32">
        <f ca="1"/>
        <v>12.699519466635904</v>
      </c>
      <c r="AL199" s="32">
        <f ca="1"/>
        <v>12.699519466635904</v>
      </c>
      <c r="AM199" s="32">
        <f ca="1"/>
        <v>12.699519466635904</v>
      </c>
      <c r="AN199" s="55">
        <f ca="1"/>
        <v>12.699519466635904</v>
      </c>
      <c r="AO199" s="8"/>
    </row>
    <row r="200" spans="2:41" hidden="1" x14ac:dyDescent="0.35">
      <c r="B200" s="8"/>
      <c r="C200" s="19" t="str">
        <f>"EL 2: " &amp; INDEX(_doName,2,3)</f>
        <v>EL 2: Tier 2</v>
      </c>
      <c r="D200" s="11"/>
      <c r="E200" s="32">
        <f t="array" aca="1" ref="E200:AN200" ca="1">tlccFuElec2_Com</f>
        <v>10.402744760897349</v>
      </c>
      <c r="F200" s="32">
        <f ca="1"/>
        <v>10.349350486144392</v>
      </c>
      <c r="G200" s="32">
        <f ca="1"/>
        <v>10.311166737873464</v>
      </c>
      <c r="H200" s="32">
        <f ca="1"/>
        <v>10.281813032378919</v>
      </c>
      <c r="I200" s="32">
        <f ca="1"/>
        <v>10.262235947553648</v>
      </c>
      <c r="J200" s="32">
        <f ca="1"/>
        <v>10.247349040910301</v>
      </c>
      <c r="K200" s="32">
        <f ca="1"/>
        <v>10.234644220328656</v>
      </c>
      <c r="L200" s="32">
        <f ca="1"/>
        <v>10.221038866078871</v>
      </c>
      <c r="M200" s="32">
        <f ca="1"/>
        <v>10.208182031186263</v>
      </c>
      <c r="N200" s="32">
        <f ca="1"/>
        <v>10.196064511590073</v>
      </c>
      <c r="O200" s="32">
        <f ca="1"/>
        <v>10.183538476171771</v>
      </c>
      <c r="P200" s="32">
        <f ca="1"/>
        <v>10.172793010291571</v>
      </c>
      <c r="Q200" s="32">
        <f ca="1"/>
        <v>10.161600544496405</v>
      </c>
      <c r="R200" s="32">
        <f ca="1"/>
        <v>10.151841727217093</v>
      </c>
      <c r="S200" s="32">
        <f ca="1"/>
        <v>10.143735609814742</v>
      </c>
      <c r="T200" s="32">
        <f ca="1"/>
        <v>10.136306260168494</v>
      </c>
      <c r="U200" s="32">
        <f ca="1"/>
        <v>10.128650086097418</v>
      </c>
      <c r="V200" s="32">
        <f ca="1"/>
        <v>10.121758685638975</v>
      </c>
      <c r="W200" s="32">
        <f ca="1"/>
        <v>10.116190088064959</v>
      </c>
      <c r="X200" s="32">
        <f ca="1"/>
        <v>10.111534926226671</v>
      </c>
      <c r="Y200" s="32">
        <f ca="1"/>
        <v>10.107802907185611</v>
      </c>
      <c r="Z200" s="32">
        <f ca="1"/>
        <v>10.106558038297294</v>
      </c>
      <c r="AA200" s="32">
        <f ca="1"/>
        <v>10.106819341715992</v>
      </c>
      <c r="AB200" s="32">
        <f ca="1"/>
        <v>10.107524954788369</v>
      </c>
      <c r="AC200" s="32">
        <f ca="1"/>
        <v>10.108643394581948</v>
      </c>
      <c r="AD200" s="32">
        <f ca="1"/>
        <v>10.109537871633359</v>
      </c>
      <c r="AE200" s="32">
        <f ca="1"/>
        <v>10.109770877719248</v>
      </c>
      <c r="AF200" s="32">
        <f ca="1"/>
        <v>10.109770877719248</v>
      </c>
      <c r="AG200" s="32">
        <f ca="1"/>
        <v>10.109770877719248</v>
      </c>
      <c r="AH200" s="32">
        <f ca="1"/>
        <v>10.109770877719248</v>
      </c>
      <c r="AI200" s="32">
        <f ca="1"/>
        <v>10.109770877719248</v>
      </c>
      <c r="AJ200" s="32">
        <f ca="1"/>
        <v>10.109770877719248</v>
      </c>
      <c r="AK200" s="32">
        <f ca="1"/>
        <v>10.109770877719248</v>
      </c>
      <c r="AL200" s="32">
        <f ca="1"/>
        <v>10.109770877719248</v>
      </c>
      <c r="AM200" s="32">
        <f ca="1"/>
        <v>10.109770877719248</v>
      </c>
      <c r="AN200" s="55">
        <f ca="1"/>
        <v>10.109770877719248</v>
      </c>
      <c r="AO200" s="8"/>
    </row>
    <row r="201" spans="2:41" hidden="1" x14ac:dyDescent="0.35">
      <c r="B201" s="8"/>
      <c r="C201" s="19" t="str">
        <f>"EL 3: " &amp; INDEX(_doName,2,4)</f>
        <v>EL 3: EL 3</v>
      </c>
      <c r="D201" s="11"/>
      <c r="E201" s="32">
        <f t="array" aca="1" ref="E201:AN201" ca="1">tlccFuElec3_Com</f>
        <v>4.6430420064411244</v>
      </c>
      <c r="F201" s="32">
        <f ca="1"/>
        <v>4.6192106171030609</v>
      </c>
      <c r="G201" s="32">
        <f ca="1"/>
        <v>4.6021681200255902</v>
      </c>
      <c r="H201" s="32">
        <f ca="1"/>
        <v>4.5890667231550069</v>
      </c>
      <c r="I201" s="32">
        <f ca="1"/>
        <v>4.5803289112316525</v>
      </c>
      <c r="J201" s="32">
        <f ca="1"/>
        <v>4.5736844597450723</v>
      </c>
      <c r="K201" s="32">
        <f ca="1"/>
        <v>4.5680139355708587</v>
      </c>
      <c r="L201" s="32">
        <f ca="1"/>
        <v>4.5619414775084728</v>
      </c>
      <c r="M201" s="32">
        <f ca="1"/>
        <v>4.5562031050069516</v>
      </c>
      <c r="N201" s="32">
        <f ca="1"/>
        <v>4.5507947100311901</v>
      </c>
      <c r="O201" s="32">
        <f ca="1"/>
        <v>4.5452039827800554</v>
      </c>
      <c r="P201" s="32">
        <f ca="1"/>
        <v>4.5404079745526778</v>
      </c>
      <c r="Q201" s="32">
        <f ca="1"/>
        <v>4.5354124575004935</v>
      </c>
      <c r="R201" s="32">
        <f ca="1"/>
        <v>4.5310568187145295</v>
      </c>
      <c r="S201" s="32">
        <f ca="1"/>
        <v>4.5274388270716184</v>
      </c>
      <c r="T201" s="32">
        <f ca="1"/>
        <v>4.5241228962013613</v>
      </c>
      <c r="U201" s="32">
        <f ca="1"/>
        <v>4.5207057271140014</v>
      </c>
      <c r="V201" s="32">
        <f ca="1"/>
        <v>4.5176298983258114</v>
      </c>
      <c r="W201" s="32">
        <f ca="1"/>
        <v>4.5151444742336713</v>
      </c>
      <c r="X201" s="32">
        <f ca="1"/>
        <v>4.5130667425908442</v>
      </c>
      <c r="Y201" s="32">
        <f ca="1"/>
        <v>4.5114010359360392</v>
      </c>
      <c r="Z201" s="32">
        <f ca="1"/>
        <v>4.5108454154076281</v>
      </c>
      <c r="AA201" s="32">
        <f ca="1"/>
        <v>4.5109620425841408</v>
      </c>
      <c r="AB201" s="32">
        <f ca="1"/>
        <v>4.5112769778450401</v>
      </c>
      <c r="AC201" s="32">
        <f ca="1"/>
        <v>4.5117761694586589</v>
      </c>
      <c r="AD201" s="32">
        <f ca="1"/>
        <v>4.5121754001058543</v>
      </c>
      <c r="AE201" s="32">
        <f ca="1"/>
        <v>4.5122793973747877</v>
      </c>
      <c r="AF201" s="32">
        <f ca="1"/>
        <v>4.5122793973747877</v>
      </c>
      <c r="AG201" s="32">
        <f ca="1"/>
        <v>4.5122793973747877</v>
      </c>
      <c r="AH201" s="32">
        <f ca="1"/>
        <v>4.5122793973747877</v>
      </c>
      <c r="AI201" s="32">
        <f ca="1"/>
        <v>4.5122793973747877</v>
      </c>
      <c r="AJ201" s="32">
        <f ca="1"/>
        <v>4.5122793973747877</v>
      </c>
      <c r="AK201" s="32">
        <f ca="1"/>
        <v>4.5122793973747877</v>
      </c>
      <c r="AL201" s="32">
        <f ca="1"/>
        <v>4.5122793973747877</v>
      </c>
      <c r="AM201" s="32">
        <f ca="1"/>
        <v>4.5122793973747877</v>
      </c>
      <c r="AN201" s="55">
        <f ca="1"/>
        <v>4.5122793973747877</v>
      </c>
      <c r="AO201" s="8"/>
    </row>
    <row r="202" spans="2:41" hidden="1" x14ac:dyDescent="0.35">
      <c r="B202" s="8"/>
      <c r="C202" s="35" t="str">
        <f>"EL 4: " &amp; INDEX(_doName,2,5)</f>
        <v>EL 4: EL 4</v>
      </c>
      <c r="D202" s="15"/>
      <c r="E202" s="59">
        <f t="array" aca="1" ref="E202:AN202" ca="1">tlccFuElec4_Com</f>
        <v>1.9606840551942564</v>
      </c>
      <c r="F202" s="59">
        <f ca="1"/>
        <v>1.9506204320300795</v>
      </c>
      <c r="G202" s="59">
        <f ca="1"/>
        <v>1.9434236519376022</v>
      </c>
      <c r="H202" s="59">
        <f ca="1"/>
        <v>1.9378911368517411</v>
      </c>
      <c r="I202" s="59">
        <f ca="1"/>
        <v>1.9342012954736869</v>
      </c>
      <c r="J202" s="59">
        <f ca="1"/>
        <v>1.9313954474828274</v>
      </c>
      <c r="K202" s="59">
        <f ca="1"/>
        <v>1.9290008737706899</v>
      </c>
      <c r="L202" s="59">
        <f ca="1"/>
        <v>1.9264365696609611</v>
      </c>
      <c r="M202" s="59">
        <f ca="1"/>
        <v>1.9240133446608683</v>
      </c>
      <c r="N202" s="59">
        <f ca="1"/>
        <v>1.9217294640114015</v>
      </c>
      <c r="O202" s="59">
        <f ca="1"/>
        <v>1.919368587292424</v>
      </c>
      <c r="P202" s="59">
        <f ca="1"/>
        <v>1.9173433079934317</v>
      </c>
      <c r="Q202" s="59">
        <f ca="1"/>
        <v>1.9152337792366203</v>
      </c>
      <c r="R202" s="59">
        <f ca="1"/>
        <v>1.9133944610684928</v>
      </c>
      <c r="S202" s="59">
        <f ca="1"/>
        <v>1.911866639757327</v>
      </c>
      <c r="T202" s="59">
        <f ca="1"/>
        <v>1.9104663739883716</v>
      </c>
      <c r="U202" s="59">
        <f ca="1"/>
        <v>1.9090233569029793</v>
      </c>
      <c r="V202" s="59">
        <f ca="1"/>
        <v>1.9077244824897939</v>
      </c>
      <c r="W202" s="59">
        <f ca="1"/>
        <v>1.9066749267500238</v>
      </c>
      <c r="X202" s="59">
        <f ca="1"/>
        <v>1.9057975331581909</v>
      </c>
      <c r="Y202" s="59">
        <f ca="1"/>
        <v>1.9050941312776613</v>
      </c>
      <c r="Z202" s="59">
        <f ca="1"/>
        <v>1.9048595014144631</v>
      </c>
      <c r="AA202" s="59">
        <f ca="1"/>
        <v>1.9049087512478855</v>
      </c>
      <c r="AB202" s="59">
        <f ca="1"/>
        <v>1.9050417434852178</v>
      </c>
      <c r="AC202" s="59">
        <f ca="1"/>
        <v>1.9052525442998458</v>
      </c>
      <c r="AD202" s="59">
        <f ca="1"/>
        <v>1.9054211331610307</v>
      </c>
      <c r="AE202" s="59">
        <f ca="1"/>
        <v>1.9054650495819243</v>
      </c>
      <c r="AF202" s="59">
        <f ca="1"/>
        <v>1.9054650495819243</v>
      </c>
      <c r="AG202" s="59">
        <f ca="1"/>
        <v>1.9054650495819243</v>
      </c>
      <c r="AH202" s="59">
        <f ca="1"/>
        <v>1.9054650495819243</v>
      </c>
      <c r="AI202" s="59">
        <f ca="1"/>
        <v>1.9054650495819243</v>
      </c>
      <c r="AJ202" s="59">
        <f ca="1"/>
        <v>1.9054650495819243</v>
      </c>
      <c r="AK202" s="59">
        <f ca="1"/>
        <v>1.9054650495819243</v>
      </c>
      <c r="AL202" s="59">
        <f ca="1"/>
        <v>1.9054650495819243</v>
      </c>
      <c r="AM202" s="59">
        <f ca="1"/>
        <v>1.9054650495819243</v>
      </c>
      <c r="AN202" s="60">
        <f ca="1"/>
        <v>1.9054650495819243</v>
      </c>
      <c r="AO202" s="8"/>
    </row>
    <row r="203" spans="2:41" hidden="1" x14ac:dyDescent="0.3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</row>
    <row r="204" spans="2:41" x14ac:dyDescent="0.35">
      <c r="B204" s="8"/>
      <c r="C204" s="23" t="s">
        <v>79</v>
      </c>
      <c r="D204" s="24"/>
      <c r="E204" s="26">
        <f t="array" ref="E204:AN204">_yS</f>
        <v>2024</v>
      </c>
      <c r="F204" s="26">
        <v>2025</v>
      </c>
      <c r="G204" s="26">
        <v>2026</v>
      </c>
      <c r="H204" s="26">
        <v>2027</v>
      </c>
      <c r="I204" s="26">
        <v>2028</v>
      </c>
      <c r="J204" s="26">
        <v>2029</v>
      </c>
      <c r="K204" s="26">
        <v>2030</v>
      </c>
      <c r="L204" s="26">
        <v>2031</v>
      </c>
      <c r="M204" s="26">
        <v>2032</v>
      </c>
      <c r="N204" s="26">
        <v>2033</v>
      </c>
      <c r="O204" s="26">
        <v>2034</v>
      </c>
      <c r="P204" s="26">
        <v>2035</v>
      </c>
      <c r="Q204" s="26">
        <v>2036</v>
      </c>
      <c r="R204" s="26">
        <v>2037</v>
      </c>
      <c r="S204" s="26">
        <v>2038</v>
      </c>
      <c r="T204" s="26">
        <v>2039</v>
      </c>
      <c r="U204" s="26">
        <v>2040</v>
      </c>
      <c r="V204" s="26">
        <v>2041</v>
      </c>
      <c r="W204" s="26">
        <v>2042</v>
      </c>
      <c r="X204" s="26">
        <v>2043</v>
      </c>
      <c r="Y204" s="26">
        <v>2044</v>
      </c>
      <c r="Z204" s="26">
        <v>2045</v>
      </c>
      <c r="AA204" s="26">
        <v>2046</v>
      </c>
      <c r="AB204" s="26">
        <v>2047</v>
      </c>
      <c r="AC204" s="26">
        <v>2048</v>
      </c>
      <c r="AD204" s="26">
        <v>2049</v>
      </c>
      <c r="AE204" s="26">
        <v>2050</v>
      </c>
      <c r="AF204" s="26">
        <v>2051</v>
      </c>
      <c r="AG204" s="26">
        <v>2052</v>
      </c>
      <c r="AH204" s="26">
        <v>2053</v>
      </c>
      <c r="AI204" s="26">
        <v>2054</v>
      </c>
      <c r="AJ204" s="26">
        <v>2055</v>
      </c>
      <c r="AK204" s="26">
        <v>2056</v>
      </c>
      <c r="AL204" s="26">
        <v>2057</v>
      </c>
      <c r="AM204" s="26">
        <v>2058</v>
      </c>
      <c r="AN204" s="27">
        <v>2059</v>
      </c>
      <c r="AO204" s="8"/>
    </row>
    <row r="205" spans="2:41" x14ac:dyDescent="0.35">
      <c r="B205" s="8"/>
      <c r="C205" s="19" t="str">
        <f>"EL 0: " &amp; INDEX(_doName,2,1)</f>
        <v>EL 0: Baseline</v>
      </c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18"/>
      <c r="AO205" s="8"/>
    </row>
    <row r="206" spans="2:41" x14ac:dyDescent="0.35">
      <c r="B206" s="8"/>
      <c r="C206" s="10" t="s">
        <v>70</v>
      </c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18"/>
      <c r="AO206" s="8"/>
    </row>
    <row r="207" spans="2:41" x14ac:dyDescent="0.35">
      <c r="B207" s="8"/>
      <c r="C207" s="20" t="str">
        <f>INDEX(_Sector,2,1)</f>
        <v>Residential</v>
      </c>
      <c r="D207" s="11" t="str">
        <f>_yearDol &amp; "$"</f>
        <v>2021$</v>
      </c>
      <c r="E207" s="32">
        <f t="array" ref="E207:AN207">tMSP0_Res*tPIdxmed0 + tInst0</f>
        <v>91.292163146559488</v>
      </c>
      <c r="F207" s="32">
        <v>90.676144356457584</v>
      </c>
      <c r="G207" s="32">
        <v>90.088185879628369</v>
      </c>
      <c r="H207" s="32">
        <v>89.523695697787659</v>
      </c>
      <c r="I207" s="32">
        <v>88.979381125918096</v>
      </c>
      <c r="J207" s="32">
        <v>88.453023307142359</v>
      </c>
      <c r="K207" s="32">
        <v>87.943090833982751</v>
      </c>
      <c r="L207" s="32">
        <v>87.448459885889164</v>
      </c>
      <c r="M207" s="32">
        <v>86.968154341588516</v>
      </c>
      <c r="N207" s="32">
        <v>86.501221401086099</v>
      </c>
      <c r="O207" s="32">
        <v>86.046701998454324</v>
      </c>
      <c r="P207" s="32">
        <v>85.603635389652936</v>
      </c>
      <c r="Q207" s="32">
        <v>85.171102711642362</v>
      </c>
      <c r="R207" s="32">
        <v>84.748272547527591</v>
      </c>
      <c r="S207" s="32">
        <v>84.334387460179201</v>
      </c>
      <c r="T207" s="32">
        <v>83.928856301037698</v>
      </c>
      <c r="U207" s="32">
        <v>83.53113142111394</v>
      </c>
      <c r="V207" s="32">
        <v>83.140736849623352</v>
      </c>
      <c r="W207" s="32">
        <v>82.757248348181662</v>
      </c>
      <c r="X207" s="32">
        <v>82.380278230922357</v>
      </c>
      <c r="Y207" s="32">
        <v>82.009467763890257</v>
      </c>
      <c r="Z207" s="32">
        <v>81.644481020593801</v>
      </c>
      <c r="AA207" s="32">
        <v>81.28500503587955</v>
      </c>
      <c r="AB207" s="32">
        <v>80.930749725010344</v>
      </c>
      <c r="AC207" s="32">
        <v>80.581447634057142</v>
      </c>
      <c r="AD207" s="32">
        <v>80.236853039228336</v>
      </c>
      <c r="AE207" s="32">
        <v>79.896740250743704</v>
      </c>
      <c r="AF207" s="32">
        <v>79.560901502056311</v>
      </c>
      <c r="AG207" s="32">
        <v>79.229144767176535</v>
      </c>
      <c r="AH207" s="32">
        <v>78.901291780611999</v>
      </c>
      <c r="AI207" s="32">
        <v>78.577176440272069</v>
      </c>
      <c r="AJ207" s="32">
        <v>78.256643589870322</v>
      </c>
      <c r="AK207" s="32">
        <v>77.939548073532137</v>
      </c>
      <c r="AL207" s="32">
        <v>77.625754083386568</v>
      </c>
      <c r="AM207" s="32">
        <v>77.315134436409139</v>
      </c>
      <c r="AN207" s="55">
        <v>77.007570046037969</v>
      </c>
      <c r="AO207" s="8"/>
    </row>
    <row r="208" spans="2:41" x14ac:dyDescent="0.35">
      <c r="B208" s="8"/>
      <c r="C208" s="20" t="str">
        <f>INDEX(_Sector,2,2)</f>
        <v>Commercial</v>
      </c>
      <c r="D208" s="11" t="str">
        <f>_yearDol &amp; "$"</f>
        <v>2021$</v>
      </c>
      <c r="E208" s="32">
        <f t="array" ref="E208:AN208">tMSP0_Com*tPIdxmed0 + tInst0</f>
        <v>88.18009260002971</v>
      </c>
      <c r="F208" s="32">
        <v>87.58507335541681</v>
      </c>
      <c r="G208" s="32">
        <v>87.017157872369921</v>
      </c>
      <c r="H208" s="32">
        <v>86.471910670519634</v>
      </c>
      <c r="I208" s="32">
        <v>85.946151309620845</v>
      </c>
      <c r="J208" s="32">
        <v>85.437736571699901</v>
      </c>
      <c r="K208" s="32">
        <v>84.945187253629868</v>
      </c>
      <c r="L208" s="32">
        <v>84.467417844927056</v>
      </c>
      <c r="M208" s="32">
        <v>84.003485499444707</v>
      </c>
      <c r="N208" s="32">
        <v>83.552469897312406</v>
      </c>
      <c r="O208" s="32">
        <v>83.113444666326942</v>
      </c>
      <c r="P208" s="32">
        <v>82.685481813377933</v>
      </c>
      <c r="Q208" s="32">
        <v>82.267693798668716</v>
      </c>
      <c r="R208" s="32">
        <v>81.859277547584071</v>
      </c>
      <c r="S208" s="32">
        <v>81.45950144336841</v>
      </c>
      <c r="T208" s="32">
        <v>81.067794489203166</v>
      </c>
      <c r="U208" s="32">
        <v>80.683627704977553</v>
      </c>
      <c r="V208" s="32">
        <v>80.306541345337649</v>
      </c>
      <c r="W208" s="32">
        <v>79.936125633817198</v>
      </c>
      <c r="X208" s="32">
        <v>79.572006100424105</v>
      </c>
      <c r="Y208" s="32">
        <v>79.213836240132196</v>
      </c>
      <c r="Z208" s="32">
        <v>78.86129157789216</v>
      </c>
      <c r="AA208" s="32">
        <v>78.514069817260847</v>
      </c>
      <c r="AB208" s="32">
        <v>78.171890762237823</v>
      </c>
      <c r="AC208" s="32">
        <v>77.834496076166133</v>
      </c>
      <c r="AD208" s="32">
        <v>77.501648411764862</v>
      </c>
      <c r="AE208" s="32">
        <v>77.173129772822293</v>
      </c>
      <c r="AF208" s="32">
        <v>76.848739475372682</v>
      </c>
      <c r="AG208" s="32">
        <v>76.528292039425537</v>
      </c>
      <c r="AH208" s="32">
        <v>76.211615276404331</v>
      </c>
      <c r="AI208" s="32">
        <v>75.898548746494384</v>
      </c>
      <c r="AJ208" s="32">
        <v>75.588942582552335</v>
      </c>
      <c r="AK208" s="32">
        <v>75.282656576941264</v>
      </c>
      <c r="AL208" s="32">
        <v>74.979559551362541</v>
      </c>
      <c r="AM208" s="32">
        <v>74.679528658350549</v>
      </c>
      <c r="AN208" s="55">
        <v>74.382448870900873</v>
      </c>
      <c r="AO208" s="8"/>
    </row>
    <row r="209" spans="2:41" x14ac:dyDescent="0.35">
      <c r="B209" s="8"/>
      <c r="C209" s="10" t="str">
        <f>zEO&amp;" Costs"</f>
        <v>Operating Costs</v>
      </c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18"/>
      <c r="AO209" s="8"/>
    </row>
    <row r="210" spans="2:41" x14ac:dyDescent="0.35">
      <c r="B210" s="8"/>
      <c r="C210" s="20" t="str">
        <f>INDEX(_Sector,2,1)</f>
        <v>Residential</v>
      </c>
      <c r="D210" s="11" t="str">
        <f>_yearDol &amp; "$"</f>
        <v>2021$</v>
      </c>
      <c r="E210" s="32">
        <f t="array" aca="1" ref="E210:AN210" ca="1">(tlccEFuElec0_Res) + SUMPRODUCT(dFactor,tpSurvAll_Com,tMnR0_Res)</f>
        <v>228.08415514909714</v>
      </c>
      <c r="F210" s="32">
        <f ca="1"/>
        <v>228.26270800239118</v>
      </c>
      <c r="G210" s="32">
        <f ca="1"/>
        <v>228.5434326499435</v>
      </c>
      <c r="H210" s="32">
        <f ca="1"/>
        <v>228.8688213770983</v>
      </c>
      <c r="I210" s="32">
        <f ca="1"/>
        <v>229.17401983639874</v>
      </c>
      <c r="J210" s="32">
        <f ca="1"/>
        <v>229.43003060831523</v>
      </c>
      <c r="K210" s="32">
        <f ca="1"/>
        <v>229.62851326650346</v>
      </c>
      <c r="L210" s="32">
        <f ca="1"/>
        <v>229.78652361726822</v>
      </c>
      <c r="M210" s="32">
        <f ca="1"/>
        <v>229.8677217158652</v>
      </c>
      <c r="N210" s="32">
        <f ca="1"/>
        <v>229.88254423905755</v>
      </c>
      <c r="O210" s="32">
        <f ca="1"/>
        <v>229.776801228349</v>
      </c>
      <c r="P210" s="32">
        <f ca="1"/>
        <v>229.57163454366491</v>
      </c>
      <c r="Q210" s="32">
        <f ca="1"/>
        <v>229.40838345540658</v>
      </c>
      <c r="R210" s="32">
        <f ca="1"/>
        <v>229.23881799393814</v>
      </c>
      <c r="S210" s="32">
        <f ca="1"/>
        <v>229.10949684231321</v>
      </c>
      <c r="T210" s="32">
        <f ca="1"/>
        <v>229.02394473884857</v>
      </c>
      <c r="U210" s="32">
        <f ca="1"/>
        <v>228.90306878355906</v>
      </c>
      <c r="V210" s="32">
        <f ca="1"/>
        <v>228.75425622446701</v>
      </c>
      <c r="W210" s="32">
        <f ca="1"/>
        <v>228.62213360939595</v>
      </c>
      <c r="X210" s="32">
        <f ca="1"/>
        <v>228.45964465469376</v>
      </c>
      <c r="Y210" s="32">
        <f ca="1"/>
        <v>228.30201034126981</v>
      </c>
      <c r="Z210" s="32">
        <f ca="1"/>
        <v>228.21628270033716</v>
      </c>
      <c r="AA210" s="32">
        <f ca="1"/>
        <v>228.10373880413425</v>
      </c>
      <c r="AB210" s="32">
        <f ca="1"/>
        <v>227.99454417444485</v>
      </c>
      <c r="AC210" s="32">
        <f ca="1"/>
        <v>227.90531642100791</v>
      </c>
      <c r="AD210" s="32">
        <f ca="1"/>
        <v>227.78389254899574</v>
      </c>
      <c r="AE210" s="32">
        <f ca="1"/>
        <v>227.68596419526423</v>
      </c>
      <c r="AF210" s="32">
        <f ca="1"/>
        <v>227.68596419526423</v>
      </c>
      <c r="AG210" s="32">
        <f ca="1"/>
        <v>227.68596419526423</v>
      </c>
      <c r="AH210" s="32">
        <f ca="1"/>
        <v>227.68596419526423</v>
      </c>
      <c r="AI210" s="32">
        <f ca="1"/>
        <v>227.68596419526423</v>
      </c>
      <c r="AJ210" s="32">
        <f ca="1"/>
        <v>227.68596419526423</v>
      </c>
      <c r="AK210" s="32">
        <f ca="1"/>
        <v>227.68596419526423</v>
      </c>
      <c r="AL210" s="32">
        <f ca="1"/>
        <v>227.68596419526423</v>
      </c>
      <c r="AM210" s="32">
        <f ca="1"/>
        <v>227.68596419526423</v>
      </c>
      <c r="AN210" s="55">
        <f ca="1"/>
        <v>227.68596419526423</v>
      </c>
      <c r="AO210" s="8"/>
    </row>
    <row r="211" spans="2:41" x14ac:dyDescent="0.35">
      <c r="B211" s="8"/>
      <c r="C211" s="50" t="str">
        <f>INDEX(_fuel,1)</f>
        <v>Electricity</v>
      </c>
      <c r="D211" s="11" t="str">
        <f>_yearDol &amp; "$"</f>
        <v>2021$</v>
      </c>
      <c r="E211" s="32">
        <f ca="1">SUMPRODUCT(dFactor,tpSurvAll_Res,tElec0_Res,OFFSET(tPrcElec_Res,0,0,1,_maxLT))</f>
        <v>94.698524745223068</v>
      </c>
      <c r="F211" s="32">
        <f ca="1">SUMPRODUCT(dFactor,tpSurvAll_Res,tElec0_Res,OFFSET(tPrcElec_Res,0,1,1,_maxLT))</f>
        <v>94.877077598517104</v>
      </c>
      <c r="G211" s="32">
        <f ca="1">SUMPRODUCT(dFactor,tpSurvAll_Res,tElec0_Res,OFFSET(tPrcElec_Res,0,2,1,_maxLT))</f>
        <v>95.157802246069423</v>
      </c>
      <c r="H211" s="32">
        <f ca="1">SUMPRODUCT(dFactor,tpSurvAll_Res,tElec0_Res,OFFSET(tPrcElec_Res,0,3,1,_maxLT))</f>
        <v>95.483190973224225</v>
      </c>
      <c r="I211" s="32">
        <f ca="1">SUMPRODUCT(dFactor,tpSurvAll_Res,tElec0_Res,OFFSET(tPrcElec_Res,0,4,1,_maxLT))</f>
        <v>95.788389432524667</v>
      </c>
      <c r="J211" s="32">
        <f ca="1">SUMPRODUCT(dFactor,tpSurvAll_Res,tElec0_Res,OFFSET(tPrcElec_Res,0,5,1,_maxLT))</f>
        <v>96.044400204441175</v>
      </c>
      <c r="K211" s="32">
        <f ca="1">SUMPRODUCT(dFactor,tpSurvAll_Res,tElec0_Res,OFFSET(tPrcElec_Res,0,6,1,_maxLT))</f>
        <v>96.242882862629386</v>
      </c>
      <c r="L211" s="32">
        <f ca="1">SUMPRODUCT(dFactor,tpSurvAll_Res,tElec0_Res,OFFSET(tPrcElec_Res,0,7,1,_maxLT))</f>
        <v>96.400893213394141</v>
      </c>
      <c r="M211" s="32">
        <f ca="1">SUMPRODUCT(dFactor,tpSurvAll_Res,tElec0_Res,OFFSET(tPrcElec_Res,0,8,1,_maxLT))</f>
        <v>96.482091311991127</v>
      </c>
      <c r="N211" s="32">
        <f ca="1">SUMPRODUCT(dFactor,tpSurvAll_Res,tElec0_Res,OFFSET(tPrcElec_Res,0,9,1,_maxLT))</f>
        <v>96.496913835183477</v>
      </c>
      <c r="O211" s="32">
        <f ca="1">SUMPRODUCT(dFactor,tpSurvAll_Res,tElec0_Res,OFFSET(tPrcElec_Res,0,10,1,_maxLT))</f>
        <v>96.391170824474926</v>
      </c>
      <c r="P211" s="32">
        <f ca="1">SUMPRODUCT(dFactor,tpSurvAll_Res,tElec0_Res,OFFSET(tPrcElec_Res,0,11,1,_maxLT))</f>
        <v>96.186004139790853</v>
      </c>
      <c r="Q211" s="32">
        <f ca="1">SUMPRODUCT(dFactor,tpSurvAll_Res,tElec0_Res,OFFSET(tPrcElec_Res,0,12,1,_maxLT))</f>
        <v>96.02275305153249</v>
      </c>
      <c r="R211" s="32">
        <f ca="1">SUMPRODUCT(dFactor,tpSurvAll_Res,tElec0_Res,OFFSET(tPrcElec_Res,0,13,1,_maxLT))</f>
        <v>95.853187590064053</v>
      </c>
      <c r="S211" s="32">
        <f ca="1">SUMPRODUCT(dFactor,tpSurvAll_Res,tElec0_Res,OFFSET(tPrcElec_Res,0,14,1,_maxLT))</f>
        <v>95.723866438439117</v>
      </c>
      <c r="T211" s="32">
        <f ca="1">SUMPRODUCT(dFactor,tpSurvAll_Res,tElec0_Res,OFFSET(tPrcElec_Res,0,15,1,_maxLT))</f>
        <v>95.638314334974481</v>
      </c>
      <c r="U211" s="32">
        <f ca="1">SUMPRODUCT(dFactor,tpSurvAll_Res,tElec0_Res,OFFSET(tPrcElec_Res,0,16,1,_maxLT))</f>
        <v>95.51743837968499</v>
      </c>
      <c r="V211" s="32">
        <f ca="1">SUMPRODUCT(dFactor,tpSurvAll_Res,tElec0_Res,OFFSET(tPrcElec_Res,0,17,1,_maxLT))</f>
        <v>95.368625820592939</v>
      </c>
      <c r="W211" s="32">
        <f ca="1">SUMPRODUCT(dFactor,tpSurvAll_Res,tElec0_Res,OFFSET(tPrcElec_Res,0,18,1,_maxLT))</f>
        <v>95.236503205521871</v>
      </c>
      <c r="X211" s="32">
        <f ca="1">SUMPRODUCT(dFactor,tpSurvAll_Res,tElec0_Res,OFFSET(tPrcElec_Res,0,19,1,_maxLT))</f>
        <v>95.074014250819673</v>
      </c>
      <c r="Y211" s="32">
        <f ca="1">SUMPRODUCT(dFactor,tpSurvAll_Res,tElec0_Res,OFFSET(tPrcElec_Res,0,20,1,_maxLT))</f>
        <v>94.916379937395746</v>
      </c>
      <c r="Z211" s="32">
        <f ca="1">SUMPRODUCT(dFactor,tpSurvAll_Res,tElec0_Res,OFFSET(tPrcElec_Res,0,21,1,_maxLT))</f>
        <v>94.830652296463072</v>
      </c>
      <c r="AA211" s="32">
        <f ca="1">SUMPRODUCT(dFactor,tpSurvAll_Res,tElec0_Res,OFFSET(tPrcElec_Res,0,22,1,_maxLT))</f>
        <v>94.718108400260178</v>
      </c>
      <c r="AB211" s="32">
        <f ca="1">SUMPRODUCT(dFactor,tpSurvAll_Res,tElec0_Res,OFFSET(tPrcElec_Res,0,23,1,_maxLT))</f>
        <v>94.60891377057078</v>
      </c>
      <c r="AC211" s="32">
        <f ca="1">SUMPRODUCT(dFactor,tpSurvAll_Res,tElec0_Res,OFFSET(tPrcElec_Res,0,24,1,_maxLT))</f>
        <v>94.519686017133822</v>
      </c>
      <c r="AD211" s="32">
        <f ca="1">SUMPRODUCT(dFactor,tpSurvAll_Res,tElec0_Res,OFFSET(tPrcElec_Res,0,25,1,_maxLT))</f>
        <v>94.398262145121663</v>
      </c>
      <c r="AE211" s="32">
        <f ca="1">SUMPRODUCT(dFactor,tpSurvAll_Res,tElec0_Res,OFFSET(tPrcElec_Res,0,26,1,_maxLT))</f>
        <v>94.300333791390159</v>
      </c>
      <c r="AF211" s="32">
        <f ca="1">SUMPRODUCT(dFactor,tpSurvAll_Res,tElec0_Res,OFFSET(tPrcElec_Res,0,27,1,_maxLT))</f>
        <v>94.300333791390159</v>
      </c>
      <c r="AG211" s="32">
        <f ca="1">SUMPRODUCT(dFactor,tpSurvAll_Res,tElec0_Res,OFFSET(tPrcElec_Res,0,28,1,_maxLT))</f>
        <v>94.300333791390159</v>
      </c>
      <c r="AH211" s="32">
        <f ca="1">SUMPRODUCT(dFactor,tpSurvAll_Res,tElec0_Res,OFFSET(tPrcElec_Res,0,29,1,_maxLT))</f>
        <v>94.300333791390159</v>
      </c>
      <c r="AI211" s="32">
        <f ca="1">SUMPRODUCT(dFactor,tpSurvAll_Res,tElec0_Res,OFFSET(tPrcElec_Res,0,30,1,_maxLT))</f>
        <v>94.300333791390159</v>
      </c>
      <c r="AJ211" s="32">
        <f ca="1">SUMPRODUCT(dFactor,tpSurvAll_Res,tElec0_Res,OFFSET(tPrcElec_Res,0,31,1,_maxLT))</f>
        <v>94.300333791390159</v>
      </c>
      <c r="AK211" s="32">
        <f ca="1">SUMPRODUCT(dFactor,tpSurvAll_Res,tElec0_Res,OFFSET(tPrcElec_Res,0,32,1,_maxLT))</f>
        <v>94.300333791390159</v>
      </c>
      <c r="AL211" s="32">
        <f ca="1">SUMPRODUCT(dFactor,tpSurvAll_Res,tElec0_Res,OFFSET(tPrcElec_Res,0,33,1,_maxLT))</f>
        <v>94.300333791390159</v>
      </c>
      <c r="AM211" s="32">
        <f ca="1">SUMPRODUCT(dFactor,tpSurvAll_Res,tElec0_Res,OFFSET(tPrcElec_Res,0,34,1,_maxLT))</f>
        <v>94.300333791390159</v>
      </c>
      <c r="AN211" s="55">
        <f ca="1">SUMPRODUCT(dFactor,tpSurvAll_Res,tElec0_Res,OFFSET(tPrcElec_Res,0,35,1,_maxLT))</f>
        <v>94.300333791390159</v>
      </c>
      <c r="AO211" s="8"/>
    </row>
    <row r="212" spans="2:41" x14ac:dyDescent="0.35">
      <c r="B212" s="8"/>
      <c r="C212" s="20" t="str">
        <f>INDEX(_Sector,2,2)</f>
        <v>Commercial</v>
      </c>
      <c r="D212" s="11" t="str">
        <f>_yearDol &amp; "$"</f>
        <v>2021$</v>
      </c>
      <c r="E212" s="32">
        <f t="array" aca="1" ref="E212:AN212" ca="1">(tlccEFuElec0_Com) + SUMPRODUCT(dFactor,tpSurvAll_Com,tMnR0_Com)</f>
        <v>290.81264979771117</v>
      </c>
      <c r="F212" s="32">
        <f ca="1"/>
        <v>290.75221213494444</v>
      </c>
      <c r="G212" s="32">
        <f ca="1"/>
        <v>290.79685447080101</v>
      </c>
      <c r="H212" s="32">
        <f ca="1"/>
        <v>290.89907787045223</v>
      </c>
      <c r="I212" s="32">
        <f ca="1"/>
        <v>290.96540297590656</v>
      </c>
      <c r="J212" s="32">
        <f ca="1"/>
        <v>290.96175204267615</v>
      </c>
      <c r="K212" s="32">
        <f ca="1"/>
        <v>290.86957953798526</v>
      </c>
      <c r="L212" s="32">
        <f ca="1"/>
        <v>290.72489683328445</v>
      </c>
      <c r="M212" s="32">
        <f ca="1"/>
        <v>290.4450209216983</v>
      </c>
      <c r="N212" s="32">
        <f ca="1"/>
        <v>290.10484465965214</v>
      </c>
      <c r="O212" s="32">
        <f ca="1"/>
        <v>289.55939347353274</v>
      </c>
      <c r="P212" s="32">
        <f ca="1"/>
        <v>288.86760499257042</v>
      </c>
      <c r="Q212" s="32">
        <f ca="1"/>
        <v>288.26850838710448</v>
      </c>
      <c r="R212" s="32">
        <f ca="1"/>
        <v>287.67630563997204</v>
      </c>
      <c r="S212" s="32">
        <f ca="1"/>
        <v>287.15555029478446</v>
      </c>
      <c r="T212" s="32">
        <f ca="1"/>
        <v>286.72959720848712</v>
      </c>
      <c r="U212" s="32">
        <f ca="1"/>
        <v>286.22558524668011</v>
      </c>
      <c r="V212" s="32">
        <f ca="1"/>
        <v>285.6884295151865</v>
      </c>
      <c r="W212" s="32">
        <f ca="1"/>
        <v>285.22133350658777</v>
      </c>
      <c r="X212" s="32">
        <f ca="1"/>
        <v>284.7282479227585</v>
      </c>
      <c r="Y212" s="32">
        <f ca="1"/>
        <v>284.23787993939192</v>
      </c>
      <c r="Z212" s="32">
        <f ca="1"/>
        <v>283.92235012809783</v>
      </c>
      <c r="AA212" s="32">
        <f ca="1"/>
        <v>283.58313402433566</v>
      </c>
      <c r="AB212" s="32">
        <f ca="1"/>
        <v>283.26955279623166</v>
      </c>
      <c r="AC212" s="32">
        <f ca="1"/>
        <v>283.05242917444616</v>
      </c>
      <c r="AD212" s="32">
        <f ca="1"/>
        <v>282.80064997679381</v>
      </c>
      <c r="AE212" s="32">
        <f ca="1"/>
        <v>282.6037312238193</v>
      </c>
      <c r="AF212" s="32">
        <f ca="1"/>
        <v>282.6037312238193</v>
      </c>
      <c r="AG212" s="32">
        <f ca="1"/>
        <v>282.6037312238193</v>
      </c>
      <c r="AH212" s="32">
        <f ca="1"/>
        <v>282.6037312238193</v>
      </c>
      <c r="AI212" s="32">
        <f ca="1"/>
        <v>282.6037312238193</v>
      </c>
      <c r="AJ212" s="32">
        <f ca="1"/>
        <v>282.6037312238193</v>
      </c>
      <c r="AK212" s="32">
        <f ca="1"/>
        <v>282.6037312238193</v>
      </c>
      <c r="AL212" s="32">
        <f ca="1"/>
        <v>282.6037312238193</v>
      </c>
      <c r="AM212" s="32">
        <f ca="1"/>
        <v>282.6037312238193</v>
      </c>
      <c r="AN212" s="55">
        <f ca="1"/>
        <v>282.6037312238193</v>
      </c>
      <c r="AO212" s="8"/>
    </row>
    <row r="213" spans="2:41" x14ac:dyDescent="0.35">
      <c r="B213" s="8"/>
      <c r="C213" s="50" t="str">
        <f>INDEX(_fuel,1)</f>
        <v>Electricity</v>
      </c>
      <c r="D213" s="11" t="str">
        <f>_yearDol &amp; "$"</f>
        <v>2021$</v>
      </c>
      <c r="E213" s="32">
        <f ca="1">SUMPRODUCT(dFactor,tpSurvAll_Com,tElec0_Com,OFFSET(tPrcElec_Com,0,0,1,_maxLT))</f>
        <v>138.38254362220357</v>
      </c>
      <c r="F213" s="32">
        <f ca="1">SUMPRODUCT(dFactor,tpSurvAll_Com,tElec0_Com,OFFSET(tPrcElec_Com,0,1,1,_maxLT))</f>
        <v>138.32210595943684</v>
      </c>
      <c r="G213" s="32">
        <f ca="1">SUMPRODUCT(dFactor,tpSurvAll_Com,tElec0_Com,OFFSET(tPrcElec_Com,0,2,1,_maxLT))</f>
        <v>138.36674829529338</v>
      </c>
      <c r="H213" s="32">
        <f ca="1">SUMPRODUCT(dFactor,tpSurvAll_Com,tElec0_Com,OFFSET(tPrcElec_Com,0,3,1,_maxLT))</f>
        <v>138.4689716949446</v>
      </c>
      <c r="I213" s="32">
        <f ca="1">SUMPRODUCT(dFactor,tpSurvAll_Com,tElec0_Com,OFFSET(tPrcElec_Com,0,4,1,_maxLT))</f>
        <v>138.53529680039892</v>
      </c>
      <c r="J213" s="32">
        <f ca="1">SUMPRODUCT(dFactor,tpSurvAll_Com,tElec0_Com,OFFSET(tPrcElec_Com,0,5,1,_maxLT))</f>
        <v>138.53164586716855</v>
      </c>
      <c r="K213" s="32">
        <f ca="1">SUMPRODUCT(dFactor,tpSurvAll_Com,tElec0_Com,OFFSET(tPrcElec_Com,0,6,1,_maxLT))</f>
        <v>138.4394733624776</v>
      </c>
      <c r="L213" s="32">
        <f ca="1">SUMPRODUCT(dFactor,tpSurvAll_Com,tElec0_Com,OFFSET(tPrcElec_Com,0,7,1,_maxLT))</f>
        <v>138.29479065777682</v>
      </c>
      <c r="M213" s="32">
        <f ca="1">SUMPRODUCT(dFactor,tpSurvAll_Com,tElec0_Com,OFFSET(tPrcElec_Com,0,8,1,_maxLT))</f>
        <v>138.0149147461907</v>
      </c>
      <c r="N213" s="32">
        <f ca="1">SUMPRODUCT(dFactor,tpSurvAll_Com,tElec0_Com,OFFSET(tPrcElec_Com,0,9,1,_maxLT))</f>
        <v>137.67473848414454</v>
      </c>
      <c r="O213" s="32">
        <f ca="1">SUMPRODUCT(dFactor,tpSurvAll_Com,tElec0_Com,OFFSET(tPrcElec_Com,0,10,1,_maxLT))</f>
        <v>137.12928729802513</v>
      </c>
      <c r="P213" s="32">
        <f ca="1">SUMPRODUCT(dFactor,tpSurvAll_Com,tElec0_Com,OFFSET(tPrcElec_Com,0,11,1,_maxLT))</f>
        <v>136.43749881706279</v>
      </c>
      <c r="Q213" s="32">
        <f ca="1">SUMPRODUCT(dFactor,tpSurvAll_Com,tElec0_Com,OFFSET(tPrcElec_Com,0,12,1,_maxLT))</f>
        <v>135.83840221159682</v>
      </c>
      <c r="R213" s="32">
        <f ca="1">SUMPRODUCT(dFactor,tpSurvAll_Com,tElec0_Com,OFFSET(tPrcElec_Com,0,13,1,_maxLT))</f>
        <v>135.24619946446438</v>
      </c>
      <c r="S213" s="32">
        <f ca="1">SUMPRODUCT(dFactor,tpSurvAll_Com,tElec0_Com,OFFSET(tPrcElec_Com,0,14,1,_maxLT))</f>
        <v>134.7254441192768</v>
      </c>
      <c r="T213" s="32">
        <f ca="1">SUMPRODUCT(dFactor,tpSurvAll_Com,tElec0_Com,OFFSET(tPrcElec_Com,0,15,1,_maxLT))</f>
        <v>134.29949103297946</v>
      </c>
      <c r="U213" s="32">
        <f ca="1">SUMPRODUCT(dFactor,tpSurvAll_Com,tElec0_Com,OFFSET(tPrcElec_Com,0,16,1,_maxLT))</f>
        <v>133.79547907117248</v>
      </c>
      <c r="V213" s="32">
        <f ca="1">SUMPRODUCT(dFactor,tpSurvAll_Com,tElec0_Com,OFFSET(tPrcElec_Com,0,17,1,_maxLT))</f>
        <v>133.25832333967884</v>
      </c>
      <c r="W213" s="32">
        <f ca="1">SUMPRODUCT(dFactor,tpSurvAll_Com,tElec0_Com,OFFSET(tPrcElec_Com,0,18,1,_maxLT))</f>
        <v>132.79122733108014</v>
      </c>
      <c r="X213" s="32">
        <f ca="1">SUMPRODUCT(dFactor,tpSurvAll_Com,tElec0_Com,OFFSET(tPrcElec_Com,0,19,1,_maxLT))</f>
        <v>132.29814174725087</v>
      </c>
      <c r="Y213" s="32">
        <f ca="1">SUMPRODUCT(dFactor,tpSurvAll_Com,tElec0_Com,OFFSET(tPrcElec_Com,0,20,1,_maxLT))</f>
        <v>131.80777376388428</v>
      </c>
      <c r="Z213" s="32">
        <f ca="1">SUMPRODUCT(dFactor,tpSurvAll_Com,tElec0_Com,OFFSET(tPrcElec_Com,0,21,1,_maxLT))</f>
        <v>131.49224395259023</v>
      </c>
      <c r="AA213" s="32">
        <f ca="1">SUMPRODUCT(dFactor,tpSurvAll_Com,tElec0_Com,OFFSET(tPrcElec_Com,0,22,1,_maxLT))</f>
        <v>131.15302784882806</v>
      </c>
      <c r="AB213" s="32">
        <f ca="1">SUMPRODUCT(dFactor,tpSurvAll_Com,tElec0_Com,OFFSET(tPrcElec_Com,0,23,1,_maxLT))</f>
        <v>130.83944662072406</v>
      </c>
      <c r="AC213" s="32">
        <f ca="1">SUMPRODUCT(dFactor,tpSurvAll_Com,tElec0_Com,OFFSET(tPrcElec_Com,0,24,1,_maxLT))</f>
        <v>130.62232299893853</v>
      </c>
      <c r="AD213" s="32">
        <f ca="1">SUMPRODUCT(dFactor,tpSurvAll_Com,tElec0_Com,OFFSET(tPrcElec_Com,0,25,1,_maxLT))</f>
        <v>130.37054380128617</v>
      </c>
      <c r="AE213" s="32">
        <f ca="1">SUMPRODUCT(dFactor,tpSurvAll_Com,tElec0_Com,OFFSET(tPrcElec_Com,0,26,1,_maxLT))</f>
        <v>130.17362504831169</v>
      </c>
      <c r="AF213" s="32">
        <f ca="1">SUMPRODUCT(dFactor,tpSurvAll_Com,tElec0_Com,OFFSET(tPrcElec_Com,0,27,1,_maxLT))</f>
        <v>130.17362504831169</v>
      </c>
      <c r="AG213" s="32">
        <f ca="1">SUMPRODUCT(dFactor,tpSurvAll_Com,tElec0_Com,OFFSET(tPrcElec_Com,0,28,1,_maxLT))</f>
        <v>130.17362504831169</v>
      </c>
      <c r="AH213" s="32">
        <f ca="1">SUMPRODUCT(dFactor,tpSurvAll_Com,tElec0_Com,OFFSET(tPrcElec_Com,0,29,1,_maxLT))</f>
        <v>130.17362504831169</v>
      </c>
      <c r="AI213" s="32">
        <f ca="1">SUMPRODUCT(dFactor,tpSurvAll_Com,tElec0_Com,OFFSET(tPrcElec_Com,0,30,1,_maxLT))</f>
        <v>130.17362504831169</v>
      </c>
      <c r="AJ213" s="32">
        <f ca="1">SUMPRODUCT(dFactor,tpSurvAll_Com,tElec0_Com,OFFSET(tPrcElec_Com,0,31,1,_maxLT))</f>
        <v>130.17362504831169</v>
      </c>
      <c r="AK213" s="32">
        <f ca="1">SUMPRODUCT(dFactor,tpSurvAll_Com,tElec0_Com,OFFSET(tPrcElec_Com,0,32,1,_maxLT))</f>
        <v>130.17362504831169</v>
      </c>
      <c r="AL213" s="32">
        <f ca="1">SUMPRODUCT(dFactor,tpSurvAll_Com,tElec0_Com,OFFSET(tPrcElec_Com,0,33,1,_maxLT))</f>
        <v>130.17362504831169</v>
      </c>
      <c r="AM213" s="32">
        <f ca="1">SUMPRODUCT(dFactor,tpSurvAll_Com,tElec0_Com,OFFSET(tPrcElec_Com,0,34,1,_maxLT))</f>
        <v>130.17362504831169</v>
      </c>
      <c r="AN213" s="55">
        <f ca="1">SUMPRODUCT(dFactor,tpSurvAll_Com,tElec0_Com,OFFSET(tPrcElec_Com,0,35,1,_maxLT))</f>
        <v>130.17362504831169</v>
      </c>
      <c r="AO213" s="8"/>
    </row>
    <row r="214" spans="2:41" x14ac:dyDescent="0.35">
      <c r="B214" s="8"/>
      <c r="C214" s="10" t="s">
        <v>78</v>
      </c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18"/>
      <c r="AO214" s="8"/>
    </row>
    <row r="215" spans="2:41" x14ac:dyDescent="0.35">
      <c r="B215" s="8"/>
      <c r="C215" s="20" t="str">
        <f>INDEX(_Sector,2,1)</f>
        <v>Residential</v>
      </c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18"/>
      <c r="AO215" s="8"/>
    </row>
    <row r="216" spans="2:41" x14ac:dyDescent="0.35">
      <c r="B216" s="8"/>
      <c r="C216" s="50" t="str">
        <f>INDEX(_fuel,1)</f>
        <v>Electricity</v>
      </c>
      <c r="D216" s="11" t="s">
        <v>80</v>
      </c>
      <c r="E216" s="40">
        <f ca="1">SUMPRODUCT(OFFSET(tConvElec_Res,0,0,1,_maxLT),tElec0_Res,tpSurvAll_Res)</f>
        <v>7.8432075173868583</v>
      </c>
      <c r="F216" s="40">
        <f ca="1">SUMPRODUCT(OFFSET(tConvElec_Res,0,1,1,_maxLT),tElec0_Res,tpSurvAll_Res)</f>
        <v>7.8044441991119475</v>
      </c>
      <c r="G216" s="40">
        <f ca="1">SUMPRODUCT(OFFSET(tConvElec_Res,0,2,1,_maxLT),tElec0_Res,tpSurvAll_Res)</f>
        <v>7.7763272147561517</v>
      </c>
      <c r="H216" s="40">
        <f ca="1">SUMPRODUCT(OFFSET(tConvElec_Res,0,3,1,_maxLT),tElec0_Res,tpSurvAll_Res)</f>
        <v>7.7543358837777587</v>
      </c>
      <c r="I216" s="40">
        <f ca="1">SUMPRODUCT(OFFSET(tConvElec_Res,0,4,1,_maxLT),tElec0_Res,tpSurvAll_Res)</f>
        <v>7.7390307605795492</v>
      </c>
      <c r="J216" s="40">
        <f ca="1">SUMPRODUCT(OFFSET(tConvElec_Res,0,5,1,_maxLT),tElec0_Res,tpSurvAll_Res)</f>
        <v>7.7269591596839629</v>
      </c>
      <c r="K216" s="40">
        <f ca="1">SUMPRODUCT(OFFSET(tConvElec_Res,0,6,1,_maxLT),tElec0_Res,tpSurvAll_Res)</f>
        <v>7.7165008986138304</v>
      </c>
      <c r="L216" s="40">
        <f ca="1">SUMPRODUCT(OFFSET(tConvElec_Res,0,7,1,_maxLT),tElec0_Res,tpSurvAll_Res)</f>
        <v>7.7052178468278525</v>
      </c>
      <c r="M216" s="40">
        <f ca="1">SUMPRODUCT(OFFSET(tConvElec_Res,0,8,1,_maxLT),tElec0_Res,tpSurvAll_Res)</f>
        <v>7.6943586975651028</v>
      </c>
      <c r="N216" s="40">
        <f ca="1">SUMPRODUCT(OFFSET(tConvElec_Res,0,9,1,_maxLT),tElec0_Res,tpSurvAll_Res)</f>
        <v>7.6840730804830182</v>
      </c>
      <c r="O216" s="40">
        <f ca="1">SUMPRODUCT(OFFSET(tConvElec_Res,0,10,1,_maxLT),tElec0_Res,tpSurvAll_Res)</f>
        <v>7.6733316447479814</v>
      </c>
      <c r="P216" s="40">
        <f ca="1">SUMPRODUCT(OFFSET(tConvElec_Res,0,11,1,_maxLT),tElec0_Res,tpSurvAll_Res)</f>
        <v>7.6642551317687646</v>
      </c>
      <c r="Q216" s="40">
        <f ca="1">SUMPRODUCT(OFFSET(tConvElec_Res,0,12,1,_maxLT),tElec0_Res,tpSurvAll_Res)</f>
        <v>7.6549438677661792</v>
      </c>
      <c r="R216" s="40">
        <f ca="1">SUMPRODUCT(OFFSET(tConvElec_Res,0,13,1,_maxLT),tElec0_Res,tpSurvAll_Res)</f>
        <v>7.6468279389250178</v>
      </c>
      <c r="S216" s="40">
        <f ca="1">SUMPRODUCT(OFFSET(tConvElec_Res,0,14,1,_maxLT),tElec0_Res,tpSurvAll_Res)</f>
        <v>7.6399913704862641</v>
      </c>
      <c r="T216" s="40">
        <f ca="1">SUMPRODUCT(OFFSET(tConvElec_Res,0,15,1,_maxLT),tElec0_Res,tpSurvAll_Res)</f>
        <v>7.6336261748908374</v>
      </c>
      <c r="U216" s="40">
        <f ca="1">SUMPRODUCT(OFFSET(tConvElec_Res,0,16,1,_maxLT),tElec0_Res,tpSurvAll_Res)</f>
        <v>7.6270845801004317</v>
      </c>
      <c r="V216" s="40">
        <f ca="1">SUMPRODUCT(OFFSET(tConvElec_Res,0,17,1,_maxLT),tElec0_Res,tpSurvAll_Res)</f>
        <v>7.6212259825797739</v>
      </c>
      <c r="W216" s="40">
        <f ca="1">SUMPRODUCT(OFFSET(tConvElec_Res,0,18,1,_maxLT),tElec0_Res,tpSurvAll_Res)</f>
        <v>7.616433990158904</v>
      </c>
      <c r="X216" s="40">
        <f ca="1">SUMPRODUCT(OFFSET(tConvElec_Res,0,19,1,_maxLT),tElec0_Res,tpSurvAll_Res)</f>
        <v>7.6123820614477014</v>
      </c>
      <c r="Y216" s="40">
        <f ca="1">SUMPRODUCT(OFFSET(tConvElec_Res,0,20,1,_maxLT),tElec0_Res,tpSurvAll_Res)</f>
        <v>7.6091226740501012</v>
      </c>
      <c r="Z216" s="40">
        <f ca="1">SUMPRODUCT(OFFSET(tConvElec_Res,0,21,1,_maxLT),tElec0_Res,tpSurvAll_Res)</f>
        <v>7.6078589789309348</v>
      </c>
      <c r="AA216" s="40">
        <f ca="1">SUMPRODUCT(OFFSET(tConvElec_Res,0,22,1,_maxLT),tElec0_Res,tpSurvAll_Res)</f>
        <v>7.6078251625142306</v>
      </c>
      <c r="AB216" s="40">
        <f ca="1">SUMPRODUCT(OFFSET(tConvElec_Res,0,23,1,_maxLT),tElec0_Res,tpSurvAll_Res)</f>
        <v>7.608172931840933</v>
      </c>
      <c r="AC216" s="40">
        <f ca="1">SUMPRODUCT(OFFSET(tConvElec_Res,0,24,1,_maxLT),tElec0_Res,tpSurvAll_Res)</f>
        <v>7.6089176297795076</v>
      </c>
      <c r="AD216" s="40">
        <f ca="1">SUMPRODUCT(OFFSET(tConvElec_Res,0,25,1,_maxLT),tElec0_Res,tpSurvAll_Res)</f>
        <v>7.609542706440438</v>
      </c>
      <c r="AE216" s="40">
        <f ca="1">SUMPRODUCT(OFFSET(tConvElec_Res,0,26,1,_maxLT),tElec0_Res,tpSurvAll_Res)</f>
        <v>7.6096902319593678</v>
      </c>
      <c r="AF216" s="40">
        <f ca="1">SUMPRODUCT(OFFSET(tConvElec_Res,0,27,1,_maxLT),tElec0_Res,tpSurvAll_Res)</f>
        <v>7.6096902319593678</v>
      </c>
      <c r="AG216" s="40">
        <f ca="1">SUMPRODUCT(OFFSET(tConvElec_Res,0,28,1,_maxLT),tElec0_Res,tpSurvAll_Res)</f>
        <v>7.6096902319593678</v>
      </c>
      <c r="AH216" s="40">
        <f ca="1">SUMPRODUCT(OFFSET(tConvElec_Res,0,29,1,_maxLT),tElec0_Res,tpSurvAll_Res)</f>
        <v>7.6096902319593678</v>
      </c>
      <c r="AI216" s="40">
        <f ca="1">SUMPRODUCT(OFFSET(tConvElec_Res,0,30,1,_maxLT),tElec0_Res,tpSurvAll_Res)</f>
        <v>7.6096902319593678</v>
      </c>
      <c r="AJ216" s="40">
        <f ca="1">SUMPRODUCT(OFFSET(tConvElec_Res,0,31,1,_maxLT),tElec0_Res,tpSurvAll_Res)</f>
        <v>7.6096902319593678</v>
      </c>
      <c r="AK216" s="40">
        <f ca="1">SUMPRODUCT(OFFSET(tConvElec_Res,0,32,1,_maxLT),tElec0_Res,tpSurvAll_Res)</f>
        <v>7.6096902319593678</v>
      </c>
      <c r="AL216" s="40">
        <f ca="1">SUMPRODUCT(OFFSET(tConvElec_Res,0,33,1,_maxLT),tElec0_Res,tpSurvAll_Res)</f>
        <v>7.6096902319593678</v>
      </c>
      <c r="AM216" s="40">
        <f ca="1">SUMPRODUCT(OFFSET(tConvElec_Res,0,34,1,_maxLT),tElec0_Res,tpSurvAll_Res)</f>
        <v>7.6096902319593678</v>
      </c>
      <c r="AN216" s="41">
        <f ca="1">SUMPRODUCT(OFFSET(tConvElec_Res,0,35,1,_maxLT),tElec0_Res,tpSurvAll_Res)</f>
        <v>7.6096902319593678</v>
      </c>
      <c r="AO216" s="8"/>
    </row>
    <row r="217" spans="2:41" x14ac:dyDescent="0.35">
      <c r="B217" s="8"/>
      <c r="C217" s="20" t="str">
        <f>INDEX(_Sector,2,2)</f>
        <v>Commercial</v>
      </c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18"/>
      <c r="AO217" s="8"/>
    </row>
    <row r="218" spans="2:41" x14ac:dyDescent="0.35">
      <c r="B218" s="8"/>
      <c r="C218" s="50" t="str">
        <f>INDEX(_fuel,1)</f>
        <v>Electricity</v>
      </c>
      <c r="D218" s="11" t="s">
        <v>80</v>
      </c>
      <c r="E218" s="40">
        <f ca="1">SUMPRODUCT(OFFSET(tConvElec_Com,0,0,1,_maxLT),tElec0_Com,tpSurvAll_Com)</f>
        <v>16.208002449190829</v>
      </c>
      <c r="F218" s="40">
        <f ca="1">SUMPRODUCT(OFFSET(tConvElec_Com,0,1,1,_maxLT),tElec0_Com,tpSurvAll_Com)</f>
        <v>16.124811468746739</v>
      </c>
      <c r="G218" s="40">
        <f ca="1">SUMPRODUCT(OFFSET(tConvElec_Com,0,2,1,_maxLT),tElec0_Com,tpSurvAll_Com)</f>
        <v>16.065319257823646</v>
      </c>
      <c r="H218" s="40">
        <f ca="1">SUMPRODUCT(OFFSET(tConvElec_Com,0,3,1,_maxLT),tElec0_Com,tpSurvAll_Com)</f>
        <v>16.01958470011953</v>
      </c>
      <c r="I218" s="40">
        <f ca="1">SUMPRODUCT(OFFSET(tConvElec_Com,0,4,1,_maxLT),tElec0_Com,tpSurvAll_Com)</f>
        <v>15.98908261186406</v>
      </c>
      <c r="J218" s="40">
        <f ca="1">SUMPRODUCT(OFFSET(tConvElec_Com,0,5,1,_maxLT),tElec0_Com,tpSurvAll_Com)</f>
        <v>15.965888058418578</v>
      </c>
      <c r="K218" s="40">
        <f ca="1">SUMPRODUCT(OFFSET(tConvElec_Com,0,6,1,_maxLT),tElec0_Com,tpSurvAll_Com)</f>
        <v>15.946093305414763</v>
      </c>
      <c r="L218" s="40">
        <f ca="1">SUMPRODUCT(OFFSET(tConvElec_Com,0,7,1,_maxLT),tElec0_Com,tpSurvAll_Com)</f>
        <v>15.924895475412093</v>
      </c>
      <c r="M218" s="40">
        <f ca="1">SUMPRODUCT(OFFSET(tConvElec_Com,0,8,1,_maxLT),tElec0_Com,tpSurvAll_Com)</f>
        <v>15.90486387642377</v>
      </c>
      <c r="N218" s="40">
        <f ca="1">SUMPRODUCT(OFFSET(tConvElec_Com,0,9,1,_maxLT),tElec0_Com,tpSurvAll_Com)</f>
        <v>15.885984168057625</v>
      </c>
      <c r="O218" s="40">
        <f ca="1">SUMPRODUCT(OFFSET(tConvElec_Com,0,10,1,_maxLT),tElec0_Com,tpSurvAll_Com)</f>
        <v>15.866467971380223</v>
      </c>
      <c r="P218" s="40">
        <f ca="1">SUMPRODUCT(OFFSET(tConvElec_Com,0,11,1,_maxLT),tElec0_Com,tpSurvAll_Com)</f>
        <v>15.849725992094269</v>
      </c>
      <c r="Q218" s="40">
        <f ca="1">SUMPRODUCT(OFFSET(tConvElec_Com,0,12,1,_maxLT),tElec0_Com,tpSurvAll_Com)</f>
        <v>15.832287564334083</v>
      </c>
      <c r="R218" s="40">
        <f ca="1">SUMPRODUCT(OFFSET(tConvElec_Com,0,13,1,_maxLT),tElec0_Com,tpSurvAll_Com)</f>
        <v>15.817082833467394</v>
      </c>
      <c r="S218" s="40">
        <f ca="1">SUMPRODUCT(OFFSET(tConvElec_Com,0,14,1,_maxLT),tElec0_Com,tpSurvAll_Com)</f>
        <v>15.804453092593178</v>
      </c>
      <c r="T218" s="40">
        <f ca="1">SUMPRODUCT(OFFSET(tConvElec_Com,0,15,1,_maxLT),tElec0_Com,tpSurvAll_Com)</f>
        <v>15.79287779011004</v>
      </c>
      <c r="U218" s="40">
        <f ca="1">SUMPRODUCT(OFFSET(tConvElec_Com,0,16,1,_maxLT),tElec0_Com,tpSurvAll_Com)</f>
        <v>15.780949083701525</v>
      </c>
      <c r="V218" s="40">
        <f ca="1">SUMPRODUCT(OFFSET(tConvElec_Com,0,17,1,_maxLT),tElec0_Com,tpSurvAll_Com)</f>
        <v>15.770211933259398</v>
      </c>
      <c r="W218" s="40">
        <f ca="1">SUMPRODUCT(OFFSET(tConvElec_Com,0,18,1,_maxLT),tElec0_Com,tpSurvAll_Com)</f>
        <v>15.761535776611066</v>
      </c>
      <c r="X218" s="40">
        <f ca="1">SUMPRODUCT(OFFSET(tConvElec_Com,0,19,1,_maxLT),tElec0_Com,tpSurvAll_Com)</f>
        <v>15.754282799035376</v>
      </c>
      <c r="Y218" s="40">
        <f ca="1">SUMPRODUCT(OFFSET(tConvElec_Com,0,20,1,_maxLT),tElec0_Com,tpSurvAll_Com)</f>
        <v>15.748468124625095</v>
      </c>
      <c r="Z218" s="40">
        <f ca="1">SUMPRODUCT(OFFSET(tConvElec_Com,0,21,1,_maxLT),tElec0_Com,tpSurvAll_Com)</f>
        <v>15.746528555938699</v>
      </c>
      <c r="AA218" s="40">
        <f ca="1">SUMPRODUCT(OFFSET(tConvElec_Com,0,22,1,_maxLT),tElec0_Com,tpSurvAll_Com)</f>
        <v>15.746935679880274</v>
      </c>
      <c r="AB218" s="40">
        <f ca="1">SUMPRODUCT(OFFSET(tConvElec_Com,0,23,1,_maxLT),tElec0_Com,tpSurvAll_Com)</f>
        <v>15.748035060732938</v>
      </c>
      <c r="AC218" s="40">
        <f ca="1">SUMPRODUCT(OFFSET(tConvElec_Com,0,24,1,_maxLT),tElec0_Com,tpSurvAll_Com)</f>
        <v>15.749777646495662</v>
      </c>
      <c r="AD218" s="40">
        <f ca="1">SUMPRODUCT(OFFSET(tConvElec_Com,0,25,1,_maxLT),tElec0_Com,tpSurvAll_Com)</f>
        <v>15.751171286979325</v>
      </c>
      <c r="AE218" s="40">
        <f ca="1">SUMPRODUCT(OFFSET(tConvElec_Com,0,26,1,_maxLT),tElec0_Com,tpSurvAll_Com)</f>
        <v>15.751534322245266</v>
      </c>
      <c r="AF218" s="40">
        <f ca="1">SUMPRODUCT(OFFSET(tConvElec_Com,0,27,1,_maxLT),tElec0_Com,tpSurvAll_Com)</f>
        <v>15.751534322245266</v>
      </c>
      <c r="AG218" s="40">
        <f ca="1">SUMPRODUCT(OFFSET(tConvElec_Com,0,28,1,_maxLT),tElec0_Com,tpSurvAll_Com)</f>
        <v>15.751534322245266</v>
      </c>
      <c r="AH218" s="40">
        <f ca="1">SUMPRODUCT(OFFSET(tConvElec_Com,0,29,1,_maxLT),tElec0_Com,tpSurvAll_Com)</f>
        <v>15.751534322245266</v>
      </c>
      <c r="AI218" s="40">
        <f ca="1">SUMPRODUCT(OFFSET(tConvElec_Com,0,30,1,_maxLT),tElec0_Com,tpSurvAll_Com)</f>
        <v>15.751534322245266</v>
      </c>
      <c r="AJ218" s="40">
        <f ca="1">SUMPRODUCT(OFFSET(tConvElec_Com,0,31,1,_maxLT),tElec0_Com,tpSurvAll_Com)</f>
        <v>15.751534322245266</v>
      </c>
      <c r="AK218" s="40">
        <f ca="1">SUMPRODUCT(OFFSET(tConvElec_Com,0,32,1,_maxLT),tElec0_Com,tpSurvAll_Com)</f>
        <v>15.751534322245266</v>
      </c>
      <c r="AL218" s="40">
        <f ca="1">SUMPRODUCT(OFFSET(tConvElec_Com,0,33,1,_maxLT),tElec0_Com,tpSurvAll_Com)</f>
        <v>15.751534322245266</v>
      </c>
      <c r="AM218" s="40">
        <f ca="1">SUMPRODUCT(OFFSET(tConvElec_Com,0,34,1,_maxLT),tElec0_Com,tpSurvAll_Com)</f>
        <v>15.751534322245266</v>
      </c>
      <c r="AN218" s="41">
        <f ca="1">SUMPRODUCT(OFFSET(tConvElec_Com,0,35,1,_maxLT),tElec0_Com,tpSurvAll_Com)</f>
        <v>15.751534322245266</v>
      </c>
      <c r="AO218" s="8"/>
    </row>
    <row r="219" spans="2:41" x14ac:dyDescent="0.35">
      <c r="B219" s="8"/>
      <c r="C219" s="57" t="str">
        <f>"EL 1: " &amp; INDEX(_doName,2,2)</f>
        <v>EL 1: Tier 1</v>
      </c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8"/>
      <c r="AO219" s="8"/>
    </row>
    <row r="220" spans="2:41" x14ac:dyDescent="0.35">
      <c r="B220" s="8"/>
      <c r="C220" s="10" t="s">
        <v>70</v>
      </c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18"/>
      <c r="AO220" s="8"/>
    </row>
    <row r="221" spans="2:41" x14ac:dyDescent="0.35">
      <c r="B221" s="8"/>
      <c r="C221" s="20" t="str">
        <f>INDEX(_Sector,2,1)</f>
        <v>Residential</v>
      </c>
      <c r="D221" s="11" t="str">
        <f>_yearDol &amp; "$"</f>
        <v>2021$</v>
      </c>
      <c r="E221" s="32">
        <f t="array" ref="E221:AN221">tMSP1_Res*tPIdxmed1 + tInst1</f>
        <v>93.518771846471594</v>
      </c>
      <c r="F221" s="32">
        <v>92.874070304722494</v>
      </c>
      <c r="G221" s="32">
        <v>92.258735606192403</v>
      </c>
      <c r="H221" s="32">
        <v>91.66796192139175</v>
      </c>
      <c r="I221" s="32">
        <v>91.098303252988558</v>
      </c>
      <c r="J221" s="32">
        <v>90.547437430827074</v>
      </c>
      <c r="K221" s="32">
        <v>90.013761742818375</v>
      </c>
      <c r="L221" s="32">
        <v>89.496100041655012</v>
      </c>
      <c r="M221" s="32">
        <v>88.99343075640472</v>
      </c>
      <c r="N221" s="32">
        <v>88.504756723287102</v>
      </c>
      <c r="O221" s="32">
        <v>88.029074220837614</v>
      </c>
      <c r="P221" s="32">
        <v>87.565377771343677</v>
      </c>
      <c r="Q221" s="32">
        <v>87.112705728135154</v>
      </c>
      <c r="R221" s="32">
        <v>86.670187962309029</v>
      </c>
      <c r="S221" s="32">
        <v>86.237031769335886</v>
      </c>
      <c r="T221" s="32">
        <v>85.812618475899541</v>
      </c>
      <c r="U221" s="32">
        <v>85.396374933658876</v>
      </c>
      <c r="V221" s="32">
        <v>84.987803009921251</v>
      </c>
      <c r="W221" s="32">
        <v>84.586458713131861</v>
      </c>
      <c r="X221" s="32">
        <v>84.191936306193242</v>
      </c>
      <c r="Y221" s="32">
        <v>83.803860351963436</v>
      </c>
      <c r="Z221" s="32">
        <v>83.421879282713462</v>
      </c>
      <c r="AA221" s="32">
        <v>83.045665561166558</v>
      </c>
      <c r="AB221" s="32">
        <v>82.674915595808542</v>
      </c>
      <c r="AC221" s="32">
        <v>82.309349479657328</v>
      </c>
      <c r="AD221" s="32">
        <v>81.948710047655965</v>
      </c>
      <c r="AE221" s="32">
        <v>81.592761101572094</v>
      </c>
      <c r="AF221" s="32">
        <v>81.241285200939217</v>
      </c>
      <c r="AG221" s="32">
        <v>80.894081378751821</v>
      </c>
      <c r="AH221" s="32">
        <v>80.550963069210908</v>
      </c>
      <c r="AI221" s="32">
        <v>80.211756436265318</v>
      </c>
      <c r="AJ221" s="32">
        <v>79.876299099321017</v>
      </c>
      <c r="AK221" s="32">
        <v>79.544439143829834</v>
      </c>
      <c r="AL221" s="32">
        <v>79.216034438504238</v>
      </c>
      <c r="AM221" s="32">
        <v>78.890951878488849</v>
      </c>
      <c r="AN221" s="55">
        <v>78.569066832374247</v>
      </c>
      <c r="AO221" s="8"/>
    </row>
    <row r="222" spans="2:41" x14ac:dyDescent="0.35">
      <c r="B222" s="8"/>
      <c r="C222" s="20" t="str">
        <f>INDEX(_Sector,2,2)</f>
        <v>Commercial</v>
      </c>
      <c r="D222" s="11" t="str">
        <f>_yearDol &amp; "$"</f>
        <v>2021$</v>
      </c>
      <c r="E222" s="32">
        <f t="array" ref="E222:AN222">tMSP1_Com*tPIdxmed1 + tInst1</f>
        <v>90.386577738245563</v>
      </c>
      <c r="F222" s="32">
        <v>89.763468977611524</v>
      </c>
      <c r="G222" s="32">
        <v>89.168743485973991</v>
      </c>
      <c r="H222" s="32">
        <v>88.597756393942831</v>
      </c>
      <c r="I222" s="32">
        <v>88.047177119864884</v>
      </c>
      <c r="J222" s="32">
        <v>87.514761269281621</v>
      </c>
      <c r="K222" s="32">
        <v>86.998959809223948</v>
      </c>
      <c r="L222" s="32">
        <v>86.498635984707434</v>
      </c>
      <c r="M222" s="32">
        <v>86.012802439946029</v>
      </c>
      <c r="N222" s="32">
        <v>85.54049540884472</v>
      </c>
      <c r="O222" s="32">
        <v>85.080744787258723</v>
      </c>
      <c r="P222" s="32">
        <v>84.632578773616686</v>
      </c>
      <c r="Q222" s="32">
        <v>84.195067929370708</v>
      </c>
      <c r="R222" s="32">
        <v>83.767371268564872</v>
      </c>
      <c r="S222" s="32">
        <v>83.348722636467315</v>
      </c>
      <c r="T222" s="32">
        <v>82.938524080787971</v>
      </c>
      <c r="U222" s="32">
        <v>82.536221649458525</v>
      </c>
      <c r="V222" s="32">
        <v>82.141333893584218</v>
      </c>
      <c r="W222" s="32">
        <v>81.753431692076376</v>
      </c>
      <c r="X222" s="32">
        <v>81.372122897059484</v>
      </c>
      <c r="Y222" s="32">
        <v>80.997044645786886</v>
      </c>
      <c r="Z222" s="32">
        <v>80.627857145474309</v>
      </c>
      <c r="AA222" s="32">
        <v>80.264243828945538</v>
      </c>
      <c r="AB222" s="32">
        <v>79.905911272779178</v>
      </c>
      <c r="AC222" s="32">
        <v>79.552588944827576</v>
      </c>
      <c r="AD222" s="32">
        <v>79.204028293180201</v>
      </c>
      <c r="AE222" s="32">
        <v>78.860001030516031</v>
      </c>
      <c r="AF222" s="32">
        <v>78.520296999032084</v>
      </c>
      <c r="AG222" s="32">
        <v>78.184721962646066</v>
      </c>
      <c r="AH222" s="32">
        <v>77.853095604147157</v>
      </c>
      <c r="AI222" s="32">
        <v>77.525249909719108</v>
      </c>
      <c r="AJ222" s="32">
        <v>77.201027937328803</v>
      </c>
      <c r="AK222" s="32">
        <v>76.88028286045315</v>
      </c>
      <c r="AL222" s="32">
        <v>76.562877308162001</v>
      </c>
      <c r="AM222" s="32">
        <v>76.248682633638097</v>
      </c>
      <c r="AN222" s="55">
        <v>75.937578379711624</v>
      </c>
      <c r="AO222" s="8"/>
    </row>
    <row r="223" spans="2:41" x14ac:dyDescent="0.35">
      <c r="B223" s="8"/>
      <c r="C223" s="10" t="str">
        <f>zEO&amp;" Costs"</f>
        <v>Operating Costs</v>
      </c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18"/>
      <c r="AO223" s="8"/>
    </row>
    <row r="224" spans="2:41" x14ac:dyDescent="0.35">
      <c r="B224" s="8"/>
      <c r="C224" s="20" t="str">
        <f>INDEX(_Sector,2,1)</f>
        <v>Residential</v>
      </c>
      <c r="D224" s="11" t="str">
        <f>_yearDol &amp; "$"</f>
        <v>2021$</v>
      </c>
      <c r="E224" s="32">
        <f t="array" aca="1" ref="E224:AN224" ca="1">(tlccEFuElec1_Res) + SUMPRODUCT(dFactor,tpSurvAll_Com,tMnR1_Res)</f>
        <v>194.33312523146355</v>
      </c>
      <c r="F224" s="32">
        <f ca="1"/>
        <v>194.47791125812111</v>
      </c>
      <c r="G224" s="32">
        <f ca="1"/>
        <v>194.70554697244384</v>
      </c>
      <c r="H224" s="32">
        <f ca="1"/>
        <v>194.96940016803703</v>
      </c>
      <c r="I224" s="32">
        <f ca="1"/>
        <v>195.21688135609375</v>
      </c>
      <c r="J224" s="32">
        <f ca="1"/>
        <v>195.42447693221308</v>
      </c>
      <c r="K224" s="32">
        <f ca="1"/>
        <v>195.58542376061342</v>
      </c>
      <c r="L224" s="32">
        <f ca="1"/>
        <v>195.71355215753306</v>
      </c>
      <c r="M224" s="32">
        <f ca="1"/>
        <v>195.77939456694367</v>
      </c>
      <c r="N224" s="32">
        <f ca="1"/>
        <v>195.79141394495116</v>
      </c>
      <c r="O224" s="32">
        <f ca="1"/>
        <v>195.70566840751027</v>
      </c>
      <c r="P224" s="32">
        <f ca="1"/>
        <v>195.53930159493967</v>
      </c>
      <c r="Q224" s="32">
        <f ca="1"/>
        <v>195.40692355683836</v>
      </c>
      <c r="R224" s="32">
        <f ca="1"/>
        <v>195.26942528127768</v>
      </c>
      <c r="S224" s="32">
        <f ca="1"/>
        <v>195.16456055712945</v>
      </c>
      <c r="T224" s="32">
        <f ca="1"/>
        <v>195.09518754569709</v>
      </c>
      <c r="U224" s="32">
        <f ca="1"/>
        <v>194.99717091385992</v>
      </c>
      <c r="V224" s="32">
        <f ca="1"/>
        <v>194.87650087834834</v>
      </c>
      <c r="W224" s="32">
        <f ca="1"/>
        <v>194.76936448643505</v>
      </c>
      <c r="X224" s="32">
        <f ca="1"/>
        <v>194.63760445183993</v>
      </c>
      <c r="Y224" s="32">
        <f ca="1"/>
        <v>194.50978097837265</v>
      </c>
      <c r="Z224" s="32">
        <f ca="1"/>
        <v>194.44026562604762</v>
      </c>
      <c r="AA224" s="32">
        <f ca="1"/>
        <v>194.34900534509907</v>
      </c>
      <c r="AB224" s="32">
        <f ca="1"/>
        <v>194.26046093780786</v>
      </c>
      <c r="AC224" s="32">
        <f ca="1"/>
        <v>194.18810739290851</v>
      </c>
      <c r="AD224" s="32">
        <f ca="1"/>
        <v>194.08964646301752</v>
      </c>
      <c r="AE224" s="32">
        <f ca="1"/>
        <v>194.01023772228712</v>
      </c>
      <c r="AF224" s="32">
        <f ca="1"/>
        <v>194.01023772228712</v>
      </c>
      <c r="AG224" s="32">
        <f ca="1"/>
        <v>194.01023772228712</v>
      </c>
      <c r="AH224" s="32">
        <f ca="1"/>
        <v>194.01023772228712</v>
      </c>
      <c r="AI224" s="32">
        <f ca="1"/>
        <v>194.01023772228712</v>
      </c>
      <c r="AJ224" s="32">
        <f ca="1"/>
        <v>194.01023772228712</v>
      </c>
      <c r="AK224" s="32">
        <f ca="1"/>
        <v>194.01023772228712</v>
      </c>
      <c r="AL224" s="32">
        <f ca="1"/>
        <v>194.01023772228712</v>
      </c>
      <c r="AM224" s="32">
        <f ca="1"/>
        <v>194.01023772228712</v>
      </c>
      <c r="AN224" s="55">
        <f ca="1"/>
        <v>194.01023772228712</v>
      </c>
      <c r="AO224" s="8"/>
    </row>
    <row r="225" spans="2:41" x14ac:dyDescent="0.35">
      <c r="B225" s="8"/>
      <c r="C225" s="50" t="str">
        <f>INDEX(_fuel,1)</f>
        <v>Electricity</v>
      </c>
      <c r="D225" s="11" t="str">
        <f>_yearDol &amp; "$"</f>
        <v>2021$</v>
      </c>
      <c r="E225" s="32">
        <f ca="1">SUMPRODUCT(dFactor,tpSurvAll_Res,tElec1_Res,OFFSET(tPrcElec_Res,0,0,1,_maxLT))</f>
        <v>76.78971730357091</v>
      </c>
      <c r="F225" s="32">
        <f ca="1">SUMPRODUCT(dFactor,tpSurvAll_Res,tElec1_Res,OFFSET(tPrcElec_Res,0,1,1,_maxLT))</f>
        <v>76.93450333022848</v>
      </c>
      <c r="G225" s="32">
        <f ca="1">SUMPRODUCT(dFactor,tpSurvAll_Res,tElec1_Res,OFFSET(tPrcElec_Res,0,2,1,_maxLT))</f>
        <v>77.162139044551211</v>
      </c>
      <c r="H225" s="32">
        <f ca="1">SUMPRODUCT(dFactor,tpSurvAll_Res,tElec1_Res,OFFSET(tPrcElec_Res,0,3,1,_maxLT))</f>
        <v>77.425992240144396</v>
      </c>
      <c r="I225" s="32">
        <f ca="1">SUMPRODUCT(dFactor,tpSurvAll_Res,tElec1_Res,OFFSET(tPrcElec_Res,0,4,1,_maxLT))</f>
        <v>77.67347342820112</v>
      </c>
      <c r="J225" s="32">
        <f ca="1">SUMPRODUCT(dFactor,tpSurvAll_Res,tElec1_Res,OFFSET(tPrcElec_Res,0,5,1,_maxLT))</f>
        <v>77.881069004320452</v>
      </c>
      <c r="K225" s="32">
        <f ca="1">SUMPRODUCT(dFactor,tpSurvAll_Res,tElec1_Res,OFFSET(tPrcElec_Res,0,6,1,_maxLT))</f>
        <v>78.042015832720807</v>
      </c>
      <c r="L225" s="32">
        <f ca="1">SUMPRODUCT(dFactor,tpSurvAll_Res,tElec1_Res,OFFSET(tPrcElec_Res,0,7,1,_maxLT))</f>
        <v>78.170144229640442</v>
      </c>
      <c r="M225" s="32">
        <f ca="1">SUMPRODUCT(dFactor,tpSurvAll_Res,tElec1_Res,OFFSET(tPrcElec_Res,0,8,1,_maxLT))</f>
        <v>78.235986639051035</v>
      </c>
      <c r="N225" s="32">
        <f ca="1">SUMPRODUCT(dFactor,tpSurvAll_Res,tElec1_Res,OFFSET(tPrcElec_Res,0,9,1,_maxLT))</f>
        <v>78.248006017058515</v>
      </c>
      <c r="O225" s="32">
        <f ca="1">SUMPRODUCT(dFactor,tpSurvAll_Res,tElec1_Res,OFFSET(tPrcElec_Res,0,10,1,_maxLT))</f>
        <v>78.162260479617643</v>
      </c>
      <c r="P225" s="32">
        <f ca="1">SUMPRODUCT(dFactor,tpSurvAll_Res,tElec1_Res,OFFSET(tPrcElec_Res,0,11,1,_maxLT))</f>
        <v>77.995893667047042</v>
      </c>
      <c r="Q225" s="32">
        <f ca="1">SUMPRODUCT(dFactor,tpSurvAll_Res,tElec1_Res,OFFSET(tPrcElec_Res,0,12,1,_maxLT))</f>
        <v>77.863515628945734</v>
      </c>
      <c r="R225" s="32">
        <f ca="1">SUMPRODUCT(dFactor,tpSurvAll_Res,tElec1_Res,OFFSET(tPrcElec_Res,0,13,1,_maxLT))</f>
        <v>77.726017353385032</v>
      </c>
      <c r="S225" s="32">
        <f ca="1">SUMPRODUCT(dFactor,tpSurvAll_Res,tElec1_Res,OFFSET(tPrcElec_Res,0,14,1,_maxLT))</f>
        <v>77.621152629236803</v>
      </c>
      <c r="T225" s="32">
        <f ca="1">SUMPRODUCT(dFactor,tpSurvAll_Res,tElec1_Res,OFFSET(tPrcElec_Res,0,15,1,_maxLT))</f>
        <v>77.551779617804456</v>
      </c>
      <c r="U225" s="32">
        <f ca="1">SUMPRODUCT(dFactor,tpSurvAll_Res,tElec1_Res,OFFSET(tPrcElec_Res,0,16,1,_maxLT))</f>
        <v>77.453762985967302</v>
      </c>
      <c r="V225" s="32">
        <f ca="1">SUMPRODUCT(dFactor,tpSurvAll_Res,tElec1_Res,OFFSET(tPrcElec_Res,0,17,1,_maxLT))</f>
        <v>77.333092950455708</v>
      </c>
      <c r="W225" s="32">
        <f ca="1">SUMPRODUCT(dFactor,tpSurvAll_Res,tElec1_Res,OFFSET(tPrcElec_Res,0,18,1,_maxLT))</f>
        <v>77.225956558542407</v>
      </c>
      <c r="X225" s="32">
        <f ca="1">SUMPRODUCT(dFactor,tpSurvAll_Res,tElec1_Res,OFFSET(tPrcElec_Res,0,19,1,_maxLT))</f>
        <v>77.094196523947303</v>
      </c>
      <c r="Y225" s="32">
        <f ca="1">SUMPRODUCT(dFactor,tpSurvAll_Res,tElec1_Res,OFFSET(tPrcElec_Res,0,20,1,_maxLT))</f>
        <v>76.966373050480001</v>
      </c>
      <c r="Z225" s="32">
        <f ca="1">SUMPRODUCT(dFactor,tpSurvAll_Res,tElec1_Res,OFFSET(tPrcElec_Res,0,21,1,_maxLT))</f>
        <v>76.896857698154989</v>
      </c>
      <c r="AA225" s="32">
        <f ca="1">SUMPRODUCT(dFactor,tpSurvAll_Res,tElec1_Res,OFFSET(tPrcElec_Res,0,22,1,_maxLT))</f>
        <v>76.805597417206442</v>
      </c>
      <c r="AB225" s="32">
        <f ca="1">SUMPRODUCT(dFactor,tpSurvAll_Res,tElec1_Res,OFFSET(tPrcElec_Res,0,23,1,_maxLT))</f>
        <v>76.717053009915233</v>
      </c>
      <c r="AC225" s="32">
        <f ca="1">SUMPRODUCT(dFactor,tpSurvAll_Res,tElec1_Res,OFFSET(tPrcElec_Res,0,24,1,_maxLT))</f>
        <v>76.644699465015876</v>
      </c>
      <c r="AD225" s="32">
        <f ca="1">SUMPRODUCT(dFactor,tpSurvAll_Res,tElec1_Res,OFFSET(tPrcElec_Res,0,25,1,_maxLT))</f>
        <v>76.5462385351249</v>
      </c>
      <c r="AE225" s="32">
        <f ca="1">SUMPRODUCT(dFactor,tpSurvAll_Res,tElec1_Res,OFFSET(tPrcElec_Res,0,26,1,_maxLT))</f>
        <v>76.466829794394485</v>
      </c>
      <c r="AF225" s="32">
        <f ca="1">SUMPRODUCT(dFactor,tpSurvAll_Res,tElec1_Res,OFFSET(tPrcElec_Res,0,27,1,_maxLT))</f>
        <v>76.466829794394485</v>
      </c>
      <c r="AG225" s="32">
        <f ca="1">SUMPRODUCT(dFactor,tpSurvAll_Res,tElec1_Res,OFFSET(tPrcElec_Res,0,28,1,_maxLT))</f>
        <v>76.466829794394485</v>
      </c>
      <c r="AH225" s="32">
        <f ca="1">SUMPRODUCT(dFactor,tpSurvAll_Res,tElec1_Res,OFFSET(tPrcElec_Res,0,29,1,_maxLT))</f>
        <v>76.466829794394485</v>
      </c>
      <c r="AI225" s="32">
        <f ca="1">SUMPRODUCT(dFactor,tpSurvAll_Res,tElec1_Res,OFFSET(tPrcElec_Res,0,30,1,_maxLT))</f>
        <v>76.466829794394485</v>
      </c>
      <c r="AJ225" s="32">
        <f ca="1">SUMPRODUCT(dFactor,tpSurvAll_Res,tElec1_Res,OFFSET(tPrcElec_Res,0,31,1,_maxLT))</f>
        <v>76.466829794394485</v>
      </c>
      <c r="AK225" s="32">
        <f ca="1">SUMPRODUCT(dFactor,tpSurvAll_Res,tElec1_Res,OFFSET(tPrcElec_Res,0,32,1,_maxLT))</f>
        <v>76.466829794394485</v>
      </c>
      <c r="AL225" s="32">
        <f ca="1">SUMPRODUCT(dFactor,tpSurvAll_Res,tElec1_Res,OFFSET(tPrcElec_Res,0,33,1,_maxLT))</f>
        <v>76.466829794394485</v>
      </c>
      <c r="AM225" s="32">
        <f ca="1">SUMPRODUCT(dFactor,tpSurvAll_Res,tElec1_Res,OFFSET(tPrcElec_Res,0,34,1,_maxLT))</f>
        <v>76.466829794394485</v>
      </c>
      <c r="AN225" s="55">
        <f ca="1">SUMPRODUCT(dFactor,tpSurvAll_Res,tElec1_Res,OFFSET(tPrcElec_Res,0,35,1,_maxLT))</f>
        <v>76.466829794394485</v>
      </c>
      <c r="AO225" s="8"/>
    </row>
    <row r="226" spans="2:41" x14ac:dyDescent="0.35">
      <c r="B226" s="8"/>
      <c r="C226" s="20" t="str">
        <f>INDEX(_Sector,2,2)</f>
        <v>Commercial</v>
      </c>
      <c r="D226" s="11" t="str">
        <f>_yearDol &amp; "$"</f>
        <v>2021$</v>
      </c>
      <c r="E226" s="32">
        <f t="array" aca="1" ref="E226:AN226" ca="1">(tlccEFuElec1_Com) + SUMPRODUCT(dFactor,tpSurvAll_Com,tMnR1_Com)</f>
        <v>245.41490115420177</v>
      </c>
      <c r="F226" s="32">
        <f ca="1"/>
        <v>245.36617388363109</v>
      </c>
      <c r="G226" s="32">
        <f ca="1"/>
        <v>245.40216632739231</v>
      </c>
      <c r="H226" s="32">
        <f ca="1"/>
        <v>245.4845829369275</v>
      </c>
      <c r="I226" s="32">
        <f ca="1"/>
        <v>245.53805690020064</v>
      </c>
      <c r="J226" s="32">
        <f ca="1"/>
        <v>245.5351133712287</v>
      </c>
      <c r="K226" s="32">
        <f ca="1"/>
        <v>245.46080019679977</v>
      </c>
      <c r="L226" s="32">
        <f ca="1"/>
        <v>245.34415119059861</v>
      </c>
      <c r="M226" s="32">
        <f ca="1"/>
        <v>245.11850399238182</v>
      </c>
      <c r="N226" s="32">
        <f ca="1"/>
        <v>244.8442402302897</v>
      </c>
      <c r="O226" s="32">
        <f ca="1"/>
        <v>244.40447558168401</v>
      </c>
      <c r="P226" s="32">
        <f ca="1"/>
        <v>243.84672792986518</v>
      </c>
      <c r="Q226" s="32">
        <f ca="1"/>
        <v>243.36371219007361</v>
      </c>
      <c r="R226" s="32">
        <f ca="1"/>
        <v>242.88625455569053</v>
      </c>
      <c r="S226" s="32">
        <f ca="1"/>
        <v>242.46640068569488</v>
      </c>
      <c r="T226" s="32">
        <f ca="1"/>
        <v>242.12298020356019</v>
      </c>
      <c r="U226" s="32">
        <f ca="1"/>
        <v>241.71662552156926</v>
      </c>
      <c r="V226" s="32">
        <f ca="1"/>
        <v>241.28354900158325</v>
      </c>
      <c r="W226" s="32">
        <f ca="1"/>
        <v>240.90695744341292</v>
      </c>
      <c r="X226" s="32">
        <f ca="1"/>
        <v>240.5094120460916</v>
      </c>
      <c r="Y226" s="32">
        <f ca="1"/>
        <v>240.1140576873874</v>
      </c>
      <c r="Z226" s="32">
        <f ca="1"/>
        <v>239.85966488355916</v>
      </c>
      <c r="AA226" s="32">
        <f ca="1"/>
        <v>239.58617523963031</v>
      </c>
      <c r="AB226" s="32">
        <f ca="1"/>
        <v>239.3333534618144</v>
      </c>
      <c r="AC226" s="32">
        <f ca="1"/>
        <v>239.15829967942585</v>
      </c>
      <c r="AD226" s="32">
        <f ca="1"/>
        <v>238.95530518019385</v>
      </c>
      <c r="AE226" s="32">
        <f ca="1"/>
        <v>238.79654137435853</v>
      </c>
      <c r="AF226" s="32">
        <f ca="1"/>
        <v>238.79654137435853</v>
      </c>
      <c r="AG226" s="32">
        <f ca="1"/>
        <v>238.79654137435853</v>
      </c>
      <c r="AH226" s="32">
        <f ca="1"/>
        <v>238.79654137435853</v>
      </c>
      <c r="AI226" s="32">
        <f ca="1"/>
        <v>238.79654137435853</v>
      </c>
      <c r="AJ226" s="32">
        <f ca="1"/>
        <v>238.79654137435853</v>
      </c>
      <c r="AK226" s="32">
        <f ca="1"/>
        <v>238.79654137435853</v>
      </c>
      <c r="AL226" s="32">
        <f ca="1"/>
        <v>238.79654137435853</v>
      </c>
      <c r="AM226" s="32">
        <f ca="1"/>
        <v>238.79654137435853</v>
      </c>
      <c r="AN226" s="55">
        <f ca="1"/>
        <v>238.79654137435853</v>
      </c>
      <c r="AO226" s="8"/>
    </row>
    <row r="227" spans="2:41" x14ac:dyDescent="0.35">
      <c r="B227" s="8"/>
      <c r="C227" s="50" t="str">
        <f>INDEX(_fuel,1)</f>
        <v>Electricity</v>
      </c>
      <c r="D227" s="11" t="str">
        <f>_yearDol &amp; "$"</f>
        <v>2021$</v>
      </c>
      <c r="E227" s="32">
        <f ca="1">SUMPRODUCT(dFactor,tpSurvAll_Com,tElec1_Com,OFFSET(tPrcElec_Com,0,0,1,_maxLT))</f>
        <v>111.56956335935294</v>
      </c>
      <c r="F227" s="32">
        <f ca="1">SUMPRODUCT(dFactor,tpSurvAll_Com,tElec1_Com,OFFSET(tPrcElec_Com,0,1,1,_maxLT))</f>
        <v>111.52083608878226</v>
      </c>
      <c r="G227" s="32">
        <f ca="1">SUMPRODUCT(dFactor,tpSurvAll_Com,tElec1_Com,OFFSET(tPrcElec_Com,0,2,1,_maxLT))</f>
        <v>111.55682853254346</v>
      </c>
      <c r="H227" s="32">
        <f ca="1">SUMPRODUCT(dFactor,tpSurvAll_Com,tElec1_Com,OFFSET(tPrcElec_Com,0,3,1,_maxLT))</f>
        <v>111.63924514207865</v>
      </c>
      <c r="I227" s="32">
        <f ca="1">SUMPRODUCT(dFactor,tpSurvAll_Com,tElec1_Com,OFFSET(tPrcElec_Com,0,4,1,_maxLT))</f>
        <v>111.69271910535181</v>
      </c>
      <c r="J227" s="32">
        <f ca="1">SUMPRODUCT(dFactor,tpSurvAll_Com,tElec1_Com,OFFSET(tPrcElec_Com,0,5,1,_maxLT))</f>
        <v>111.68977557637986</v>
      </c>
      <c r="K227" s="32">
        <f ca="1">SUMPRODUCT(dFactor,tpSurvAll_Com,tElec1_Com,OFFSET(tPrcElec_Com,0,6,1,_maxLT))</f>
        <v>111.61546240195094</v>
      </c>
      <c r="L227" s="32">
        <f ca="1">SUMPRODUCT(dFactor,tpSurvAll_Com,tElec1_Com,OFFSET(tPrcElec_Com,0,7,1,_maxLT))</f>
        <v>111.49881339574979</v>
      </c>
      <c r="M227" s="32">
        <f ca="1">SUMPRODUCT(dFactor,tpSurvAll_Com,tElec1_Com,OFFSET(tPrcElec_Com,0,8,1,_maxLT))</f>
        <v>111.27316619753299</v>
      </c>
      <c r="N227" s="32">
        <f ca="1">SUMPRODUCT(dFactor,tpSurvAll_Com,tElec1_Com,OFFSET(tPrcElec_Com,0,9,1,_maxLT))</f>
        <v>110.99890243544087</v>
      </c>
      <c r="O227" s="32">
        <f ca="1">SUMPRODUCT(dFactor,tpSurvAll_Com,tElec1_Com,OFFSET(tPrcElec_Com,0,10,1,_maxLT))</f>
        <v>110.55913778683518</v>
      </c>
      <c r="P227" s="32">
        <f ca="1">SUMPRODUCT(dFactor,tpSurvAll_Com,tElec1_Com,OFFSET(tPrcElec_Com,0,11,1,_maxLT))</f>
        <v>110.00139013501635</v>
      </c>
      <c r="Q227" s="32">
        <f ca="1">SUMPRODUCT(dFactor,tpSurvAll_Com,tElec1_Com,OFFSET(tPrcElec_Com,0,12,1,_maxLT))</f>
        <v>109.5183743952248</v>
      </c>
      <c r="R227" s="32">
        <f ca="1">SUMPRODUCT(dFactor,tpSurvAll_Com,tElec1_Com,OFFSET(tPrcElec_Com,0,13,1,_maxLT))</f>
        <v>109.04091676084171</v>
      </c>
      <c r="S227" s="32">
        <f ca="1">SUMPRODUCT(dFactor,tpSurvAll_Com,tElec1_Com,OFFSET(tPrcElec_Com,0,14,1,_maxLT))</f>
        <v>108.62106289084605</v>
      </c>
      <c r="T227" s="32">
        <f ca="1">SUMPRODUCT(dFactor,tpSurvAll_Com,tElec1_Com,OFFSET(tPrcElec_Com,0,15,1,_maxLT))</f>
        <v>108.27764240871137</v>
      </c>
      <c r="U227" s="32">
        <f ca="1">SUMPRODUCT(dFactor,tpSurvAll_Com,tElec1_Com,OFFSET(tPrcElec_Com,0,16,1,_maxLT))</f>
        <v>107.87128772672042</v>
      </c>
      <c r="V227" s="32">
        <f ca="1">SUMPRODUCT(dFactor,tpSurvAll_Com,tElec1_Com,OFFSET(tPrcElec_Com,0,17,1,_maxLT))</f>
        <v>107.43821120673441</v>
      </c>
      <c r="W227" s="32">
        <f ca="1">SUMPRODUCT(dFactor,tpSurvAll_Com,tElec1_Com,OFFSET(tPrcElec_Com,0,18,1,_maxLT))</f>
        <v>107.0616196485641</v>
      </c>
      <c r="X227" s="32">
        <f ca="1">SUMPRODUCT(dFactor,tpSurvAll_Com,tElec1_Com,OFFSET(tPrcElec_Com,0,19,1,_maxLT))</f>
        <v>106.66407425124278</v>
      </c>
      <c r="Y227" s="32">
        <f ca="1">SUMPRODUCT(dFactor,tpSurvAll_Com,tElec1_Com,OFFSET(tPrcElec_Com,0,20,1,_maxLT))</f>
        <v>106.26871989253857</v>
      </c>
      <c r="Z227" s="32">
        <f ca="1">SUMPRODUCT(dFactor,tpSurvAll_Com,tElec1_Com,OFFSET(tPrcElec_Com,0,21,1,_maxLT))</f>
        <v>106.01432708871033</v>
      </c>
      <c r="AA227" s="32">
        <f ca="1">SUMPRODUCT(dFactor,tpSurvAll_Com,tElec1_Com,OFFSET(tPrcElec_Com,0,22,1,_maxLT))</f>
        <v>105.74083744478148</v>
      </c>
      <c r="AB227" s="32">
        <f ca="1">SUMPRODUCT(dFactor,tpSurvAll_Com,tElec1_Com,OFFSET(tPrcElec_Com,0,23,1,_maxLT))</f>
        <v>105.48801566696557</v>
      </c>
      <c r="AC227" s="32">
        <f ca="1">SUMPRODUCT(dFactor,tpSurvAll_Com,tElec1_Com,OFFSET(tPrcElec_Com,0,24,1,_maxLT))</f>
        <v>105.31296188457702</v>
      </c>
      <c r="AD227" s="32">
        <f ca="1">SUMPRODUCT(dFactor,tpSurvAll_Com,tElec1_Com,OFFSET(tPrcElec_Com,0,25,1,_maxLT))</f>
        <v>105.10996738534502</v>
      </c>
      <c r="AE227" s="32">
        <f ca="1">SUMPRODUCT(dFactor,tpSurvAll_Com,tElec1_Com,OFFSET(tPrcElec_Com,0,26,1,_maxLT))</f>
        <v>104.95120357950969</v>
      </c>
      <c r="AF227" s="32">
        <f ca="1">SUMPRODUCT(dFactor,tpSurvAll_Com,tElec1_Com,OFFSET(tPrcElec_Com,0,27,1,_maxLT))</f>
        <v>104.95120357950969</v>
      </c>
      <c r="AG227" s="32">
        <f ca="1">SUMPRODUCT(dFactor,tpSurvAll_Com,tElec1_Com,OFFSET(tPrcElec_Com,0,28,1,_maxLT))</f>
        <v>104.95120357950969</v>
      </c>
      <c r="AH227" s="32">
        <f ca="1">SUMPRODUCT(dFactor,tpSurvAll_Com,tElec1_Com,OFFSET(tPrcElec_Com,0,29,1,_maxLT))</f>
        <v>104.95120357950969</v>
      </c>
      <c r="AI227" s="32">
        <f ca="1">SUMPRODUCT(dFactor,tpSurvAll_Com,tElec1_Com,OFFSET(tPrcElec_Com,0,30,1,_maxLT))</f>
        <v>104.95120357950969</v>
      </c>
      <c r="AJ227" s="32">
        <f ca="1">SUMPRODUCT(dFactor,tpSurvAll_Com,tElec1_Com,OFFSET(tPrcElec_Com,0,31,1,_maxLT))</f>
        <v>104.95120357950969</v>
      </c>
      <c r="AK227" s="32">
        <f ca="1">SUMPRODUCT(dFactor,tpSurvAll_Com,tElec1_Com,OFFSET(tPrcElec_Com,0,32,1,_maxLT))</f>
        <v>104.95120357950969</v>
      </c>
      <c r="AL227" s="32">
        <f ca="1">SUMPRODUCT(dFactor,tpSurvAll_Com,tElec1_Com,OFFSET(tPrcElec_Com,0,33,1,_maxLT))</f>
        <v>104.95120357950969</v>
      </c>
      <c r="AM227" s="32">
        <f ca="1">SUMPRODUCT(dFactor,tpSurvAll_Com,tElec1_Com,OFFSET(tPrcElec_Com,0,34,1,_maxLT))</f>
        <v>104.95120357950969</v>
      </c>
      <c r="AN227" s="55">
        <f ca="1">SUMPRODUCT(dFactor,tpSurvAll_Com,tElec1_Com,OFFSET(tPrcElec_Com,0,35,1,_maxLT))</f>
        <v>104.95120357950969</v>
      </c>
      <c r="AO227" s="8"/>
    </row>
    <row r="228" spans="2:41" x14ac:dyDescent="0.35">
      <c r="B228" s="8"/>
      <c r="C228" s="10" t="s">
        <v>78</v>
      </c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18"/>
      <c r="AO228" s="8"/>
    </row>
    <row r="229" spans="2:41" x14ac:dyDescent="0.35">
      <c r="B229" s="8"/>
      <c r="C229" s="20" t="str">
        <f>INDEX(_Sector,2,1)</f>
        <v>Residential</v>
      </c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18"/>
      <c r="AO229" s="8"/>
    </row>
    <row r="230" spans="2:41" x14ac:dyDescent="0.35">
      <c r="B230" s="8"/>
      <c r="C230" s="50" t="str">
        <f>INDEX(_fuel,1)</f>
        <v>Electricity</v>
      </c>
      <c r="D230" s="11" t="s">
        <v>80</v>
      </c>
      <c r="E230" s="40">
        <f ca="1">SUMPRODUCT(OFFSET(tConvElec_Res,0,0,1,_maxLT),tElec1_Res,tpSurvAll_Res)</f>
        <v>6.359947946747293</v>
      </c>
      <c r="F230" s="40">
        <f ca="1">SUMPRODUCT(OFFSET(tConvElec_Res,0,1,1,_maxLT),tElec1_Res,tpSurvAll_Res)</f>
        <v>6.3285153108103875</v>
      </c>
      <c r="G230" s="40">
        <f ca="1">SUMPRODUCT(OFFSET(tConvElec_Res,0,2,1,_maxLT),tElec1_Res,tpSurvAll_Res)</f>
        <v>6.3057156390528863</v>
      </c>
      <c r="H230" s="40">
        <f ca="1">SUMPRODUCT(OFFSET(tConvElec_Res,0,3,1,_maxLT),tElec1_Res,tpSurvAll_Res)</f>
        <v>6.2878831744658878</v>
      </c>
      <c r="I230" s="40">
        <f ca="1">SUMPRODUCT(OFFSET(tConvElec_Res,0,4,1,_maxLT),tElec1_Res,tpSurvAll_Res)</f>
        <v>6.2754724628222931</v>
      </c>
      <c r="J230" s="40">
        <f ca="1">SUMPRODUCT(OFFSET(tConvElec_Res,0,5,1,_maxLT),tElec1_Res,tpSurvAll_Res)</f>
        <v>6.2656837694644247</v>
      </c>
      <c r="K230" s="40">
        <f ca="1">SUMPRODUCT(OFFSET(tConvElec_Res,0,6,1,_maxLT),tElec1_Res,tpSurvAll_Res)</f>
        <v>6.2572033109438383</v>
      </c>
      <c r="L230" s="40">
        <f ca="1">SUMPRODUCT(OFFSET(tConvElec_Res,0,7,1,_maxLT),tElec1_Res,tpSurvAll_Res)</f>
        <v>6.2480540410972605</v>
      </c>
      <c r="M230" s="40">
        <f ca="1">SUMPRODUCT(OFFSET(tConvElec_Res,0,8,1,_maxLT),tElec1_Res,tpSurvAll_Res)</f>
        <v>6.2392485079140672</v>
      </c>
      <c r="N230" s="40">
        <f ca="1">SUMPRODUCT(OFFSET(tConvElec_Res,0,9,1,_maxLT),tElec1_Res,tpSurvAll_Res)</f>
        <v>6.2309080440034501</v>
      </c>
      <c r="O230" s="40">
        <f ca="1">SUMPRODUCT(OFFSET(tConvElec_Res,0,10,1,_maxLT),tElec1_Res,tpSurvAll_Res)</f>
        <v>6.2221979630835298</v>
      </c>
      <c r="P230" s="40">
        <f ca="1">SUMPRODUCT(OFFSET(tConvElec_Res,0,11,1,_maxLT),tElec1_Res,tpSurvAll_Res)</f>
        <v>6.2148379448820714</v>
      </c>
      <c r="Q230" s="40">
        <f ca="1">SUMPRODUCT(OFFSET(tConvElec_Res,0,12,1,_maxLT),tElec1_Res,tpSurvAll_Res)</f>
        <v>6.2072875703390542</v>
      </c>
      <c r="R230" s="40">
        <f ca="1">SUMPRODUCT(OFFSET(tConvElec_Res,0,13,1,_maxLT),tElec1_Res,tpSurvAll_Res)</f>
        <v>6.2007064764619813</v>
      </c>
      <c r="S230" s="40">
        <f ca="1">SUMPRODUCT(OFFSET(tConvElec_Res,0,14,1,_maxLT),tElec1_Res,tpSurvAll_Res)</f>
        <v>6.1951627981507222</v>
      </c>
      <c r="T230" s="40">
        <f ca="1">SUMPRODUCT(OFFSET(tConvElec_Res,0,15,1,_maxLT),tElec1_Res,tpSurvAll_Res)</f>
        <v>6.1900013495255228</v>
      </c>
      <c r="U230" s="40">
        <f ca="1">SUMPRODUCT(OFFSET(tConvElec_Res,0,16,1,_maxLT),tElec1_Res,tpSurvAll_Res)</f>
        <v>6.1846968612452535</v>
      </c>
      <c r="V230" s="40">
        <f ca="1">SUMPRODUCT(OFFSET(tConvElec_Res,0,17,1,_maxLT),tElec1_Res,tpSurvAll_Res)</f>
        <v>6.179946205956619</v>
      </c>
      <c r="W230" s="40">
        <f ca="1">SUMPRODUCT(OFFSET(tConvElec_Res,0,18,1,_maxLT),tElec1_Res,tpSurvAll_Res)</f>
        <v>6.1760604459164332</v>
      </c>
      <c r="X230" s="40">
        <f ca="1">SUMPRODUCT(OFFSET(tConvElec_Res,0,19,1,_maxLT),tElec1_Res,tpSurvAll_Res)</f>
        <v>6.1727747932507286</v>
      </c>
      <c r="Y230" s="40">
        <f ca="1">SUMPRODUCT(OFFSET(tConvElec_Res,0,20,1,_maxLT),tElec1_Res,tpSurvAll_Res)</f>
        <v>6.1701318013190409</v>
      </c>
      <c r="Z230" s="40">
        <f ca="1">SUMPRODUCT(OFFSET(tConvElec_Res,0,21,1,_maxLT),tElec1_Res,tpSurvAll_Res)</f>
        <v>6.1691070885136421</v>
      </c>
      <c r="AA230" s="40">
        <f ca="1">SUMPRODUCT(OFFSET(tConvElec_Res,0,22,1,_maxLT),tElec1_Res,tpSurvAll_Res)</f>
        <v>6.1690796672514221</v>
      </c>
      <c r="AB230" s="40">
        <f ca="1">SUMPRODUCT(OFFSET(tConvElec_Res,0,23,1,_maxLT),tElec1_Res,tpSurvAll_Res)</f>
        <v>6.1693616685640738</v>
      </c>
      <c r="AC230" s="40">
        <f ca="1">SUMPRODUCT(OFFSET(tConvElec_Res,0,24,1,_maxLT),tElec1_Res,tpSurvAll_Res)</f>
        <v>6.1699655337703536</v>
      </c>
      <c r="AD230" s="40">
        <f ca="1">SUMPRODUCT(OFFSET(tConvElec_Res,0,25,1,_maxLT),tElec1_Res,tpSurvAll_Res)</f>
        <v>6.1704723997454582</v>
      </c>
      <c r="AE230" s="40">
        <f ca="1">SUMPRODUCT(OFFSET(tConvElec_Res,0,26,1,_maxLT),tElec1_Res,tpSurvAll_Res)</f>
        <v>6.1705920261379941</v>
      </c>
      <c r="AF230" s="40">
        <f ca="1">SUMPRODUCT(OFFSET(tConvElec_Res,0,27,1,_maxLT),tElec1_Res,tpSurvAll_Res)</f>
        <v>6.1705920261379941</v>
      </c>
      <c r="AG230" s="40">
        <f ca="1">SUMPRODUCT(OFFSET(tConvElec_Res,0,28,1,_maxLT),tElec1_Res,tpSurvAll_Res)</f>
        <v>6.1705920261379941</v>
      </c>
      <c r="AH230" s="40">
        <f ca="1">SUMPRODUCT(OFFSET(tConvElec_Res,0,29,1,_maxLT),tElec1_Res,tpSurvAll_Res)</f>
        <v>6.1705920261379941</v>
      </c>
      <c r="AI230" s="40">
        <f ca="1">SUMPRODUCT(OFFSET(tConvElec_Res,0,30,1,_maxLT),tElec1_Res,tpSurvAll_Res)</f>
        <v>6.1705920261379941</v>
      </c>
      <c r="AJ230" s="40">
        <f ca="1">SUMPRODUCT(OFFSET(tConvElec_Res,0,31,1,_maxLT),tElec1_Res,tpSurvAll_Res)</f>
        <v>6.1705920261379941</v>
      </c>
      <c r="AK230" s="40">
        <f ca="1">SUMPRODUCT(OFFSET(tConvElec_Res,0,32,1,_maxLT),tElec1_Res,tpSurvAll_Res)</f>
        <v>6.1705920261379941</v>
      </c>
      <c r="AL230" s="40">
        <f ca="1">SUMPRODUCT(OFFSET(tConvElec_Res,0,33,1,_maxLT),tElec1_Res,tpSurvAll_Res)</f>
        <v>6.1705920261379941</v>
      </c>
      <c r="AM230" s="40">
        <f ca="1">SUMPRODUCT(OFFSET(tConvElec_Res,0,34,1,_maxLT),tElec1_Res,tpSurvAll_Res)</f>
        <v>6.1705920261379941</v>
      </c>
      <c r="AN230" s="41">
        <f ca="1">SUMPRODUCT(OFFSET(tConvElec_Res,0,35,1,_maxLT),tElec1_Res,tpSurvAll_Res)</f>
        <v>6.1705920261379941</v>
      </c>
      <c r="AO230" s="8"/>
    </row>
    <row r="231" spans="2:41" x14ac:dyDescent="0.35">
      <c r="B231" s="8"/>
      <c r="C231" s="20" t="str">
        <f>INDEX(_Sector,2,2)</f>
        <v>Commercial</v>
      </c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18"/>
      <c r="AO231" s="8"/>
    </row>
    <row r="232" spans="2:41" x14ac:dyDescent="0.35">
      <c r="B232" s="8"/>
      <c r="C232" s="50" t="str">
        <f>INDEX(_fuel,1)</f>
        <v>Electricity</v>
      </c>
      <c r="D232" s="11" t="s">
        <v>80</v>
      </c>
      <c r="E232" s="40">
        <f ca="1">SUMPRODUCT(OFFSET(tConvElec_Com,0,0,1,_maxLT),tElec1_Com,tpSurvAll_Com)</f>
        <v>13.067542399859448</v>
      </c>
      <c r="F232" s="40">
        <f ca="1">SUMPRODUCT(OFFSET(tConvElec_Com,0,1,1,_maxLT),tElec1_Com,tpSurvAll_Com)</f>
        <v>13.000470490927611</v>
      </c>
      <c r="G232" s="40">
        <f ca="1">SUMPRODUCT(OFFSET(tConvElec_Com,0,2,1,_maxLT),tElec1_Com,tpSurvAll_Com)</f>
        <v>12.952505481597438</v>
      </c>
      <c r="H232" s="40">
        <f ca="1">SUMPRODUCT(OFFSET(tConvElec_Com,0,3,1,_maxLT),tElec1_Com,tpSurvAll_Com)</f>
        <v>12.915632444725018</v>
      </c>
      <c r="I232" s="40">
        <f ca="1">SUMPRODUCT(OFFSET(tConvElec_Com,0,4,1,_maxLT),tElec1_Com,tpSurvAll_Com)</f>
        <v>12.891040436375306</v>
      </c>
      <c r="J232" s="40">
        <f ca="1">SUMPRODUCT(OFFSET(tConvElec_Com,0,5,1,_maxLT),tElec1_Com,tpSurvAll_Com)</f>
        <v>12.872340056020311</v>
      </c>
      <c r="K232" s="40">
        <f ca="1">SUMPRODUCT(OFFSET(tConvElec_Com,0,6,1,_maxLT),tElec1_Com,tpSurvAll_Com)</f>
        <v>12.856380731298891</v>
      </c>
      <c r="L232" s="40">
        <f ca="1">SUMPRODUCT(OFFSET(tConvElec_Com,0,7,1,_maxLT),tElec1_Com,tpSurvAll_Com)</f>
        <v>12.839290189561055</v>
      </c>
      <c r="M232" s="40">
        <f ca="1">SUMPRODUCT(OFFSET(tConvElec_Com,0,8,1,_maxLT),tElec1_Com,tpSurvAll_Com)</f>
        <v>12.823139910096481</v>
      </c>
      <c r="N232" s="40">
        <f ca="1">SUMPRODUCT(OFFSET(tConvElec_Com,0,9,1,_maxLT),tElec1_Com,tpSurvAll_Com)</f>
        <v>12.80791833110518</v>
      </c>
      <c r="O232" s="40">
        <f ca="1">SUMPRODUCT(OFFSET(tConvElec_Com,0,10,1,_maxLT),tElec1_Com,tpSurvAll_Com)</f>
        <v>12.792183589679432</v>
      </c>
      <c r="P232" s="40">
        <f ca="1">SUMPRODUCT(OFFSET(tConvElec_Com,0,11,1,_maxLT),tElec1_Com,tpSurvAll_Com)</f>
        <v>12.778685533712164</v>
      </c>
      <c r="Q232" s="40">
        <f ca="1">SUMPRODUCT(OFFSET(tConvElec_Com,0,12,1,_maxLT),tElec1_Com,tpSurvAll_Com)</f>
        <v>12.764625973019385</v>
      </c>
      <c r="R232" s="40">
        <f ca="1">SUMPRODUCT(OFFSET(tConvElec_Com,0,13,1,_maxLT),tElec1_Com,tpSurvAll_Com)</f>
        <v>12.752367308455279</v>
      </c>
      <c r="S232" s="40">
        <f ca="1">SUMPRODUCT(OFFSET(tConvElec_Com,0,14,1,_maxLT),tElec1_Com,tpSurvAll_Com)</f>
        <v>12.742184704220707</v>
      </c>
      <c r="T232" s="40">
        <f ca="1">SUMPRODUCT(OFFSET(tConvElec_Com,0,15,1,_maxLT),tElec1_Com,tpSurvAll_Com)</f>
        <v>12.73285223055754</v>
      </c>
      <c r="U232" s="40">
        <f ca="1">SUMPRODUCT(OFFSET(tConvElec_Com,0,16,1,_maxLT),tElec1_Com,tpSurvAll_Com)</f>
        <v>12.723234828458953</v>
      </c>
      <c r="V232" s="40">
        <f ca="1">SUMPRODUCT(OFFSET(tConvElec_Com,0,17,1,_maxLT),tElec1_Com,tpSurvAll_Com)</f>
        <v>12.714578106626883</v>
      </c>
      <c r="W232" s="40">
        <f ca="1">SUMPRODUCT(OFFSET(tConvElec_Com,0,18,1,_maxLT),tElec1_Com,tpSurvAll_Com)</f>
        <v>12.707583040749682</v>
      </c>
      <c r="X232" s="40">
        <f ca="1">SUMPRODUCT(OFFSET(tConvElec_Com,0,19,1,_maxLT),tElec1_Com,tpSurvAll_Com)</f>
        <v>12.701735398987989</v>
      </c>
      <c r="Y232" s="40">
        <f ca="1">SUMPRODUCT(OFFSET(tConvElec_Com,0,20,1,_maxLT),tElec1_Com,tpSurvAll_Com)</f>
        <v>12.697047374992684</v>
      </c>
      <c r="Z232" s="40">
        <f ca="1">SUMPRODUCT(OFFSET(tConvElec_Com,0,21,1,_maxLT),tElec1_Com,tpSurvAll_Com)</f>
        <v>12.695483616835173</v>
      </c>
      <c r="AA232" s="40">
        <f ca="1">SUMPRODUCT(OFFSET(tConvElec_Com,0,22,1,_maxLT),tElec1_Com,tpSurvAll_Com)</f>
        <v>12.695811856504756</v>
      </c>
      <c r="AB232" s="40">
        <f ca="1">SUMPRODUCT(OFFSET(tConvElec_Com,0,23,1,_maxLT),tElec1_Com,tpSurvAll_Com)</f>
        <v>12.696698221493333</v>
      </c>
      <c r="AC232" s="40">
        <f ca="1">SUMPRODUCT(OFFSET(tConvElec_Com,0,24,1,_maxLT),tElec1_Com,tpSurvAll_Com)</f>
        <v>12.698103164108019</v>
      </c>
      <c r="AD232" s="40">
        <f ca="1">SUMPRODUCT(OFFSET(tConvElec_Com,0,25,1,_maxLT),tElec1_Com,tpSurvAll_Com)</f>
        <v>12.699226773026981</v>
      </c>
      <c r="AE232" s="40">
        <f ca="1">SUMPRODUCT(OFFSET(tConvElec_Com,0,26,1,_maxLT),tElec1_Com,tpSurvAll_Com)</f>
        <v>12.699519466635904</v>
      </c>
      <c r="AF232" s="40">
        <f ca="1">SUMPRODUCT(OFFSET(tConvElec_Com,0,27,1,_maxLT),tElec1_Com,tpSurvAll_Com)</f>
        <v>12.699519466635904</v>
      </c>
      <c r="AG232" s="40">
        <f ca="1">SUMPRODUCT(OFFSET(tConvElec_Com,0,28,1,_maxLT),tElec1_Com,tpSurvAll_Com)</f>
        <v>12.699519466635904</v>
      </c>
      <c r="AH232" s="40">
        <f ca="1">SUMPRODUCT(OFFSET(tConvElec_Com,0,29,1,_maxLT),tElec1_Com,tpSurvAll_Com)</f>
        <v>12.699519466635904</v>
      </c>
      <c r="AI232" s="40">
        <f ca="1">SUMPRODUCT(OFFSET(tConvElec_Com,0,30,1,_maxLT),tElec1_Com,tpSurvAll_Com)</f>
        <v>12.699519466635904</v>
      </c>
      <c r="AJ232" s="40">
        <f ca="1">SUMPRODUCT(OFFSET(tConvElec_Com,0,31,1,_maxLT),tElec1_Com,tpSurvAll_Com)</f>
        <v>12.699519466635904</v>
      </c>
      <c r="AK232" s="40">
        <f ca="1">SUMPRODUCT(OFFSET(tConvElec_Com,0,32,1,_maxLT),tElec1_Com,tpSurvAll_Com)</f>
        <v>12.699519466635904</v>
      </c>
      <c r="AL232" s="40">
        <f ca="1">SUMPRODUCT(OFFSET(tConvElec_Com,0,33,1,_maxLT),tElec1_Com,tpSurvAll_Com)</f>
        <v>12.699519466635904</v>
      </c>
      <c r="AM232" s="40">
        <f ca="1">SUMPRODUCT(OFFSET(tConvElec_Com,0,34,1,_maxLT),tElec1_Com,tpSurvAll_Com)</f>
        <v>12.699519466635904</v>
      </c>
      <c r="AN232" s="41">
        <f ca="1">SUMPRODUCT(OFFSET(tConvElec_Com,0,35,1,_maxLT),tElec1_Com,tpSurvAll_Com)</f>
        <v>12.699519466635904</v>
      </c>
      <c r="AO232" s="8"/>
    </row>
    <row r="233" spans="2:41" x14ac:dyDescent="0.35">
      <c r="B233" s="8"/>
      <c r="C233" s="57" t="str">
        <f>"EL 2: " &amp; INDEX(_doName,2,3)</f>
        <v>EL 2: Tier 2</v>
      </c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8"/>
      <c r="AO233" s="8"/>
    </row>
    <row r="234" spans="2:41" x14ac:dyDescent="0.35">
      <c r="B234" s="8"/>
      <c r="C234" s="10" t="s">
        <v>70</v>
      </c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18"/>
      <c r="AO234" s="8"/>
    </row>
    <row r="235" spans="2:41" x14ac:dyDescent="0.35">
      <c r="B235" s="8"/>
      <c r="C235" s="20" t="str">
        <f>INDEX(_Sector,2,1)</f>
        <v>Residential</v>
      </c>
      <c r="D235" s="11" t="str">
        <f>_yearDol &amp; "$"</f>
        <v>2021$</v>
      </c>
      <c r="E235" s="32">
        <f t="array" ref="E235:AN235">tMSP2_Res*tPIdxmed2 + tInst2</f>
        <v>95.879684700041821</v>
      </c>
      <c r="F235" s="32">
        <v>95.205273865985347</v>
      </c>
      <c r="G235" s="32">
        <v>94.561583165116701</v>
      </c>
      <c r="H235" s="32">
        <v>93.943585304549998</v>
      </c>
      <c r="I235" s="32">
        <v>93.347675487670998</v>
      </c>
      <c r="J235" s="32">
        <v>92.771424533517532</v>
      </c>
      <c r="K235" s="32">
        <v>92.213155873434687</v>
      </c>
      <c r="L235" s="32">
        <v>91.671639160610468</v>
      </c>
      <c r="M235" s="32">
        <v>91.145805747833947</v>
      </c>
      <c r="N235" s="32">
        <v>90.634612519782294</v>
      </c>
      <c r="O235" s="32">
        <v>90.13700950125579</v>
      </c>
      <c r="P235" s="32">
        <v>89.651944879874861</v>
      </c>
      <c r="Q235" s="32">
        <v>89.178412694135005</v>
      </c>
      <c r="R235" s="32">
        <v>88.715502717642721</v>
      </c>
      <c r="S235" s="32">
        <v>88.262385716266863</v>
      </c>
      <c r="T235" s="32">
        <v>87.818414506837911</v>
      </c>
      <c r="U235" s="32">
        <v>87.382989529054313</v>
      </c>
      <c r="V235" s="32">
        <v>86.955589695152284</v>
      </c>
      <c r="W235" s="32">
        <v>86.535750553450839</v>
      </c>
      <c r="X235" s="32">
        <v>86.123047669577502</v>
      </c>
      <c r="Y235" s="32">
        <v>85.717088305405156</v>
      </c>
      <c r="Z235" s="32">
        <v>85.317504692175774</v>
      </c>
      <c r="AA235" s="32">
        <v>84.923954198960615</v>
      </c>
      <c r="AB235" s="32">
        <v>84.536119244067905</v>
      </c>
      <c r="AC235" s="32">
        <v>84.153707021774409</v>
      </c>
      <c r="AD235" s="32">
        <v>83.776448516280794</v>
      </c>
      <c r="AE235" s="32">
        <v>83.404096644810679</v>
      </c>
      <c r="AF235" s="32">
        <v>83.036423946753402</v>
      </c>
      <c r="AG235" s="32">
        <v>82.673220194093346</v>
      </c>
      <c r="AH235" s="32">
        <v>82.314290223661246</v>
      </c>
      <c r="AI235" s="32">
        <v>81.959452188650999</v>
      </c>
      <c r="AJ235" s="32">
        <v>81.608536225606784</v>
      </c>
      <c r="AK235" s="32">
        <v>81.261383419417527</v>
      </c>
      <c r="AL235" s="32">
        <v>80.917845089067271</v>
      </c>
      <c r="AM235" s="32">
        <v>80.577781995930593</v>
      </c>
      <c r="AN235" s="55">
        <v>80.241063765303281</v>
      </c>
      <c r="AO235" s="8"/>
    </row>
    <row r="236" spans="2:41" x14ac:dyDescent="0.35">
      <c r="B236" s="8"/>
      <c r="C236" s="20" t="str">
        <f>INDEX(_Sector,2,2)</f>
        <v>Commercial</v>
      </c>
      <c r="D236" s="11" t="str">
        <f>_yearDol &amp; "$"</f>
        <v>2021$</v>
      </c>
      <c r="E236" s="32">
        <f t="array" ref="E236:AN236">tMSP2_Com*tPIdxmed2 + tInst2</f>
        <v>92.72628488385557</v>
      </c>
      <c r="F236" s="32">
        <v>92.07405483821951</v>
      </c>
      <c r="G236" s="32">
        <v>91.451534567188531</v>
      </c>
      <c r="H236" s="32">
        <v>90.853862121187078</v>
      </c>
      <c r="I236" s="32">
        <v>90.277551262240507</v>
      </c>
      <c r="J236" s="32">
        <v>89.720252703045261</v>
      </c>
      <c r="K236" s="32">
        <v>89.180345015837901</v>
      </c>
      <c r="L236" s="32">
        <v>88.65663831884784</v>
      </c>
      <c r="M236" s="32">
        <v>88.148099111745665</v>
      </c>
      <c r="N236" s="32">
        <v>87.65371858636837</v>
      </c>
      <c r="O236" s="32">
        <v>87.172481300291508</v>
      </c>
      <c r="P236" s="32">
        <v>86.703370034333958</v>
      </c>
      <c r="Q236" s="32">
        <v>86.245411912194129</v>
      </c>
      <c r="R236" s="32">
        <v>85.797726644036558</v>
      </c>
      <c r="S236" s="32">
        <v>85.359512268522678</v>
      </c>
      <c r="T236" s="32">
        <v>84.93014288777708</v>
      </c>
      <c r="U236" s="32">
        <v>84.509038660517461</v>
      </c>
      <c r="V236" s="32">
        <v>84.095695637105379</v>
      </c>
      <c r="W236" s="32">
        <v>83.689664641273524</v>
      </c>
      <c r="X236" s="32">
        <v>83.290535197928463</v>
      </c>
      <c r="Y236" s="32">
        <v>82.89792748576005</v>
      </c>
      <c r="Z236" s="32">
        <v>82.511485831606251</v>
      </c>
      <c r="AA236" s="32">
        <v>82.13087887337295</v>
      </c>
      <c r="AB236" s="32">
        <v>81.755799474355257</v>
      </c>
      <c r="AC236" s="32">
        <v>81.385964458956622</v>
      </c>
      <c r="AD236" s="32">
        <v>81.021113659074473</v>
      </c>
      <c r="AE236" s="32">
        <v>80.661008118270999</v>
      </c>
      <c r="AF236" s="32">
        <v>80.305427856918101</v>
      </c>
      <c r="AG236" s="32">
        <v>79.954169561217569</v>
      </c>
      <c r="AH236" s="32">
        <v>79.607044486747782</v>
      </c>
      <c r="AI236" s="32">
        <v>79.263876767486678</v>
      </c>
      <c r="AJ236" s="32">
        <v>78.924502126640405</v>
      </c>
      <c r="AK236" s="32">
        <v>78.588766875678303</v>
      </c>
      <c r="AL236" s="32">
        <v>78.256527223574324</v>
      </c>
      <c r="AM236" s="32">
        <v>77.927648511140859</v>
      </c>
      <c r="AN236" s="55">
        <v>77.602004651584835</v>
      </c>
      <c r="AO236" s="8"/>
    </row>
    <row r="237" spans="2:41" x14ac:dyDescent="0.35">
      <c r="B237" s="8"/>
      <c r="C237" s="10" t="str">
        <f>zEO&amp;" Costs"</f>
        <v>Operating Costs</v>
      </c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18"/>
      <c r="AO237" s="8"/>
    </row>
    <row r="238" spans="2:41" x14ac:dyDescent="0.35">
      <c r="B238" s="8"/>
      <c r="C238" s="20" t="str">
        <f>INDEX(_Sector,2,1)</f>
        <v>Residential</v>
      </c>
      <c r="D238" s="11" t="str">
        <f>_yearDol &amp; "$"</f>
        <v>2021$</v>
      </c>
      <c r="E238" s="32">
        <f t="array" aca="1" ref="E238:AN238" ca="1">(tlccEFuElec2_Res) + SUMPRODUCT(dFactor,tpSurvAll_Com,tMnR2_Res)</f>
        <v>163.20747211142756</v>
      </c>
      <c r="F238" s="32">
        <f ca="1"/>
        <v>163.32348202280036</v>
      </c>
      <c r="G238" s="32">
        <f ca="1"/>
        <v>163.50587530793638</v>
      </c>
      <c r="H238" s="32">
        <f ca="1"/>
        <v>163.71728787683423</v>
      </c>
      <c r="I238" s="32">
        <f ca="1"/>
        <v>163.91558236253624</v>
      </c>
      <c r="J238" s="32">
        <f ca="1"/>
        <v>164.08191847205563</v>
      </c>
      <c r="K238" s="32">
        <f ca="1"/>
        <v>164.21087723782531</v>
      </c>
      <c r="L238" s="32">
        <f ca="1"/>
        <v>164.31354021100123</v>
      </c>
      <c r="M238" s="32">
        <f ca="1"/>
        <v>164.36629649043385</v>
      </c>
      <c r="N238" s="32">
        <f ca="1"/>
        <v>164.37592702598755</v>
      </c>
      <c r="O238" s="32">
        <f ca="1"/>
        <v>164.30722335044121</v>
      </c>
      <c r="P238" s="32">
        <f ca="1"/>
        <v>164.17392181833037</v>
      </c>
      <c r="Q238" s="32">
        <f ca="1"/>
        <v>164.06785381700206</v>
      </c>
      <c r="R238" s="32">
        <f ca="1"/>
        <v>163.95768322160728</v>
      </c>
      <c r="S238" s="32">
        <f ca="1"/>
        <v>163.87366028351434</v>
      </c>
      <c r="T238" s="32">
        <f ca="1"/>
        <v>163.81807510659004</v>
      </c>
      <c r="U238" s="32">
        <f ca="1"/>
        <v>163.7395392075465</v>
      </c>
      <c r="V238" s="32">
        <f ca="1"/>
        <v>163.64285225198719</v>
      </c>
      <c r="W238" s="32">
        <f ca="1"/>
        <v>163.55700913841065</v>
      </c>
      <c r="X238" s="32">
        <f ca="1"/>
        <v>163.45143631285057</v>
      </c>
      <c r="Y238" s="32">
        <f ca="1"/>
        <v>163.34901765981729</v>
      </c>
      <c r="Z238" s="32">
        <f ca="1"/>
        <v>163.29331843214703</v>
      </c>
      <c r="AA238" s="32">
        <f ca="1"/>
        <v>163.22019606427008</v>
      </c>
      <c r="AB238" s="32">
        <f ca="1"/>
        <v>163.14924979217778</v>
      </c>
      <c r="AC238" s="32">
        <f ca="1"/>
        <v>163.09127646059977</v>
      </c>
      <c r="AD238" s="32">
        <f ca="1"/>
        <v>163.01238456741072</v>
      </c>
      <c r="AE238" s="32">
        <f ca="1"/>
        <v>162.94875825493412</v>
      </c>
      <c r="AF238" s="32">
        <f ca="1"/>
        <v>162.94875825493412</v>
      </c>
      <c r="AG238" s="32">
        <f ca="1"/>
        <v>162.94875825493412</v>
      </c>
      <c r="AH238" s="32">
        <f ca="1"/>
        <v>162.94875825493412</v>
      </c>
      <c r="AI238" s="32">
        <f ca="1"/>
        <v>162.94875825493412</v>
      </c>
      <c r="AJ238" s="32">
        <f ca="1"/>
        <v>162.94875825493412</v>
      </c>
      <c r="AK238" s="32">
        <f ca="1"/>
        <v>162.94875825493412</v>
      </c>
      <c r="AL238" s="32">
        <f ca="1"/>
        <v>162.94875825493412</v>
      </c>
      <c r="AM238" s="32">
        <f ca="1"/>
        <v>162.94875825493412</v>
      </c>
      <c r="AN238" s="55">
        <f ca="1"/>
        <v>162.94875825493412</v>
      </c>
      <c r="AO238" s="8"/>
    </row>
    <row r="239" spans="2:41" x14ac:dyDescent="0.35">
      <c r="B239" s="8"/>
      <c r="C239" s="50" t="str">
        <f>INDEX(_fuel,1)</f>
        <v>Electricity</v>
      </c>
      <c r="D239" s="11" t="str">
        <f>_yearDol &amp; "$"</f>
        <v>2021$</v>
      </c>
      <c r="E239" s="32">
        <f ca="1">SUMPRODUCT(dFactor,tpSurvAll_Res,tElec2_Res,OFFSET(tPrcElec_Res,0,0,1,_maxLT))</f>
        <v>61.527818011048261</v>
      </c>
      <c r="F239" s="32">
        <f ca="1">SUMPRODUCT(dFactor,tpSurvAll_Res,tElec2_Res,OFFSET(tPrcElec_Res,0,1,1,_maxLT))</f>
        <v>61.643827922421075</v>
      </c>
      <c r="G239" s="32">
        <f ca="1">SUMPRODUCT(dFactor,tpSurvAll_Res,tElec2_Res,OFFSET(tPrcElec_Res,0,2,1,_maxLT))</f>
        <v>61.826221207557083</v>
      </c>
      <c r="H239" s="32">
        <f ca="1">SUMPRODUCT(dFactor,tpSurvAll_Res,tElec2_Res,OFFSET(tPrcElec_Res,0,3,1,_maxLT))</f>
        <v>62.037633776454939</v>
      </c>
      <c r="I239" s="32">
        <f ca="1">SUMPRODUCT(dFactor,tpSurvAll_Res,tElec2_Res,OFFSET(tPrcElec_Res,0,4,1,_maxLT))</f>
        <v>62.235928262156939</v>
      </c>
      <c r="J239" s="32">
        <f ca="1">SUMPRODUCT(dFactor,tpSurvAll_Res,tElec2_Res,OFFSET(tPrcElec_Res,0,5,1,_maxLT))</f>
        <v>62.402264371676345</v>
      </c>
      <c r="K239" s="32">
        <f ca="1">SUMPRODUCT(dFactor,tpSurvAll_Res,tElec2_Res,OFFSET(tPrcElec_Res,0,6,1,_maxLT))</f>
        <v>62.531223137446013</v>
      </c>
      <c r="L239" s="32">
        <f ca="1">SUMPRODUCT(dFactor,tpSurvAll_Res,tElec2_Res,OFFSET(tPrcElec_Res,0,7,1,_maxLT))</f>
        <v>62.633886110621923</v>
      </c>
      <c r="M239" s="32">
        <f ca="1">SUMPRODUCT(dFactor,tpSurvAll_Res,tElec2_Res,OFFSET(tPrcElec_Res,0,8,1,_maxLT))</f>
        <v>62.686642390054573</v>
      </c>
      <c r="N239" s="32">
        <f ca="1">SUMPRODUCT(dFactor,tpSurvAll_Res,tElec2_Res,OFFSET(tPrcElec_Res,0,9,1,_maxLT))</f>
        <v>62.696272925608241</v>
      </c>
      <c r="O239" s="32">
        <f ca="1">SUMPRODUCT(dFactor,tpSurvAll_Res,tElec2_Res,OFFSET(tPrcElec_Res,0,10,1,_maxLT))</f>
        <v>62.627569250061903</v>
      </c>
      <c r="P239" s="32">
        <f ca="1">SUMPRODUCT(dFactor,tpSurvAll_Res,tElec2_Res,OFFSET(tPrcElec_Res,0,11,1,_maxLT))</f>
        <v>62.494267717951075</v>
      </c>
      <c r="Q239" s="32">
        <f ca="1">SUMPRODUCT(dFactor,tpSurvAll_Res,tElec2_Res,OFFSET(tPrcElec_Res,0,12,1,_maxLT))</f>
        <v>62.388199716622758</v>
      </c>
      <c r="R239" s="32">
        <f ca="1">SUMPRODUCT(dFactor,tpSurvAll_Res,tElec2_Res,OFFSET(tPrcElec_Res,0,13,1,_maxLT))</f>
        <v>62.278029121227988</v>
      </c>
      <c r="S239" s="32">
        <f ca="1">SUMPRODUCT(dFactor,tpSurvAll_Res,tElec2_Res,OFFSET(tPrcElec_Res,0,14,1,_maxLT))</f>
        <v>62.194006183135045</v>
      </c>
      <c r="T239" s="32">
        <f ca="1">SUMPRODUCT(dFactor,tpSurvAll_Res,tElec2_Res,OFFSET(tPrcElec_Res,0,15,1,_maxLT))</f>
        <v>62.138421006210756</v>
      </c>
      <c r="U239" s="32">
        <f ca="1">SUMPRODUCT(dFactor,tpSurvAll_Res,tElec2_Res,OFFSET(tPrcElec_Res,0,16,1,_maxLT))</f>
        <v>62.059885107167212</v>
      </c>
      <c r="V239" s="32">
        <f ca="1">SUMPRODUCT(dFactor,tpSurvAll_Res,tElec2_Res,OFFSET(tPrcElec_Res,0,17,1,_maxLT))</f>
        <v>61.963198151607891</v>
      </c>
      <c r="W239" s="32">
        <f ca="1">SUMPRODUCT(dFactor,tpSurvAll_Res,tElec2_Res,OFFSET(tPrcElec_Res,0,18,1,_maxLT))</f>
        <v>61.877355038031347</v>
      </c>
      <c r="X239" s="32">
        <f ca="1">SUMPRODUCT(dFactor,tpSurvAll_Res,tElec2_Res,OFFSET(tPrcElec_Res,0,19,1,_maxLT))</f>
        <v>61.771782212471273</v>
      </c>
      <c r="Y239" s="32">
        <f ca="1">SUMPRODUCT(dFactor,tpSurvAll_Res,tElec2_Res,OFFSET(tPrcElec_Res,0,20,1,_maxLT))</f>
        <v>61.669363559438004</v>
      </c>
      <c r="Z239" s="32">
        <f ca="1">SUMPRODUCT(dFactor,tpSurvAll_Res,tElec2_Res,OFFSET(tPrcElec_Res,0,21,1,_maxLT))</f>
        <v>61.613664331767744</v>
      </c>
      <c r="AA239" s="32">
        <f ca="1">SUMPRODUCT(dFactor,tpSurvAll_Res,tElec2_Res,OFFSET(tPrcElec_Res,0,22,1,_maxLT))</f>
        <v>61.540541963890782</v>
      </c>
      <c r="AB239" s="32">
        <f ca="1">SUMPRODUCT(dFactor,tpSurvAll_Res,tElec2_Res,OFFSET(tPrcElec_Res,0,23,1,_maxLT))</f>
        <v>61.469595691798489</v>
      </c>
      <c r="AC239" s="32">
        <f ca="1">SUMPRODUCT(dFactor,tpSurvAll_Res,tElec2_Res,OFFSET(tPrcElec_Res,0,24,1,_maxLT))</f>
        <v>61.411622360220477</v>
      </c>
      <c r="AD239" s="32">
        <f ca="1">SUMPRODUCT(dFactor,tpSurvAll_Res,tElec2_Res,OFFSET(tPrcElec_Res,0,25,1,_maxLT))</f>
        <v>61.332730467031425</v>
      </c>
      <c r="AE239" s="32">
        <f ca="1">SUMPRODUCT(dFactor,tpSurvAll_Res,tElec2_Res,OFFSET(tPrcElec_Res,0,26,1,_maxLT))</f>
        <v>61.269104154554817</v>
      </c>
      <c r="AF239" s="32">
        <f ca="1">SUMPRODUCT(dFactor,tpSurvAll_Res,tElec2_Res,OFFSET(tPrcElec_Res,0,27,1,_maxLT))</f>
        <v>61.269104154554817</v>
      </c>
      <c r="AG239" s="32">
        <f ca="1">SUMPRODUCT(dFactor,tpSurvAll_Res,tElec2_Res,OFFSET(tPrcElec_Res,0,28,1,_maxLT))</f>
        <v>61.269104154554817</v>
      </c>
      <c r="AH239" s="32">
        <f ca="1">SUMPRODUCT(dFactor,tpSurvAll_Res,tElec2_Res,OFFSET(tPrcElec_Res,0,29,1,_maxLT))</f>
        <v>61.269104154554817</v>
      </c>
      <c r="AI239" s="32">
        <f ca="1">SUMPRODUCT(dFactor,tpSurvAll_Res,tElec2_Res,OFFSET(tPrcElec_Res,0,30,1,_maxLT))</f>
        <v>61.269104154554817</v>
      </c>
      <c r="AJ239" s="32">
        <f ca="1">SUMPRODUCT(dFactor,tpSurvAll_Res,tElec2_Res,OFFSET(tPrcElec_Res,0,31,1,_maxLT))</f>
        <v>61.269104154554817</v>
      </c>
      <c r="AK239" s="32">
        <f ca="1">SUMPRODUCT(dFactor,tpSurvAll_Res,tElec2_Res,OFFSET(tPrcElec_Res,0,32,1,_maxLT))</f>
        <v>61.269104154554817</v>
      </c>
      <c r="AL239" s="32">
        <f ca="1">SUMPRODUCT(dFactor,tpSurvAll_Res,tElec2_Res,OFFSET(tPrcElec_Res,0,33,1,_maxLT))</f>
        <v>61.269104154554817</v>
      </c>
      <c r="AM239" s="32">
        <f ca="1">SUMPRODUCT(dFactor,tpSurvAll_Res,tElec2_Res,OFFSET(tPrcElec_Res,0,34,1,_maxLT))</f>
        <v>61.269104154554817</v>
      </c>
      <c r="AN239" s="55">
        <f ca="1">SUMPRODUCT(dFactor,tpSurvAll_Res,tElec2_Res,OFFSET(tPrcElec_Res,0,35,1,_maxLT))</f>
        <v>61.269104154554817</v>
      </c>
      <c r="AO239" s="8"/>
    </row>
    <row r="240" spans="2:41" x14ac:dyDescent="0.35">
      <c r="B240" s="8"/>
      <c r="C240" s="20" t="str">
        <f>INDEX(_Sector,2,2)</f>
        <v>Commercial</v>
      </c>
      <c r="D240" s="11" t="str">
        <f>_yearDol &amp; "$"</f>
        <v>2021$</v>
      </c>
      <c r="E240" s="32">
        <f t="array" aca="1" ref="E240:AN240" ca="1">(tlccEFuElec2_Com) + SUMPRODUCT(dFactor,tpSurvAll_Com,tMnR2_Com)</f>
        <v>204.05305885517197</v>
      </c>
      <c r="F240" s="32">
        <f ca="1"/>
        <v>204.01426828972879</v>
      </c>
      <c r="G240" s="32">
        <f ca="1"/>
        <v>204.04292097699869</v>
      </c>
      <c r="H240" s="32">
        <f ca="1"/>
        <v>204.10853078539407</v>
      </c>
      <c r="I240" s="32">
        <f ca="1"/>
        <v>204.15110007457352</v>
      </c>
      <c r="J240" s="32">
        <f ca="1"/>
        <v>204.14875680453434</v>
      </c>
      <c r="K240" s="32">
        <f ca="1"/>
        <v>204.08959793882713</v>
      </c>
      <c r="L240" s="32">
        <f ca="1"/>
        <v>203.99673657278055</v>
      </c>
      <c r="M240" s="32">
        <f ca="1"/>
        <v>203.81710446314327</v>
      </c>
      <c r="N240" s="32">
        <f ca="1"/>
        <v>203.59876991890349</v>
      </c>
      <c r="O240" s="32">
        <f ca="1"/>
        <v>203.24868424446476</v>
      </c>
      <c r="P240" s="32">
        <f ca="1"/>
        <v>202.80467524221166</v>
      </c>
      <c r="Q240" s="32">
        <f ca="1"/>
        <v>202.42015845222977</v>
      </c>
      <c r="R240" s="32">
        <f ca="1"/>
        <v>202.04006633141273</v>
      </c>
      <c r="S240" s="32">
        <f ca="1"/>
        <v>201.70583113149576</v>
      </c>
      <c r="T240" s="32">
        <f ca="1"/>
        <v>201.43244264634728</v>
      </c>
      <c r="U240" s="32">
        <f ca="1"/>
        <v>201.10895381349735</v>
      </c>
      <c r="V240" s="32">
        <f ca="1"/>
        <v>200.76419239153319</v>
      </c>
      <c r="W240" s="32">
        <f ca="1"/>
        <v>200.46439723963101</v>
      </c>
      <c r="X240" s="32">
        <f ca="1"/>
        <v>200.14792125871145</v>
      </c>
      <c r="Y240" s="32">
        <f ca="1"/>
        <v>199.83318950901747</v>
      </c>
      <c r="Z240" s="32">
        <f ca="1"/>
        <v>199.63067373931443</v>
      </c>
      <c r="AA240" s="32">
        <f ca="1"/>
        <v>199.41295545124746</v>
      </c>
      <c r="AB240" s="32">
        <f ca="1"/>
        <v>199.21169033619077</v>
      </c>
      <c r="AC240" s="32">
        <f ca="1"/>
        <v>199.07233438371748</v>
      </c>
      <c r="AD240" s="32">
        <f ca="1"/>
        <v>198.91073552306261</v>
      </c>
      <c r="AE240" s="32">
        <f ca="1"/>
        <v>198.78434761485187</v>
      </c>
      <c r="AF240" s="32">
        <f ca="1"/>
        <v>198.78434761485187</v>
      </c>
      <c r="AG240" s="32">
        <f ca="1"/>
        <v>198.78434761485187</v>
      </c>
      <c r="AH240" s="32">
        <f ca="1"/>
        <v>198.78434761485187</v>
      </c>
      <c r="AI240" s="32">
        <f ca="1"/>
        <v>198.78434761485187</v>
      </c>
      <c r="AJ240" s="32">
        <f ca="1"/>
        <v>198.78434761485187</v>
      </c>
      <c r="AK240" s="32">
        <f ca="1"/>
        <v>198.78434761485187</v>
      </c>
      <c r="AL240" s="32">
        <f ca="1"/>
        <v>198.78434761485187</v>
      </c>
      <c r="AM240" s="32">
        <f ca="1"/>
        <v>198.78434761485187</v>
      </c>
      <c r="AN240" s="55">
        <f ca="1"/>
        <v>198.78434761485187</v>
      </c>
      <c r="AO240" s="8"/>
    </row>
    <row r="241" spans="2:41" x14ac:dyDescent="0.35">
      <c r="B241" s="8"/>
      <c r="C241" s="50" t="str">
        <f>INDEX(_fuel,1)</f>
        <v>Electricity</v>
      </c>
      <c r="D241" s="11" t="str">
        <f>_yearDol &amp; "$"</f>
        <v>2021$</v>
      </c>
      <c r="E241" s="32">
        <f ca="1">SUMPRODUCT(dFactor,tpSurvAll_Com,tElec2_Com,OFFSET(tPrcElec_Com,0,0,1,_maxLT))</f>
        <v>88.817748219022249</v>
      </c>
      <c r="F241" s="32">
        <f ca="1">SUMPRODUCT(dFactor,tpSurvAll_Com,tElec2_Com,OFFSET(tPrcElec_Com,0,1,1,_maxLT))</f>
        <v>88.77895765357907</v>
      </c>
      <c r="G241" s="32">
        <f ca="1">SUMPRODUCT(dFactor,tpSurvAll_Com,tElec2_Com,OFFSET(tPrcElec_Com,0,2,1,_maxLT))</f>
        <v>88.807610340848967</v>
      </c>
      <c r="H241" s="32">
        <f ca="1">SUMPRODUCT(dFactor,tpSurvAll_Com,tElec2_Com,OFFSET(tPrcElec_Com,0,3,1,_maxLT))</f>
        <v>88.873220149244347</v>
      </c>
      <c r="I241" s="32">
        <f ca="1">SUMPRODUCT(dFactor,tpSurvAll_Com,tElec2_Com,OFFSET(tPrcElec_Com,0,4,1,_maxLT))</f>
        <v>88.915789438423801</v>
      </c>
      <c r="J241" s="32">
        <f ca="1">SUMPRODUCT(dFactor,tpSurvAll_Com,tElec2_Com,OFFSET(tPrcElec_Com,0,5,1,_maxLT))</f>
        <v>88.91344616838461</v>
      </c>
      <c r="K241" s="32">
        <f ca="1">SUMPRODUCT(dFactor,tpSurvAll_Com,tElec2_Com,OFFSET(tPrcElec_Com,0,6,1,_maxLT))</f>
        <v>88.85428730267742</v>
      </c>
      <c r="L241" s="32">
        <f ca="1">SUMPRODUCT(dFactor,tpSurvAll_Com,tElec2_Com,OFFSET(tPrcElec_Com,0,7,1,_maxLT))</f>
        <v>88.761425936630829</v>
      </c>
      <c r="M241" s="32">
        <f ca="1">SUMPRODUCT(dFactor,tpSurvAll_Com,tElec2_Com,OFFSET(tPrcElec_Com,0,8,1,_maxLT))</f>
        <v>88.581793826993547</v>
      </c>
      <c r="N241" s="32">
        <f ca="1">SUMPRODUCT(dFactor,tpSurvAll_Com,tElec2_Com,OFFSET(tPrcElec_Com,0,9,1,_maxLT))</f>
        <v>88.363459282753766</v>
      </c>
      <c r="O241" s="32">
        <f ca="1">SUMPRODUCT(dFactor,tpSurvAll_Com,tElec2_Com,OFFSET(tPrcElec_Com,0,10,1,_maxLT))</f>
        <v>88.01337360831505</v>
      </c>
      <c r="P241" s="32">
        <f ca="1">SUMPRODUCT(dFactor,tpSurvAll_Com,tElec2_Com,OFFSET(tPrcElec_Com,0,11,1,_maxLT))</f>
        <v>87.569364606061953</v>
      </c>
      <c r="Q241" s="32">
        <f ca="1">SUMPRODUCT(dFactor,tpSurvAll_Com,tElec2_Com,OFFSET(tPrcElec_Com,0,12,1,_maxLT))</f>
        <v>87.184847816080051</v>
      </c>
      <c r="R241" s="32">
        <f ca="1">SUMPRODUCT(dFactor,tpSurvAll_Com,tElec2_Com,OFFSET(tPrcElec_Com,0,13,1,_maxLT))</f>
        <v>86.804755695262998</v>
      </c>
      <c r="S241" s="32">
        <f ca="1">SUMPRODUCT(dFactor,tpSurvAll_Com,tElec2_Com,OFFSET(tPrcElec_Com,0,14,1,_maxLT))</f>
        <v>86.470520495346022</v>
      </c>
      <c r="T241" s="32">
        <f ca="1">SUMPRODUCT(dFactor,tpSurvAll_Com,tElec2_Com,OFFSET(tPrcElec_Com,0,15,1,_maxLT))</f>
        <v>86.197132010197549</v>
      </c>
      <c r="U241" s="32">
        <f ca="1">SUMPRODUCT(dFactor,tpSurvAll_Com,tElec2_Com,OFFSET(tPrcElec_Com,0,16,1,_maxLT))</f>
        <v>85.873643177347617</v>
      </c>
      <c r="V241" s="32">
        <f ca="1">SUMPRODUCT(dFactor,tpSurvAll_Com,tElec2_Com,OFFSET(tPrcElec_Com,0,17,1,_maxLT))</f>
        <v>85.52888175538348</v>
      </c>
      <c r="W241" s="32">
        <f ca="1">SUMPRODUCT(dFactor,tpSurvAll_Com,tElec2_Com,OFFSET(tPrcElec_Com,0,18,1,_maxLT))</f>
        <v>85.229086603481278</v>
      </c>
      <c r="X241" s="32">
        <f ca="1">SUMPRODUCT(dFactor,tpSurvAll_Com,tElec2_Com,OFFSET(tPrcElec_Com,0,19,1,_maxLT))</f>
        <v>84.912610622561743</v>
      </c>
      <c r="Y241" s="32">
        <f ca="1">SUMPRODUCT(dFactor,tpSurvAll_Com,tElec2_Com,OFFSET(tPrcElec_Com,0,20,1,_maxLT))</f>
        <v>84.597878872867739</v>
      </c>
      <c r="Z241" s="32">
        <f ca="1">SUMPRODUCT(dFactor,tpSurvAll_Com,tElec2_Com,OFFSET(tPrcElec_Com,0,21,1,_maxLT))</f>
        <v>84.395363103164726</v>
      </c>
      <c r="AA241" s="32">
        <f ca="1">SUMPRODUCT(dFactor,tpSurvAll_Com,tElec2_Com,OFFSET(tPrcElec_Com,0,22,1,_maxLT))</f>
        <v>84.177644815097722</v>
      </c>
      <c r="AB241" s="32">
        <f ca="1">SUMPRODUCT(dFactor,tpSurvAll_Com,tElec2_Com,OFFSET(tPrcElec_Com,0,23,1,_maxLT))</f>
        <v>83.976379700041065</v>
      </c>
      <c r="AC241" s="32">
        <f ca="1">SUMPRODUCT(dFactor,tpSurvAll_Com,tElec2_Com,OFFSET(tPrcElec_Com,0,24,1,_maxLT))</f>
        <v>83.83702374756777</v>
      </c>
      <c r="AD241" s="32">
        <f ca="1">SUMPRODUCT(dFactor,tpSurvAll_Com,tElec2_Com,OFFSET(tPrcElec_Com,0,25,1,_maxLT))</f>
        <v>83.675424886912879</v>
      </c>
      <c r="AE241" s="32">
        <f ca="1">SUMPRODUCT(dFactor,tpSurvAll_Com,tElec2_Com,OFFSET(tPrcElec_Com,0,26,1,_maxLT))</f>
        <v>83.549036978702134</v>
      </c>
      <c r="AF241" s="32">
        <f ca="1">SUMPRODUCT(dFactor,tpSurvAll_Com,tElec2_Com,OFFSET(tPrcElec_Com,0,27,1,_maxLT))</f>
        <v>83.549036978702134</v>
      </c>
      <c r="AG241" s="32">
        <f ca="1">SUMPRODUCT(dFactor,tpSurvAll_Com,tElec2_Com,OFFSET(tPrcElec_Com,0,28,1,_maxLT))</f>
        <v>83.549036978702134</v>
      </c>
      <c r="AH241" s="32">
        <f ca="1">SUMPRODUCT(dFactor,tpSurvAll_Com,tElec2_Com,OFFSET(tPrcElec_Com,0,29,1,_maxLT))</f>
        <v>83.549036978702134</v>
      </c>
      <c r="AI241" s="32">
        <f ca="1">SUMPRODUCT(dFactor,tpSurvAll_Com,tElec2_Com,OFFSET(tPrcElec_Com,0,30,1,_maxLT))</f>
        <v>83.549036978702134</v>
      </c>
      <c r="AJ241" s="32">
        <f ca="1">SUMPRODUCT(dFactor,tpSurvAll_Com,tElec2_Com,OFFSET(tPrcElec_Com,0,31,1,_maxLT))</f>
        <v>83.549036978702134</v>
      </c>
      <c r="AK241" s="32">
        <f ca="1">SUMPRODUCT(dFactor,tpSurvAll_Com,tElec2_Com,OFFSET(tPrcElec_Com,0,32,1,_maxLT))</f>
        <v>83.549036978702134</v>
      </c>
      <c r="AL241" s="32">
        <f ca="1">SUMPRODUCT(dFactor,tpSurvAll_Com,tElec2_Com,OFFSET(tPrcElec_Com,0,33,1,_maxLT))</f>
        <v>83.549036978702134</v>
      </c>
      <c r="AM241" s="32">
        <f ca="1">SUMPRODUCT(dFactor,tpSurvAll_Com,tElec2_Com,OFFSET(tPrcElec_Com,0,34,1,_maxLT))</f>
        <v>83.549036978702134</v>
      </c>
      <c r="AN241" s="55">
        <f ca="1">SUMPRODUCT(dFactor,tpSurvAll_Com,tElec2_Com,OFFSET(tPrcElec_Com,0,35,1,_maxLT))</f>
        <v>83.549036978702134</v>
      </c>
      <c r="AO241" s="8"/>
    </row>
    <row r="242" spans="2:41" x14ac:dyDescent="0.35">
      <c r="B242" s="8"/>
      <c r="C242" s="10" t="s">
        <v>78</v>
      </c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18"/>
      <c r="AO242" s="8"/>
    </row>
    <row r="243" spans="2:41" x14ac:dyDescent="0.35">
      <c r="B243" s="8"/>
      <c r="C243" s="20" t="str">
        <f>INDEX(_Sector,2,1)</f>
        <v>Residential</v>
      </c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18"/>
      <c r="AO243" s="8"/>
    </row>
    <row r="244" spans="2:41" x14ac:dyDescent="0.35">
      <c r="B244" s="8"/>
      <c r="C244" s="50" t="str">
        <f>INDEX(_fuel,1)</f>
        <v>Electricity</v>
      </c>
      <c r="D244" s="11" t="s">
        <v>80</v>
      </c>
      <c r="E244" s="40">
        <f ca="1">SUMPRODUCT(OFFSET(tConvElec_Res,0,0,1,_maxLT),tElec2_Res,tpSurvAll_Res)</f>
        <v>5.0959130150230481</v>
      </c>
      <c r="F244" s="40">
        <f ca="1">SUMPRODUCT(OFFSET(tConvElec_Res,0,1,1,_maxLT),tElec2_Res,tpSurvAll_Res)</f>
        <v>5.0707275921377413</v>
      </c>
      <c r="G244" s="40">
        <f ca="1">SUMPRODUCT(OFFSET(tConvElec_Res,0,2,1,_maxLT),tElec2_Res,tpSurvAll_Res)</f>
        <v>5.0524593382117455</v>
      </c>
      <c r="H244" s="40">
        <f ca="1">SUMPRODUCT(OFFSET(tConvElec_Res,0,3,1,_maxLT),tElec2_Res,tpSurvAll_Res)</f>
        <v>5.0381710627196021</v>
      </c>
      <c r="I244" s="40">
        <f ca="1">SUMPRODUCT(OFFSET(tConvElec_Res,0,4,1,_maxLT),tElec2_Res,tpSurvAll_Res)</f>
        <v>5.0282269707993787</v>
      </c>
      <c r="J244" s="40">
        <f ca="1">SUMPRODUCT(OFFSET(tConvElec_Res,0,5,1,_maxLT),tElec2_Res,tpSurvAll_Res)</f>
        <v>5.0203837729776186</v>
      </c>
      <c r="K244" s="40">
        <f ca="1">SUMPRODUCT(OFFSET(tConvElec_Res,0,6,1,_maxLT),tElec2_Res,tpSurvAll_Res)</f>
        <v>5.0135887992906838</v>
      </c>
      <c r="L244" s="40">
        <f ca="1">SUMPRODUCT(OFFSET(tConvElec_Res,0,7,1,_maxLT),tElec2_Res,tpSurvAll_Res)</f>
        <v>5.0062579400321612</v>
      </c>
      <c r="M244" s="40">
        <f ca="1">SUMPRODUCT(OFFSET(tConvElec_Res,0,8,1,_maxLT),tElec2_Res,tpSurvAll_Res)</f>
        <v>4.9992025000304237</v>
      </c>
      <c r="N244" s="40">
        <f ca="1">SUMPRODUCT(OFFSET(tConvElec_Res,0,9,1,_maxLT),tElec2_Res,tpSurvAll_Res)</f>
        <v>4.9925196971286825</v>
      </c>
      <c r="O244" s="40">
        <f ca="1">SUMPRODUCT(OFFSET(tConvElec_Res,0,10,1,_maxLT),tElec2_Res,tpSurvAll_Res)</f>
        <v>4.9855407383237731</v>
      </c>
      <c r="P244" s="40">
        <f ca="1">SUMPRODUCT(OFFSET(tConvElec_Res,0,11,1,_maxLT),tElec2_Res,tpSurvAll_Res)</f>
        <v>4.9796435182745409</v>
      </c>
      <c r="Q244" s="40">
        <f ca="1">SUMPRODUCT(OFFSET(tConvElec_Res,0,12,1,_maxLT),tElec2_Res,tpSurvAll_Res)</f>
        <v>4.9735937750652859</v>
      </c>
      <c r="R244" s="40">
        <f ca="1">SUMPRODUCT(OFFSET(tConvElec_Res,0,13,1,_maxLT),tElec2_Res,tpSurvAll_Res)</f>
        <v>4.9683206687093717</v>
      </c>
      <c r="S244" s="40">
        <f ca="1">SUMPRODUCT(OFFSET(tConvElec_Res,0,14,1,_maxLT),tElec2_Res,tpSurvAll_Res)</f>
        <v>4.963878792345918</v>
      </c>
      <c r="T244" s="40">
        <f ca="1">SUMPRODUCT(OFFSET(tConvElec_Res,0,15,1,_maxLT),tElec2_Res,tpSurvAll_Res)</f>
        <v>4.9597431778022534</v>
      </c>
      <c r="U244" s="40">
        <f ca="1">SUMPRODUCT(OFFSET(tConvElec_Res,0,16,1,_maxLT),tElec2_Res,tpSurvAll_Res)</f>
        <v>4.955492952628747</v>
      </c>
      <c r="V244" s="40">
        <f ca="1">SUMPRODUCT(OFFSET(tConvElec_Res,0,17,1,_maxLT),tElec2_Res,tpSurvAll_Res)</f>
        <v>4.9516864865510453</v>
      </c>
      <c r="W244" s="40">
        <f ca="1">SUMPRODUCT(OFFSET(tConvElec_Res,0,18,1,_maxLT),tElec2_Res,tpSurvAll_Res)</f>
        <v>4.9485730184334065</v>
      </c>
      <c r="X244" s="40">
        <f ca="1">SUMPRODUCT(OFFSET(tConvElec_Res,0,19,1,_maxLT),tElec2_Res,tpSurvAll_Res)</f>
        <v>4.9459403867951908</v>
      </c>
      <c r="Y244" s="40">
        <f ca="1">SUMPRODUCT(OFFSET(tConvElec_Res,0,20,1,_maxLT),tElec2_Res,tpSurvAll_Res)</f>
        <v>4.9438226875473248</v>
      </c>
      <c r="Z244" s="40">
        <f ca="1">SUMPRODUCT(OFFSET(tConvElec_Res,0,21,1,_maxLT),tElec2_Res,tpSurvAll_Res)</f>
        <v>4.9430016356510809</v>
      </c>
      <c r="AA244" s="40">
        <f ca="1">SUMPRODUCT(OFFSET(tConvElec_Res,0,22,1,_maxLT),tElec2_Res,tpSurvAll_Res)</f>
        <v>4.9429796643443655</v>
      </c>
      <c r="AB244" s="40">
        <f ca="1">SUMPRODUCT(OFFSET(tConvElec_Res,0,23,1,_maxLT),tElec2_Res,tpSurvAll_Res)</f>
        <v>4.9432056181055328</v>
      </c>
      <c r="AC244" s="40">
        <f ca="1">SUMPRODUCT(OFFSET(tConvElec_Res,0,24,1,_maxLT),tElec2_Res,tpSurvAll_Res)</f>
        <v>4.9436894655504755</v>
      </c>
      <c r="AD244" s="40">
        <f ca="1">SUMPRODUCT(OFFSET(tConvElec_Res,0,25,1,_maxLT),tElec2_Res,tpSurvAll_Res)</f>
        <v>4.9440955922894094</v>
      </c>
      <c r="AE244" s="40">
        <f ca="1">SUMPRODUCT(OFFSET(tConvElec_Res,0,26,1,_maxLT),tElec2_Res,tpSurvAll_Res)</f>
        <v>4.9441914430252591</v>
      </c>
      <c r="AF244" s="40">
        <f ca="1">SUMPRODUCT(OFFSET(tConvElec_Res,0,27,1,_maxLT),tElec2_Res,tpSurvAll_Res)</f>
        <v>4.9441914430252591</v>
      </c>
      <c r="AG244" s="40">
        <f ca="1">SUMPRODUCT(OFFSET(tConvElec_Res,0,28,1,_maxLT),tElec2_Res,tpSurvAll_Res)</f>
        <v>4.9441914430252591</v>
      </c>
      <c r="AH244" s="40">
        <f ca="1">SUMPRODUCT(OFFSET(tConvElec_Res,0,29,1,_maxLT),tElec2_Res,tpSurvAll_Res)</f>
        <v>4.9441914430252591</v>
      </c>
      <c r="AI244" s="40">
        <f ca="1">SUMPRODUCT(OFFSET(tConvElec_Res,0,30,1,_maxLT),tElec2_Res,tpSurvAll_Res)</f>
        <v>4.9441914430252591</v>
      </c>
      <c r="AJ244" s="40">
        <f ca="1">SUMPRODUCT(OFFSET(tConvElec_Res,0,31,1,_maxLT),tElec2_Res,tpSurvAll_Res)</f>
        <v>4.9441914430252591</v>
      </c>
      <c r="AK244" s="40">
        <f ca="1">SUMPRODUCT(OFFSET(tConvElec_Res,0,32,1,_maxLT),tElec2_Res,tpSurvAll_Res)</f>
        <v>4.9441914430252591</v>
      </c>
      <c r="AL244" s="40">
        <f ca="1">SUMPRODUCT(OFFSET(tConvElec_Res,0,33,1,_maxLT),tElec2_Res,tpSurvAll_Res)</f>
        <v>4.9441914430252591</v>
      </c>
      <c r="AM244" s="40">
        <f ca="1">SUMPRODUCT(OFFSET(tConvElec_Res,0,34,1,_maxLT),tElec2_Res,tpSurvAll_Res)</f>
        <v>4.9441914430252591</v>
      </c>
      <c r="AN244" s="41">
        <f ca="1">SUMPRODUCT(OFFSET(tConvElec_Res,0,35,1,_maxLT),tElec2_Res,tpSurvAll_Res)</f>
        <v>4.9441914430252591</v>
      </c>
      <c r="AO244" s="8"/>
    </row>
    <row r="245" spans="2:41" x14ac:dyDescent="0.35">
      <c r="B245" s="8"/>
      <c r="C245" s="20" t="str">
        <f>INDEX(_Sector,2,2)</f>
        <v>Commercial</v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18"/>
      <c r="AO245" s="8"/>
    </row>
    <row r="246" spans="2:41" x14ac:dyDescent="0.35">
      <c r="B246" s="8"/>
      <c r="C246" s="50" t="str">
        <f>INDEX(_fuel,1)</f>
        <v>Electricity</v>
      </c>
      <c r="D246" s="11" t="s">
        <v>80</v>
      </c>
      <c r="E246" s="40">
        <f ca="1">SUMPRODUCT(OFFSET(tConvElec_Com,0,0,1,_maxLT),tElec2_Com,tpSurvAll_Com)</f>
        <v>10.402744760897349</v>
      </c>
      <c r="F246" s="40">
        <f ca="1">SUMPRODUCT(OFFSET(tConvElec_Com,0,1,1,_maxLT),tElec2_Com,tpSurvAll_Com)</f>
        <v>10.349350486144392</v>
      </c>
      <c r="G246" s="40">
        <f ca="1">SUMPRODUCT(OFFSET(tConvElec_Com,0,2,1,_maxLT),tElec2_Com,tpSurvAll_Com)</f>
        <v>10.311166737873464</v>
      </c>
      <c r="H246" s="40">
        <f ca="1">SUMPRODUCT(OFFSET(tConvElec_Com,0,3,1,_maxLT),tElec2_Com,tpSurvAll_Com)</f>
        <v>10.281813032378919</v>
      </c>
      <c r="I246" s="40">
        <f ca="1">SUMPRODUCT(OFFSET(tConvElec_Com,0,4,1,_maxLT),tElec2_Com,tpSurvAll_Com)</f>
        <v>10.262235947553648</v>
      </c>
      <c r="J246" s="40">
        <f ca="1">SUMPRODUCT(OFFSET(tConvElec_Com,0,5,1,_maxLT),tElec2_Com,tpSurvAll_Com)</f>
        <v>10.247349040910301</v>
      </c>
      <c r="K246" s="40">
        <f ca="1">SUMPRODUCT(OFFSET(tConvElec_Com,0,6,1,_maxLT),tElec2_Com,tpSurvAll_Com)</f>
        <v>10.234644220328656</v>
      </c>
      <c r="L246" s="40">
        <f ca="1">SUMPRODUCT(OFFSET(tConvElec_Com,0,7,1,_maxLT),tElec2_Com,tpSurvAll_Com)</f>
        <v>10.221038866078871</v>
      </c>
      <c r="M246" s="40">
        <f ca="1">SUMPRODUCT(OFFSET(tConvElec_Com,0,8,1,_maxLT),tElec2_Com,tpSurvAll_Com)</f>
        <v>10.208182031186263</v>
      </c>
      <c r="N246" s="40">
        <f ca="1">SUMPRODUCT(OFFSET(tConvElec_Com,0,9,1,_maxLT),tElec2_Com,tpSurvAll_Com)</f>
        <v>10.196064511590073</v>
      </c>
      <c r="O246" s="40">
        <f ca="1">SUMPRODUCT(OFFSET(tConvElec_Com,0,10,1,_maxLT),tElec2_Com,tpSurvAll_Com)</f>
        <v>10.183538476171771</v>
      </c>
      <c r="P246" s="40">
        <f ca="1">SUMPRODUCT(OFFSET(tConvElec_Com,0,11,1,_maxLT),tElec2_Com,tpSurvAll_Com)</f>
        <v>10.172793010291571</v>
      </c>
      <c r="Q246" s="40">
        <f ca="1">SUMPRODUCT(OFFSET(tConvElec_Com,0,12,1,_maxLT),tElec2_Com,tpSurvAll_Com)</f>
        <v>10.161600544496405</v>
      </c>
      <c r="R246" s="40">
        <f ca="1">SUMPRODUCT(OFFSET(tConvElec_Com,0,13,1,_maxLT),tElec2_Com,tpSurvAll_Com)</f>
        <v>10.151841727217093</v>
      </c>
      <c r="S246" s="40">
        <f ca="1">SUMPRODUCT(OFFSET(tConvElec_Com,0,14,1,_maxLT),tElec2_Com,tpSurvAll_Com)</f>
        <v>10.143735609814742</v>
      </c>
      <c r="T246" s="40">
        <f ca="1">SUMPRODUCT(OFFSET(tConvElec_Com,0,15,1,_maxLT),tElec2_Com,tpSurvAll_Com)</f>
        <v>10.136306260168494</v>
      </c>
      <c r="U246" s="40">
        <f ca="1">SUMPRODUCT(OFFSET(tConvElec_Com,0,16,1,_maxLT),tElec2_Com,tpSurvAll_Com)</f>
        <v>10.128650086097418</v>
      </c>
      <c r="V246" s="40">
        <f ca="1">SUMPRODUCT(OFFSET(tConvElec_Com,0,17,1,_maxLT),tElec2_Com,tpSurvAll_Com)</f>
        <v>10.121758685638975</v>
      </c>
      <c r="W246" s="40">
        <f ca="1">SUMPRODUCT(OFFSET(tConvElec_Com,0,18,1,_maxLT),tElec2_Com,tpSurvAll_Com)</f>
        <v>10.116190088064959</v>
      </c>
      <c r="X246" s="40">
        <f ca="1">SUMPRODUCT(OFFSET(tConvElec_Com,0,19,1,_maxLT),tElec2_Com,tpSurvAll_Com)</f>
        <v>10.111534926226671</v>
      </c>
      <c r="Y246" s="40">
        <f ca="1">SUMPRODUCT(OFFSET(tConvElec_Com,0,20,1,_maxLT),tElec2_Com,tpSurvAll_Com)</f>
        <v>10.107802907185611</v>
      </c>
      <c r="Z246" s="40">
        <f ca="1">SUMPRODUCT(OFFSET(tConvElec_Com,0,21,1,_maxLT),tElec2_Com,tpSurvAll_Com)</f>
        <v>10.106558038297294</v>
      </c>
      <c r="AA246" s="40">
        <f ca="1">SUMPRODUCT(OFFSET(tConvElec_Com,0,22,1,_maxLT),tElec2_Com,tpSurvAll_Com)</f>
        <v>10.106819341715992</v>
      </c>
      <c r="AB246" s="40">
        <f ca="1">SUMPRODUCT(OFFSET(tConvElec_Com,0,23,1,_maxLT),tElec2_Com,tpSurvAll_Com)</f>
        <v>10.107524954788369</v>
      </c>
      <c r="AC246" s="40">
        <f ca="1">SUMPRODUCT(OFFSET(tConvElec_Com,0,24,1,_maxLT),tElec2_Com,tpSurvAll_Com)</f>
        <v>10.108643394581948</v>
      </c>
      <c r="AD246" s="40">
        <f ca="1">SUMPRODUCT(OFFSET(tConvElec_Com,0,25,1,_maxLT),tElec2_Com,tpSurvAll_Com)</f>
        <v>10.109537871633359</v>
      </c>
      <c r="AE246" s="40">
        <f ca="1">SUMPRODUCT(OFFSET(tConvElec_Com,0,26,1,_maxLT),tElec2_Com,tpSurvAll_Com)</f>
        <v>10.109770877719248</v>
      </c>
      <c r="AF246" s="40">
        <f ca="1">SUMPRODUCT(OFFSET(tConvElec_Com,0,27,1,_maxLT),tElec2_Com,tpSurvAll_Com)</f>
        <v>10.109770877719248</v>
      </c>
      <c r="AG246" s="40">
        <f ca="1">SUMPRODUCT(OFFSET(tConvElec_Com,0,28,1,_maxLT),tElec2_Com,tpSurvAll_Com)</f>
        <v>10.109770877719248</v>
      </c>
      <c r="AH246" s="40">
        <f ca="1">SUMPRODUCT(OFFSET(tConvElec_Com,0,29,1,_maxLT),tElec2_Com,tpSurvAll_Com)</f>
        <v>10.109770877719248</v>
      </c>
      <c r="AI246" s="40">
        <f ca="1">SUMPRODUCT(OFFSET(tConvElec_Com,0,30,1,_maxLT),tElec2_Com,tpSurvAll_Com)</f>
        <v>10.109770877719248</v>
      </c>
      <c r="AJ246" s="40">
        <f ca="1">SUMPRODUCT(OFFSET(tConvElec_Com,0,31,1,_maxLT),tElec2_Com,tpSurvAll_Com)</f>
        <v>10.109770877719248</v>
      </c>
      <c r="AK246" s="40">
        <f ca="1">SUMPRODUCT(OFFSET(tConvElec_Com,0,32,1,_maxLT),tElec2_Com,tpSurvAll_Com)</f>
        <v>10.109770877719248</v>
      </c>
      <c r="AL246" s="40">
        <f ca="1">SUMPRODUCT(OFFSET(tConvElec_Com,0,33,1,_maxLT),tElec2_Com,tpSurvAll_Com)</f>
        <v>10.109770877719248</v>
      </c>
      <c r="AM246" s="40">
        <f ca="1">SUMPRODUCT(OFFSET(tConvElec_Com,0,34,1,_maxLT),tElec2_Com,tpSurvAll_Com)</f>
        <v>10.109770877719248</v>
      </c>
      <c r="AN246" s="41">
        <f ca="1">SUMPRODUCT(OFFSET(tConvElec_Com,0,35,1,_maxLT),tElec2_Com,tpSurvAll_Com)</f>
        <v>10.109770877719248</v>
      </c>
      <c r="AO246" s="8"/>
    </row>
    <row r="247" spans="2:41" x14ac:dyDescent="0.35">
      <c r="B247" s="8"/>
      <c r="C247" s="57" t="str">
        <f>"EL 3: " &amp; INDEX(_doName,2,4)</f>
        <v>EL 3: EL 3</v>
      </c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8"/>
      <c r="AO247" s="8"/>
    </row>
    <row r="248" spans="2:41" x14ac:dyDescent="0.35">
      <c r="B248" s="8"/>
      <c r="C248" s="10" t="s">
        <v>70</v>
      </c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18"/>
      <c r="AO248" s="8"/>
    </row>
    <row r="249" spans="2:41" x14ac:dyDescent="0.35">
      <c r="B249" s="8"/>
      <c r="C249" s="20" t="str">
        <f>INDEX(_Sector,2,1)</f>
        <v>Residential</v>
      </c>
      <c r="D249" s="11" t="str">
        <f>_yearDol &amp; "$"</f>
        <v>2021$</v>
      </c>
      <c r="E249" s="32">
        <f t="array" ref="E249:AN249">tMSP3_Res*tPIdxmed3 + tInst3</f>
        <v>104.69927128348147</v>
      </c>
      <c r="F249" s="32">
        <v>104.03923625168777</v>
      </c>
      <c r="G249" s="32">
        <v>103.40926651994769</v>
      </c>
      <c r="H249" s="32">
        <v>102.80444195760467</v>
      </c>
      <c r="I249" s="32">
        <v>102.22123460821479</v>
      </c>
      <c r="J249" s="32">
        <v>101.65726707145664</v>
      </c>
      <c r="K249" s="32">
        <v>101.11089851656426</v>
      </c>
      <c r="L249" s="32">
        <v>100.58092482290942</v>
      </c>
      <c r="M249" s="32">
        <v>100.06630012266167</v>
      </c>
      <c r="N249" s="32">
        <v>99.566003535638657</v>
      </c>
      <c r="O249" s="32">
        <v>99.079007468006878</v>
      </c>
      <c r="P249" s="32">
        <v>98.604282527914435</v>
      </c>
      <c r="Q249" s="32">
        <v>98.140844197023114</v>
      </c>
      <c r="R249" s="32">
        <v>97.687801651407497</v>
      </c>
      <c r="S249" s="32">
        <v>97.244343332966054</v>
      </c>
      <c r="T249" s="32">
        <v>96.809835853944165</v>
      </c>
      <c r="U249" s="32">
        <v>96.383692434321844</v>
      </c>
      <c r="V249" s="32">
        <v>95.965403093889137</v>
      </c>
      <c r="W249" s="32">
        <v>95.554513281259077</v>
      </c>
      <c r="X249" s="32">
        <v>95.150607609340582</v>
      </c>
      <c r="Y249" s="32">
        <v>94.753301711647964</v>
      </c>
      <c r="Z249" s="32">
        <v>94.362235658815223</v>
      </c>
      <c r="AA249" s="32">
        <v>93.977074123465471</v>
      </c>
      <c r="AB249" s="32">
        <v>93.597506293506996</v>
      </c>
      <c r="AC249" s="32">
        <v>93.223245604689751</v>
      </c>
      <c r="AD249" s="32">
        <v>92.854028775579508</v>
      </c>
      <c r="AE249" s="32">
        <v>92.489613990238681</v>
      </c>
      <c r="AF249" s="32">
        <v>92.129778636627535</v>
      </c>
      <c r="AG249" s="32">
        <v>91.774316967969781</v>
      </c>
      <c r="AH249" s="32">
        <v>91.423037981211948</v>
      </c>
      <c r="AI249" s="32">
        <v>91.075763705810871</v>
      </c>
      <c r="AJ249" s="32">
        <v>90.732327899135484</v>
      </c>
      <c r="AK249" s="32">
        <v>90.392575033523585</v>
      </c>
      <c r="AL249" s="32">
        <v>90.056359597257185</v>
      </c>
      <c r="AM249" s="32">
        <v>89.723545319733987</v>
      </c>
      <c r="AN249" s="55">
        <v>89.394004605328732</v>
      </c>
      <c r="AO249" s="8"/>
    </row>
    <row r="250" spans="2:41" x14ac:dyDescent="0.35">
      <c r="B250" s="8"/>
      <c r="C250" s="20" t="str">
        <f>INDEX(_Sector,2,2)</f>
        <v>Commercial</v>
      </c>
      <c r="D250" s="11" t="str">
        <f>_yearDol &amp; "$"</f>
        <v>2021$</v>
      </c>
      <c r="E250" s="32">
        <f t="array" ref="E250:AN250">tMSP3_Com*tPIdxmed3 + tInst3</f>
        <v>101.47795893284525</v>
      </c>
      <c r="F250" s="32">
        <v>100.83823138718499</v>
      </c>
      <c r="G250" s="32">
        <v>100.22764411391387</v>
      </c>
      <c r="H250" s="32">
        <v>99.64142836143894</v>
      </c>
      <c r="I250" s="32">
        <v>99.076164718958779</v>
      </c>
      <c r="J250" s="32">
        <v>98.529548932305929</v>
      </c>
      <c r="K250" s="32">
        <v>97.999990654622721</v>
      </c>
      <c r="L250" s="32">
        <v>97.486322812803863</v>
      </c>
      <c r="M250" s="32">
        <v>96.987531717532804</v>
      </c>
      <c r="N250" s="32">
        <v>96.502627898339043</v>
      </c>
      <c r="O250" s="32">
        <v>96.030615377661718</v>
      </c>
      <c r="P250" s="32">
        <v>95.570496435241722</v>
      </c>
      <c r="Q250" s="32">
        <v>95.121316843697471</v>
      </c>
      <c r="R250" s="32">
        <v>94.682213187337396</v>
      </c>
      <c r="S250" s="32">
        <v>94.252398877499587</v>
      </c>
      <c r="T250" s="32">
        <v>93.831260014051225</v>
      </c>
      <c r="U250" s="32">
        <v>93.418227870600589</v>
      </c>
      <c r="V250" s="32">
        <v>93.012808157644344</v>
      </c>
      <c r="W250" s="32">
        <v>92.614560309107731</v>
      </c>
      <c r="X250" s="32">
        <v>92.223081718232805</v>
      </c>
      <c r="Y250" s="32">
        <v>91.837999844447225</v>
      </c>
      <c r="Z250" s="32">
        <v>91.458965832434458</v>
      </c>
      <c r="AA250" s="32">
        <v>91.085654671930712</v>
      </c>
      <c r="AB250" s="32">
        <v>90.717765113688543</v>
      </c>
      <c r="AC250" s="32">
        <v>90.355019410261988</v>
      </c>
      <c r="AD250" s="32">
        <v>89.997162380671796</v>
      </c>
      <c r="AE250" s="32">
        <v>89.643959649000323</v>
      </c>
      <c r="AF250" s="32">
        <v>89.295195452375978</v>
      </c>
      <c r="AG250" s="32">
        <v>88.950670374292244</v>
      </c>
      <c r="AH250" s="32">
        <v>88.610199288341065</v>
      </c>
      <c r="AI250" s="32">
        <v>88.273609699649796</v>
      </c>
      <c r="AJ250" s="32">
        <v>87.94074048042178</v>
      </c>
      <c r="AK250" s="32">
        <v>87.61144088815881</v>
      </c>
      <c r="AL250" s="32">
        <v>87.285569888143428</v>
      </c>
      <c r="AM250" s="32">
        <v>86.96299540244982</v>
      </c>
      <c r="AN250" s="55">
        <v>86.643593761223755</v>
      </c>
      <c r="AO250" s="8"/>
    </row>
    <row r="251" spans="2:41" x14ac:dyDescent="0.35">
      <c r="B251" s="8"/>
      <c r="C251" s="10" t="str">
        <f>zEO&amp;" Costs"</f>
        <v>Operating Costs</v>
      </c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18"/>
      <c r="AO251" s="8"/>
    </row>
    <row r="252" spans="2:41" x14ac:dyDescent="0.35">
      <c r="B252" s="8"/>
      <c r="C252" s="20" t="str">
        <f>INDEX(_Sector,2,1)</f>
        <v>Residential</v>
      </c>
      <c r="D252" s="11" t="str">
        <f>_yearDol &amp; "$"</f>
        <v>2021$</v>
      </c>
      <c r="E252" s="32">
        <f t="array" aca="1" ref="E252:AN252" ca="1">(tlccEFuElec3_Res) + SUMPRODUCT(dFactor,tpSurvAll_Com,tMnR3_Res)</f>
        <v>246.24844301275209</v>
      </c>
      <c r="F252" s="32">
        <f ca="1"/>
        <v>246.30225223742968</v>
      </c>
      <c r="G252" s="32">
        <f ca="1"/>
        <v>246.38685226119856</v>
      </c>
      <c r="H252" s="32">
        <f ca="1"/>
        <v>246.48491238627642</v>
      </c>
      <c r="I252" s="32">
        <f ca="1"/>
        <v>246.57688791153282</v>
      </c>
      <c r="J252" s="32">
        <f ca="1"/>
        <v>246.65404008743926</v>
      </c>
      <c r="K252" s="32">
        <f ca="1"/>
        <v>246.71385541803755</v>
      </c>
      <c r="L252" s="32">
        <f ca="1"/>
        <v>246.76147389239307</v>
      </c>
      <c r="M252" s="32">
        <f ca="1"/>
        <v>246.78594399550366</v>
      </c>
      <c r="N252" s="32">
        <f ca="1"/>
        <v>246.79041095565597</v>
      </c>
      <c r="O252" s="32">
        <f ca="1"/>
        <v>246.75854392403855</v>
      </c>
      <c r="P252" s="32">
        <f ca="1"/>
        <v>246.69671427512031</v>
      </c>
      <c r="Q252" s="32">
        <f ca="1"/>
        <v>246.64751643635776</v>
      </c>
      <c r="R252" s="32">
        <f ca="1"/>
        <v>246.59641567910083</v>
      </c>
      <c r="S252" s="32">
        <f ca="1"/>
        <v>246.55744306805053</v>
      </c>
      <c r="T252" s="32">
        <f ca="1"/>
        <v>246.53166082894296</v>
      </c>
      <c r="U252" s="32">
        <f ca="1"/>
        <v>246.49523328765031</v>
      </c>
      <c r="V252" s="32">
        <f ca="1"/>
        <v>246.45038668744593</v>
      </c>
      <c r="W252" s="32">
        <f ca="1"/>
        <v>246.41056981894906</v>
      </c>
      <c r="X252" s="32">
        <f ca="1"/>
        <v>246.3616016590463</v>
      </c>
      <c r="Y252" s="32">
        <f ca="1"/>
        <v>246.31409650843437</v>
      </c>
      <c r="Z252" s="32">
        <f ca="1"/>
        <v>246.28826136882768</v>
      </c>
      <c r="AA252" s="32">
        <f ca="1"/>
        <v>246.2543448019112</v>
      </c>
      <c r="AB252" s="32">
        <f ca="1"/>
        <v>246.22143758002065</v>
      </c>
      <c r="AC252" s="32">
        <f ca="1"/>
        <v>246.19454763598677</v>
      </c>
      <c r="AD252" s="32">
        <f ca="1"/>
        <v>246.15795497286331</v>
      </c>
      <c r="AE252" s="32">
        <f ca="1"/>
        <v>246.1284429897668</v>
      </c>
      <c r="AF252" s="32">
        <f ca="1"/>
        <v>246.1284429897668</v>
      </c>
      <c r="AG252" s="32">
        <f ca="1"/>
        <v>246.1284429897668</v>
      </c>
      <c r="AH252" s="32">
        <f ca="1"/>
        <v>246.1284429897668</v>
      </c>
      <c r="AI252" s="32">
        <f ca="1"/>
        <v>246.1284429897668</v>
      </c>
      <c r="AJ252" s="32">
        <f ca="1"/>
        <v>246.1284429897668</v>
      </c>
      <c r="AK252" s="32">
        <f ca="1"/>
        <v>246.1284429897668</v>
      </c>
      <c r="AL252" s="32">
        <f ca="1"/>
        <v>246.1284429897668</v>
      </c>
      <c r="AM252" s="32">
        <f ca="1"/>
        <v>246.1284429897668</v>
      </c>
      <c r="AN252" s="55">
        <f ca="1"/>
        <v>246.1284429897668</v>
      </c>
      <c r="AO252" s="8"/>
    </row>
    <row r="253" spans="2:41" x14ac:dyDescent="0.35">
      <c r="B253" s="8"/>
      <c r="C253" s="50" t="str">
        <f>INDEX(_fuel,1)</f>
        <v>Electricity</v>
      </c>
      <c r="D253" s="11" t="str">
        <f>_yearDol &amp; "$"</f>
        <v>2021$</v>
      </c>
      <c r="E253" s="32">
        <f ca="1">SUMPRODUCT(dFactor,tpSurvAll_Res,tElec3_Res,OFFSET(tPrcElec_Res,0,0,1,_maxLT))</f>
        <v>28.538632122890796</v>
      </c>
      <c r="F253" s="32">
        <f ca="1">SUMPRODUCT(dFactor,tpSurvAll_Res,tElec3_Res,OFFSET(tPrcElec_Res,0,1,1,_maxLT))</f>
        <v>28.592441347568368</v>
      </c>
      <c r="G253" s="32">
        <f ca="1">SUMPRODUCT(dFactor,tpSurvAll_Res,tElec3_Res,OFFSET(tPrcElec_Res,0,2,1,_maxLT))</f>
        <v>28.677041371337257</v>
      </c>
      <c r="H253" s="32">
        <f ca="1">SUMPRODUCT(dFactor,tpSurvAll_Res,tElec3_Res,OFFSET(tPrcElec_Res,0,3,1,_maxLT))</f>
        <v>28.775101496415129</v>
      </c>
      <c r="I253" s="32">
        <f ca="1">SUMPRODUCT(dFactor,tpSurvAll_Res,tElec3_Res,OFFSET(tPrcElec_Res,0,4,1,_maxLT))</f>
        <v>28.867077021671527</v>
      </c>
      <c r="J253" s="32">
        <f ca="1">SUMPRODUCT(dFactor,tpSurvAll_Res,tElec3_Res,OFFSET(tPrcElec_Res,0,5,1,_maxLT))</f>
        <v>28.944229197577954</v>
      </c>
      <c r="K253" s="32">
        <f ca="1">SUMPRODUCT(dFactor,tpSurvAll_Res,tElec3_Res,OFFSET(tPrcElec_Res,0,6,1,_maxLT))</f>
        <v>29.004044528176259</v>
      </c>
      <c r="L253" s="32">
        <f ca="1">SUMPRODUCT(dFactor,tpSurvAll_Res,tElec3_Res,OFFSET(tPrcElec_Res,0,7,1,_maxLT))</f>
        <v>29.051663002531768</v>
      </c>
      <c r="M253" s="32">
        <f ca="1">SUMPRODUCT(dFactor,tpSurvAll_Res,tElec3_Res,OFFSET(tPrcElec_Res,0,8,1,_maxLT))</f>
        <v>29.076133105642359</v>
      </c>
      <c r="N253" s="32">
        <f ca="1">SUMPRODUCT(dFactor,tpSurvAll_Res,tElec3_Res,OFFSET(tPrcElec_Res,0,9,1,_maxLT))</f>
        <v>29.080600065794663</v>
      </c>
      <c r="O253" s="32">
        <f ca="1">SUMPRODUCT(dFactor,tpSurvAll_Res,tElec3_Res,OFFSET(tPrcElec_Res,0,10,1,_maxLT))</f>
        <v>29.048733034177257</v>
      </c>
      <c r="P253" s="32">
        <f ca="1">SUMPRODUCT(dFactor,tpSurvAll_Res,tElec3_Res,OFFSET(tPrcElec_Res,0,11,1,_maxLT))</f>
        <v>28.986903385259023</v>
      </c>
      <c r="Q253" s="32">
        <f ca="1">SUMPRODUCT(dFactor,tpSurvAll_Res,tElec3_Res,OFFSET(tPrcElec_Res,0,12,1,_maxLT))</f>
        <v>28.937705546496474</v>
      </c>
      <c r="R253" s="32">
        <f ca="1">SUMPRODUCT(dFactor,tpSurvAll_Res,tElec3_Res,OFFSET(tPrcElec_Res,0,13,1,_maxLT))</f>
        <v>28.886604789239531</v>
      </c>
      <c r="S253" s="32">
        <f ca="1">SUMPRODUCT(dFactor,tpSurvAll_Res,tElec3_Res,OFFSET(tPrcElec_Res,0,14,1,_maxLT))</f>
        <v>28.847632178189233</v>
      </c>
      <c r="T253" s="32">
        <f ca="1">SUMPRODUCT(dFactor,tpSurvAll_Res,tElec3_Res,OFFSET(tPrcElec_Res,0,15,1,_maxLT))</f>
        <v>28.821849939081645</v>
      </c>
      <c r="U253" s="32">
        <f ca="1">SUMPRODUCT(dFactor,tpSurvAll_Res,tElec3_Res,OFFSET(tPrcElec_Res,0,16,1,_maxLT))</f>
        <v>28.785422397788999</v>
      </c>
      <c r="V253" s="32">
        <f ca="1">SUMPRODUCT(dFactor,tpSurvAll_Res,tElec3_Res,OFFSET(tPrcElec_Res,0,17,1,_maxLT))</f>
        <v>28.740575797584619</v>
      </c>
      <c r="W253" s="32">
        <f ca="1">SUMPRODUCT(dFactor,tpSurvAll_Res,tElec3_Res,OFFSET(tPrcElec_Res,0,18,1,_maxLT))</f>
        <v>28.700758929087755</v>
      </c>
      <c r="X253" s="32">
        <f ca="1">SUMPRODUCT(dFactor,tpSurvAll_Res,tElec3_Res,OFFSET(tPrcElec_Res,0,19,1,_maxLT))</f>
        <v>28.651790769184995</v>
      </c>
      <c r="Y253" s="32">
        <f ca="1">SUMPRODUCT(dFactor,tpSurvAll_Res,tElec3_Res,OFFSET(tPrcElec_Res,0,20,1,_maxLT))</f>
        <v>28.604285618573066</v>
      </c>
      <c r="Z253" s="32">
        <f ca="1">SUMPRODUCT(dFactor,tpSurvAll_Res,tElec3_Res,OFFSET(tPrcElec_Res,0,21,1,_maxLT))</f>
        <v>28.578450478966367</v>
      </c>
      <c r="AA253" s="32">
        <f ca="1">SUMPRODUCT(dFactor,tpSurvAll_Res,tElec3_Res,OFFSET(tPrcElec_Res,0,22,1,_maxLT))</f>
        <v>28.544533912049911</v>
      </c>
      <c r="AB253" s="32">
        <f ca="1">SUMPRODUCT(dFactor,tpSurvAll_Res,tElec3_Res,OFFSET(tPrcElec_Res,0,23,1,_maxLT))</f>
        <v>28.511626690159339</v>
      </c>
      <c r="AC253" s="32">
        <f ca="1">SUMPRODUCT(dFactor,tpSurvAll_Res,tElec3_Res,OFFSET(tPrcElec_Res,0,24,1,_maxLT))</f>
        <v>28.484736746125463</v>
      </c>
      <c r="AD253" s="32">
        <f ca="1">SUMPRODUCT(dFactor,tpSurvAll_Res,tElec3_Res,OFFSET(tPrcElec_Res,0,25,1,_maxLT))</f>
        <v>28.448144083001992</v>
      </c>
      <c r="AE253" s="32">
        <f ca="1">SUMPRODUCT(dFactor,tpSurvAll_Res,tElec3_Res,OFFSET(tPrcElec_Res,0,26,1,_maxLT))</f>
        <v>28.418632099905501</v>
      </c>
      <c r="AF253" s="32">
        <f ca="1">SUMPRODUCT(dFactor,tpSurvAll_Res,tElec3_Res,OFFSET(tPrcElec_Res,0,27,1,_maxLT))</f>
        <v>28.418632099905501</v>
      </c>
      <c r="AG253" s="32">
        <f ca="1">SUMPRODUCT(dFactor,tpSurvAll_Res,tElec3_Res,OFFSET(tPrcElec_Res,0,28,1,_maxLT))</f>
        <v>28.418632099905501</v>
      </c>
      <c r="AH253" s="32">
        <f ca="1">SUMPRODUCT(dFactor,tpSurvAll_Res,tElec3_Res,OFFSET(tPrcElec_Res,0,29,1,_maxLT))</f>
        <v>28.418632099905501</v>
      </c>
      <c r="AI253" s="32">
        <f ca="1">SUMPRODUCT(dFactor,tpSurvAll_Res,tElec3_Res,OFFSET(tPrcElec_Res,0,30,1,_maxLT))</f>
        <v>28.418632099905501</v>
      </c>
      <c r="AJ253" s="32">
        <f ca="1">SUMPRODUCT(dFactor,tpSurvAll_Res,tElec3_Res,OFFSET(tPrcElec_Res,0,31,1,_maxLT))</f>
        <v>28.418632099905501</v>
      </c>
      <c r="AK253" s="32">
        <f ca="1">SUMPRODUCT(dFactor,tpSurvAll_Res,tElec3_Res,OFFSET(tPrcElec_Res,0,32,1,_maxLT))</f>
        <v>28.418632099905501</v>
      </c>
      <c r="AL253" s="32">
        <f ca="1">SUMPRODUCT(dFactor,tpSurvAll_Res,tElec3_Res,OFFSET(tPrcElec_Res,0,33,1,_maxLT))</f>
        <v>28.418632099905501</v>
      </c>
      <c r="AM253" s="32">
        <f ca="1">SUMPRODUCT(dFactor,tpSurvAll_Res,tElec3_Res,OFFSET(tPrcElec_Res,0,34,1,_maxLT))</f>
        <v>28.418632099905501</v>
      </c>
      <c r="AN253" s="55">
        <f ca="1">SUMPRODUCT(dFactor,tpSurvAll_Res,tElec3_Res,OFFSET(tPrcElec_Res,0,35,1,_maxLT))</f>
        <v>28.418632099905501</v>
      </c>
      <c r="AO253" s="8"/>
    </row>
    <row r="254" spans="2:41" x14ac:dyDescent="0.35">
      <c r="B254" s="8"/>
      <c r="C254" s="20" t="str">
        <f>INDEX(_Sector,2,2)</f>
        <v>Commercial</v>
      </c>
      <c r="D254" s="11" t="str">
        <f>_yearDol &amp; "$"</f>
        <v>2021$</v>
      </c>
      <c r="E254" s="32">
        <f t="array" aca="1" ref="E254:AN254" ca="1">(tlccEFuElec3_Com) + SUMPRODUCT(dFactor,tpSurvAll_Com,tMnR3_Com)</f>
        <v>290.99406824194745</v>
      </c>
      <c r="F254" s="32">
        <f ca="1"/>
        <v>290.9767549050402</v>
      </c>
      <c r="G254" s="32">
        <f ca="1"/>
        <v>290.98954341746156</v>
      </c>
      <c r="H254" s="32">
        <f ca="1"/>
        <v>291.01882694824275</v>
      </c>
      <c r="I254" s="32">
        <f ca="1"/>
        <v>291.03782683744384</v>
      </c>
      <c r="J254" s="32">
        <f ca="1"/>
        <v>291.03678096912023</v>
      </c>
      <c r="K254" s="32">
        <f ca="1"/>
        <v>291.01037667824841</v>
      </c>
      <c r="L254" s="32">
        <f ca="1"/>
        <v>290.96892999919976</v>
      </c>
      <c r="M254" s="32">
        <f ca="1"/>
        <v>290.88875505980428</v>
      </c>
      <c r="N254" s="32">
        <f ca="1"/>
        <v>290.79130611881197</v>
      </c>
      <c r="O254" s="32">
        <f ca="1"/>
        <v>290.63505288664754</v>
      </c>
      <c r="P254" s="32">
        <f ca="1"/>
        <v>290.43687899157629</v>
      </c>
      <c r="Q254" s="32">
        <f ca="1"/>
        <v>290.26525816946605</v>
      </c>
      <c r="R254" s="32">
        <f ca="1"/>
        <v>290.09561220353748</v>
      </c>
      <c r="S254" s="32">
        <f ca="1"/>
        <v>289.94643349071555</v>
      </c>
      <c r="T254" s="32">
        <f ca="1"/>
        <v>289.82441240399305</v>
      </c>
      <c r="U254" s="32">
        <f ca="1"/>
        <v>289.68003010162391</v>
      </c>
      <c r="V254" s="32">
        <f ca="1"/>
        <v>289.52615323535713</v>
      </c>
      <c r="W254" s="32">
        <f ca="1"/>
        <v>289.39234609929809</v>
      </c>
      <c r="X254" s="32">
        <f ca="1"/>
        <v>289.25109383297672</v>
      </c>
      <c r="Y254" s="32">
        <f ca="1"/>
        <v>289.11062006685273</v>
      </c>
      <c r="Z254" s="32">
        <f ca="1"/>
        <v>289.02023149659459</v>
      </c>
      <c r="AA254" s="32">
        <f ca="1"/>
        <v>288.92305760832761</v>
      </c>
      <c r="AB254" s="32">
        <f ca="1"/>
        <v>288.83322724094688</v>
      </c>
      <c r="AC254" s="32">
        <f ca="1"/>
        <v>288.77102870046042</v>
      </c>
      <c r="AD254" s="32">
        <f ca="1"/>
        <v>288.69890251497191</v>
      </c>
      <c r="AE254" s="32">
        <f ca="1"/>
        <v>288.64249198290406</v>
      </c>
      <c r="AF254" s="32">
        <f ca="1"/>
        <v>288.64249198290406</v>
      </c>
      <c r="AG254" s="32">
        <f ca="1"/>
        <v>288.64249198290406</v>
      </c>
      <c r="AH254" s="32">
        <f ca="1"/>
        <v>288.64249198290406</v>
      </c>
      <c r="AI254" s="32">
        <f ca="1"/>
        <v>288.64249198290406</v>
      </c>
      <c r="AJ254" s="32">
        <f ca="1"/>
        <v>288.64249198290406</v>
      </c>
      <c r="AK254" s="32">
        <f ca="1"/>
        <v>288.64249198290406</v>
      </c>
      <c r="AL254" s="32">
        <f ca="1"/>
        <v>288.64249198290406</v>
      </c>
      <c r="AM254" s="32">
        <f ca="1"/>
        <v>288.64249198290406</v>
      </c>
      <c r="AN254" s="55">
        <f ca="1"/>
        <v>288.64249198290406</v>
      </c>
      <c r="AO254" s="8"/>
    </row>
    <row r="255" spans="2:41" x14ac:dyDescent="0.35">
      <c r="B255" s="8"/>
      <c r="C255" s="50" t="str">
        <f>INDEX(_fuel,1)</f>
        <v>Electricity</v>
      </c>
      <c r="D255" s="11" t="str">
        <f>_yearDol &amp; "$"</f>
        <v>2021$</v>
      </c>
      <c r="E255" s="32">
        <f ca="1">SUMPRODUCT(dFactor,tpSurvAll_Com,tElec3_Com,OFFSET(tPrcElec_Com,0,0,1,_maxLT))</f>
        <v>39.64189695863103</v>
      </c>
      <c r="F255" s="32">
        <f ca="1">SUMPRODUCT(dFactor,tpSurvAll_Com,tElec3_Com,OFFSET(tPrcElec_Com,0,1,1,_maxLT))</f>
        <v>39.624583621723751</v>
      </c>
      <c r="G255" s="32">
        <f ca="1">SUMPRODUCT(dFactor,tpSurvAll_Com,tElec3_Com,OFFSET(tPrcElec_Com,0,2,1,_maxLT))</f>
        <v>39.637372134145131</v>
      </c>
      <c r="H255" s="32">
        <f ca="1">SUMPRODUCT(dFactor,tpSurvAll_Com,tElec3_Com,OFFSET(tPrcElec_Com,0,3,1,_maxLT))</f>
        <v>39.666655664926303</v>
      </c>
      <c r="I255" s="32">
        <f ca="1">SUMPRODUCT(dFactor,tpSurvAll_Com,tElec3_Com,OFFSET(tPrcElec_Com,0,4,1,_maxLT))</f>
        <v>39.685655554127422</v>
      </c>
      <c r="J255" s="32">
        <f ca="1">SUMPRODUCT(dFactor,tpSurvAll_Com,tElec3_Com,OFFSET(tPrcElec_Com,0,5,1,_maxLT))</f>
        <v>39.684609685803771</v>
      </c>
      <c r="K255" s="32">
        <f ca="1">SUMPRODUCT(dFactor,tpSurvAll_Com,tElec3_Com,OFFSET(tPrcElec_Com,0,6,1,_maxLT))</f>
        <v>39.658205394931969</v>
      </c>
      <c r="L255" s="32">
        <f ca="1">SUMPRODUCT(dFactor,tpSurvAll_Com,tElec3_Com,OFFSET(tPrcElec_Com,0,7,1,_maxLT))</f>
        <v>39.616758715883329</v>
      </c>
      <c r="M255" s="32">
        <f ca="1">SUMPRODUCT(dFactor,tpSurvAll_Com,tElec3_Com,OFFSET(tPrcElec_Com,0,8,1,_maxLT))</f>
        <v>39.536583776487845</v>
      </c>
      <c r="N255" s="32">
        <f ca="1">SUMPRODUCT(dFactor,tpSurvAll_Com,tElec3_Com,OFFSET(tPrcElec_Com,0,9,1,_maxLT))</f>
        <v>39.439134835495558</v>
      </c>
      <c r="O255" s="32">
        <f ca="1">SUMPRODUCT(dFactor,tpSurvAll_Com,tElec3_Com,OFFSET(tPrcElec_Com,0,10,1,_maxLT))</f>
        <v>39.282881603331106</v>
      </c>
      <c r="P255" s="32">
        <f ca="1">SUMPRODUCT(dFactor,tpSurvAll_Com,tElec3_Com,OFFSET(tPrcElec_Com,0,11,1,_maxLT))</f>
        <v>39.084707708259856</v>
      </c>
      <c r="Q255" s="32">
        <f ca="1">SUMPRODUCT(dFactor,tpSurvAll_Com,tElec3_Com,OFFSET(tPrcElec_Com,0,12,1,_maxLT))</f>
        <v>38.913086886149621</v>
      </c>
      <c r="R255" s="32">
        <f ca="1">SUMPRODUCT(dFactor,tpSurvAll_Com,tElec3_Com,OFFSET(tPrcElec_Com,0,13,1,_maxLT))</f>
        <v>38.743440920221062</v>
      </c>
      <c r="S255" s="32">
        <f ca="1">SUMPRODUCT(dFactor,tpSurvAll_Com,tElec3_Com,OFFSET(tPrcElec_Com,0,14,1,_maxLT))</f>
        <v>38.594262207399126</v>
      </c>
      <c r="T255" s="32">
        <f ca="1">SUMPRODUCT(dFactor,tpSurvAll_Com,tElec3_Com,OFFSET(tPrcElec_Com,0,15,1,_maxLT))</f>
        <v>38.472241120676607</v>
      </c>
      <c r="U255" s="32">
        <f ca="1">SUMPRODUCT(dFactor,tpSurvAll_Com,tElec3_Com,OFFSET(tPrcElec_Com,0,16,1,_maxLT))</f>
        <v>38.327858818307483</v>
      </c>
      <c r="V255" s="32">
        <f ca="1">SUMPRODUCT(dFactor,tpSurvAll_Com,tElec3_Com,OFFSET(tPrcElec_Com,0,17,1,_maxLT))</f>
        <v>38.173981952040705</v>
      </c>
      <c r="W255" s="32">
        <f ca="1">SUMPRODUCT(dFactor,tpSurvAll_Com,tElec3_Com,OFFSET(tPrcElec_Com,0,18,1,_maxLT))</f>
        <v>38.040174815981636</v>
      </c>
      <c r="X255" s="32">
        <f ca="1">SUMPRODUCT(dFactor,tpSurvAll_Com,tElec3_Com,OFFSET(tPrcElec_Com,0,19,1,_maxLT))</f>
        <v>37.898922549660305</v>
      </c>
      <c r="Y255" s="32">
        <f ca="1">SUMPRODUCT(dFactor,tpSurvAll_Com,tElec3_Com,OFFSET(tPrcElec_Com,0,20,1,_maxLT))</f>
        <v>37.758448783536309</v>
      </c>
      <c r="Z255" s="32">
        <f ca="1">SUMPRODUCT(dFactor,tpSurvAll_Com,tElec3_Com,OFFSET(tPrcElec_Com,0,21,1,_maxLT))</f>
        <v>37.668060213278167</v>
      </c>
      <c r="AA255" s="32">
        <f ca="1">SUMPRODUCT(dFactor,tpSurvAll_Com,tElec3_Com,OFFSET(tPrcElec_Com,0,22,1,_maxLT))</f>
        <v>37.570886325011159</v>
      </c>
      <c r="AB255" s="32">
        <f ca="1">SUMPRODUCT(dFactor,tpSurvAll_Com,tElec3_Com,OFFSET(tPrcElec_Com,0,23,1,_maxLT))</f>
        <v>37.481055957630453</v>
      </c>
      <c r="AC255" s="32">
        <f ca="1">SUMPRODUCT(dFactor,tpSurvAll_Com,tElec3_Com,OFFSET(tPrcElec_Com,0,24,1,_maxLT))</f>
        <v>37.418857417143975</v>
      </c>
      <c r="AD255" s="32">
        <f ca="1">SUMPRODUCT(dFactor,tpSurvAll_Com,tElec3_Com,OFFSET(tPrcElec_Com,0,25,1,_maxLT))</f>
        <v>37.346731231655497</v>
      </c>
      <c r="AE255" s="32">
        <f ca="1">SUMPRODUCT(dFactor,tpSurvAll_Com,tElec3_Com,OFFSET(tPrcElec_Com,0,26,1,_maxLT))</f>
        <v>37.29032069958761</v>
      </c>
      <c r="AF255" s="32">
        <f ca="1">SUMPRODUCT(dFactor,tpSurvAll_Com,tElec3_Com,OFFSET(tPrcElec_Com,0,27,1,_maxLT))</f>
        <v>37.29032069958761</v>
      </c>
      <c r="AG255" s="32">
        <f ca="1">SUMPRODUCT(dFactor,tpSurvAll_Com,tElec3_Com,OFFSET(tPrcElec_Com,0,28,1,_maxLT))</f>
        <v>37.29032069958761</v>
      </c>
      <c r="AH255" s="32">
        <f ca="1">SUMPRODUCT(dFactor,tpSurvAll_Com,tElec3_Com,OFFSET(tPrcElec_Com,0,29,1,_maxLT))</f>
        <v>37.29032069958761</v>
      </c>
      <c r="AI255" s="32">
        <f ca="1">SUMPRODUCT(dFactor,tpSurvAll_Com,tElec3_Com,OFFSET(tPrcElec_Com,0,30,1,_maxLT))</f>
        <v>37.29032069958761</v>
      </c>
      <c r="AJ255" s="32">
        <f ca="1">SUMPRODUCT(dFactor,tpSurvAll_Com,tElec3_Com,OFFSET(tPrcElec_Com,0,31,1,_maxLT))</f>
        <v>37.29032069958761</v>
      </c>
      <c r="AK255" s="32">
        <f ca="1">SUMPRODUCT(dFactor,tpSurvAll_Com,tElec3_Com,OFFSET(tPrcElec_Com,0,32,1,_maxLT))</f>
        <v>37.29032069958761</v>
      </c>
      <c r="AL255" s="32">
        <f ca="1">SUMPRODUCT(dFactor,tpSurvAll_Com,tElec3_Com,OFFSET(tPrcElec_Com,0,33,1,_maxLT))</f>
        <v>37.29032069958761</v>
      </c>
      <c r="AM255" s="32">
        <f ca="1">SUMPRODUCT(dFactor,tpSurvAll_Com,tElec3_Com,OFFSET(tPrcElec_Com,0,34,1,_maxLT))</f>
        <v>37.29032069958761</v>
      </c>
      <c r="AN255" s="55">
        <f ca="1">SUMPRODUCT(dFactor,tpSurvAll_Com,tElec3_Com,OFFSET(tPrcElec_Com,0,35,1,_maxLT))</f>
        <v>37.29032069958761</v>
      </c>
      <c r="AO255" s="8"/>
    </row>
    <row r="256" spans="2:41" x14ac:dyDescent="0.35">
      <c r="B256" s="8"/>
      <c r="C256" s="10" t="s">
        <v>78</v>
      </c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18"/>
      <c r="AO256" s="8"/>
    </row>
    <row r="257" spans="2:41" x14ac:dyDescent="0.35">
      <c r="B257" s="8"/>
      <c r="C257" s="20" t="str">
        <f>INDEX(_Sector,2,1)</f>
        <v>Residential</v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18"/>
      <c r="AO257" s="8"/>
    </row>
    <row r="258" spans="2:41" x14ac:dyDescent="0.35">
      <c r="B258" s="8"/>
      <c r="C258" s="50" t="str">
        <f>INDEX(_fuel,1)</f>
        <v>Electricity</v>
      </c>
      <c r="D258" s="11" t="s">
        <v>80</v>
      </c>
      <c r="E258" s="40">
        <f ca="1">SUMPRODUCT(OFFSET(tConvElec_Res,0,0,1,_maxLT),tElec3_Res,tpSurvAll_Res)</f>
        <v>2.363652597592194</v>
      </c>
      <c r="F258" s="40">
        <f ca="1">SUMPRODUCT(OFFSET(tConvElec_Res,0,1,1,_maxLT),tElec3_Res,tpSurvAll_Res)</f>
        <v>2.3519707674571793</v>
      </c>
      <c r="G258" s="40">
        <f ca="1">SUMPRODUCT(OFFSET(tConvElec_Res,0,2,1,_maxLT),tElec3_Res,tpSurvAll_Res)</f>
        <v>2.3434973485196191</v>
      </c>
      <c r="H258" s="40">
        <f ca="1">SUMPRODUCT(OFFSET(tConvElec_Res,0,3,1,_maxLT),tElec3_Res,tpSurvAll_Res)</f>
        <v>2.3368699749002984</v>
      </c>
      <c r="I258" s="40">
        <f ca="1">SUMPRODUCT(OFFSET(tConvElec_Res,0,4,1,_maxLT),tElec3_Res,tpSurvAll_Res)</f>
        <v>2.3322575769593135</v>
      </c>
      <c r="J258" s="40">
        <f ca="1">SUMPRODUCT(OFFSET(tConvElec_Res,0,5,1,_maxLT),tElec3_Res,tpSurvAll_Res)</f>
        <v>2.3286196430208457</v>
      </c>
      <c r="K258" s="40">
        <f ca="1">SUMPRODUCT(OFFSET(tConvElec_Res,0,6,1,_maxLT),tElec3_Res,tpSurvAll_Res)</f>
        <v>2.3254679100225899</v>
      </c>
      <c r="L258" s="40">
        <f ca="1">SUMPRODUCT(OFFSET(tConvElec_Res,0,7,1,_maxLT),tElec3_Res,tpSurvAll_Res)</f>
        <v>2.3220676156145199</v>
      </c>
      <c r="M258" s="40">
        <f ca="1">SUMPRODUCT(OFFSET(tConvElec_Res,0,8,1,_maxLT),tElec3_Res,tpSurvAll_Res)</f>
        <v>2.3187950697452906</v>
      </c>
      <c r="N258" s="40">
        <f ca="1">SUMPRODUCT(OFFSET(tConvElec_Res,0,9,1,_maxLT),tElec3_Res,tpSurvAll_Res)</f>
        <v>2.3156953652583172</v>
      </c>
      <c r="O258" s="40">
        <f ca="1">SUMPRODUCT(OFFSET(tConvElec_Res,0,10,1,_maxLT),tElec3_Res,tpSurvAll_Res)</f>
        <v>2.3124582938916975</v>
      </c>
      <c r="P258" s="40">
        <f ca="1">SUMPRODUCT(OFFSET(tConvElec_Res,0,11,1,_maxLT),tElec3_Res,tpSurvAll_Res)</f>
        <v>2.3097229686522662</v>
      </c>
      <c r="Q258" s="40">
        <f ca="1">SUMPRODUCT(OFFSET(tConvElec_Res,0,12,1,_maxLT),tElec3_Res,tpSurvAll_Res)</f>
        <v>2.3069168981386667</v>
      </c>
      <c r="R258" s="40">
        <f ca="1">SUMPRODUCT(OFFSET(tConvElec_Res,0,13,1,_maxLT),tElec3_Res,tpSurvAll_Res)</f>
        <v>2.3044710574230209</v>
      </c>
      <c r="S258" s="40">
        <f ca="1">SUMPRODUCT(OFFSET(tConvElec_Res,0,14,1,_maxLT),tElec3_Res,tpSurvAll_Res)</f>
        <v>2.3024107686045681</v>
      </c>
      <c r="T258" s="40">
        <f ca="1">SUMPRODUCT(OFFSET(tConvElec_Res,0,15,1,_maxLT),tElec3_Res,tpSurvAll_Res)</f>
        <v>2.3004925341233355</v>
      </c>
      <c r="U258" s="40">
        <f ca="1">SUMPRODUCT(OFFSET(tConvElec_Res,0,16,1,_maxLT),tElec3_Res,tpSurvAll_Res)</f>
        <v>2.2985211394503704</v>
      </c>
      <c r="V258" s="40">
        <f ca="1">SUMPRODUCT(OFFSET(tConvElec_Res,0,17,1,_maxLT),tElec3_Res,tpSurvAll_Res)</f>
        <v>2.2967555748880084</v>
      </c>
      <c r="W258" s="40">
        <f ca="1">SUMPRODUCT(OFFSET(tConvElec_Res,0,18,1,_maxLT),tElec3_Res,tpSurvAll_Res)</f>
        <v>2.2953114456452051</v>
      </c>
      <c r="X258" s="40">
        <f ca="1">SUMPRODUCT(OFFSET(tConvElec_Res,0,19,1,_maxLT),tElec3_Res,tpSurvAll_Res)</f>
        <v>2.2940903442269063</v>
      </c>
      <c r="Y258" s="40">
        <f ca="1">SUMPRODUCT(OFFSET(tConvElec_Res,0,20,1,_maxLT),tElec3_Res,tpSurvAll_Res)</f>
        <v>2.293108085441605</v>
      </c>
      <c r="Z258" s="40">
        <f ca="1">SUMPRODUCT(OFFSET(tConvElec_Res,0,21,1,_maxLT),tElec3_Res,tpSurvAll_Res)</f>
        <v>2.292727254481266</v>
      </c>
      <c r="AA258" s="40">
        <f ca="1">SUMPRODUCT(OFFSET(tConvElec_Res,0,22,1,_maxLT),tElec3_Res,tpSurvAll_Res)</f>
        <v>2.2927170634642611</v>
      </c>
      <c r="AB258" s="40">
        <f ca="1">SUMPRODUCT(OFFSET(tConvElec_Res,0,23,1,_maxLT),tElec3_Res,tpSurvAll_Res)</f>
        <v>2.2928218682741046</v>
      </c>
      <c r="AC258" s="40">
        <f ca="1">SUMPRODUCT(OFFSET(tConvElec_Res,0,24,1,_maxLT),tElec3_Res,tpSurvAll_Res)</f>
        <v>2.2930462926837651</v>
      </c>
      <c r="AD258" s="40">
        <f ca="1">SUMPRODUCT(OFFSET(tConvElec_Res,0,25,1,_maxLT),tElec3_Res,tpSurvAll_Res)</f>
        <v>2.2932346676655597</v>
      </c>
      <c r="AE258" s="40">
        <f ca="1">SUMPRODUCT(OFFSET(tConvElec_Res,0,26,1,_maxLT),tElec3_Res,tpSurvAll_Res)</f>
        <v>2.2932791263994718</v>
      </c>
      <c r="AF258" s="40">
        <f ca="1">SUMPRODUCT(OFFSET(tConvElec_Res,0,27,1,_maxLT),tElec3_Res,tpSurvAll_Res)</f>
        <v>2.2932791263994718</v>
      </c>
      <c r="AG258" s="40">
        <f ca="1">SUMPRODUCT(OFFSET(tConvElec_Res,0,28,1,_maxLT),tElec3_Res,tpSurvAll_Res)</f>
        <v>2.2932791263994718</v>
      </c>
      <c r="AH258" s="40">
        <f ca="1">SUMPRODUCT(OFFSET(tConvElec_Res,0,29,1,_maxLT),tElec3_Res,tpSurvAll_Res)</f>
        <v>2.2932791263994718</v>
      </c>
      <c r="AI258" s="40">
        <f ca="1">SUMPRODUCT(OFFSET(tConvElec_Res,0,30,1,_maxLT),tElec3_Res,tpSurvAll_Res)</f>
        <v>2.2932791263994718</v>
      </c>
      <c r="AJ258" s="40">
        <f ca="1">SUMPRODUCT(OFFSET(tConvElec_Res,0,31,1,_maxLT),tElec3_Res,tpSurvAll_Res)</f>
        <v>2.2932791263994718</v>
      </c>
      <c r="AK258" s="40">
        <f ca="1">SUMPRODUCT(OFFSET(tConvElec_Res,0,32,1,_maxLT),tElec3_Res,tpSurvAll_Res)</f>
        <v>2.2932791263994718</v>
      </c>
      <c r="AL258" s="40">
        <f ca="1">SUMPRODUCT(OFFSET(tConvElec_Res,0,33,1,_maxLT),tElec3_Res,tpSurvAll_Res)</f>
        <v>2.2932791263994718</v>
      </c>
      <c r="AM258" s="40">
        <f ca="1">SUMPRODUCT(OFFSET(tConvElec_Res,0,34,1,_maxLT),tElec3_Res,tpSurvAll_Res)</f>
        <v>2.2932791263994718</v>
      </c>
      <c r="AN258" s="41">
        <f ca="1">SUMPRODUCT(OFFSET(tConvElec_Res,0,35,1,_maxLT),tElec3_Res,tpSurvAll_Res)</f>
        <v>2.2932791263994718</v>
      </c>
      <c r="AO258" s="8"/>
    </row>
    <row r="259" spans="2:41" x14ac:dyDescent="0.35">
      <c r="B259" s="8"/>
      <c r="C259" s="20" t="str">
        <f>INDEX(_Sector,2,2)</f>
        <v>Commercial</v>
      </c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18"/>
      <c r="AO259" s="8"/>
    </row>
    <row r="260" spans="2:41" x14ac:dyDescent="0.35">
      <c r="B260" s="8"/>
      <c r="C260" s="50" t="str">
        <f>INDEX(_fuel,1)</f>
        <v>Electricity</v>
      </c>
      <c r="D260" s="11" t="s">
        <v>80</v>
      </c>
      <c r="E260" s="40">
        <f ca="1">SUMPRODUCT(OFFSET(tConvElec_Com,0,0,1,_maxLT),tElec3_Com,tpSurvAll_Com)</f>
        <v>4.6430420064411244</v>
      </c>
      <c r="F260" s="40">
        <f ca="1">SUMPRODUCT(OFFSET(tConvElec_Com,0,1,1,_maxLT),tElec3_Com,tpSurvAll_Com)</f>
        <v>4.6192106171030609</v>
      </c>
      <c r="G260" s="40">
        <f ca="1">SUMPRODUCT(OFFSET(tConvElec_Com,0,2,1,_maxLT),tElec3_Com,tpSurvAll_Com)</f>
        <v>4.6021681200255902</v>
      </c>
      <c r="H260" s="40">
        <f ca="1">SUMPRODUCT(OFFSET(tConvElec_Com,0,3,1,_maxLT),tElec3_Com,tpSurvAll_Com)</f>
        <v>4.5890667231550069</v>
      </c>
      <c r="I260" s="40">
        <f ca="1">SUMPRODUCT(OFFSET(tConvElec_Com,0,4,1,_maxLT),tElec3_Com,tpSurvAll_Com)</f>
        <v>4.5803289112316525</v>
      </c>
      <c r="J260" s="40">
        <f ca="1">SUMPRODUCT(OFFSET(tConvElec_Com,0,5,1,_maxLT),tElec3_Com,tpSurvAll_Com)</f>
        <v>4.5736844597450723</v>
      </c>
      <c r="K260" s="40">
        <f ca="1">SUMPRODUCT(OFFSET(tConvElec_Com,0,6,1,_maxLT),tElec3_Com,tpSurvAll_Com)</f>
        <v>4.5680139355708587</v>
      </c>
      <c r="L260" s="40">
        <f ca="1">SUMPRODUCT(OFFSET(tConvElec_Com,0,7,1,_maxLT),tElec3_Com,tpSurvAll_Com)</f>
        <v>4.5619414775084728</v>
      </c>
      <c r="M260" s="40">
        <f ca="1">SUMPRODUCT(OFFSET(tConvElec_Com,0,8,1,_maxLT),tElec3_Com,tpSurvAll_Com)</f>
        <v>4.5562031050069516</v>
      </c>
      <c r="N260" s="40">
        <f ca="1">SUMPRODUCT(OFFSET(tConvElec_Com,0,9,1,_maxLT),tElec3_Com,tpSurvAll_Com)</f>
        <v>4.5507947100311901</v>
      </c>
      <c r="O260" s="40">
        <f ca="1">SUMPRODUCT(OFFSET(tConvElec_Com,0,10,1,_maxLT),tElec3_Com,tpSurvAll_Com)</f>
        <v>4.5452039827800554</v>
      </c>
      <c r="P260" s="40">
        <f ca="1">SUMPRODUCT(OFFSET(tConvElec_Com,0,11,1,_maxLT),tElec3_Com,tpSurvAll_Com)</f>
        <v>4.5404079745526778</v>
      </c>
      <c r="Q260" s="40">
        <f ca="1">SUMPRODUCT(OFFSET(tConvElec_Com,0,12,1,_maxLT),tElec3_Com,tpSurvAll_Com)</f>
        <v>4.5354124575004935</v>
      </c>
      <c r="R260" s="40">
        <f ca="1">SUMPRODUCT(OFFSET(tConvElec_Com,0,13,1,_maxLT),tElec3_Com,tpSurvAll_Com)</f>
        <v>4.5310568187145295</v>
      </c>
      <c r="S260" s="40">
        <f ca="1">SUMPRODUCT(OFFSET(tConvElec_Com,0,14,1,_maxLT),tElec3_Com,tpSurvAll_Com)</f>
        <v>4.5274388270716184</v>
      </c>
      <c r="T260" s="40">
        <f ca="1">SUMPRODUCT(OFFSET(tConvElec_Com,0,15,1,_maxLT),tElec3_Com,tpSurvAll_Com)</f>
        <v>4.5241228962013613</v>
      </c>
      <c r="U260" s="40">
        <f ca="1">SUMPRODUCT(OFFSET(tConvElec_Com,0,16,1,_maxLT),tElec3_Com,tpSurvAll_Com)</f>
        <v>4.5207057271140014</v>
      </c>
      <c r="V260" s="40">
        <f ca="1">SUMPRODUCT(OFFSET(tConvElec_Com,0,17,1,_maxLT),tElec3_Com,tpSurvAll_Com)</f>
        <v>4.5176298983258114</v>
      </c>
      <c r="W260" s="40">
        <f ca="1">SUMPRODUCT(OFFSET(tConvElec_Com,0,18,1,_maxLT),tElec3_Com,tpSurvAll_Com)</f>
        <v>4.5151444742336713</v>
      </c>
      <c r="X260" s="40">
        <f ca="1">SUMPRODUCT(OFFSET(tConvElec_Com,0,19,1,_maxLT),tElec3_Com,tpSurvAll_Com)</f>
        <v>4.5130667425908442</v>
      </c>
      <c r="Y260" s="40">
        <f ca="1">SUMPRODUCT(OFFSET(tConvElec_Com,0,20,1,_maxLT),tElec3_Com,tpSurvAll_Com)</f>
        <v>4.5114010359360392</v>
      </c>
      <c r="Z260" s="40">
        <f ca="1">SUMPRODUCT(OFFSET(tConvElec_Com,0,21,1,_maxLT),tElec3_Com,tpSurvAll_Com)</f>
        <v>4.5108454154076281</v>
      </c>
      <c r="AA260" s="40">
        <f ca="1">SUMPRODUCT(OFFSET(tConvElec_Com,0,22,1,_maxLT),tElec3_Com,tpSurvAll_Com)</f>
        <v>4.5109620425841408</v>
      </c>
      <c r="AB260" s="40">
        <f ca="1">SUMPRODUCT(OFFSET(tConvElec_Com,0,23,1,_maxLT),tElec3_Com,tpSurvAll_Com)</f>
        <v>4.5112769778450401</v>
      </c>
      <c r="AC260" s="40">
        <f ca="1">SUMPRODUCT(OFFSET(tConvElec_Com,0,24,1,_maxLT),tElec3_Com,tpSurvAll_Com)</f>
        <v>4.5117761694586589</v>
      </c>
      <c r="AD260" s="40">
        <f ca="1">SUMPRODUCT(OFFSET(tConvElec_Com,0,25,1,_maxLT),tElec3_Com,tpSurvAll_Com)</f>
        <v>4.5121754001058543</v>
      </c>
      <c r="AE260" s="40">
        <f ca="1">SUMPRODUCT(OFFSET(tConvElec_Com,0,26,1,_maxLT),tElec3_Com,tpSurvAll_Com)</f>
        <v>4.5122793973747877</v>
      </c>
      <c r="AF260" s="40">
        <f ca="1">SUMPRODUCT(OFFSET(tConvElec_Com,0,27,1,_maxLT),tElec3_Com,tpSurvAll_Com)</f>
        <v>4.5122793973747877</v>
      </c>
      <c r="AG260" s="40">
        <f ca="1">SUMPRODUCT(OFFSET(tConvElec_Com,0,28,1,_maxLT),tElec3_Com,tpSurvAll_Com)</f>
        <v>4.5122793973747877</v>
      </c>
      <c r="AH260" s="40">
        <f ca="1">SUMPRODUCT(OFFSET(tConvElec_Com,0,29,1,_maxLT),tElec3_Com,tpSurvAll_Com)</f>
        <v>4.5122793973747877</v>
      </c>
      <c r="AI260" s="40">
        <f ca="1">SUMPRODUCT(OFFSET(tConvElec_Com,0,30,1,_maxLT),tElec3_Com,tpSurvAll_Com)</f>
        <v>4.5122793973747877</v>
      </c>
      <c r="AJ260" s="40">
        <f ca="1">SUMPRODUCT(OFFSET(tConvElec_Com,0,31,1,_maxLT),tElec3_Com,tpSurvAll_Com)</f>
        <v>4.5122793973747877</v>
      </c>
      <c r="AK260" s="40">
        <f ca="1">SUMPRODUCT(OFFSET(tConvElec_Com,0,32,1,_maxLT),tElec3_Com,tpSurvAll_Com)</f>
        <v>4.5122793973747877</v>
      </c>
      <c r="AL260" s="40">
        <f ca="1">SUMPRODUCT(OFFSET(tConvElec_Com,0,33,1,_maxLT),tElec3_Com,tpSurvAll_Com)</f>
        <v>4.5122793973747877</v>
      </c>
      <c r="AM260" s="40">
        <f ca="1">SUMPRODUCT(OFFSET(tConvElec_Com,0,34,1,_maxLT),tElec3_Com,tpSurvAll_Com)</f>
        <v>4.5122793973747877</v>
      </c>
      <c r="AN260" s="41">
        <f ca="1">SUMPRODUCT(OFFSET(tConvElec_Com,0,35,1,_maxLT),tElec3_Com,tpSurvAll_Com)</f>
        <v>4.5122793973747877</v>
      </c>
      <c r="AO260" s="8"/>
    </row>
    <row r="261" spans="2:41" x14ac:dyDescent="0.35">
      <c r="B261" s="8"/>
      <c r="C261" s="57" t="str">
        <f>"EL 4: " &amp; INDEX(_doName,2,5)</f>
        <v>EL 4: EL 4</v>
      </c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8"/>
      <c r="AO261" s="8"/>
    </row>
    <row r="262" spans="2:41" x14ac:dyDescent="0.35">
      <c r="B262" s="8"/>
      <c r="C262" s="10" t="s">
        <v>70</v>
      </c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18"/>
      <c r="AO262" s="8"/>
    </row>
    <row r="263" spans="2:41" x14ac:dyDescent="0.35">
      <c r="B263" s="8"/>
      <c r="C263" s="20" t="str">
        <f>INDEX(_Sector,2,1)</f>
        <v>Residential</v>
      </c>
      <c r="D263" s="11" t="str">
        <f>_yearDol &amp; "$"</f>
        <v>2021$</v>
      </c>
      <c r="E263" s="32">
        <f t="array" ref="E263:AN263">tMSP4_Res*tPIdxmed4 + tInst4</f>
        <v>113.57176376581597</v>
      </c>
      <c r="F263" s="32">
        <v>112.80879084676513</v>
      </c>
      <c r="G263" s="32">
        <v>112.08057215838249</v>
      </c>
      <c r="H263" s="32">
        <v>111.38142023520284</v>
      </c>
      <c r="I263" s="32">
        <v>110.70725690698275</v>
      </c>
      <c r="J263" s="32">
        <v>110.05533399828361</v>
      </c>
      <c r="K263" s="32">
        <v>109.42375477729746</v>
      </c>
      <c r="L263" s="32">
        <v>108.81112733088887</v>
      </c>
      <c r="M263" s="32">
        <v>108.21624267954445</v>
      </c>
      <c r="N263" s="32">
        <v>107.63792072842803</v>
      </c>
      <c r="O263" s="32">
        <v>107.07497362200317</v>
      </c>
      <c r="P263" s="32">
        <v>106.5262114262993</v>
      </c>
      <c r="Q263" s="32">
        <v>105.99049607925284</v>
      </c>
      <c r="R263" s="32">
        <v>105.46679782562647</v>
      </c>
      <c r="S263" s="32">
        <v>104.95417853816355</v>
      </c>
      <c r="T263" s="32">
        <v>104.45190604708405</v>
      </c>
      <c r="U263" s="32">
        <v>103.95930205920183</v>
      </c>
      <c r="V263" s="32">
        <v>103.47577705870225</v>
      </c>
      <c r="W263" s="32">
        <v>103.0008056031741</v>
      </c>
      <c r="X263" s="32">
        <v>102.53390752249592</v>
      </c>
      <c r="Y263" s="32">
        <v>102.07463850506988</v>
      </c>
      <c r="Z263" s="32">
        <v>101.62258248758754</v>
      </c>
      <c r="AA263" s="32">
        <v>101.17735184561192</v>
      </c>
      <c r="AB263" s="32">
        <v>100.73858729335142</v>
      </c>
      <c r="AC263" s="32">
        <v>100.30595757450622</v>
      </c>
      <c r="AD263" s="32">
        <v>99.87915834673889</v>
      </c>
      <c r="AE263" s="32">
        <v>99.457910080929139</v>
      </c>
      <c r="AF263" s="32">
        <v>99.041955446860257</v>
      </c>
      <c r="AG263" s="32">
        <v>98.631056609855406</v>
      </c>
      <c r="AH263" s="32">
        <v>98.224992778365305</v>
      </c>
      <c r="AI263" s="32">
        <v>97.823558225878031</v>
      </c>
      <c r="AJ263" s="32">
        <v>97.426560782858061</v>
      </c>
      <c r="AK263" s="32">
        <v>97.03382066582617</v>
      </c>
      <c r="AL263" s="32">
        <v>96.645169669316189</v>
      </c>
      <c r="AM263" s="32">
        <v>96.260450270205496</v>
      </c>
      <c r="AN263" s="55">
        <v>95.879514973282539</v>
      </c>
      <c r="AO263" s="8"/>
    </row>
    <row r="264" spans="2:41" x14ac:dyDescent="0.35">
      <c r="B264" s="8"/>
      <c r="C264" s="20" t="str">
        <f>INDEX(_Sector,2,2)</f>
        <v>Commercial</v>
      </c>
      <c r="D264" s="11" t="str">
        <f>_yearDol &amp; "$"</f>
        <v>2021$</v>
      </c>
      <c r="E264" s="32">
        <f t="array" ref="E264:AN264">tMSP4_Com*tPIdxmed4 + tInst4</f>
        <v>110.27178938147506</v>
      </c>
      <c r="F264" s="32">
        <v>109.53098562670704</v>
      </c>
      <c r="G264" s="32">
        <v>108.82392627351635</v>
      </c>
      <c r="H264" s="32">
        <v>108.14508911309774</v>
      </c>
      <c r="I264" s="32">
        <v>107.49051447171512</v>
      </c>
      <c r="J264" s="32">
        <v>106.8575340257192</v>
      </c>
      <c r="K264" s="32">
        <v>106.24430615529614</v>
      </c>
      <c r="L264" s="32">
        <v>105.64947939114569</v>
      </c>
      <c r="M264" s="32">
        <v>105.07187988221681</v>
      </c>
      <c r="N264" s="32">
        <v>104.51036182285398</v>
      </c>
      <c r="O264" s="32">
        <v>103.96377187219868</v>
      </c>
      <c r="P264" s="32">
        <v>103.4309546713498</v>
      </c>
      <c r="Q264" s="32">
        <v>102.9108052261079</v>
      </c>
      <c r="R264" s="32">
        <v>102.40232370210506</v>
      </c>
      <c r="S264" s="32">
        <v>101.90459923058455</v>
      </c>
      <c r="T264" s="32">
        <v>101.41692091590562</v>
      </c>
      <c r="U264" s="32">
        <v>100.9386301735673</v>
      </c>
      <c r="V264" s="32">
        <v>100.46915461689892</v>
      </c>
      <c r="W264" s="32">
        <v>100.00798407089762</v>
      </c>
      <c r="X264" s="32">
        <v>99.554652317405413</v>
      </c>
      <c r="Y264" s="32">
        <v>99.108727954872222</v>
      </c>
      <c r="Z264" s="32">
        <v>98.669807009246782</v>
      </c>
      <c r="AA264" s="32">
        <v>98.237513119021131</v>
      </c>
      <c r="AB264" s="32">
        <v>97.811497437916671</v>
      </c>
      <c r="AC264" s="32">
        <v>97.391438334713584</v>
      </c>
      <c r="AD264" s="32">
        <v>96.977040310134313</v>
      </c>
      <c r="AE264" s="32">
        <v>96.56803195713853</v>
      </c>
      <c r="AF264" s="32">
        <v>96.164163422571505</v>
      </c>
      <c r="AG264" s="32">
        <v>95.765203782350355</v>
      </c>
      <c r="AH264" s="32">
        <v>95.370938660309605</v>
      </c>
      <c r="AI264" s="32">
        <v>94.981168307587069</v>
      </c>
      <c r="AJ264" s="32">
        <v>94.595706138381416</v>
      </c>
      <c r="AK264" s="32">
        <v>94.214377593054806</v>
      </c>
      <c r="AL264" s="32">
        <v>93.837019353568266</v>
      </c>
      <c r="AM264" s="32">
        <v>93.463478473837114</v>
      </c>
      <c r="AN264" s="55">
        <v>93.09361174431379</v>
      </c>
      <c r="AO264" s="8"/>
    </row>
    <row r="265" spans="2:41" x14ac:dyDescent="0.35">
      <c r="B265" s="8"/>
      <c r="C265" s="10" t="str">
        <f>zEO&amp;" Costs"</f>
        <v>Operating Costs</v>
      </c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18"/>
      <c r="AO265" s="8"/>
    </row>
    <row r="266" spans="2:41" x14ac:dyDescent="0.35">
      <c r="B266" s="8"/>
      <c r="C266" s="20" t="str">
        <f>INDEX(_Sector,2,1)</f>
        <v>Residential</v>
      </c>
      <c r="D266" s="11" t="str">
        <f>_yearDol &amp; "$"</f>
        <v>2021$</v>
      </c>
      <c r="E266" s="32">
        <f t="array" aca="1" ref="E266:AN266" ca="1">(tlccEFuElec4_Res) + SUMPRODUCT(dFactor,tpSurvAll_Com,tMnR4_Res)</f>
        <v>182.56367632151341</v>
      </c>
      <c r="F266" s="32">
        <f ca="1"/>
        <v>182.58609959281014</v>
      </c>
      <c r="G266" s="32">
        <f ca="1"/>
        <v>182.62135394364026</v>
      </c>
      <c r="H266" s="32">
        <f ca="1"/>
        <v>182.66221736066936</v>
      </c>
      <c r="I266" s="32">
        <f ca="1"/>
        <v>182.70054521556492</v>
      </c>
      <c r="J266" s="32">
        <f ca="1"/>
        <v>182.73269591429454</v>
      </c>
      <c r="K266" s="32">
        <f ca="1"/>
        <v>182.75762203790524</v>
      </c>
      <c r="L266" s="32">
        <f ca="1"/>
        <v>182.77746551224647</v>
      </c>
      <c r="M266" s="32">
        <f ca="1"/>
        <v>182.78766264413221</v>
      </c>
      <c r="N266" s="32">
        <f ca="1"/>
        <v>182.78952410673398</v>
      </c>
      <c r="O266" s="32">
        <f ca="1"/>
        <v>182.77624454175864</v>
      </c>
      <c r="P266" s="32">
        <f ca="1"/>
        <v>182.75047901549092</v>
      </c>
      <c r="Q266" s="32">
        <f ca="1"/>
        <v>182.72997739160775</v>
      </c>
      <c r="R266" s="32">
        <f ca="1"/>
        <v>182.70868278737757</v>
      </c>
      <c r="S266" s="32">
        <f ca="1"/>
        <v>182.69244219970957</v>
      </c>
      <c r="T266" s="32">
        <f ca="1"/>
        <v>182.68169827716449</v>
      </c>
      <c r="U266" s="32">
        <f ca="1"/>
        <v>182.66651826581938</v>
      </c>
      <c r="V266" s="32">
        <f ca="1"/>
        <v>182.64782988126925</v>
      </c>
      <c r="W266" s="32">
        <f ca="1"/>
        <v>182.63123747634535</v>
      </c>
      <c r="X266" s="32">
        <f ca="1"/>
        <v>182.61083156377217</v>
      </c>
      <c r="Y266" s="32">
        <f ca="1"/>
        <v>182.59103531347219</v>
      </c>
      <c r="Z266" s="32">
        <f ca="1"/>
        <v>182.5802693463381</v>
      </c>
      <c r="AA266" s="32">
        <f ca="1"/>
        <v>182.56613570315744</v>
      </c>
      <c r="AB266" s="32">
        <f ca="1"/>
        <v>182.55242267219489</v>
      </c>
      <c r="AC266" s="32">
        <f ca="1"/>
        <v>182.54121714909289</v>
      </c>
      <c r="AD266" s="32">
        <f ca="1"/>
        <v>182.52596832851231</v>
      </c>
      <c r="AE266" s="32">
        <f ca="1"/>
        <v>182.51367015459434</v>
      </c>
      <c r="AF266" s="32">
        <f ca="1"/>
        <v>182.51367015459434</v>
      </c>
      <c r="AG266" s="32">
        <f ca="1"/>
        <v>182.51367015459434</v>
      </c>
      <c r="AH266" s="32">
        <f ca="1"/>
        <v>182.51367015459434</v>
      </c>
      <c r="AI266" s="32">
        <f ca="1"/>
        <v>182.51367015459434</v>
      </c>
      <c r="AJ266" s="32">
        <f ca="1"/>
        <v>182.51367015459434</v>
      </c>
      <c r="AK266" s="32">
        <f ca="1"/>
        <v>182.51367015459434</v>
      </c>
      <c r="AL266" s="32">
        <f ca="1"/>
        <v>182.51367015459434</v>
      </c>
      <c r="AM266" s="32">
        <f ca="1"/>
        <v>182.51367015459434</v>
      </c>
      <c r="AN266" s="55">
        <f ca="1"/>
        <v>182.51367015459434</v>
      </c>
      <c r="AO266" s="8"/>
    </row>
    <row r="267" spans="2:41" x14ac:dyDescent="0.35">
      <c r="B267" s="8"/>
      <c r="C267" s="50" t="str">
        <f>INDEX(_fuel,1)</f>
        <v>Electricity</v>
      </c>
      <c r="D267" s="11" t="str">
        <f>_yearDol &amp; "$"</f>
        <v>2021$</v>
      </c>
      <c r="E267" s="32">
        <f ca="1">SUMPRODUCT(dFactor,tpSurvAll_Res,tElec4_Res,OFFSET(tPrcElec_Res,0,0,1,_maxLT))</f>
        <v>11.892561068547813</v>
      </c>
      <c r="F267" s="32">
        <f ca="1">SUMPRODUCT(dFactor,tpSurvAll_Res,tElec4_Res,OFFSET(tPrcElec_Res,0,1,1,_maxLT))</f>
        <v>11.914984339844551</v>
      </c>
      <c r="G267" s="32">
        <f ca="1">SUMPRODUCT(dFactor,tpSurvAll_Res,tElec4_Res,OFFSET(tPrcElec_Res,0,2,1,_maxLT))</f>
        <v>11.950238690674666</v>
      </c>
      <c r="H267" s="32">
        <f ca="1">SUMPRODUCT(dFactor,tpSurvAll_Res,tElec4_Res,OFFSET(tPrcElec_Res,0,3,1,_maxLT))</f>
        <v>11.991102107703778</v>
      </c>
      <c r="I267" s="32">
        <f ca="1">SUMPRODUCT(dFactor,tpSurvAll_Res,tElec4_Res,OFFSET(tPrcElec_Res,0,4,1,_maxLT))</f>
        <v>12.029429962599327</v>
      </c>
      <c r="J267" s="32">
        <f ca="1">SUMPRODUCT(dFactor,tpSurvAll_Res,tElec4_Res,OFFSET(tPrcElec_Res,0,5,1,_maxLT))</f>
        <v>12.061580661328945</v>
      </c>
      <c r="K267" s="32">
        <f ca="1">SUMPRODUCT(dFactor,tpSurvAll_Res,tElec4_Res,OFFSET(tPrcElec_Res,0,6,1,_maxLT))</f>
        <v>12.086506784939646</v>
      </c>
      <c r="L267" s="32">
        <f ca="1">SUMPRODUCT(dFactor,tpSurvAll_Res,tElec4_Res,OFFSET(tPrcElec_Res,0,7,1,_maxLT))</f>
        <v>12.106350259280864</v>
      </c>
      <c r="M267" s="32">
        <f ca="1">SUMPRODUCT(dFactor,tpSurvAll_Res,tElec4_Res,OFFSET(tPrcElec_Res,0,8,1,_maxLT))</f>
        <v>12.116547391166632</v>
      </c>
      <c r="N267" s="32">
        <f ca="1">SUMPRODUCT(dFactor,tpSurvAll_Res,tElec4_Res,OFFSET(tPrcElec_Res,0,9,1,_maxLT))</f>
        <v>12.118408853768385</v>
      </c>
      <c r="O267" s="32">
        <f ca="1">SUMPRODUCT(dFactor,tpSurvAll_Res,tElec4_Res,OFFSET(tPrcElec_Res,0,10,1,_maxLT))</f>
        <v>12.105129288793041</v>
      </c>
      <c r="P267" s="32">
        <f ca="1">SUMPRODUCT(dFactor,tpSurvAll_Res,tElec4_Res,OFFSET(tPrcElec_Res,0,11,1,_maxLT))</f>
        <v>12.079363762525331</v>
      </c>
      <c r="Q267" s="32">
        <f ca="1">SUMPRODUCT(dFactor,tpSurvAll_Res,tElec4_Res,OFFSET(tPrcElec_Res,0,12,1,_maxLT))</f>
        <v>12.058862138642141</v>
      </c>
      <c r="R267" s="32">
        <f ca="1">SUMPRODUCT(dFactor,tpSurvAll_Res,tElec4_Res,OFFSET(tPrcElec_Res,0,13,1,_maxLT))</f>
        <v>12.037567534411979</v>
      </c>
      <c r="S267" s="32">
        <f ca="1">SUMPRODUCT(dFactor,tpSurvAll_Res,tElec4_Res,OFFSET(tPrcElec_Res,0,14,1,_maxLT))</f>
        <v>12.021326946743979</v>
      </c>
      <c r="T267" s="32">
        <f ca="1">SUMPRODUCT(dFactor,tpSurvAll_Res,tElec4_Res,OFFSET(tPrcElec_Res,0,15,1,_maxLT))</f>
        <v>12.010583024198905</v>
      </c>
      <c r="U267" s="32">
        <f ca="1">SUMPRODUCT(dFactor,tpSurvAll_Res,tElec4_Res,OFFSET(tPrcElec_Res,0,16,1,_maxLT))</f>
        <v>11.995403012853778</v>
      </c>
      <c r="V267" s="32">
        <f ca="1">SUMPRODUCT(dFactor,tpSurvAll_Res,tElec4_Res,OFFSET(tPrcElec_Res,0,17,1,_maxLT))</f>
        <v>11.976714628303645</v>
      </c>
      <c r="W267" s="32">
        <f ca="1">SUMPRODUCT(dFactor,tpSurvAll_Res,tElec4_Res,OFFSET(tPrcElec_Res,0,18,1,_maxLT))</f>
        <v>11.960122223379747</v>
      </c>
      <c r="X267" s="32">
        <f ca="1">SUMPRODUCT(dFactor,tpSurvAll_Res,tElec4_Res,OFFSET(tPrcElec_Res,0,19,1,_maxLT))</f>
        <v>11.939716310806562</v>
      </c>
      <c r="Y267" s="32">
        <f ca="1">SUMPRODUCT(dFactor,tpSurvAll_Res,tElec4_Res,OFFSET(tPrcElec_Res,0,20,1,_maxLT))</f>
        <v>11.919920060506611</v>
      </c>
      <c r="Z267" s="32">
        <f ca="1">SUMPRODUCT(dFactor,tpSurvAll_Res,tElec4_Res,OFFSET(tPrcElec_Res,0,21,1,_maxLT))</f>
        <v>11.909154093372516</v>
      </c>
      <c r="AA267" s="32">
        <f ca="1">SUMPRODUCT(dFactor,tpSurvAll_Res,tElec4_Res,OFFSET(tPrcElec_Res,0,22,1,_maxLT))</f>
        <v>11.895020450191842</v>
      </c>
      <c r="AB267" s="32">
        <f ca="1">SUMPRODUCT(dFactor,tpSurvAll_Res,tElec4_Res,OFFSET(tPrcElec_Res,0,23,1,_maxLT))</f>
        <v>11.881307419229296</v>
      </c>
      <c r="AC267" s="32">
        <f ca="1">SUMPRODUCT(dFactor,tpSurvAll_Res,tElec4_Res,OFFSET(tPrcElec_Res,0,24,1,_maxLT))</f>
        <v>11.870101896127291</v>
      </c>
      <c r="AD267" s="32">
        <f ca="1">SUMPRODUCT(dFactor,tpSurvAll_Res,tElec4_Res,OFFSET(tPrcElec_Res,0,25,1,_maxLT))</f>
        <v>11.854853075546727</v>
      </c>
      <c r="AE267" s="32">
        <f ca="1">SUMPRODUCT(dFactor,tpSurvAll_Res,tElec4_Res,OFFSET(tPrcElec_Res,0,26,1,_maxLT))</f>
        <v>11.842554901628732</v>
      </c>
      <c r="AF267" s="32">
        <f ca="1">SUMPRODUCT(dFactor,tpSurvAll_Res,tElec4_Res,OFFSET(tPrcElec_Res,0,27,1,_maxLT))</f>
        <v>11.842554901628732</v>
      </c>
      <c r="AG267" s="32">
        <f ca="1">SUMPRODUCT(dFactor,tpSurvAll_Res,tElec4_Res,OFFSET(tPrcElec_Res,0,28,1,_maxLT))</f>
        <v>11.842554901628732</v>
      </c>
      <c r="AH267" s="32">
        <f ca="1">SUMPRODUCT(dFactor,tpSurvAll_Res,tElec4_Res,OFFSET(tPrcElec_Res,0,29,1,_maxLT))</f>
        <v>11.842554901628732</v>
      </c>
      <c r="AI267" s="32">
        <f ca="1">SUMPRODUCT(dFactor,tpSurvAll_Res,tElec4_Res,OFFSET(tPrcElec_Res,0,30,1,_maxLT))</f>
        <v>11.842554901628732</v>
      </c>
      <c r="AJ267" s="32">
        <f ca="1">SUMPRODUCT(dFactor,tpSurvAll_Res,tElec4_Res,OFFSET(tPrcElec_Res,0,31,1,_maxLT))</f>
        <v>11.842554901628732</v>
      </c>
      <c r="AK267" s="32">
        <f ca="1">SUMPRODUCT(dFactor,tpSurvAll_Res,tElec4_Res,OFFSET(tPrcElec_Res,0,32,1,_maxLT))</f>
        <v>11.842554901628732</v>
      </c>
      <c r="AL267" s="32">
        <f ca="1">SUMPRODUCT(dFactor,tpSurvAll_Res,tElec4_Res,OFFSET(tPrcElec_Res,0,33,1,_maxLT))</f>
        <v>11.842554901628732</v>
      </c>
      <c r="AM267" s="32">
        <f ca="1">SUMPRODUCT(dFactor,tpSurvAll_Res,tElec4_Res,OFFSET(tPrcElec_Res,0,34,1,_maxLT))</f>
        <v>11.842554901628732</v>
      </c>
      <c r="AN267" s="55">
        <f ca="1">SUMPRODUCT(dFactor,tpSurvAll_Res,tElec4_Res,OFFSET(tPrcElec_Res,0,35,1,_maxLT))</f>
        <v>11.842554901628732</v>
      </c>
      <c r="AO267" s="8"/>
    </row>
    <row r="268" spans="2:41" x14ac:dyDescent="0.35">
      <c r="B268" s="8"/>
      <c r="C268" s="20" t="str">
        <f>INDEX(_Sector,2,2)</f>
        <v>Commercial</v>
      </c>
      <c r="D268" s="11" t="str">
        <f>_yearDol &amp; "$"</f>
        <v>2021$</v>
      </c>
      <c r="E268" s="32">
        <f t="array" aca="1" ref="E268:AN268" ca="1">(tlccEFuElec4_Com) + SUMPRODUCT(dFactor,tpSurvAll_Com,tMnR4_Com)</f>
        <v>212.91046714003085</v>
      </c>
      <c r="F268" s="32">
        <f ca="1"/>
        <v>212.90315598851222</v>
      </c>
      <c r="G268" s="32">
        <f ca="1"/>
        <v>212.9085563773865</v>
      </c>
      <c r="H268" s="32">
        <f ca="1"/>
        <v>212.92092235464941</v>
      </c>
      <c r="I268" s="32">
        <f ca="1"/>
        <v>212.92894571083605</v>
      </c>
      <c r="J268" s="32">
        <f ca="1"/>
        <v>212.92850405699289</v>
      </c>
      <c r="K268" s="32">
        <f ca="1"/>
        <v>212.91735393773288</v>
      </c>
      <c r="L268" s="32">
        <f ca="1"/>
        <v>212.89985165310165</v>
      </c>
      <c r="M268" s="32">
        <f ca="1"/>
        <v>212.86599502956028</v>
      </c>
      <c r="N268" s="32">
        <f ca="1"/>
        <v>212.82484386518701</v>
      </c>
      <c r="O268" s="32">
        <f ca="1"/>
        <v>212.75886056793223</v>
      </c>
      <c r="P268" s="32">
        <f ca="1"/>
        <v>212.67517483007265</v>
      </c>
      <c r="Q268" s="32">
        <f ca="1"/>
        <v>212.6027020398235</v>
      </c>
      <c r="R268" s="32">
        <f ca="1"/>
        <v>212.53106320046717</v>
      </c>
      <c r="S268" s="32">
        <f ca="1"/>
        <v>212.46806736213563</v>
      </c>
      <c r="T268" s="32">
        <f ca="1"/>
        <v>212.41653976475391</v>
      </c>
      <c r="U268" s="32">
        <f ca="1"/>
        <v>212.35556937557485</v>
      </c>
      <c r="V268" s="32">
        <f ca="1"/>
        <v>212.29058958048921</v>
      </c>
      <c r="W268" s="32">
        <f ca="1"/>
        <v>212.23408491872257</v>
      </c>
      <c r="X268" s="32">
        <f ca="1"/>
        <v>212.17443629483503</v>
      </c>
      <c r="Y268" s="32">
        <f ca="1"/>
        <v>212.11511641941061</v>
      </c>
      <c r="Z268" s="32">
        <f ca="1"/>
        <v>212.07694673922441</v>
      </c>
      <c r="AA268" s="32">
        <f ca="1"/>
        <v>212.03591172531716</v>
      </c>
      <c r="AB268" s="32">
        <f ca="1"/>
        <v>211.99797776547976</v>
      </c>
      <c r="AC268" s="32">
        <f ca="1"/>
        <v>211.97171229417475</v>
      </c>
      <c r="AD268" s="32">
        <f ca="1"/>
        <v>211.94125453358308</v>
      </c>
      <c r="AE268" s="32">
        <f ca="1"/>
        <v>211.91743324774998</v>
      </c>
      <c r="AF268" s="32">
        <f ca="1"/>
        <v>211.91743324774998</v>
      </c>
      <c r="AG268" s="32">
        <f ca="1"/>
        <v>211.91743324774998</v>
      </c>
      <c r="AH268" s="32">
        <f ca="1"/>
        <v>211.91743324774998</v>
      </c>
      <c r="AI268" s="32">
        <f ca="1"/>
        <v>211.91743324774998</v>
      </c>
      <c r="AJ268" s="32">
        <f ca="1"/>
        <v>211.91743324774998</v>
      </c>
      <c r="AK268" s="32">
        <f ca="1"/>
        <v>211.91743324774998</v>
      </c>
      <c r="AL268" s="32">
        <f ca="1"/>
        <v>211.91743324774998</v>
      </c>
      <c r="AM268" s="32">
        <f ca="1"/>
        <v>211.91743324774998</v>
      </c>
      <c r="AN268" s="55">
        <f ca="1"/>
        <v>211.91743324774998</v>
      </c>
      <c r="AO268" s="8"/>
    </row>
    <row r="269" spans="2:41" x14ac:dyDescent="0.35">
      <c r="B269" s="8"/>
      <c r="C269" s="50" t="str">
        <f>INDEX(_fuel,1)</f>
        <v>Electricity</v>
      </c>
      <c r="D269" s="11" t="str">
        <f>_yearDol &amp; "$"</f>
        <v>2021$</v>
      </c>
      <c r="E269" s="32">
        <f ca="1">SUMPRODUCT(dFactor,tpSurvAll_Com,tElec4_Com,OFFSET(tPrcElec_Com,0,0,1,_maxLT))</f>
        <v>16.740153368549358</v>
      </c>
      <c r="F269" s="32">
        <f ca="1">SUMPRODUCT(dFactor,tpSurvAll_Com,tElec4_Com,OFFSET(tPrcElec_Com,0,1,1,_maxLT))</f>
        <v>16.732842217030747</v>
      </c>
      <c r="G269" s="32">
        <f ca="1">SUMPRODUCT(dFactor,tpSurvAll_Com,tElec4_Com,OFFSET(tPrcElec_Com,0,2,1,_maxLT))</f>
        <v>16.738242605905008</v>
      </c>
      <c r="H269" s="32">
        <f ca="1">SUMPRODUCT(dFactor,tpSurvAll_Com,tElec4_Com,OFFSET(tPrcElec_Com,0,3,1,_maxLT))</f>
        <v>16.750608583167924</v>
      </c>
      <c r="I269" s="32">
        <f ca="1">SUMPRODUCT(dFactor,tpSurvAll_Com,tElec4_Com,OFFSET(tPrcElec_Com,0,4,1,_maxLT))</f>
        <v>16.758631939354544</v>
      </c>
      <c r="J269" s="32">
        <f ca="1">SUMPRODUCT(dFactor,tpSurvAll_Com,tElec4_Com,OFFSET(tPrcElec_Com,0,5,1,_maxLT))</f>
        <v>16.758190285511397</v>
      </c>
      <c r="K269" s="32">
        <f ca="1">SUMPRODUCT(dFactor,tpSurvAll_Com,tElec4_Com,OFFSET(tPrcElec_Com,0,6,1,_maxLT))</f>
        <v>16.747040166251388</v>
      </c>
      <c r="L269" s="32">
        <f ca="1">SUMPRODUCT(dFactor,tpSurvAll_Com,tElec4_Com,OFFSET(tPrcElec_Com,0,7,1,_maxLT))</f>
        <v>16.729537881620171</v>
      </c>
      <c r="M269" s="32">
        <f ca="1">SUMPRODUCT(dFactor,tpSurvAll_Com,tElec4_Com,OFFSET(tPrcElec_Com,0,8,1,_maxLT))</f>
        <v>16.695681258078803</v>
      </c>
      <c r="N269" s="32">
        <f ca="1">SUMPRODUCT(dFactor,tpSurvAll_Com,tElec4_Com,OFFSET(tPrcElec_Com,0,9,1,_maxLT))</f>
        <v>16.654530093705507</v>
      </c>
      <c r="O269" s="32">
        <f ca="1">SUMPRODUCT(dFactor,tpSurvAll_Com,tElec4_Com,OFFSET(tPrcElec_Com,0,10,1,_maxLT))</f>
        <v>16.588546796450728</v>
      </c>
      <c r="P269" s="32">
        <f ca="1">SUMPRODUCT(dFactor,tpSurvAll_Com,tElec4_Com,OFFSET(tPrcElec_Com,0,11,1,_maxLT))</f>
        <v>16.504861058591175</v>
      </c>
      <c r="Q269" s="32">
        <f ca="1">SUMPRODUCT(dFactor,tpSurvAll_Com,tElec4_Com,OFFSET(tPrcElec_Com,0,12,1,_maxLT))</f>
        <v>16.432388268342013</v>
      </c>
      <c r="R269" s="32">
        <f ca="1">SUMPRODUCT(dFactor,tpSurvAll_Com,tElec4_Com,OFFSET(tPrcElec_Com,0,13,1,_maxLT))</f>
        <v>16.360749428985674</v>
      </c>
      <c r="S269" s="32">
        <f ca="1">SUMPRODUCT(dFactor,tpSurvAll_Com,tElec4_Com,OFFSET(tPrcElec_Com,0,14,1,_maxLT))</f>
        <v>16.297753590654128</v>
      </c>
      <c r="T269" s="32">
        <f ca="1">SUMPRODUCT(dFactor,tpSurvAll_Com,tElec4_Com,OFFSET(tPrcElec_Com,0,15,1,_maxLT))</f>
        <v>16.246225993272404</v>
      </c>
      <c r="U269" s="32">
        <f ca="1">SUMPRODUCT(dFactor,tpSurvAll_Com,tElec4_Com,OFFSET(tPrcElec_Com,0,16,1,_maxLT))</f>
        <v>16.185255604093353</v>
      </c>
      <c r="V269" s="32">
        <f ca="1">SUMPRODUCT(dFactor,tpSurvAll_Com,tElec4_Com,OFFSET(tPrcElec_Com,0,17,1,_maxLT))</f>
        <v>16.12027580900773</v>
      </c>
      <c r="W269" s="32">
        <f ca="1">SUMPRODUCT(dFactor,tpSurvAll_Com,tElec4_Com,OFFSET(tPrcElec_Com,0,18,1,_maxLT))</f>
        <v>16.063771147241088</v>
      </c>
      <c r="X269" s="32">
        <f ca="1">SUMPRODUCT(dFactor,tpSurvAll_Com,tElec4_Com,OFFSET(tPrcElec_Com,0,19,1,_maxLT))</f>
        <v>16.004122523353537</v>
      </c>
      <c r="Y269" s="32">
        <f ca="1">SUMPRODUCT(dFactor,tpSurvAll_Com,tElec4_Com,OFFSET(tPrcElec_Com,0,20,1,_maxLT))</f>
        <v>15.944802647929126</v>
      </c>
      <c r="Z269" s="32">
        <f ca="1">SUMPRODUCT(dFactor,tpSurvAll_Com,tElec4_Com,OFFSET(tPrcElec_Com,0,21,1,_maxLT))</f>
        <v>15.906632967742931</v>
      </c>
      <c r="AA269" s="32">
        <f ca="1">SUMPRODUCT(dFactor,tpSurvAll_Com,tElec4_Com,OFFSET(tPrcElec_Com,0,22,1,_maxLT))</f>
        <v>15.865597953835662</v>
      </c>
      <c r="AB269" s="32">
        <f ca="1">SUMPRODUCT(dFactor,tpSurvAll_Com,tElec4_Com,OFFSET(tPrcElec_Com,0,23,1,_maxLT))</f>
        <v>15.827663993998284</v>
      </c>
      <c r="AC269" s="32">
        <f ca="1">SUMPRODUCT(dFactor,tpSurvAll_Com,tElec4_Com,OFFSET(tPrcElec_Com,0,24,1,_maxLT))</f>
        <v>15.80139852269326</v>
      </c>
      <c r="AD269" s="32">
        <f ca="1">SUMPRODUCT(dFactor,tpSurvAll_Com,tElec4_Com,OFFSET(tPrcElec_Com,0,25,1,_maxLT))</f>
        <v>15.770940762101594</v>
      </c>
      <c r="AE269" s="32">
        <f ca="1">SUMPRODUCT(dFactor,tpSurvAll_Com,tElec4_Com,OFFSET(tPrcElec_Com,0,26,1,_maxLT))</f>
        <v>15.747119476268493</v>
      </c>
      <c r="AF269" s="32">
        <f ca="1">SUMPRODUCT(dFactor,tpSurvAll_Com,tElec4_Com,OFFSET(tPrcElec_Com,0,27,1,_maxLT))</f>
        <v>15.747119476268493</v>
      </c>
      <c r="AG269" s="32">
        <f ca="1">SUMPRODUCT(dFactor,tpSurvAll_Com,tElec4_Com,OFFSET(tPrcElec_Com,0,28,1,_maxLT))</f>
        <v>15.747119476268493</v>
      </c>
      <c r="AH269" s="32">
        <f ca="1">SUMPRODUCT(dFactor,tpSurvAll_Com,tElec4_Com,OFFSET(tPrcElec_Com,0,29,1,_maxLT))</f>
        <v>15.747119476268493</v>
      </c>
      <c r="AI269" s="32">
        <f ca="1">SUMPRODUCT(dFactor,tpSurvAll_Com,tElec4_Com,OFFSET(tPrcElec_Com,0,30,1,_maxLT))</f>
        <v>15.747119476268493</v>
      </c>
      <c r="AJ269" s="32">
        <f ca="1">SUMPRODUCT(dFactor,tpSurvAll_Com,tElec4_Com,OFFSET(tPrcElec_Com,0,31,1,_maxLT))</f>
        <v>15.747119476268493</v>
      </c>
      <c r="AK269" s="32">
        <f ca="1">SUMPRODUCT(dFactor,tpSurvAll_Com,tElec4_Com,OFFSET(tPrcElec_Com,0,32,1,_maxLT))</f>
        <v>15.747119476268493</v>
      </c>
      <c r="AL269" s="32">
        <f ca="1">SUMPRODUCT(dFactor,tpSurvAll_Com,tElec4_Com,OFFSET(tPrcElec_Com,0,33,1,_maxLT))</f>
        <v>15.747119476268493</v>
      </c>
      <c r="AM269" s="32">
        <f ca="1">SUMPRODUCT(dFactor,tpSurvAll_Com,tElec4_Com,OFFSET(tPrcElec_Com,0,34,1,_maxLT))</f>
        <v>15.747119476268493</v>
      </c>
      <c r="AN269" s="55">
        <f ca="1">SUMPRODUCT(dFactor,tpSurvAll_Com,tElec4_Com,OFFSET(tPrcElec_Com,0,35,1,_maxLT))</f>
        <v>15.747119476268493</v>
      </c>
      <c r="AO269" s="8"/>
    </row>
    <row r="270" spans="2:41" x14ac:dyDescent="0.35">
      <c r="B270" s="8"/>
      <c r="C270" s="10" t="s">
        <v>78</v>
      </c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18"/>
      <c r="AO270" s="8"/>
    </row>
    <row r="271" spans="2:41" x14ac:dyDescent="0.35">
      <c r="B271" s="8"/>
      <c r="C271" s="20" t="str">
        <f>INDEX(_Sector,2,1)</f>
        <v>Residential</v>
      </c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18"/>
      <c r="AO271" s="8"/>
    </row>
    <row r="272" spans="2:41" x14ac:dyDescent="0.35">
      <c r="B272" s="8"/>
      <c r="C272" s="50" t="str">
        <f>INDEX(_fuel,1)</f>
        <v>Electricity</v>
      </c>
      <c r="D272" s="11" t="s">
        <v>80</v>
      </c>
      <c r="E272" s="40">
        <f ca="1">SUMPRODUCT(OFFSET(tConvElec_Res,0,0,1,_maxLT),tElec4_Res,tpSurvAll_Res)</f>
        <v>0.98497653078298575</v>
      </c>
      <c r="F272" s="40">
        <f ca="1">SUMPRODUCT(OFFSET(tConvElec_Res,0,1,1,_maxLT),tElec4_Res,tpSurvAll_Res)</f>
        <v>0.98010850215166112</v>
      </c>
      <c r="G272" s="40">
        <f ca="1">SUMPRODUCT(OFFSET(tConvElec_Res,0,2,1,_maxLT),tElec4_Res,tpSurvAll_Res)</f>
        <v>0.97657747614661683</v>
      </c>
      <c r="H272" s="40">
        <f ca="1">SUMPRODUCT(OFFSET(tConvElec_Res,0,3,1,_maxLT),tElec4_Res,tpSurvAll_Res)</f>
        <v>0.97381573041358871</v>
      </c>
      <c r="I272" s="40">
        <f ca="1">SUMPRODUCT(OFFSET(tConvElec_Res,0,4,1,_maxLT),tElec4_Res,tpSurvAll_Res)</f>
        <v>0.97189366127063137</v>
      </c>
      <c r="J272" s="40">
        <f ca="1">SUMPRODUCT(OFFSET(tConvElec_Res,0,5,1,_maxLT),tElec4_Res,tpSurvAll_Res)</f>
        <v>0.97037766879628051</v>
      </c>
      <c r="K272" s="40">
        <f ca="1">SUMPRODUCT(OFFSET(tConvElec_Res,0,6,1,_maxLT),tElec4_Res,tpSurvAll_Res)</f>
        <v>0.96906428499455832</v>
      </c>
      <c r="L272" s="40">
        <f ca="1">SUMPRODUCT(OFFSET(tConvElec_Res,0,7,1,_maxLT),tElec4_Res,tpSurvAll_Res)</f>
        <v>0.96764732118476959</v>
      </c>
      <c r="M272" s="40">
        <f ca="1">SUMPRODUCT(OFFSET(tConvElec_Res,0,8,1,_maxLT),tElec4_Res,tpSurvAll_Res)</f>
        <v>0.9662835924877583</v>
      </c>
      <c r="N272" s="40">
        <f ca="1">SUMPRODUCT(OFFSET(tConvElec_Res,0,9,1,_maxLT),tElec4_Res,tpSurvAll_Res)</f>
        <v>0.96499188990204754</v>
      </c>
      <c r="O272" s="40">
        <f ca="1">SUMPRODUCT(OFFSET(tConvElec_Res,0,10,1,_maxLT),tElec4_Res,tpSurvAll_Res)</f>
        <v>0.96364294406802842</v>
      </c>
      <c r="P272" s="40">
        <f ca="1">SUMPRODUCT(OFFSET(tConvElec_Res,0,11,1,_maxLT),tElec4_Res,tpSurvAll_Res)</f>
        <v>0.96250308486552028</v>
      </c>
      <c r="Q272" s="40">
        <f ca="1">SUMPRODUCT(OFFSET(tConvElec_Res,0,12,1,_maxLT),tElec4_Res,tpSurvAll_Res)</f>
        <v>0.96133374483541878</v>
      </c>
      <c r="R272" s="40">
        <f ca="1">SUMPRODUCT(OFFSET(tConvElec_Res,0,13,1,_maxLT),tElec4_Res,tpSurvAll_Res)</f>
        <v>0.96031451903827791</v>
      </c>
      <c r="S272" s="40">
        <f ca="1">SUMPRODUCT(OFFSET(tConvElec_Res,0,14,1,_maxLT),tElec4_Res,tpSurvAll_Res)</f>
        <v>0.95945595964808794</v>
      </c>
      <c r="T272" s="40">
        <f ca="1">SUMPRODUCT(OFFSET(tConvElec_Res,0,15,1,_maxLT),tElec4_Res,tpSurvAll_Res)</f>
        <v>0.95865659685404725</v>
      </c>
      <c r="U272" s="40">
        <f ca="1">SUMPRODUCT(OFFSET(tConvElec_Res,0,16,1,_maxLT),tElec4_Res,tpSurvAll_Res)</f>
        <v>0.95783508125240635</v>
      </c>
      <c r="V272" s="40">
        <f ca="1">SUMPRODUCT(OFFSET(tConvElec_Res,0,17,1,_maxLT),tElec4_Res,tpSurvAll_Res)</f>
        <v>0.95709933875823405</v>
      </c>
      <c r="W272" s="40">
        <f ca="1">SUMPRODUCT(OFFSET(tConvElec_Res,0,18,1,_maxLT),tElec4_Res,tpSurvAll_Res)</f>
        <v>0.95649754414043464</v>
      </c>
      <c r="X272" s="40">
        <f ca="1">SUMPRODUCT(OFFSET(tConvElec_Res,0,19,1,_maxLT),tElec4_Res,tpSurvAll_Res)</f>
        <v>0.9559886892266648</v>
      </c>
      <c r="Y272" s="40">
        <f ca="1">SUMPRODUCT(OFFSET(tConvElec_Res,0,20,1,_maxLT),tElec4_Res,tpSurvAll_Res)</f>
        <v>0.95557936433193913</v>
      </c>
      <c r="Z272" s="40">
        <f ca="1">SUMPRODUCT(OFFSET(tConvElec_Res,0,21,1,_maxLT),tElec4_Res,tpSurvAll_Res)</f>
        <v>0.95542066522424818</v>
      </c>
      <c r="AA272" s="40">
        <f ca="1">SUMPRODUCT(OFFSET(tConvElec_Res,0,22,1,_maxLT),tElec4_Res,tpSurvAll_Res)</f>
        <v>0.95541641844424974</v>
      </c>
      <c r="AB272" s="40">
        <f ca="1">SUMPRODUCT(OFFSET(tConvElec_Res,0,23,1,_maxLT),tElec4_Res,tpSurvAll_Res)</f>
        <v>0.95546009249267549</v>
      </c>
      <c r="AC272" s="40">
        <f ca="1">SUMPRODUCT(OFFSET(tConvElec_Res,0,24,1,_maxLT),tElec4_Res,tpSurvAll_Res)</f>
        <v>0.95555361417884699</v>
      </c>
      <c r="AD272" s="40">
        <f ca="1">SUMPRODUCT(OFFSET(tConvElec_Res,0,25,1,_maxLT),tElec4_Res,tpSurvAll_Res)</f>
        <v>0.95563211342033616</v>
      </c>
      <c r="AE272" s="40">
        <f ca="1">SUMPRODUCT(OFFSET(tConvElec_Res,0,26,1,_maxLT),tElec4_Res,tpSurvAll_Res)</f>
        <v>0.95565064017402912</v>
      </c>
      <c r="AF272" s="40">
        <f ca="1">SUMPRODUCT(OFFSET(tConvElec_Res,0,27,1,_maxLT),tElec4_Res,tpSurvAll_Res)</f>
        <v>0.95565064017402912</v>
      </c>
      <c r="AG272" s="40">
        <f ca="1">SUMPRODUCT(OFFSET(tConvElec_Res,0,28,1,_maxLT),tElec4_Res,tpSurvAll_Res)</f>
        <v>0.95565064017402912</v>
      </c>
      <c r="AH272" s="40">
        <f ca="1">SUMPRODUCT(OFFSET(tConvElec_Res,0,29,1,_maxLT),tElec4_Res,tpSurvAll_Res)</f>
        <v>0.95565064017402912</v>
      </c>
      <c r="AI272" s="40">
        <f ca="1">SUMPRODUCT(OFFSET(tConvElec_Res,0,30,1,_maxLT),tElec4_Res,tpSurvAll_Res)</f>
        <v>0.95565064017402912</v>
      </c>
      <c r="AJ272" s="40">
        <f ca="1">SUMPRODUCT(OFFSET(tConvElec_Res,0,31,1,_maxLT),tElec4_Res,tpSurvAll_Res)</f>
        <v>0.95565064017402912</v>
      </c>
      <c r="AK272" s="40">
        <f ca="1">SUMPRODUCT(OFFSET(tConvElec_Res,0,32,1,_maxLT),tElec4_Res,tpSurvAll_Res)</f>
        <v>0.95565064017402912</v>
      </c>
      <c r="AL272" s="40">
        <f ca="1">SUMPRODUCT(OFFSET(tConvElec_Res,0,33,1,_maxLT),tElec4_Res,tpSurvAll_Res)</f>
        <v>0.95565064017402912</v>
      </c>
      <c r="AM272" s="40">
        <f ca="1">SUMPRODUCT(OFFSET(tConvElec_Res,0,34,1,_maxLT),tElec4_Res,tpSurvAll_Res)</f>
        <v>0.95565064017402912</v>
      </c>
      <c r="AN272" s="41">
        <f ca="1">SUMPRODUCT(OFFSET(tConvElec_Res,0,35,1,_maxLT),tElec4_Res,tpSurvAll_Res)</f>
        <v>0.95565064017402912</v>
      </c>
      <c r="AO272" s="8"/>
    </row>
    <row r="273" spans="2:41" x14ac:dyDescent="0.35">
      <c r="B273" s="8"/>
      <c r="C273" s="20" t="str">
        <f>INDEX(_Sector,2,2)</f>
        <v>Commercial</v>
      </c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18"/>
      <c r="AO273" s="8"/>
    </row>
    <row r="274" spans="2:41" x14ac:dyDescent="0.35">
      <c r="B274" s="8"/>
      <c r="C274" s="58" t="str">
        <f>INDEX(_fuel,1)</f>
        <v>Electricity</v>
      </c>
      <c r="D274" s="15" t="s">
        <v>80</v>
      </c>
      <c r="E274" s="48">
        <f ca="1">SUMPRODUCT(OFFSET(tConvElec_Com,0,0,1,_maxLT),tElec4_Com,tpSurvAll_Com)</f>
        <v>1.9606840551942564</v>
      </c>
      <c r="F274" s="48">
        <f ca="1">SUMPRODUCT(OFFSET(tConvElec_Com,0,1,1,_maxLT),tElec4_Com,tpSurvAll_Com)</f>
        <v>1.9506204320300795</v>
      </c>
      <c r="G274" s="48">
        <f ca="1">SUMPRODUCT(OFFSET(tConvElec_Com,0,2,1,_maxLT),tElec4_Com,tpSurvAll_Com)</f>
        <v>1.9434236519376022</v>
      </c>
      <c r="H274" s="48">
        <f ca="1">SUMPRODUCT(OFFSET(tConvElec_Com,0,3,1,_maxLT),tElec4_Com,tpSurvAll_Com)</f>
        <v>1.9378911368517411</v>
      </c>
      <c r="I274" s="48">
        <f ca="1">SUMPRODUCT(OFFSET(tConvElec_Com,0,4,1,_maxLT),tElec4_Com,tpSurvAll_Com)</f>
        <v>1.9342012954736869</v>
      </c>
      <c r="J274" s="48">
        <f ca="1">SUMPRODUCT(OFFSET(tConvElec_Com,0,5,1,_maxLT),tElec4_Com,tpSurvAll_Com)</f>
        <v>1.9313954474828274</v>
      </c>
      <c r="K274" s="48">
        <f ca="1">SUMPRODUCT(OFFSET(tConvElec_Com,0,6,1,_maxLT),tElec4_Com,tpSurvAll_Com)</f>
        <v>1.9290008737706899</v>
      </c>
      <c r="L274" s="48">
        <f ca="1">SUMPRODUCT(OFFSET(tConvElec_Com,0,7,1,_maxLT),tElec4_Com,tpSurvAll_Com)</f>
        <v>1.9264365696609611</v>
      </c>
      <c r="M274" s="48">
        <f ca="1">SUMPRODUCT(OFFSET(tConvElec_Com,0,8,1,_maxLT),tElec4_Com,tpSurvAll_Com)</f>
        <v>1.9240133446608683</v>
      </c>
      <c r="N274" s="48">
        <f ca="1">SUMPRODUCT(OFFSET(tConvElec_Com,0,9,1,_maxLT),tElec4_Com,tpSurvAll_Com)</f>
        <v>1.9217294640114015</v>
      </c>
      <c r="O274" s="48">
        <f ca="1">SUMPRODUCT(OFFSET(tConvElec_Com,0,10,1,_maxLT),tElec4_Com,tpSurvAll_Com)</f>
        <v>1.919368587292424</v>
      </c>
      <c r="P274" s="48">
        <f ca="1">SUMPRODUCT(OFFSET(tConvElec_Com,0,11,1,_maxLT),tElec4_Com,tpSurvAll_Com)</f>
        <v>1.9173433079934317</v>
      </c>
      <c r="Q274" s="48">
        <f ca="1">SUMPRODUCT(OFFSET(tConvElec_Com,0,12,1,_maxLT),tElec4_Com,tpSurvAll_Com)</f>
        <v>1.9152337792366203</v>
      </c>
      <c r="R274" s="48">
        <f ca="1">SUMPRODUCT(OFFSET(tConvElec_Com,0,13,1,_maxLT),tElec4_Com,tpSurvAll_Com)</f>
        <v>1.9133944610684928</v>
      </c>
      <c r="S274" s="48">
        <f ca="1">SUMPRODUCT(OFFSET(tConvElec_Com,0,14,1,_maxLT),tElec4_Com,tpSurvAll_Com)</f>
        <v>1.911866639757327</v>
      </c>
      <c r="T274" s="48">
        <f ca="1">SUMPRODUCT(OFFSET(tConvElec_Com,0,15,1,_maxLT),tElec4_Com,tpSurvAll_Com)</f>
        <v>1.9104663739883716</v>
      </c>
      <c r="U274" s="48">
        <f ca="1">SUMPRODUCT(OFFSET(tConvElec_Com,0,16,1,_maxLT),tElec4_Com,tpSurvAll_Com)</f>
        <v>1.9090233569029793</v>
      </c>
      <c r="V274" s="48">
        <f ca="1">SUMPRODUCT(OFFSET(tConvElec_Com,0,17,1,_maxLT),tElec4_Com,tpSurvAll_Com)</f>
        <v>1.9077244824897939</v>
      </c>
      <c r="W274" s="48">
        <f ca="1">SUMPRODUCT(OFFSET(tConvElec_Com,0,18,1,_maxLT),tElec4_Com,tpSurvAll_Com)</f>
        <v>1.9066749267500238</v>
      </c>
      <c r="X274" s="48">
        <f ca="1">SUMPRODUCT(OFFSET(tConvElec_Com,0,19,1,_maxLT),tElec4_Com,tpSurvAll_Com)</f>
        <v>1.9057975331581909</v>
      </c>
      <c r="Y274" s="48">
        <f ca="1">SUMPRODUCT(OFFSET(tConvElec_Com,0,20,1,_maxLT),tElec4_Com,tpSurvAll_Com)</f>
        <v>1.9050941312776613</v>
      </c>
      <c r="Z274" s="48">
        <f ca="1">SUMPRODUCT(OFFSET(tConvElec_Com,0,21,1,_maxLT),tElec4_Com,tpSurvAll_Com)</f>
        <v>1.9048595014144631</v>
      </c>
      <c r="AA274" s="48">
        <f ca="1">SUMPRODUCT(OFFSET(tConvElec_Com,0,22,1,_maxLT),tElec4_Com,tpSurvAll_Com)</f>
        <v>1.9049087512478855</v>
      </c>
      <c r="AB274" s="48">
        <f ca="1">SUMPRODUCT(OFFSET(tConvElec_Com,0,23,1,_maxLT),tElec4_Com,tpSurvAll_Com)</f>
        <v>1.9050417434852178</v>
      </c>
      <c r="AC274" s="48">
        <f ca="1">SUMPRODUCT(OFFSET(tConvElec_Com,0,24,1,_maxLT),tElec4_Com,tpSurvAll_Com)</f>
        <v>1.9052525442998458</v>
      </c>
      <c r="AD274" s="48">
        <f ca="1">SUMPRODUCT(OFFSET(tConvElec_Com,0,25,1,_maxLT),tElec4_Com,tpSurvAll_Com)</f>
        <v>1.9054211331610307</v>
      </c>
      <c r="AE274" s="48">
        <f ca="1">SUMPRODUCT(OFFSET(tConvElec_Com,0,26,1,_maxLT),tElec4_Com,tpSurvAll_Com)</f>
        <v>1.9054650495819243</v>
      </c>
      <c r="AF274" s="48">
        <f ca="1">SUMPRODUCT(OFFSET(tConvElec_Com,0,27,1,_maxLT),tElec4_Com,tpSurvAll_Com)</f>
        <v>1.9054650495819243</v>
      </c>
      <c r="AG274" s="48">
        <f ca="1">SUMPRODUCT(OFFSET(tConvElec_Com,0,28,1,_maxLT),tElec4_Com,tpSurvAll_Com)</f>
        <v>1.9054650495819243</v>
      </c>
      <c r="AH274" s="48">
        <f ca="1">SUMPRODUCT(OFFSET(tConvElec_Com,0,29,1,_maxLT),tElec4_Com,tpSurvAll_Com)</f>
        <v>1.9054650495819243</v>
      </c>
      <c r="AI274" s="48">
        <f ca="1">SUMPRODUCT(OFFSET(tConvElec_Com,0,30,1,_maxLT),tElec4_Com,tpSurvAll_Com)</f>
        <v>1.9054650495819243</v>
      </c>
      <c r="AJ274" s="48">
        <f ca="1">SUMPRODUCT(OFFSET(tConvElec_Com,0,31,1,_maxLT),tElec4_Com,tpSurvAll_Com)</f>
        <v>1.9054650495819243</v>
      </c>
      <c r="AK274" s="48">
        <f ca="1">SUMPRODUCT(OFFSET(tConvElec_Com,0,32,1,_maxLT),tElec4_Com,tpSurvAll_Com)</f>
        <v>1.9054650495819243</v>
      </c>
      <c r="AL274" s="48">
        <f ca="1">SUMPRODUCT(OFFSET(tConvElec_Com,0,33,1,_maxLT),tElec4_Com,tpSurvAll_Com)</f>
        <v>1.9054650495819243</v>
      </c>
      <c r="AM274" s="48">
        <f ca="1">SUMPRODUCT(OFFSET(tConvElec_Com,0,34,1,_maxLT),tElec4_Com,tpSurvAll_Com)</f>
        <v>1.9054650495819243</v>
      </c>
      <c r="AN274" s="49">
        <f ca="1">SUMPRODUCT(OFFSET(tConvElec_Com,0,35,1,_maxLT),tElec4_Com,tpSurvAll_Com)</f>
        <v>1.9054650495819243</v>
      </c>
      <c r="AO274" s="8"/>
    </row>
    <row r="275" spans="2:41" x14ac:dyDescent="0.3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</row>
    <row r="276" spans="2:41" x14ac:dyDescent="0.35">
      <c r="B276" s="8"/>
      <c r="C276" s="23" t="str">
        <f>"EL 0: " &amp; INDEX(_doName,2,1)</f>
        <v>EL 0: Baseline</v>
      </c>
      <c r="D276" s="24"/>
      <c r="E276" s="26">
        <f t="array" ref="E276:X276">_t</f>
        <v>1</v>
      </c>
      <c r="F276" s="26">
        <v>2</v>
      </c>
      <c r="G276" s="26">
        <v>3</v>
      </c>
      <c r="H276" s="26">
        <v>4</v>
      </c>
      <c r="I276" s="26">
        <v>5</v>
      </c>
      <c r="J276" s="26">
        <v>6</v>
      </c>
      <c r="K276" s="26">
        <v>7</v>
      </c>
      <c r="L276" s="26">
        <v>8</v>
      </c>
      <c r="M276" s="26">
        <v>9</v>
      </c>
      <c r="N276" s="26">
        <v>10</v>
      </c>
      <c r="O276" s="26">
        <v>11</v>
      </c>
      <c r="P276" s="26">
        <v>12</v>
      </c>
      <c r="Q276" s="26">
        <v>13</v>
      </c>
      <c r="R276" s="26">
        <v>14</v>
      </c>
      <c r="S276" s="26">
        <v>15</v>
      </c>
      <c r="T276" s="26">
        <v>16</v>
      </c>
      <c r="U276" s="26">
        <v>17</v>
      </c>
      <c r="V276" s="26">
        <v>18</v>
      </c>
      <c r="W276" s="26">
        <v>19</v>
      </c>
      <c r="X276" s="27">
        <v>20</v>
      </c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</row>
    <row r="277" spans="2:41" x14ac:dyDescent="0.35">
      <c r="B277" s="8"/>
      <c r="C277" s="19" t="s">
        <v>70</v>
      </c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1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</row>
    <row r="278" spans="2:41" x14ac:dyDescent="0.35">
      <c r="B278" s="8"/>
      <c r="C278" s="10" t="s">
        <v>30</v>
      </c>
      <c r="D278" s="11" t="str">
        <f>_yearDol &amp; "$"</f>
        <v>2021$</v>
      </c>
      <c r="E278" s="32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1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</row>
    <row r="279" spans="2:41" x14ac:dyDescent="0.35">
      <c r="B279" s="8"/>
      <c r="C279" s="20" t="str">
        <f>INDEX(_Sector,2,1)</f>
        <v>Residential</v>
      </c>
      <c r="D279" s="8"/>
      <c r="E279" s="32">
        <f>INDEX(mspmed_Res,1)</f>
        <v>88.979381125918096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18"/>
      <c r="Y279" s="8"/>
      <c r="Z279" s="8"/>
      <c r="AA279" s="8"/>
      <c r="AB279" s="8"/>
      <c r="AC279" s="125" t="s">
        <v>127</v>
      </c>
      <c r="AD279" s="124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</row>
    <row r="280" spans="2:41" x14ac:dyDescent="0.35">
      <c r="B280" s="8"/>
      <c r="C280" s="20" t="str">
        <f>INDEX(_Sector,2,2)</f>
        <v>Commercial</v>
      </c>
      <c r="D280" s="8"/>
      <c r="E280" s="32">
        <f>INDEX(mspmed_Com,1)</f>
        <v>85.946151309620845</v>
      </c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18"/>
      <c r="Y280" s="8"/>
      <c r="Z280" s="8"/>
      <c r="AA280" s="8"/>
      <c r="AB280" s="8"/>
      <c r="AC280" s="127" t="s">
        <v>12</v>
      </c>
      <c r="AD280" s="127" t="s">
        <v>14</v>
      </c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</row>
    <row r="281" spans="2:41" x14ac:dyDescent="0.35">
      <c r="B281" s="8"/>
      <c r="C281" s="10" t="s">
        <v>71</v>
      </c>
      <c r="D281" s="11" t="str">
        <f>_yearDol &amp; "$"</f>
        <v>2021$</v>
      </c>
      <c r="E281" s="32">
        <f>INDEX(instmed,1)</f>
        <v>0</v>
      </c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18"/>
      <c r="Y281" s="8"/>
      <c r="Z281" s="124" t="s">
        <v>128</v>
      </c>
      <c r="AA281" s="8"/>
      <c r="AB281" s="8"/>
      <c r="AC281" s="128">
        <v>22.256436371305298</v>
      </c>
      <c r="AD281" s="129">
        <v>24.449204296577964</v>
      </c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</row>
    <row r="282" spans="2:41" x14ac:dyDescent="0.35">
      <c r="B282" s="8"/>
      <c r="C282" s="10" t="s">
        <v>77</v>
      </c>
      <c r="D282" s="11" t="str">
        <f>_yearDol &amp; "$"</f>
        <v>2021$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55"/>
      <c r="Y282" s="8"/>
      <c r="Z282" s="124"/>
      <c r="AA282" s="8"/>
      <c r="AB282" s="8"/>
      <c r="AC282" s="128">
        <v>19.613037562534483</v>
      </c>
      <c r="AD282" s="129">
        <v>21.468278740965392</v>
      </c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</row>
    <row r="283" spans="2:41" x14ac:dyDescent="0.35">
      <c r="B283" s="8"/>
      <c r="C283" s="20" t="str">
        <f>INDEX(_Sector,2,1)</f>
        <v>Residential</v>
      </c>
      <c r="D283" s="8"/>
      <c r="E283" s="32">
        <f>(Z283-1)*F283</f>
        <v>16.882910525610381</v>
      </c>
      <c r="F283" s="117">
        <f>$AC$281</f>
        <v>22.256436371305298</v>
      </c>
      <c r="G283" s="117">
        <f>F283</f>
        <v>22.256436371305298</v>
      </c>
      <c r="H283" s="117">
        <f t="shared" ref="H283:W283" si="0">G283</f>
        <v>22.256436371305298</v>
      </c>
      <c r="I283" s="117">
        <f t="shared" si="0"/>
        <v>22.256436371305298</v>
      </c>
      <c r="J283" s="117">
        <f t="shared" si="0"/>
        <v>22.256436371305298</v>
      </c>
      <c r="K283" s="117">
        <f t="shared" si="0"/>
        <v>22.256436371305298</v>
      </c>
      <c r="L283" s="117">
        <f t="shared" si="0"/>
        <v>22.256436371305298</v>
      </c>
      <c r="M283" s="117">
        <f t="shared" si="0"/>
        <v>22.256436371305298</v>
      </c>
      <c r="N283" s="117">
        <f t="shared" si="0"/>
        <v>22.256436371305298</v>
      </c>
      <c r="O283" s="117">
        <f t="shared" si="0"/>
        <v>22.256436371305298</v>
      </c>
      <c r="P283" s="117">
        <f t="shared" si="0"/>
        <v>22.256436371305298</v>
      </c>
      <c r="Q283" s="117">
        <f t="shared" si="0"/>
        <v>22.256436371305298</v>
      </c>
      <c r="R283" s="117">
        <f t="shared" si="0"/>
        <v>22.256436371305298</v>
      </c>
      <c r="S283" s="117">
        <f t="shared" si="0"/>
        <v>22.256436371305298</v>
      </c>
      <c r="T283" s="117">
        <f t="shared" si="0"/>
        <v>22.256436371305298</v>
      </c>
      <c r="U283" s="117">
        <f t="shared" si="0"/>
        <v>22.256436371305298</v>
      </c>
      <c r="V283" s="117">
        <f t="shared" si="0"/>
        <v>22.256436371305298</v>
      </c>
      <c r="W283" s="117">
        <f t="shared" si="0"/>
        <v>22.256436371305298</v>
      </c>
      <c r="X283" s="55">
        <f t="shared" ref="H283:X284" si="1">W283</f>
        <v>22.256436371305298</v>
      </c>
      <c r="Y283" s="8"/>
      <c r="Z283" s="126">
        <v>1.7585630621161401</v>
      </c>
      <c r="AA283" s="8"/>
      <c r="AB283" s="8"/>
      <c r="AC283" s="128">
        <v>16.966046079246144</v>
      </c>
      <c r="AD283" s="129">
        <v>18.483301774249814</v>
      </c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</row>
    <row r="284" spans="2:41" x14ac:dyDescent="0.35">
      <c r="B284" s="8"/>
      <c r="C284" s="20" t="str">
        <f>INDEX(_Sector,2,2)</f>
        <v>Commercial</v>
      </c>
      <c r="D284" s="8"/>
      <c r="E284" s="32">
        <f>(Z284-1)*F284</f>
        <v>24.449204296577964</v>
      </c>
      <c r="F284" s="117">
        <f>$AD$281</f>
        <v>24.449204296577964</v>
      </c>
      <c r="G284" s="117">
        <f>F284</f>
        <v>24.449204296577964</v>
      </c>
      <c r="H284" s="117">
        <f t="shared" si="1"/>
        <v>24.449204296577964</v>
      </c>
      <c r="I284" s="117">
        <f t="shared" si="1"/>
        <v>24.449204296577964</v>
      </c>
      <c r="J284" s="117">
        <f t="shared" si="1"/>
        <v>24.449204296577964</v>
      </c>
      <c r="K284" s="117">
        <f t="shared" si="1"/>
        <v>24.449204296577964</v>
      </c>
      <c r="L284" s="117">
        <f t="shared" si="1"/>
        <v>24.449204296577964</v>
      </c>
      <c r="M284" s="117">
        <f t="shared" si="1"/>
        <v>24.449204296577964</v>
      </c>
      <c r="N284" s="117">
        <f t="shared" si="1"/>
        <v>24.449204296577964</v>
      </c>
      <c r="O284" s="117">
        <f t="shared" si="1"/>
        <v>24.449204296577964</v>
      </c>
      <c r="P284" s="117">
        <f t="shared" si="1"/>
        <v>24.449204296577964</v>
      </c>
      <c r="Q284" s="117">
        <f t="shared" si="1"/>
        <v>24.449204296577964</v>
      </c>
      <c r="R284" s="117">
        <f t="shared" si="1"/>
        <v>24.449204296577964</v>
      </c>
      <c r="S284" s="117">
        <f t="shared" si="1"/>
        <v>24.449204296577964</v>
      </c>
      <c r="T284" s="117">
        <f t="shared" si="1"/>
        <v>24.449204296577964</v>
      </c>
      <c r="U284" s="117">
        <f t="shared" si="1"/>
        <v>24.449204296577964</v>
      </c>
      <c r="V284" s="117">
        <f t="shared" si="1"/>
        <v>24.449204296577964</v>
      </c>
      <c r="W284" s="117">
        <f t="shared" si="1"/>
        <v>24.449204296577964</v>
      </c>
      <c r="X284" s="55">
        <f t="shared" si="1"/>
        <v>24.449204296577964</v>
      </c>
      <c r="Y284" s="8"/>
      <c r="Z284" s="126">
        <v>2</v>
      </c>
      <c r="AA284" s="8"/>
      <c r="AB284" s="8"/>
      <c r="AC284" s="128">
        <v>36.326585845924626</v>
      </c>
      <c r="AD284" s="129">
        <v>40.315924066985218</v>
      </c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</row>
    <row r="285" spans="2:41" x14ac:dyDescent="0.35">
      <c r="B285" s="8"/>
      <c r="C285" s="19" t="s">
        <v>78</v>
      </c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18"/>
      <c r="Y285" s="8"/>
      <c r="Z285" s="32"/>
      <c r="AA285" s="8"/>
      <c r="AB285" s="8"/>
      <c r="AC285" s="128">
        <v>28.477811332044471</v>
      </c>
      <c r="AD285" s="129">
        <v>31.464965804067671</v>
      </c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</row>
    <row r="286" spans="2:41" x14ac:dyDescent="0.35">
      <c r="B286" s="8"/>
      <c r="C286" s="10" t="str">
        <f>INDEX(_fuel,1)</f>
        <v>Electricity</v>
      </c>
      <c r="D286" s="11" t="s">
        <v>75</v>
      </c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1"/>
      <c r="Y286" s="8"/>
      <c r="Z286" s="32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</row>
    <row r="287" spans="2:41" x14ac:dyDescent="0.35">
      <c r="B287" s="8"/>
      <c r="C287" s="20" t="str">
        <f>INDEX(_Sector,2,1)</f>
        <v>Residential</v>
      </c>
      <c r="D287" s="8"/>
      <c r="E287" s="40">
        <f>INDEX(elecmed_Res,1)</f>
        <v>99.274282496879209</v>
      </c>
      <c r="F287" s="40">
        <f t="array" ref="F287:X287">$E$287</f>
        <v>99.274282496879209</v>
      </c>
      <c r="G287" s="40">
        <v>99.274282496879209</v>
      </c>
      <c r="H287" s="40">
        <v>99.274282496879209</v>
      </c>
      <c r="I287" s="40">
        <v>99.274282496879209</v>
      </c>
      <c r="J287" s="40">
        <v>99.274282496879209</v>
      </c>
      <c r="K287" s="40">
        <v>99.274282496879209</v>
      </c>
      <c r="L287" s="40">
        <v>99.274282496879209</v>
      </c>
      <c r="M287" s="40">
        <v>99.274282496879209</v>
      </c>
      <c r="N287" s="40">
        <v>99.274282496879209</v>
      </c>
      <c r="O287" s="40">
        <v>99.274282496879209</v>
      </c>
      <c r="P287" s="40">
        <v>99.274282496879209</v>
      </c>
      <c r="Q287" s="40">
        <v>99.274282496879209</v>
      </c>
      <c r="R287" s="40">
        <v>99.274282496879209</v>
      </c>
      <c r="S287" s="40">
        <v>99.274282496879209</v>
      </c>
      <c r="T287" s="40">
        <v>99.274282496879209</v>
      </c>
      <c r="U287" s="40">
        <v>99.274282496879209</v>
      </c>
      <c r="V287" s="40">
        <v>99.274282496879209</v>
      </c>
      <c r="W287" s="40">
        <v>99.274282496879209</v>
      </c>
      <c r="X287" s="41">
        <v>99.274282496879209</v>
      </c>
      <c r="Y287" s="8"/>
      <c r="Z287" s="32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</row>
    <row r="288" spans="2:41" x14ac:dyDescent="0.35">
      <c r="B288" s="8"/>
      <c r="C288" s="39" t="str">
        <f>INDEX(_Sector,2,2)</f>
        <v>Commercial</v>
      </c>
      <c r="D288" s="56"/>
      <c r="E288" s="48">
        <f>INDEX(elecmed_Com,1)</f>
        <v>207.7224447956134</v>
      </c>
      <c r="F288" s="48">
        <f t="array" ref="F288:X288">$E$288</f>
        <v>207.7224447956134</v>
      </c>
      <c r="G288" s="48">
        <v>207.7224447956134</v>
      </c>
      <c r="H288" s="48">
        <v>207.7224447956134</v>
      </c>
      <c r="I288" s="48">
        <v>207.7224447956134</v>
      </c>
      <c r="J288" s="48">
        <v>207.7224447956134</v>
      </c>
      <c r="K288" s="48">
        <v>207.7224447956134</v>
      </c>
      <c r="L288" s="48">
        <v>207.7224447956134</v>
      </c>
      <c r="M288" s="48">
        <v>207.7224447956134</v>
      </c>
      <c r="N288" s="48">
        <v>207.7224447956134</v>
      </c>
      <c r="O288" s="48">
        <v>207.7224447956134</v>
      </c>
      <c r="P288" s="48">
        <v>207.7224447956134</v>
      </c>
      <c r="Q288" s="48">
        <v>207.7224447956134</v>
      </c>
      <c r="R288" s="48">
        <v>207.7224447956134</v>
      </c>
      <c r="S288" s="48">
        <v>207.7224447956134</v>
      </c>
      <c r="T288" s="48">
        <v>207.7224447956134</v>
      </c>
      <c r="U288" s="48">
        <v>207.7224447956134</v>
      </c>
      <c r="V288" s="48">
        <v>207.7224447956134</v>
      </c>
      <c r="W288" s="48">
        <v>207.7224447956134</v>
      </c>
      <c r="X288" s="49">
        <v>207.7224447956134</v>
      </c>
      <c r="Y288" s="8"/>
      <c r="Z288" s="32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</row>
    <row r="289" spans="2:41" x14ac:dyDescent="0.3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32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</row>
    <row r="290" spans="2:41" x14ac:dyDescent="0.35">
      <c r="B290" s="8"/>
      <c r="C290" s="23" t="str">
        <f>"EL 1: " &amp; INDEX(_doName,2,2)</f>
        <v>EL 1: Tier 1</v>
      </c>
      <c r="D290" s="24"/>
      <c r="E290" s="26">
        <f t="array" ref="E290:X290">_t</f>
        <v>1</v>
      </c>
      <c r="F290" s="26">
        <v>2</v>
      </c>
      <c r="G290" s="26">
        <v>3</v>
      </c>
      <c r="H290" s="26">
        <v>4</v>
      </c>
      <c r="I290" s="26">
        <v>5</v>
      </c>
      <c r="J290" s="26">
        <v>6</v>
      </c>
      <c r="K290" s="26">
        <v>7</v>
      </c>
      <c r="L290" s="26">
        <v>8</v>
      </c>
      <c r="M290" s="26">
        <v>9</v>
      </c>
      <c r="N290" s="26">
        <v>10</v>
      </c>
      <c r="O290" s="26">
        <v>11</v>
      </c>
      <c r="P290" s="26">
        <v>12</v>
      </c>
      <c r="Q290" s="26">
        <v>13</v>
      </c>
      <c r="R290" s="26">
        <v>14</v>
      </c>
      <c r="S290" s="26">
        <v>15</v>
      </c>
      <c r="T290" s="26">
        <v>16</v>
      </c>
      <c r="U290" s="26">
        <v>17</v>
      </c>
      <c r="V290" s="26">
        <v>18</v>
      </c>
      <c r="W290" s="26">
        <v>19</v>
      </c>
      <c r="X290" s="27">
        <v>20</v>
      </c>
      <c r="Y290" s="8"/>
      <c r="Z290" s="32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</row>
    <row r="291" spans="2:41" x14ac:dyDescent="0.35">
      <c r="B291" s="8"/>
      <c r="C291" s="19" t="s">
        <v>70</v>
      </c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18"/>
      <c r="Y291" s="8"/>
      <c r="Z291" s="32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</row>
    <row r="292" spans="2:41" x14ac:dyDescent="0.35">
      <c r="B292" s="8"/>
      <c r="C292" s="10" t="s">
        <v>30</v>
      </c>
      <c r="D292" s="11" t="str">
        <f>_yearDol &amp; "$"</f>
        <v>2021$</v>
      </c>
      <c r="E292" s="32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18"/>
      <c r="Y292" s="8"/>
      <c r="Z292" s="32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</row>
    <row r="293" spans="2:41" x14ac:dyDescent="0.35">
      <c r="B293" s="8"/>
      <c r="C293" s="20" t="str">
        <f>INDEX(_Sector,2,1)</f>
        <v>Residential</v>
      </c>
      <c r="D293" s="8"/>
      <c r="E293" s="32">
        <f>INDEX(mspmed_Res,2)</f>
        <v>91.098303252988558</v>
      </c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18"/>
      <c r="Y293" s="8"/>
      <c r="Z293" s="32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</row>
    <row r="294" spans="2:41" x14ac:dyDescent="0.35">
      <c r="B294" s="8"/>
      <c r="C294" s="20" t="str">
        <f>INDEX(_Sector,2,2)</f>
        <v>Commercial</v>
      </c>
      <c r="D294" s="8"/>
      <c r="E294" s="32">
        <f>INDEX(mspmed_Com,2)</f>
        <v>88.047177119864884</v>
      </c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18"/>
      <c r="Y294" s="8"/>
      <c r="Z294" s="32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</row>
    <row r="295" spans="2:41" x14ac:dyDescent="0.35">
      <c r="B295" s="8"/>
      <c r="C295" s="10" t="s">
        <v>71</v>
      </c>
      <c r="D295" s="11" t="str">
        <f>_yearDol &amp; "$"</f>
        <v>2021$</v>
      </c>
      <c r="E295" s="32">
        <f>INDEX(instmed,2)</f>
        <v>0</v>
      </c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18"/>
      <c r="Y295" s="8"/>
      <c r="Z295" s="32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</row>
    <row r="296" spans="2:41" x14ac:dyDescent="0.35">
      <c r="B296" s="8"/>
      <c r="C296" s="10" t="s">
        <v>77</v>
      </c>
      <c r="D296" s="11" t="str">
        <f>_yearDol &amp; "$"</f>
        <v>2021$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55"/>
      <c r="Y296" s="8"/>
      <c r="Z296" s="32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</row>
    <row r="297" spans="2:41" x14ac:dyDescent="0.35">
      <c r="B297" s="8"/>
      <c r="C297" s="20" t="str">
        <f>INDEX(_Sector,2,1)</f>
        <v>Residential</v>
      </c>
      <c r="D297" s="8"/>
      <c r="E297" s="32">
        <f>(Z297-1)*F297</f>
        <v>14.877725830835034</v>
      </c>
      <c r="F297" s="117">
        <f>$AC$282</f>
        <v>19.613037562534483</v>
      </c>
      <c r="G297" s="117">
        <f>F297</f>
        <v>19.613037562534483</v>
      </c>
      <c r="H297" s="117">
        <f t="shared" ref="H297:W297" si="2">G297</f>
        <v>19.613037562534483</v>
      </c>
      <c r="I297" s="117">
        <f t="shared" si="2"/>
        <v>19.613037562534483</v>
      </c>
      <c r="J297" s="117">
        <f t="shared" si="2"/>
        <v>19.613037562534483</v>
      </c>
      <c r="K297" s="117">
        <f t="shared" si="2"/>
        <v>19.613037562534483</v>
      </c>
      <c r="L297" s="117">
        <f t="shared" si="2"/>
        <v>19.613037562534483</v>
      </c>
      <c r="M297" s="117">
        <f t="shared" si="2"/>
        <v>19.613037562534483</v>
      </c>
      <c r="N297" s="117">
        <f t="shared" si="2"/>
        <v>19.613037562534483</v>
      </c>
      <c r="O297" s="117">
        <f t="shared" si="2"/>
        <v>19.613037562534483</v>
      </c>
      <c r="P297" s="117">
        <f t="shared" si="2"/>
        <v>19.613037562534483</v>
      </c>
      <c r="Q297" s="117">
        <f t="shared" si="2"/>
        <v>19.613037562534483</v>
      </c>
      <c r="R297" s="117">
        <f t="shared" si="2"/>
        <v>19.613037562534483</v>
      </c>
      <c r="S297" s="117">
        <f t="shared" si="2"/>
        <v>19.613037562534483</v>
      </c>
      <c r="T297" s="117">
        <f t="shared" si="2"/>
        <v>19.613037562534483</v>
      </c>
      <c r="U297" s="117">
        <f t="shared" si="2"/>
        <v>19.613037562534483</v>
      </c>
      <c r="V297" s="117">
        <f t="shared" si="2"/>
        <v>19.613037562534483</v>
      </c>
      <c r="W297" s="117">
        <f t="shared" si="2"/>
        <v>19.613037562534483</v>
      </c>
      <c r="X297" s="55">
        <f t="shared" ref="H297:X298" si="3">W297</f>
        <v>19.613037562534483</v>
      </c>
      <c r="Y297" s="8"/>
      <c r="Z297" s="126">
        <v>1.7585630621161401</v>
      </c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</row>
    <row r="298" spans="2:41" x14ac:dyDescent="0.35">
      <c r="B298" s="8"/>
      <c r="C298" s="20" t="str">
        <f>INDEX(_Sector,2,2)</f>
        <v>Commercial</v>
      </c>
      <c r="D298" s="8"/>
      <c r="E298" s="32">
        <f>(Z298-1)*F298</f>
        <v>21.468278740965392</v>
      </c>
      <c r="F298" s="117">
        <f>$AD$282</f>
        <v>21.468278740965392</v>
      </c>
      <c r="G298" s="117">
        <f>F298</f>
        <v>21.468278740965392</v>
      </c>
      <c r="H298" s="117">
        <f t="shared" si="3"/>
        <v>21.468278740965392</v>
      </c>
      <c r="I298" s="117">
        <f t="shared" si="3"/>
        <v>21.468278740965392</v>
      </c>
      <c r="J298" s="117">
        <f t="shared" si="3"/>
        <v>21.468278740965392</v>
      </c>
      <c r="K298" s="117">
        <f t="shared" si="3"/>
        <v>21.468278740965392</v>
      </c>
      <c r="L298" s="117">
        <f t="shared" si="3"/>
        <v>21.468278740965392</v>
      </c>
      <c r="M298" s="117">
        <f t="shared" si="3"/>
        <v>21.468278740965392</v>
      </c>
      <c r="N298" s="117">
        <f t="shared" si="3"/>
        <v>21.468278740965392</v>
      </c>
      <c r="O298" s="117">
        <f t="shared" si="3"/>
        <v>21.468278740965392</v>
      </c>
      <c r="P298" s="117">
        <f t="shared" si="3"/>
        <v>21.468278740965392</v>
      </c>
      <c r="Q298" s="117">
        <f t="shared" si="3"/>
        <v>21.468278740965392</v>
      </c>
      <c r="R298" s="117">
        <f t="shared" si="3"/>
        <v>21.468278740965392</v>
      </c>
      <c r="S298" s="117">
        <f t="shared" si="3"/>
        <v>21.468278740965392</v>
      </c>
      <c r="T298" s="117">
        <f t="shared" si="3"/>
        <v>21.468278740965392</v>
      </c>
      <c r="U298" s="117">
        <f t="shared" si="3"/>
        <v>21.468278740965392</v>
      </c>
      <c r="V298" s="117">
        <f t="shared" si="3"/>
        <v>21.468278740965392</v>
      </c>
      <c r="W298" s="117">
        <f t="shared" si="3"/>
        <v>21.468278740965392</v>
      </c>
      <c r="X298" s="55">
        <f t="shared" si="3"/>
        <v>21.468278740965392</v>
      </c>
      <c r="Y298" s="8"/>
      <c r="Z298" s="126">
        <v>2</v>
      </c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</row>
    <row r="299" spans="2:41" x14ac:dyDescent="0.35">
      <c r="B299" s="8"/>
      <c r="C299" s="19" t="s">
        <v>78</v>
      </c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18"/>
      <c r="Y299" s="8"/>
      <c r="Z299" s="32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</row>
    <row r="300" spans="2:41" x14ac:dyDescent="0.35">
      <c r="B300" s="8"/>
      <c r="C300" s="10" t="str">
        <f>INDEX(_fuel,1)</f>
        <v>Electricity</v>
      </c>
      <c r="D300" s="11" t="s">
        <v>75</v>
      </c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1"/>
      <c r="Y300" s="8"/>
      <c r="Z300" s="32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</row>
    <row r="301" spans="2:41" x14ac:dyDescent="0.35">
      <c r="B301" s="8"/>
      <c r="C301" s="20" t="str">
        <f>INDEX(_Sector,2,1)</f>
        <v>Residential</v>
      </c>
      <c r="D301" s="8"/>
      <c r="E301" s="40">
        <f>INDEX(elecmed_Res,2)</f>
        <v>80.500135656387144</v>
      </c>
      <c r="F301" s="40">
        <f t="array" ref="F301:X301">$E$301</f>
        <v>80.500135656387144</v>
      </c>
      <c r="G301" s="40">
        <v>80.500135656387144</v>
      </c>
      <c r="H301" s="40">
        <v>80.500135656387144</v>
      </c>
      <c r="I301" s="40">
        <v>80.500135656387144</v>
      </c>
      <c r="J301" s="40">
        <v>80.500135656387144</v>
      </c>
      <c r="K301" s="40">
        <v>80.500135656387144</v>
      </c>
      <c r="L301" s="40">
        <v>80.500135656387144</v>
      </c>
      <c r="M301" s="40">
        <v>80.500135656387144</v>
      </c>
      <c r="N301" s="40">
        <v>80.500135656387144</v>
      </c>
      <c r="O301" s="40">
        <v>80.500135656387144</v>
      </c>
      <c r="P301" s="40">
        <v>80.500135656387144</v>
      </c>
      <c r="Q301" s="40">
        <v>80.500135656387144</v>
      </c>
      <c r="R301" s="40">
        <v>80.500135656387144</v>
      </c>
      <c r="S301" s="40">
        <v>80.500135656387144</v>
      </c>
      <c r="T301" s="40">
        <v>80.500135656387144</v>
      </c>
      <c r="U301" s="40">
        <v>80.500135656387144</v>
      </c>
      <c r="V301" s="40">
        <v>80.500135656387144</v>
      </c>
      <c r="W301" s="40">
        <v>80.500135656387144</v>
      </c>
      <c r="X301" s="41">
        <v>80.500135656387144</v>
      </c>
      <c r="Y301" s="8"/>
      <c r="Z301" s="32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</row>
    <row r="302" spans="2:41" x14ac:dyDescent="0.35">
      <c r="B302" s="8"/>
      <c r="C302" s="39" t="str">
        <f>INDEX(_Sector,2,2)</f>
        <v>Commercial</v>
      </c>
      <c r="D302" s="56"/>
      <c r="E302" s="48">
        <f>INDEX(elecmed_Com,2)</f>
        <v>167.4741759990699</v>
      </c>
      <c r="F302" s="48">
        <f t="array" ref="F302:X302">$E$302</f>
        <v>167.4741759990699</v>
      </c>
      <c r="G302" s="48">
        <v>167.4741759990699</v>
      </c>
      <c r="H302" s="48">
        <v>167.4741759990699</v>
      </c>
      <c r="I302" s="48">
        <v>167.4741759990699</v>
      </c>
      <c r="J302" s="48">
        <v>167.4741759990699</v>
      </c>
      <c r="K302" s="48">
        <v>167.4741759990699</v>
      </c>
      <c r="L302" s="48">
        <v>167.4741759990699</v>
      </c>
      <c r="M302" s="48">
        <v>167.4741759990699</v>
      </c>
      <c r="N302" s="48">
        <v>167.4741759990699</v>
      </c>
      <c r="O302" s="48">
        <v>167.4741759990699</v>
      </c>
      <c r="P302" s="48">
        <v>167.4741759990699</v>
      </c>
      <c r="Q302" s="48">
        <v>167.4741759990699</v>
      </c>
      <c r="R302" s="48">
        <v>167.4741759990699</v>
      </c>
      <c r="S302" s="48">
        <v>167.4741759990699</v>
      </c>
      <c r="T302" s="48">
        <v>167.4741759990699</v>
      </c>
      <c r="U302" s="48">
        <v>167.4741759990699</v>
      </c>
      <c r="V302" s="48">
        <v>167.4741759990699</v>
      </c>
      <c r="W302" s="48">
        <v>167.4741759990699</v>
      </c>
      <c r="X302" s="49">
        <v>167.4741759990699</v>
      </c>
      <c r="Y302" s="8"/>
      <c r="Z302" s="32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</row>
    <row r="303" spans="2:41" x14ac:dyDescent="0.3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32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</row>
    <row r="304" spans="2:41" x14ac:dyDescent="0.35">
      <c r="B304" s="8"/>
      <c r="C304" s="23" t="str">
        <f>"EL 2: " &amp; INDEX(_doName,2,3)</f>
        <v>EL 2: Tier 2</v>
      </c>
      <c r="D304" s="24"/>
      <c r="E304" s="26">
        <f t="array" ref="E304:X304">_t</f>
        <v>1</v>
      </c>
      <c r="F304" s="26">
        <v>2</v>
      </c>
      <c r="G304" s="26">
        <v>3</v>
      </c>
      <c r="H304" s="26">
        <v>4</v>
      </c>
      <c r="I304" s="26">
        <v>5</v>
      </c>
      <c r="J304" s="26">
        <v>6</v>
      </c>
      <c r="K304" s="26">
        <v>7</v>
      </c>
      <c r="L304" s="26">
        <v>8</v>
      </c>
      <c r="M304" s="26">
        <v>9</v>
      </c>
      <c r="N304" s="26">
        <v>10</v>
      </c>
      <c r="O304" s="26">
        <v>11</v>
      </c>
      <c r="P304" s="26">
        <v>12</v>
      </c>
      <c r="Q304" s="26">
        <v>13</v>
      </c>
      <c r="R304" s="26">
        <v>14</v>
      </c>
      <c r="S304" s="26">
        <v>15</v>
      </c>
      <c r="T304" s="26">
        <v>16</v>
      </c>
      <c r="U304" s="26">
        <v>17</v>
      </c>
      <c r="V304" s="26">
        <v>18</v>
      </c>
      <c r="W304" s="26">
        <v>19</v>
      </c>
      <c r="X304" s="27">
        <v>20</v>
      </c>
      <c r="Y304" s="8"/>
      <c r="Z304" s="32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</row>
    <row r="305" spans="2:41" x14ac:dyDescent="0.35">
      <c r="B305" s="8"/>
      <c r="C305" s="19" t="s">
        <v>70</v>
      </c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18"/>
      <c r="Y305" s="8"/>
      <c r="Z305" s="32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</row>
    <row r="306" spans="2:41" x14ac:dyDescent="0.35">
      <c r="B306" s="8"/>
      <c r="C306" s="10" t="s">
        <v>30</v>
      </c>
      <c r="D306" s="11" t="str">
        <f>_yearDol &amp; "$"</f>
        <v>2021$</v>
      </c>
      <c r="E306" s="32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18"/>
      <c r="Y306" s="8"/>
      <c r="Z306" s="32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</row>
    <row r="307" spans="2:41" x14ac:dyDescent="0.35">
      <c r="B307" s="8"/>
      <c r="C307" s="20" t="str">
        <f>INDEX(_Sector,2,1)</f>
        <v>Residential</v>
      </c>
      <c r="D307" s="8"/>
      <c r="E307" s="32">
        <f>INDEX(mspmed_Res,3)</f>
        <v>93.347675487670998</v>
      </c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18"/>
      <c r="Y307" s="8"/>
      <c r="Z307" s="32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</row>
    <row r="308" spans="2:41" x14ac:dyDescent="0.35">
      <c r="B308" s="8"/>
      <c r="C308" s="20" t="str">
        <f>INDEX(_Sector,2,2)</f>
        <v>Commercial</v>
      </c>
      <c r="D308" s="8"/>
      <c r="E308" s="32">
        <f>INDEX(mspmed_Com,3)</f>
        <v>90.277551262240507</v>
      </c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18"/>
      <c r="Y308" s="8"/>
      <c r="Z308" s="32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</row>
    <row r="309" spans="2:41" x14ac:dyDescent="0.35">
      <c r="B309" s="8"/>
      <c r="C309" s="10" t="s">
        <v>71</v>
      </c>
      <c r="D309" s="11" t="str">
        <f>_yearDol &amp; "$"</f>
        <v>2021$</v>
      </c>
      <c r="E309" s="32">
        <f>INDEX(instmed,3)</f>
        <v>0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18"/>
      <c r="Y309" s="8"/>
      <c r="Z309" s="32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</row>
    <row r="310" spans="2:41" x14ac:dyDescent="0.35">
      <c r="B310" s="8"/>
      <c r="C310" s="10" t="s">
        <v>77</v>
      </c>
      <c r="D310" s="11" t="str">
        <f>_yearDol &amp; "$"</f>
        <v>2021$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55"/>
      <c r="Y310" s="8"/>
      <c r="Z310" s="32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</row>
    <row r="311" spans="2:41" x14ac:dyDescent="0.35">
      <c r="B311" s="8"/>
      <c r="C311" s="20" t="str">
        <f>INDEX(_Sector,2,1)</f>
        <v>Residential</v>
      </c>
      <c r="D311" s="8"/>
      <c r="E311" s="32">
        <f>(Z311-1)*F311</f>
        <v>12.869815865876488</v>
      </c>
      <c r="F311" s="117">
        <f>$AC$283</f>
        <v>16.966046079246144</v>
      </c>
      <c r="G311" s="117">
        <f>F311</f>
        <v>16.966046079246144</v>
      </c>
      <c r="H311" s="117">
        <f t="shared" ref="H311:W311" si="4">G311</f>
        <v>16.966046079246144</v>
      </c>
      <c r="I311" s="117">
        <f t="shared" si="4"/>
        <v>16.966046079246144</v>
      </c>
      <c r="J311" s="117">
        <f t="shared" si="4"/>
        <v>16.966046079246144</v>
      </c>
      <c r="K311" s="117">
        <f t="shared" si="4"/>
        <v>16.966046079246144</v>
      </c>
      <c r="L311" s="117">
        <f t="shared" si="4"/>
        <v>16.966046079246144</v>
      </c>
      <c r="M311" s="117">
        <f t="shared" si="4"/>
        <v>16.966046079246144</v>
      </c>
      <c r="N311" s="117">
        <f t="shared" si="4"/>
        <v>16.966046079246144</v>
      </c>
      <c r="O311" s="117">
        <f t="shared" si="4"/>
        <v>16.966046079246144</v>
      </c>
      <c r="P311" s="117">
        <f t="shared" si="4"/>
        <v>16.966046079246144</v>
      </c>
      <c r="Q311" s="117">
        <f t="shared" si="4"/>
        <v>16.966046079246144</v>
      </c>
      <c r="R311" s="117">
        <f t="shared" si="4"/>
        <v>16.966046079246144</v>
      </c>
      <c r="S311" s="117">
        <f t="shared" si="4"/>
        <v>16.966046079246144</v>
      </c>
      <c r="T311" s="117">
        <f t="shared" si="4"/>
        <v>16.966046079246144</v>
      </c>
      <c r="U311" s="117">
        <f t="shared" si="4"/>
        <v>16.966046079246144</v>
      </c>
      <c r="V311" s="117">
        <f t="shared" si="4"/>
        <v>16.966046079246144</v>
      </c>
      <c r="W311" s="117">
        <f t="shared" si="4"/>
        <v>16.966046079246144</v>
      </c>
      <c r="X311" s="55">
        <f t="shared" ref="H311:X312" si="5">W311</f>
        <v>16.966046079246144</v>
      </c>
      <c r="Y311" s="8"/>
      <c r="Z311" s="126">
        <v>1.7585630621161401</v>
      </c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</row>
    <row r="312" spans="2:41" x14ac:dyDescent="0.35">
      <c r="B312" s="8"/>
      <c r="C312" s="20" t="str">
        <f>INDEX(_Sector,2,2)</f>
        <v>Commercial</v>
      </c>
      <c r="D312" s="8"/>
      <c r="E312" s="32">
        <f>(Z312-1)*F312</f>
        <v>18.483301774249814</v>
      </c>
      <c r="F312" s="117">
        <f>$AD$283</f>
        <v>18.483301774249814</v>
      </c>
      <c r="G312" s="117">
        <f>F312</f>
        <v>18.483301774249814</v>
      </c>
      <c r="H312" s="117">
        <f t="shared" si="5"/>
        <v>18.483301774249814</v>
      </c>
      <c r="I312" s="117">
        <f t="shared" si="5"/>
        <v>18.483301774249814</v>
      </c>
      <c r="J312" s="117">
        <f t="shared" si="5"/>
        <v>18.483301774249814</v>
      </c>
      <c r="K312" s="117">
        <f t="shared" si="5"/>
        <v>18.483301774249814</v>
      </c>
      <c r="L312" s="117">
        <f t="shared" si="5"/>
        <v>18.483301774249814</v>
      </c>
      <c r="M312" s="117">
        <f t="shared" si="5"/>
        <v>18.483301774249814</v>
      </c>
      <c r="N312" s="117">
        <f t="shared" si="5"/>
        <v>18.483301774249814</v>
      </c>
      <c r="O312" s="117">
        <f t="shared" si="5"/>
        <v>18.483301774249814</v>
      </c>
      <c r="P312" s="117">
        <f t="shared" si="5"/>
        <v>18.483301774249814</v>
      </c>
      <c r="Q312" s="117">
        <f t="shared" si="5"/>
        <v>18.483301774249814</v>
      </c>
      <c r="R312" s="117">
        <f t="shared" si="5"/>
        <v>18.483301774249814</v>
      </c>
      <c r="S312" s="117">
        <f t="shared" si="5"/>
        <v>18.483301774249814</v>
      </c>
      <c r="T312" s="117">
        <f t="shared" si="5"/>
        <v>18.483301774249814</v>
      </c>
      <c r="U312" s="117">
        <f t="shared" si="5"/>
        <v>18.483301774249814</v>
      </c>
      <c r="V312" s="117">
        <f t="shared" si="5"/>
        <v>18.483301774249814</v>
      </c>
      <c r="W312" s="117">
        <f t="shared" si="5"/>
        <v>18.483301774249814</v>
      </c>
      <c r="X312" s="55">
        <f t="shared" si="5"/>
        <v>18.483301774249814</v>
      </c>
      <c r="Y312" s="8"/>
      <c r="Z312" s="126">
        <v>2</v>
      </c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</row>
    <row r="313" spans="2:41" x14ac:dyDescent="0.35">
      <c r="B313" s="8"/>
      <c r="C313" s="19" t="s">
        <v>78</v>
      </c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18"/>
      <c r="Y313" s="8"/>
      <c r="Z313" s="32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</row>
    <row r="314" spans="2:41" x14ac:dyDescent="0.35">
      <c r="B314" s="8"/>
      <c r="C314" s="10" t="str">
        <f>INDEX(_fuel,1)</f>
        <v>Electricity</v>
      </c>
      <c r="D314" s="11" t="s">
        <v>75</v>
      </c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1"/>
      <c r="Y314" s="8"/>
      <c r="Z314" s="32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</row>
    <row r="315" spans="2:41" x14ac:dyDescent="0.35">
      <c r="B315" s="8"/>
      <c r="C315" s="20" t="str">
        <f>INDEX(_Sector,2,1)</f>
        <v>Residential</v>
      </c>
      <c r="D315" s="8"/>
      <c r="E315" s="40">
        <f>INDEX(elecmed_Res,3)</f>
        <v>64.500793471479014</v>
      </c>
      <c r="F315" s="40">
        <f t="array" ref="F315:X315">$E$315</f>
        <v>64.500793471479014</v>
      </c>
      <c r="G315" s="40">
        <v>64.500793471479014</v>
      </c>
      <c r="H315" s="40">
        <v>64.500793471479014</v>
      </c>
      <c r="I315" s="40">
        <v>64.500793471479014</v>
      </c>
      <c r="J315" s="40">
        <v>64.500793471479014</v>
      </c>
      <c r="K315" s="40">
        <v>64.500793471479014</v>
      </c>
      <c r="L315" s="40">
        <v>64.500793471479014</v>
      </c>
      <c r="M315" s="40">
        <v>64.500793471479014</v>
      </c>
      <c r="N315" s="40">
        <v>64.500793471479014</v>
      </c>
      <c r="O315" s="40">
        <v>64.500793471479014</v>
      </c>
      <c r="P315" s="40">
        <v>64.500793471479014</v>
      </c>
      <c r="Q315" s="40">
        <v>64.500793471479014</v>
      </c>
      <c r="R315" s="40">
        <v>64.500793471479014</v>
      </c>
      <c r="S315" s="40">
        <v>64.500793471479014</v>
      </c>
      <c r="T315" s="40">
        <v>64.500793471479014</v>
      </c>
      <c r="U315" s="40">
        <v>64.500793471479014</v>
      </c>
      <c r="V315" s="40">
        <v>64.500793471479014</v>
      </c>
      <c r="W315" s="40">
        <v>64.500793471479014</v>
      </c>
      <c r="X315" s="41">
        <v>64.500793471479014</v>
      </c>
      <c r="Y315" s="8"/>
      <c r="Z315" s="32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</row>
    <row r="316" spans="2:41" x14ac:dyDescent="0.35">
      <c r="B316" s="8"/>
      <c r="C316" s="39" t="str">
        <f>INDEX(_Sector,2,2)</f>
        <v>Commercial</v>
      </c>
      <c r="D316" s="56"/>
      <c r="E316" s="48">
        <f>INDEX(elecmed_Com,3)</f>
        <v>133.32201676871264</v>
      </c>
      <c r="F316" s="48">
        <f t="array" ref="F316:X316">$E$316</f>
        <v>133.32201676871264</v>
      </c>
      <c r="G316" s="48">
        <v>133.32201676871264</v>
      </c>
      <c r="H316" s="48">
        <v>133.32201676871264</v>
      </c>
      <c r="I316" s="48">
        <v>133.32201676871264</v>
      </c>
      <c r="J316" s="48">
        <v>133.32201676871264</v>
      </c>
      <c r="K316" s="48">
        <v>133.32201676871264</v>
      </c>
      <c r="L316" s="48">
        <v>133.32201676871264</v>
      </c>
      <c r="M316" s="48">
        <v>133.32201676871264</v>
      </c>
      <c r="N316" s="48">
        <v>133.32201676871264</v>
      </c>
      <c r="O316" s="48">
        <v>133.32201676871264</v>
      </c>
      <c r="P316" s="48">
        <v>133.32201676871264</v>
      </c>
      <c r="Q316" s="48">
        <v>133.32201676871264</v>
      </c>
      <c r="R316" s="48">
        <v>133.32201676871264</v>
      </c>
      <c r="S316" s="48">
        <v>133.32201676871264</v>
      </c>
      <c r="T316" s="48">
        <v>133.32201676871264</v>
      </c>
      <c r="U316" s="48">
        <v>133.32201676871264</v>
      </c>
      <c r="V316" s="48">
        <v>133.32201676871264</v>
      </c>
      <c r="W316" s="48">
        <v>133.32201676871264</v>
      </c>
      <c r="X316" s="49">
        <v>133.32201676871264</v>
      </c>
      <c r="Y316" s="8"/>
      <c r="Z316" s="32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</row>
    <row r="317" spans="2:41" x14ac:dyDescent="0.3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32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</row>
    <row r="318" spans="2:41" x14ac:dyDescent="0.35">
      <c r="B318" s="8"/>
      <c r="C318" s="23" t="str">
        <f>"EL 3: " &amp; INDEX(_doName,2,4)</f>
        <v>EL 3: EL 3</v>
      </c>
      <c r="D318" s="24"/>
      <c r="E318" s="26">
        <f t="array" ref="E318:X318">_t</f>
        <v>1</v>
      </c>
      <c r="F318" s="26">
        <v>2</v>
      </c>
      <c r="G318" s="26">
        <v>3</v>
      </c>
      <c r="H318" s="26">
        <v>4</v>
      </c>
      <c r="I318" s="26">
        <v>5</v>
      </c>
      <c r="J318" s="26">
        <v>6</v>
      </c>
      <c r="K318" s="26">
        <v>7</v>
      </c>
      <c r="L318" s="26">
        <v>8</v>
      </c>
      <c r="M318" s="26">
        <v>9</v>
      </c>
      <c r="N318" s="26">
        <v>10</v>
      </c>
      <c r="O318" s="26">
        <v>11</v>
      </c>
      <c r="P318" s="26">
        <v>12</v>
      </c>
      <c r="Q318" s="26">
        <v>13</v>
      </c>
      <c r="R318" s="26">
        <v>14</v>
      </c>
      <c r="S318" s="26">
        <v>15</v>
      </c>
      <c r="T318" s="26">
        <v>16</v>
      </c>
      <c r="U318" s="26">
        <v>17</v>
      </c>
      <c r="V318" s="26">
        <v>18</v>
      </c>
      <c r="W318" s="26">
        <v>19</v>
      </c>
      <c r="X318" s="27">
        <v>20</v>
      </c>
      <c r="Y318" s="8"/>
      <c r="Z318" s="32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</row>
    <row r="319" spans="2:41" x14ac:dyDescent="0.35">
      <c r="B319" s="8"/>
      <c r="C319" s="19" t="s">
        <v>70</v>
      </c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18"/>
      <c r="Y319" s="8"/>
      <c r="Z319" s="32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</row>
    <row r="320" spans="2:41" x14ac:dyDescent="0.35">
      <c r="B320" s="8"/>
      <c r="C320" s="10" t="s">
        <v>30</v>
      </c>
      <c r="D320" s="11" t="str">
        <f>_yearDol &amp; "$"</f>
        <v>2021$</v>
      </c>
      <c r="E320" s="32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18"/>
      <c r="Y320" s="8"/>
      <c r="Z320" s="32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</row>
    <row r="321" spans="2:41" x14ac:dyDescent="0.35">
      <c r="B321" s="8"/>
      <c r="C321" s="20" t="str">
        <f>INDEX(_Sector,2,1)</f>
        <v>Residential</v>
      </c>
      <c r="D321" s="8"/>
      <c r="E321" s="32">
        <f>INDEX(mspmed_Res,4)</f>
        <v>102.22123460821479</v>
      </c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18"/>
      <c r="Y321" s="8"/>
      <c r="Z321" s="32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</row>
    <row r="322" spans="2:41" x14ac:dyDescent="0.35">
      <c r="B322" s="8"/>
      <c r="C322" s="20" t="str">
        <f>INDEX(_Sector,2,2)</f>
        <v>Commercial</v>
      </c>
      <c r="D322" s="8"/>
      <c r="E322" s="32">
        <f>INDEX(mspmed_Com,4)</f>
        <v>99.076164718958779</v>
      </c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18"/>
      <c r="Y322" s="8"/>
      <c r="Z322" s="32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</row>
    <row r="323" spans="2:41" x14ac:dyDescent="0.35">
      <c r="B323" s="8"/>
      <c r="C323" s="10" t="s">
        <v>71</v>
      </c>
      <c r="D323" s="11" t="str">
        <f>_yearDol &amp; "$"</f>
        <v>2021$</v>
      </c>
      <c r="E323" s="32">
        <f>INDEX(instmed,4)</f>
        <v>0</v>
      </c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18"/>
      <c r="Y323" s="8"/>
      <c r="Z323" s="32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</row>
    <row r="324" spans="2:41" x14ac:dyDescent="0.35">
      <c r="B324" s="8"/>
      <c r="C324" s="10" t="s">
        <v>77</v>
      </c>
      <c r="D324" s="11" t="str">
        <f>_yearDol &amp; "$"</f>
        <v>2021$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55"/>
      <c r="Y324" s="8"/>
      <c r="Z324" s="32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</row>
    <row r="325" spans="2:41" x14ac:dyDescent="0.35">
      <c r="B325" s="8"/>
      <c r="C325" s="20" t="str">
        <f>INDEX(_Sector,2,1)</f>
        <v>Residential</v>
      </c>
      <c r="D325" s="8"/>
      <c r="E325" s="32">
        <f>(Z325-1)*F325</f>
        <v>27.556006195509418</v>
      </c>
      <c r="F325" s="117">
        <f>$AC$284</f>
        <v>36.326585845924626</v>
      </c>
      <c r="G325" s="117">
        <f>F325</f>
        <v>36.326585845924626</v>
      </c>
      <c r="H325" s="117">
        <f t="shared" ref="H325:W325" si="6">G325</f>
        <v>36.326585845924626</v>
      </c>
      <c r="I325" s="117">
        <f t="shared" si="6"/>
        <v>36.326585845924626</v>
      </c>
      <c r="J325" s="117">
        <f t="shared" si="6"/>
        <v>36.326585845924626</v>
      </c>
      <c r="K325" s="117">
        <f t="shared" si="6"/>
        <v>36.326585845924626</v>
      </c>
      <c r="L325" s="117">
        <f t="shared" si="6"/>
        <v>36.326585845924626</v>
      </c>
      <c r="M325" s="117">
        <f t="shared" si="6"/>
        <v>36.326585845924626</v>
      </c>
      <c r="N325" s="117">
        <f t="shared" si="6"/>
        <v>36.326585845924626</v>
      </c>
      <c r="O325" s="117">
        <f t="shared" si="6"/>
        <v>36.326585845924626</v>
      </c>
      <c r="P325" s="117">
        <f t="shared" si="6"/>
        <v>36.326585845924626</v>
      </c>
      <c r="Q325" s="117">
        <f t="shared" si="6"/>
        <v>36.326585845924626</v>
      </c>
      <c r="R325" s="117">
        <f t="shared" si="6"/>
        <v>36.326585845924626</v>
      </c>
      <c r="S325" s="117">
        <f t="shared" si="6"/>
        <v>36.326585845924626</v>
      </c>
      <c r="T325" s="117">
        <f t="shared" si="6"/>
        <v>36.326585845924626</v>
      </c>
      <c r="U325" s="117">
        <f t="shared" si="6"/>
        <v>36.326585845924626</v>
      </c>
      <c r="V325" s="117">
        <f t="shared" si="6"/>
        <v>36.326585845924626</v>
      </c>
      <c r="W325" s="117">
        <f t="shared" si="6"/>
        <v>36.326585845924626</v>
      </c>
      <c r="X325" s="55">
        <f t="shared" ref="H325:X326" si="7">W325</f>
        <v>36.326585845924626</v>
      </c>
      <c r="Y325" s="8"/>
      <c r="Z325" s="126">
        <v>1.7585630621161401</v>
      </c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</row>
    <row r="326" spans="2:41" x14ac:dyDescent="0.35">
      <c r="B326" s="8"/>
      <c r="C326" s="20" t="str">
        <f>INDEX(_Sector,2,2)</f>
        <v>Commercial</v>
      </c>
      <c r="D326" s="8"/>
      <c r="E326" s="32">
        <f>(Z326-1)*F326</f>
        <v>40.315924066985218</v>
      </c>
      <c r="F326" s="117">
        <f>$AD$284</f>
        <v>40.315924066985218</v>
      </c>
      <c r="G326" s="117">
        <f>F326</f>
        <v>40.315924066985218</v>
      </c>
      <c r="H326" s="117">
        <f t="shared" si="7"/>
        <v>40.315924066985218</v>
      </c>
      <c r="I326" s="117">
        <f t="shared" si="7"/>
        <v>40.315924066985218</v>
      </c>
      <c r="J326" s="117">
        <f t="shared" si="7"/>
        <v>40.315924066985218</v>
      </c>
      <c r="K326" s="117">
        <f t="shared" si="7"/>
        <v>40.315924066985218</v>
      </c>
      <c r="L326" s="117">
        <f t="shared" si="7"/>
        <v>40.315924066985218</v>
      </c>
      <c r="M326" s="117">
        <f t="shared" si="7"/>
        <v>40.315924066985218</v>
      </c>
      <c r="N326" s="117">
        <f t="shared" si="7"/>
        <v>40.315924066985218</v>
      </c>
      <c r="O326" s="117">
        <f t="shared" si="7"/>
        <v>40.315924066985218</v>
      </c>
      <c r="P326" s="117">
        <f t="shared" si="7"/>
        <v>40.315924066985218</v>
      </c>
      <c r="Q326" s="117">
        <f t="shared" si="7"/>
        <v>40.315924066985218</v>
      </c>
      <c r="R326" s="117">
        <f t="shared" si="7"/>
        <v>40.315924066985218</v>
      </c>
      <c r="S326" s="117">
        <f t="shared" si="7"/>
        <v>40.315924066985218</v>
      </c>
      <c r="T326" s="117">
        <f t="shared" si="7"/>
        <v>40.315924066985218</v>
      </c>
      <c r="U326" s="117">
        <f t="shared" si="7"/>
        <v>40.315924066985218</v>
      </c>
      <c r="V326" s="117">
        <f t="shared" si="7"/>
        <v>40.315924066985218</v>
      </c>
      <c r="W326" s="117">
        <f t="shared" si="7"/>
        <v>40.315924066985218</v>
      </c>
      <c r="X326" s="55">
        <f t="shared" si="7"/>
        <v>40.315924066985218</v>
      </c>
      <c r="Y326" s="8"/>
      <c r="Z326" s="126">
        <v>2</v>
      </c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</row>
    <row r="327" spans="2:41" x14ac:dyDescent="0.35">
      <c r="B327" s="8"/>
      <c r="C327" s="19" t="s">
        <v>78</v>
      </c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18"/>
      <c r="Y327" s="8"/>
      <c r="Z327" s="32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</row>
    <row r="328" spans="2:41" x14ac:dyDescent="0.35">
      <c r="B328" s="8"/>
      <c r="C328" s="10" t="str">
        <f>INDEX(_fuel,1)</f>
        <v>Electricity</v>
      </c>
      <c r="D328" s="11" t="s">
        <v>75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1"/>
      <c r="Y328" s="8"/>
      <c r="Z328" s="32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</row>
    <row r="329" spans="2:41" x14ac:dyDescent="0.35">
      <c r="B329" s="8"/>
      <c r="C329" s="20" t="str">
        <f>INDEX(_Sector,2,1)</f>
        <v>Residential</v>
      </c>
      <c r="D329" s="8"/>
      <c r="E329" s="40">
        <f>INDEX(elecmed_Res,4)</f>
        <v>29.917596235682506</v>
      </c>
      <c r="F329" s="40">
        <f t="array" ref="F329:X329">$E$329</f>
        <v>29.917596235682506</v>
      </c>
      <c r="G329" s="40">
        <v>29.917596235682506</v>
      </c>
      <c r="H329" s="40">
        <v>29.917596235682506</v>
      </c>
      <c r="I329" s="40">
        <v>29.917596235682506</v>
      </c>
      <c r="J329" s="40">
        <v>29.917596235682506</v>
      </c>
      <c r="K329" s="40">
        <v>29.917596235682506</v>
      </c>
      <c r="L329" s="40">
        <v>29.917596235682506</v>
      </c>
      <c r="M329" s="40">
        <v>29.917596235682506</v>
      </c>
      <c r="N329" s="40">
        <v>29.917596235682506</v>
      </c>
      <c r="O329" s="40">
        <v>29.917596235682506</v>
      </c>
      <c r="P329" s="40">
        <v>29.917596235682506</v>
      </c>
      <c r="Q329" s="40">
        <v>29.917596235682506</v>
      </c>
      <c r="R329" s="40">
        <v>29.917596235682506</v>
      </c>
      <c r="S329" s="40">
        <v>29.917596235682506</v>
      </c>
      <c r="T329" s="40">
        <v>29.917596235682506</v>
      </c>
      <c r="U329" s="40">
        <v>29.917596235682506</v>
      </c>
      <c r="V329" s="40">
        <v>29.917596235682506</v>
      </c>
      <c r="W329" s="40">
        <v>29.917596235682506</v>
      </c>
      <c r="X329" s="41">
        <v>29.917596235682506</v>
      </c>
      <c r="Y329" s="8"/>
      <c r="Z329" s="32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</row>
    <row r="330" spans="2:41" x14ac:dyDescent="0.35">
      <c r="B330" s="8"/>
      <c r="C330" s="39" t="str">
        <f>INDEX(_Sector,2,2)</f>
        <v>Commercial</v>
      </c>
      <c r="D330" s="56"/>
      <c r="E330" s="48">
        <f>INDEX(elecmed_Com,4)</f>
        <v>59.505422700305076</v>
      </c>
      <c r="F330" s="48">
        <f t="array" ref="F330:X330">$E$330</f>
        <v>59.505422700305076</v>
      </c>
      <c r="G330" s="48">
        <v>59.505422700305076</v>
      </c>
      <c r="H330" s="48">
        <v>59.505422700305076</v>
      </c>
      <c r="I330" s="48">
        <v>59.505422700305076</v>
      </c>
      <c r="J330" s="48">
        <v>59.505422700305076</v>
      </c>
      <c r="K330" s="48">
        <v>59.505422700305076</v>
      </c>
      <c r="L330" s="48">
        <v>59.505422700305076</v>
      </c>
      <c r="M330" s="48">
        <v>59.505422700305076</v>
      </c>
      <c r="N330" s="48">
        <v>59.505422700305076</v>
      </c>
      <c r="O330" s="48">
        <v>59.505422700305076</v>
      </c>
      <c r="P330" s="48">
        <v>59.505422700305076</v>
      </c>
      <c r="Q330" s="48">
        <v>59.505422700305076</v>
      </c>
      <c r="R330" s="48">
        <v>59.505422700305076</v>
      </c>
      <c r="S330" s="48">
        <v>59.505422700305076</v>
      </c>
      <c r="T330" s="48">
        <v>59.505422700305076</v>
      </c>
      <c r="U330" s="48">
        <v>59.505422700305076</v>
      </c>
      <c r="V330" s="48">
        <v>59.505422700305076</v>
      </c>
      <c r="W330" s="48">
        <v>59.505422700305076</v>
      </c>
      <c r="X330" s="49">
        <v>59.505422700305076</v>
      </c>
      <c r="Y330" s="8"/>
      <c r="Z330" s="32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</row>
    <row r="331" spans="2:41" x14ac:dyDescent="0.3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32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</row>
    <row r="332" spans="2:41" x14ac:dyDescent="0.35">
      <c r="B332" s="8"/>
      <c r="C332" s="23" t="str">
        <f>"EL 4: " &amp; INDEX(_doName,2,5)</f>
        <v>EL 4: EL 4</v>
      </c>
      <c r="D332" s="24"/>
      <c r="E332" s="26">
        <f t="array" ref="E332:X332">_t</f>
        <v>1</v>
      </c>
      <c r="F332" s="26">
        <v>2</v>
      </c>
      <c r="G332" s="26">
        <v>3</v>
      </c>
      <c r="H332" s="26">
        <v>4</v>
      </c>
      <c r="I332" s="26">
        <v>5</v>
      </c>
      <c r="J332" s="26">
        <v>6</v>
      </c>
      <c r="K332" s="26">
        <v>7</v>
      </c>
      <c r="L332" s="26">
        <v>8</v>
      </c>
      <c r="M332" s="26">
        <v>9</v>
      </c>
      <c r="N332" s="26">
        <v>10</v>
      </c>
      <c r="O332" s="26">
        <v>11</v>
      </c>
      <c r="P332" s="26">
        <v>12</v>
      </c>
      <c r="Q332" s="26">
        <v>13</v>
      </c>
      <c r="R332" s="26">
        <v>14</v>
      </c>
      <c r="S332" s="26">
        <v>15</v>
      </c>
      <c r="T332" s="26">
        <v>16</v>
      </c>
      <c r="U332" s="26">
        <v>17</v>
      </c>
      <c r="V332" s="26">
        <v>18</v>
      </c>
      <c r="W332" s="26">
        <v>19</v>
      </c>
      <c r="X332" s="27">
        <v>20</v>
      </c>
      <c r="Y332" s="8"/>
      <c r="Z332" s="32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</row>
    <row r="333" spans="2:41" x14ac:dyDescent="0.35">
      <c r="B333" s="8"/>
      <c r="C333" s="19" t="s">
        <v>70</v>
      </c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18"/>
      <c r="Y333" s="8"/>
      <c r="Z333" s="32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</row>
    <row r="334" spans="2:41" x14ac:dyDescent="0.35">
      <c r="B334" s="8"/>
      <c r="C334" s="10" t="s">
        <v>30</v>
      </c>
      <c r="D334" s="11" t="str">
        <f>_yearDol &amp; "$"</f>
        <v>2021$</v>
      </c>
      <c r="E334" s="32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18"/>
      <c r="Y334" s="8"/>
      <c r="Z334" s="32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</row>
    <row r="335" spans="2:41" x14ac:dyDescent="0.35">
      <c r="B335" s="8"/>
      <c r="C335" s="20" t="str">
        <f>INDEX(_Sector,2,1)</f>
        <v>Residential</v>
      </c>
      <c r="D335" s="8"/>
      <c r="E335" s="32">
        <f>INDEX(mspmed_Res,5)</f>
        <v>110.70725690698275</v>
      </c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18"/>
      <c r="Y335" s="8"/>
      <c r="Z335" s="32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</row>
    <row r="336" spans="2:41" x14ac:dyDescent="0.35">
      <c r="B336" s="8"/>
      <c r="C336" s="20" t="str">
        <f>INDEX(_Sector,2,2)</f>
        <v>Commercial</v>
      </c>
      <c r="D336" s="8"/>
      <c r="E336" s="32">
        <f>INDEX(mspmed_Com,5)</f>
        <v>107.49051447171512</v>
      </c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18"/>
      <c r="Y336" s="8"/>
      <c r="Z336" s="32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</row>
    <row r="337" spans="2:41" x14ac:dyDescent="0.35">
      <c r="B337" s="8"/>
      <c r="C337" s="10" t="s">
        <v>71</v>
      </c>
      <c r="D337" s="11" t="str">
        <f>_yearDol &amp; "$"</f>
        <v>2021$</v>
      </c>
      <c r="E337" s="32">
        <f>INDEX(instmed,5)</f>
        <v>0</v>
      </c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18"/>
      <c r="Y337" s="8"/>
      <c r="Z337" s="32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</row>
    <row r="338" spans="2:41" x14ac:dyDescent="0.35">
      <c r="B338" s="8"/>
      <c r="C338" s="10" t="s">
        <v>77</v>
      </c>
      <c r="D338" s="11" t="str">
        <f>_yearDol &amp; "$"</f>
        <v>2021$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55"/>
      <c r="Y338" s="8"/>
      <c r="Z338" s="32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</row>
    <row r="339" spans="2:41" x14ac:dyDescent="0.35">
      <c r="B339" s="8"/>
      <c r="C339" s="20" t="str">
        <f>INDEX(_Sector,2,1)</f>
        <v>Residential</v>
      </c>
      <c r="D339" s="8"/>
      <c r="E339" s="32">
        <f>(Z339-1)*F339</f>
        <v>21.602215766401368</v>
      </c>
      <c r="F339" s="117">
        <f>$AC$285</f>
        <v>28.477811332044471</v>
      </c>
      <c r="G339" s="117">
        <f>F339</f>
        <v>28.477811332044471</v>
      </c>
      <c r="H339" s="117">
        <f t="shared" ref="H339:W339" si="8">G339</f>
        <v>28.477811332044471</v>
      </c>
      <c r="I339" s="117">
        <f t="shared" si="8"/>
        <v>28.477811332044471</v>
      </c>
      <c r="J339" s="117">
        <f t="shared" si="8"/>
        <v>28.477811332044471</v>
      </c>
      <c r="K339" s="117">
        <f t="shared" si="8"/>
        <v>28.477811332044471</v>
      </c>
      <c r="L339" s="117">
        <f t="shared" si="8"/>
        <v>28.477811332044471</v>
      </c>
      <c r="M339" s="117">
        <f t="shared" si="8"/>
        <v>28.477811332044471</v>
      </c>
      <c r="N339" s="117">
        <f t="shared" si="8"/>
        <v>28.477811332044471</v>
      </c>
      <c r="O339" s="117">
        <f t="shared" si="8"/>
        <v>28.477811332044471</v>
      </c>
      <c r="P339" s="117">
        <f t="shared" si="8"/>
        <v>28.477811332044471</v>
      </c>
      <c r="Q339" s="117">
        <f t="shared" si="8"/>
        <v>28.477811332044471</v>
      </c>
      <c r="R339" s="117">
        <f t="shared" si="8"/>
        <v>28.477811332044471</v>
      </c>
      <c r="S339" s="117">
        <f t="shared" si="8"/>
        <v>28.477811332044471</v>
      </c>
      <c r="T339" s="117">
        <f t="shared" si="8"/>
        <v>28.477811332044471</v>
      </c>
      <c r="U339" s="117">
        <f t="shared" si="8"/>
        <v>28.477811332044471</v>
      </c>
      <c r="V339" s="117">
        <f t="shared" si="8"/>
        <v>28.477811332044471</v>
      </c>
      <c r="W339" s="117">
        <f t="shared" si="8"/>
        <v>28.477811332044471</v>
      </c>
      <c r="X339" s="55">
        <f t="shared" ref="H339:X340" si="9">W339</f>
        <v>28.477811332044471</v>
      </c>
      <c r="Y339" s="8"/>
      <c r="Z339" s="126">
        <v>1.7585630621161401</v>
      </c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</row>
    <row r="340" spans="2:41" x14ac:dyDescent="0.35">
      <c r="B340" s="8"/>
      <c r="C340" s="20" t="str">
        <f>INDEX(_Sector,2,2)</f>
        <v>Commercial</v>
      </c>
      <c r="D340" s="8"/>
      <c r="E340" s="32">
        <f>(Z340-1)*F340</f>
        <v>31.464965804067671</v>
      </c>
      <c r="F340" s="117">
        <f>$AD$285</f>
        <v>31.464965804067671</v>
      </c>
      <c r="G340" s="117">
        <f>F340</f>
        <v>31.464965804067671</v>
      </c>
      <c r="H340" s="117">
        <f t="shared" si="9"/>
        <v>31.464965804067671</v>
      </c>
      <c r="I340" s="117">
        <f t="shared" si="9"/>
        <v>31.464965804067671</v>
      </c>
      <c r="J340" s="117">
        <f t="shared" si="9"/>
        <v>31.464965804067671</v>
      </c>
      <c r="K340" s="117">
        <f t="shared" si="9"/>
        <v>31.464965804067671</v>
      </c>
      <c r="L340" s="117">
        <f t="shared" si="9"/>
        <v>31.464965804067671</v>
      </c>
      <c r="M340" s="117">
        <f t="shared" si="9"/>
        <v>31.464965804067671</v>
      </c>
      <c r="N340" s="117">
        <f t="shared" si="9"/>
        <v>31.464965804067671</v>
      </c>
      <c r="O340" s="117">
        <f t="shared" si="9"/>
        <v>31.464965804067671</v>
      </c>
      <c r="P340" s="117">
        <f t="shared" si="9"/>
        <v>31.464965804067671</v>
      </c>
      <c r="Q340" s="117">
        <f t="shared" si="9"/>
        <v>31.464965804067671</v>
      </c>
      <c r="R340" s="117">
        <f t="shared" si="9"/>
        <v>31.464965804067671</v>
      </c>
      <c r="S340" s="117">
        <f t="shared" si="9"/>
        <v>31.464965804067671</v>
      </c>
      <c r="T340" s="117">
        <f t="shared" si="9"/>
        <v>31.464965804067671</v>
      </c>
      <c r="U340" s="117">
        <f t="shared" si="9"/>
        <v>31.464965804067671</v>
      </c>
      <c r="V340" s="117">
        <f t="shared" si="9"/>
        <v>31.464965804067671</v>
      </c>
      <c r="W340" s="117">
        <f t="shared" si="9"/>
        <v>31.464965804067671</v>
      </c>
      <c r="X340" s="55">
        <f t="shared" si="9"/>
        <v>31.464965804067671</v>
      </c>
      <c r="Y340" s="8"/>
      <c r="Z340" s="126">
        <v>2</v>
      </c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</row>
    <row r="341" spans="2:41" x14ac:dyDescent="0.35">
      <c r="B341" s="8"/>
      <c r="C341" s="19" t="s">
        <v>78</v>
      </c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1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</row>
    <row r="342" spans="2:41" x14ac:dyDescent="0.35">
      <c r="B342" s="8"/>
      <c r="C342" s="10" t="str">
        <f>INDEX(_fuel,1)</f>
        <v>Electricity</v>
      </c>
      <c r="D342" s="11" t="s">
        <v>75</v>
      </c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1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</row>
    <row r="343" spans="2:41" x14ac:dyDescent="0.35">
      <c r="B343" s="8"/>
      <c r="C343" s="20" t="str">
        <f>INDEX(_Sector,2,1)</f>
        <v>Residential</v>
      </c>
      <c r="D343" s="8"/>
      <c r="E343" s="40">
        <f>INDEX(elecmed_Res,5)</f>
        <v>12.4672002051432</v>
      </c>
      <c r="F343" s="40">
        <f t="array" ref="F343:X343">$E$343</f>
        <v>12.4672002051432</v>
      </c>
      <c r="G343" s="40">
        <v>12.4672002051432</v>
      </c>
      <c r="H343" s="40">
        <v>12.4672002051432</v>
      </c>
      <c r="I343" s="40">
        <v>12.4672002051432</v>
      </c>
      <c r="J343" s="40">
        <v>12.4672002051432</v>
      </c>
      <c r="K343" s="40">
        <v>12.4672002051432</v>
      </c>
      <c r="L343" s="40">
        <v>12.4672002051432</v>
      </c>
      <c r="M343" s="40">
        <v>12.4672002051432</v>
      </c>
      <c r="N343" s="40">
        <v>12.4672002051432</v>
      </c>
      <c r="O343" s="40">
        <v>12.4672002051432</v>
      </c>
      <c r="P343" s="40">
        <v>12.4672002051432</v>
      </c>
      <c r="Q343" s="40">
        <v>12.4672002051432</v>
      </c>
      <c r="R343" s="40">
        <v>12.4672002051432</v>
      </c>
      <c r="S343" s="40">
        <v>12.4672002051432</v>
      </c>
      <c r="T343" s="40">
        <v>12.4672002051432</v>
      </c>
      <c r="U343" s="40">
        <v>12.4672002051432</v>
      </c>
      <c r="V343" s="40">
        <v>12.4672002051432</v>
      </c>
      <c r="W343" s="40">
        <v>12.4672002051432</v>
      </c>
      <c r="X343" s="41">
        <v>12.4672002051432</v>
      </c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</row>
    <row r="344" spans="2:41" x14ac:dyDescent="0.35">
      <c r="B344" s="8"/>
      <c r="C344" s="39" t="str">
        <f>INDEX(_Sector,2,2)</f>
        <v>Commercial</v>
      </c>
      <c r="D344" s="56"/>
      <c r="E344" s="48">
        <f>INDEX(elecmed_Com,5)</f>
        <v>25.128209765112743</v>
      </c>
      <c r="F344" s="48">
        <f t="array" ref="F344:X344">$E$344</f>
        <v>25.128209765112743</v>
      </c>
      <c r="G344" s="48">
        <v>25.128209765112743</v>
      </c>
      <c r="H344" s="48">
        <v>25.128209765112743</v>
      </c>
      <c r="I344" s="48">
        <v>25.128209765112743</v>
      </c>
      <c r="J344" s="48">
        <v>25.128209765112743</v>
      </c>
      <c r="K344" s="48">
        <v>25.128209765112743</v>
      </c>
      <c r="L344" s="48">
        <v>25.128209765112743</v>
      </c>
      <c r="M344" s="48">
        <v>25.128209765112743</v>
      </c>
      <c r="N344" s="48">
        <v>25.128209765112743</v>
      </c>
      <c r="O344" s="48">
        <v>25.128209765112743</v>
      </c>
      <c r="P344" s="48">
        <v>25.128209765112743</v>
      </c>
      <c r="Q344" s="48">
        <v>25.128209765112743</v>
      </c>
      <c r="R344" s="48">
        <v>25.128209765112743</v>
      </c>
      <c r="S344" s="48">
        <v>25.128209765112743</v>
      </c>
      <c r="T344" s="48">
        <v>25.128209765112743</v>
      </c>
      <c r="U344" s="48">
        <v>25.128209765112743</v>
      </c>
      <c r="V344" s="48">
        <v>25.128209765112743</v>
      </c>
      <c r="W344" s="48">
        <v>25.128209765112743</v>
      </c>
      <c r="X344" s="49">
        <v>25.128209765112743</v>
      </c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</row>
    <row r="345" spans="2:41" x14ac:dyDescent="0.3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</row>
  </sheetData>
  <mergeCells count="2">
    <mergeCell ref="C99:AN99"/>
    <mergeCell ref="C43:AN43"/>
  </mergeCells>
  <conditionalFormatting sqref="E335">
    <cfRule type="containsBlanks" dxfId="2663" priority="39" stopIfTrue="1">
      <formula>LEN(TRIM(E335))=0</formula>
    </cfRule>
    <cfRule type="notContainsBlanks" dxfId="2662" priority="40" stopIfTrue="1">
      <formula>LEN(TRIM(E335))&gt;0</formula>
    </cfRule>
  </conditionalFormatting>
  <conditionalFormatting sqref="E336">
    <cfRule type="containsBlanks" dxfId="2661" priority="41" stopIfTrue="1">
      <formula>LEN(TRIM(E336))=0</formula>
    </cfRule>
    <cfRule type="notContainsBlanks" dxfId="2660" priority="42" stopIfTrue="1">
      <formula>LEN(TRIM(E336))&gt;0</formula>
    </cfRule>
  </conditionalFormatting>
  <conditionalFormatting sqref="E337">
    <cfRule type="containsBlanks" dxfId="2659" priority="43" stopIfTrue="1">
      <formula>LEN(TRIM(E337))=0</formula>
    </cfRule>
    <cfRule type="notContainsBlanks" dxfId="2658" priority="44" stopIfTrue="1">
      <formula>LEN(TRIM(E337))&gt;0</formula>
    </cfRule>
  </conditionalFormatting>
  <conditionalFormatting sqref="E343:X343">
    <cfRule type="containsBlanks" dxfId="2657" priority="49" stopIfTrue="1">
      <formula>LEN(TRIM(E343))=0</formula>
    </cfRule>
    <cfRule type="notContainsBlanks" dxfId="2656" priority="50" stopIfTrue="1">
      <formula>LEN(TRIM(E343))&gt;0</formula>
    </cfRule>
  </conditionalFormatting>
  <conditionalFormatting sqref="E344:X344">
    <cfRule type="containsBlanks" dxfId="2655" priority="51" stopIfTrue="1">
      <formula>LEN(TRIM(E344))=0</formula>
    </cfRule>
    <cfRule type="notContainsBlanks" dxfId="2654" priority="52" stopIfTrue="1">
      <formula>LEN(TRIM(E344))&gt;0</formula>
    </cfRule>
  </conditionalFormatting>
  <conditionalFormatting sqref="E321">
    <cfRule type="containsBlanks" dxfId="2653" priority="53" stopIfTrue="1">
      <formula>LEN(TRIM(E321))=0</formula>
    </cfRule>
    <cfRule type="notContainsBlanks" dxfId="2652" priority="54" stopIfTrue="1">
      <formula>LEN(TRIM(E321))&gt;0</formula>
    </cfRule>
  </conditionalFormatting>
  <conditionalFormatting sqref="E322">
    <cfRule type="containsBlanks" dxfId="2651" priority="55" stopIfTrue="1">
      <formula>LEN(TRIM(E322))=0</formula>
    </cfRule>
    <cfRule type="notContainsBlanks" dxfId="2650" priority="56" stopIfTrue="1">
      <formula>LEN(TRIM(E322))&gt;0</formula>
    </cfRule>
  </conditionalFormatting>
  <conditionalFormatting sqref="E323">
    <cfRule type="containsBlanks" dxfId="2649" priority="57" stopIfTrue="1">
      <formula>LEN(TRIM(E323))=0</formula>
    </cfRule>
    <cfRule type="notContainsBlanks" dxfId="2648" priority="58" stopIfTrue="1">
      <formula>LEN(TRIM(E323))&gt;0</formula>
    </cfRule>
  </conditionalFormatting>
  <conditionalFormatting sqref="E329:X329">
    <cfRule type="containsBlanks" dxfId="2647" priority="63" stopIfTrue="1">
      <formula>LEN(TRIM(E329))=0</formula>
    </cfRule>
    <cfRule type="notContainsBlanks" dxfId="2646" priority="64" stopIfTrue="1">
      <formula>LEN(TRIM(E329))&gt;0</formula>
    </cfRule>
  </conditionalFormatting>
  <conditionalFormatting sqref="E330:X330">
    <cfRule type="containsBlanks" dxfId="2645" priority="65" stopIfTrue="1">
      <formula>LEN(TRIM(E330))=0</formula>
    </cfRule>
    <cfRule type="notContainsBlanks" dxfId="2644" priority="66" stopIfTrue="1">
      <formula>LEN(TRIM(E330))&gt;0</formula>
    </cfRule>
  </conditionalFormatting>
  <conditionalFormatting sqref="E307">
    <cfRule type="containsBlanks" dxfId="2643" priority="67" stopIfTrue="1">
      <formula>LEN(TRIM(E307))=0</formula>
    </cfRule>
    <cfRule type="notContainsBlanks" dxfId="2642" priority="68" stopIfTrue="1">
      <formula>LEN(TRIM(E307))&gt;0</formula>
    </cfRule>
  </conditionalFormatting>
  <conditionalFormatting sqref="E308">
    <cfRule type="containsBlanks" dxfId="2641" priority="69" stopIfTrue="1">
      <formula>LEN(TRIM(E308))=0</formula>
    </cfRule>
    <cfRule type="notContainsBlanks" dxfId="2640" priority="70" stopIfTrue="1">
      <formula>LEN(TRIM(E308))&gt;0</formula>
    </cfRule>
  </conditionalFormatting>
  <conditionalFormatting sqref="E309">
    <cfRule type="containsBlanks" dxfId="2639" priority="71" stopIfTrue="1">
      <formula>LEN(TRIM(E309))=0</formula>
    </cfRule>
    <cfRule type="notContainsBlanks" dxfId="2638" priority="72" stopIfTrue="1">
      <formula>LEN(TRIM(E309))&gt;0</formula>
    </cfRule>
  </conditionalFormatting>
  <conditionalFormatting sqref="E315:X315">
    <cfRule type="containsBlanks" dxfId="2637" priority="77" stopIfTrue="1">
      <formula>LEN(TRIM(E315))=0</formula>
    </cfRule>
    <cfRule type="notContainsBlanks" dxfId="2636" priority="78" stopIfTrue="1">
      <formula>LEN(TRIM(E315))&gt;0</formula>
    </cfRule>
  </conditionalFormatting>
  <conditionalFormatting sqref="E316:X316">
    <cfRule type="containsBlanks" dxfId="2635" priority="79" stopIfTrue="1">
      <formula>LEN(TRIM(E316))=0</formula>
    </cfRule>
    <cfRule type="notContainsBlanks" dxfId="2634" priority="80" stopIfTrue="1">
      <formula>LEN(TRIM(E316))&gt;0</formula>
    </cfRule>
  </conditionalFormatting>
  <conditionalFormatting sqref="E293">
    <cfRule type="containsBlanks" dxfId="2633" priority="81" stopIfTrue="1">
      <formula>LEN(TRIM(E293))=0</formula>
    </cfRule>
    <cfRule type="notContainsBlanks" dxfId="2632" priority="82" stopIfTrue="1">
      <formula>LEN(TRIM(E293))&gt;0</formula>
    </cfRule>
  </conditionalFormatting>
  <conditionalFormatting sqref="E294">
    <cfRule type="containsBlanks" dxfId="2631" priority="83" stopIfTrue="1">
      <formula>LEN(TRIM(E294))=0</formula>
    </cfRule>
    <cfRule type="notContainsBlanks" dxfId="2630" priority="84" stopIfTrue="1">
      <formula>LEN(TRIM(E294))&gt;0</formula>
    </cfRule>
  </conditionalFormatting>
  <conditionalFormatting sqref="E295">
    <cfRule type="containsBlanks" dxfId="2629" priority="85" stopIfTrue="1">
      <formula>LEN(TRIM(E295))=0</formula>
    </cfRule>
    <cfRule type="notContainsBlanks" dxfId="2628" priority="86" stopIfTrue="1">
      <formula>LEN(TRIM(E295))&gt;0</formula>
    </cfRule>
  </conditionalFormatting>
  <conditionalFormatting sqref="E301:X301">
    <cfRule type="containsBlanks" dxfId="2627" priority="91" stopIfTrue="1">
      <formula>LEN(TRIM(E301))=0</formula>
    </cfRule>
    <cfRule type="notContainsBlanks" dxfId="2626" priority="92" stopIfTrue="1">
      <formula>LEN(TRIM(E301))&gt;0</formula>
    </cfRule>
  </conditionalFormatting>
  <conditionalFormatting sqref="E302:X302">
    <cfRule type="containsBlanks" dxfId="2625" priority="93" stopIfTrue="1">
      <formula>LEN(TRIM(E302))=0</formula>
    </cfRule>
    <cfRule type="notContainsBlanks" dxfId="2624" priority="94" stopIfTrue="1">
      <formula>LEN(TRIM(E302))&gt;0</formula>
    </cfRule>
  </conditionalFormatting>
  <conditionalFormatting sqref="E279">
    <cfRule type="containsBlanks" dxfId="2623" priority="95" stopIfTrue="1">
      <formula>LEN(TRIM(E279))=0</formula>
    </cfRule>
    <cfRule type="notContainsBlanks" dxfId="2622" priority="96" stopIfTrue="1">
      <formula>LEN(TRIM(E279))&gt;0</formula>
    </cfRule>
  </conditionalFormatting>
  <conditionalFormatting sqref="E280">
    <cfRule type="containsBlanks" dxfId="2621" priority="97" stopIfTrue="1">
      <formula>LEN(TRIM(E280))=0</formula>
    </cfRule>
    <cfRule type="notContainsBlanks" dxfId="2620" priority="98" stopIfTrue="1">
      <formula>LEN(TRIM(E280))&gt;0</formula>
    </cfRule>
  </conditionalFormatting>
  <conditionalFormatting sqref="E281">
    <cfRule type="containsBlanks" dxfId="2619" priority="99" stopIfTrue="1">
      <formula>LEN(TRIM(E281))=0</formula>
    </cfRule>
    <cfRule type="notContainsBlanks" dxfId="2618" priority="100" stopIfTrue="1">
      <formula>LEN(TRIM(E281))&gt;0</formula>
    </cfRule>
  </conditionalFormatting>
  <conditionalFormatting sqref="E287:X287">
    <cfRule type="containsBlanks" dxfId="2617" priority="105" stopIfTrue="1">
      <formula>LEN(TRIM(E287))=0</formula>
    </cfRule>
    <cfRule type="notContainsBlanks" dxfId="2616" priority="106" stopIfTrue="1">
      <formula>LEN(TRIM(E287))&gt;0</formula>
    </cfRule>
  </conditionalFormatting>
  <conditionalFormatting sqref="E288:X288">
    <cfRule type="containsBlanks" dxfId="2615" priority="107" stopIfTrue="1">
      <formula>LEN(TRIM(E288))=0</formula>
    </cfRule>
    <cfRule type="notContainsBlanks" dxfId="2614" priority="108" stopIfTrue="1">
      <formula>LEN(TRIM(E288))&gt;0</formula>
    </cfRule>
  </conditionalFormatting>
  <conditionalFormatting sqref="E207:AN207">
    <cfRule type="containsBlanks" dxfId="2613" priority="109" stopIfTrue="1">
      <formula>LEN(TRIM(E207))=0</formula>
    </cfRule>
    <cfRule type="notContainsBlanks" dxfId="2612" priority="110" stopIfTrue="1">
      <formula>LEN(TRIM(E207))&gt;0</formula>
    </cfRule>
  </conditionalFormatting>
  <conditionalFormatting sqref="E208:AN208">
    <cfRule type="containsBlanks" dxfId="2611" priority="111" stopIfTrue="1">
      <formula>LEN(TRIM(E208))=0</formula>
    </cfRule>
    <cfRule type="notContainsBlanks" dxfId="2610" priority="112" stopIfTrue="1">
      <formula>LEN(TRIM(E208))&gt;0</formula>
    </cfRule>
  </conditionalFormatting>
  <conditionalFormatting sqref="E210:AN210">
    <cfRule type="containsBlanks" dxfId="2609" priority="113" stopIfTrue="1">
      <formula>LEN(TRIM(E210))=0</formula>
    </cfRule>
    <cfRule type="notContainsBlanks" dxfId="2608" priority="114" stopIfTrue="1">
      <formula>LEN(TRIM(E210))&gt;0</formula>
    </cfRule>
  </conditionalFormatting>
  <conditionalFormatting sqref="E211:AN211">
    <cfRule type="containsBlanks" dxfId="2607" priority="115" stopIfTrue="1">
      <formula>LEN(TRIM(E211))=0</formula>
    </cfRule>
    <cfRule type="notContainsBlanks" dxfId="2606" priority="116" stopIfTrue="1">
      <formula>LEN(TRIM(E211))&gt;0</formula>
    </cfRule>
  </conditionalFormatting>
  <conditionalFormatting sqref="E212:AN212">
    <cfRule type="containsBlanks" dxfId="2605" priority="117" stopIfTrue="1">
      <formula>LEN(TRIM(E212))=0</formula>
    </cfRule>
    <cfRule type="notContainsBlanks" dxfId="2604" priority="118" stopIfTrue="1">
      <formula>LEN(TRIM(E212))&gt;0</formula>
    </cfRule>
  </conditionalFormatting>
  <conditionalFormatting sqref="E213:AN213">
    <cfRule type="containsBlanks" dxfId="2603" priority="119" stopIfTrue="1">
      <formula>LEN(TRIM(E213))=0</formula>
    </cfRule>
    <cfRule type="notContainsBlanks" dxfId="2602" priority="120" stopIfTrue="1">
      <formula>LEN(TRIM(E213))&gt;0</formula>
    </cfRule>
  </conditionalFormatting>
  <conditionalFormatting sqref="E216:AN216">
    <cfRule type="containsBlanks" dxfId="2601" priority="121" stopIfTrue="1">
      <formula>LEN(TRIM(E216))=0</formula>
    </cfRule>
    <cfRule type="notContainsBlanks" dxfId="2600" priority="122" stopIfTrue="1">
      <formula>LEN(TRIM(E216))&gt;0</formula>
    </cfRule>
  </conditionalFormatting>
  <conditionalFormatting sqref="E218:AN218">
    <cfRule type="containsBlanks" dxfId="2599" priority="123" stopIfTrue="1">
      <formula>LEN(TRIM(E218))=0</formula>
    </cfRule>
    <cfRule type="notContainsBlanks" dxfId="2598" priority="124" stopIfTrue="1">
      <formula>LEN(TRIM(E218))&gt;0</formula>
    </cfRule>
  </conditionalFormatting>
  <conditionalFormatting sqref="E221:AN221">
    <cfRule type="containsBlanks" dxfId="2597" priority="125" stopIfTrue="1">
      <formula>LEN(TRIM(E221))=0</formula>
    </cfRule>
    <cfRule type="notContainsBlanks" dxfId="2596" priority="126" stopIfTrue="1">
      <formula>LEN(TRIM(E221))&gt;0</formula>
    </cfRule>
  </conditionalFormatting>
  <conditionalFormatting sqref="E222:AN222">
    <cfRule type="containsBlanks" dxfId="2595" priority="127" stopIfTrue="1">
      <formula>LEN(TRIM(E222))=0</formula>
    </cfRule>
    <cfRule type="notContainsBlanks" dxfId="2594" priority="128" stopIfTrue="1">
      <formula>LEN(TRIM(E222))&gt;0</formula>
    </cfRule>
  </conditionalFormatting>
  <conditionalFormatting sqref="E224:AN224">
    <cfRule type="containsBlanks" dxfId="2593" priority="129" stopIfTrue="1">
      <formula>LEN(TRIM(E224))=0</formula>
    </cfRule>
    <cfRule type="notContainsBlanks" dxfId="2592" priority="130" stopIfTrue="1">
      <formula>LEN(TRIM(E224))&gt;0</formula>
    </cfRule>
  </conditionalFormatting>
  <conditionalFormatting sqref="E225:AN225">
    <cfRule type="containsBlanks" dxfId="2591" priority="131" stopIfTrue="1">
      <formula>LEN(TRIM(E225))=0</formula>
    </cfRule>
    <cfRule type="notContainsBlanks" dxfId="2590" priority="132" stopIfTrue="1">
      <formula>LEN(TRIM(E225))&gt;0</formula>
    </cfRule>
  </conditionalFormatting>
  <conditionalFormatting sqref="E226:AN226">
    <cfRule type="containsBlanks" dxfId="2589" priority="133" stopIfTrue="1">
      <formula>LEN(TRIM(E226))=0</formula>
    </cfRule>
    <cfRule type="notContainsBlanks" dxfId="2588" priority="134" stopIfTrue="1">
      <formula>LEN(TRIM(E226))&gt;0</formula>
    </cfRule>
  </conditionalFormatting>
  <conditionalFormatting sqref="E227:AN227">
    <cfRule type="containsBlanks" dxfId="2587" priority="135" stopIfTrue="1">
      <formula>LEN(TRIM(E227))=0</formula>
    </cfRule>
  </conditionalFormatting>
  <conditionalFormatting sqref="E227:AN227">
    <cfRule type="notContainsBlanks" dxfId="2586" priority="136" stopIfTrue="1">
      <formula>LEN(TRIM(E227))&gt;0</formula>
    </cfRule>
  </conditionalFormatting>
  <conditionalFormatting sqref="E230:AN230">
    <cfRule type="containsBlanks" dxfId="2585" priority="137" stopIfTrue="1">
      <formula>LEN(TRIM(E230))=0</formula>
    </cfRule>
  </conditionalFormatting>
  <conditionalFormatting sqref="E230:AN230">
    <cfRule type="notContainsBlanks" dxfId="2584" priority="138" stopIfTrue="1">
      <formula>LEN(TRIM(E230))&gt;0</formula>
    </cfRule>
  </conditionalFormatting>
  <conditionalFormatting sqref="E232:AN232">
    <cfRule type="containsBlanks" dxfId="2583" priority="139" stopIfTrue="1">
      <formula>LEN(TRIM(E232))=0</formula>
    </cfRule>
  </conditionalFormatting>
  <conditionalFormatting sqref="E232:AN232">
    <cfRule type="notContainsBlanks" dxfId="2582" priority="140" stopIfTrue="1">
      <formula>LEN(TRIM(E232))&gt;0</formula>
    </cfRule>
  </conditionalFormatting>
  <conditionalFormatting sqref="E235:AN235">
    <cfRule type="containsBlanks" dxfId="2581" priority="141" stopIfTrue="1">
      <formula>LEN(TRIM(E235))=0</formula>
    </cfRule>
  </conditionalFormatting>
  <conditionalFormatting sqref="E235:AN235">
    <cfRule type="notContainsBlanks" dxfId="2580" priority="142" stopIfTrue="1">
      <formula>LEN(TRIM(E235))&gt;0</formula>
    </cfRule>
  </conditionalFormatting>
  <conditionalFormatting sqref="E236:AN236">
    <cfRule type="containsBlanks" dxfId="2579" priority="143" stopIfTrue="1">
      <formula>LEN(TRIM(E236))=0</formula>
    </cfRule>
  </conditionalFormatting>
  <conditionalFormatting sqref="E236:AN236">
    <cfRule type="notContainsBlanks" dxfId="2578" priority="144" stopIfTrue="1">
      <formula>LEN(TRIM(E236))&gt;0</formula>
    </cfRule>
  </conditionalFormatting>
  <conditionalFormatting sqref="E238:AN238">
    <cfRule type="containsBlanks" dxfId="2577" priority="145" stopIfTrue="1">
      <formula>LEN(TRIM(E238))=0</formula>
    </cfRule>
  </conditionalFormatting>
  <conditionalFormatting sqref="E238:AN238">
    <cfRule type="notContainsBlanks" dxfId="2576" priority="146" stopIfTrue="1">
      <formula>LEN(TRIM(E238))&gt;0</formula>
    </cfRule>
  </conditionalFormatting>
  <conditionalFormatting sqref="E239:AN239">
    <cfRule type="containsBlanks" dxfId="2575" priority="147" stopIfTrue="1">
      <formula>LEN(TRIM(E239))=0</formula>
    </cfRule>
  </conditionalFormatting>
  <conditionalFormatting sqref="E239:AN239">
    <cfRule type="notContainsBlanks" dxfId="2574" priority="148" stopIfTrue="1">
      <formula>LEN(TRIM(E239))&gt;0</formula>
    </cfRule>
  </conditionalFormatting>
  <conditionalFormatting sqref="E240:AN240">
    <cfRule type="containsBlanks" dxfId="2573" priority="149" stopIfTrue="1">
      <formula>LEN(TRIM(E240))=0</formula>
    </cfRule>
  </conditionalFormatting>
  <conditionalFormatting sqref="E240:AN240">
    <cfRule type="notContainsBlanks" dxfId="2572" priority="150" stopIfTrue="1">
      <formula>LEN(TRIM(E240))&gt;0</formula>
    </cfRule>
  </conditionalFormatting>
  <conditionalFormatting sqref="E241:AN241">
    <cfRule type="containsBlanks" dxfId="2571" priority="151" stopIfTrue="1">
      <formula>LEN(TRIM(E241))=0</formula>
    </cfRule>
  </conditionalFormatting>
  <conditionalFormatting sqref="E241:AN241">
    <cfRule type="notContainsBlanks" dxfId="2570" priority="152" stopIfTrue="1">
      <formula>LEN(TRIM(E241))&gt;0</formula>
    </cfRule>
  </conditionalFormatting>
  <conditionalFormatting sqref="E244:AN244">
    <cfRule type="containsBlanks" dxfId="2569" priority="153" stopIfTrue="1">
      <formula>LEN(TRIM(E244))=0</formula>
    </cfRule>
  </conditionalFormatting>
  <conditionalFormatting sqref="E244:AN244">
    <cfRule type="notContainsBlanks" dxfId="2568" priority="154" stopIfTrue="1">
      <formula>LEN(TRIM(E244))&gt;0</formula>
    </cfRule>
  </conditionalFormatting>
  <conditionalFormatting sqref="E246:AN246">
    <cfRule type="containsBlanks" dxfId="2567" priority="155" stopIfTrue="1">
      <formula>LEN(TRIM(E246))=0</formula>
    </cfRule>
  </conditionalFormatting>
  <conditionalFormatting sqref="E246:AN246">
    <cfRule type="notContainsBlanks" dxfId="2566" priority="156" stopIfTrue="1">
      <formula>LEN(TRIM(E246))&gt;0</formula>
    </cfRule>
  </conditionalFormatting>
  <conditionalFormatting sqref="E249:AN249">
    <cfRule type="containsBlanks" dxfId="2565" priority="157" stopIfTrue="1">
      <formula>LEN(TRIM(E249))=0</formula>
    </cfRule>
  </conditionalFormatting>
  <conditionalFormatting sqref="E249:AN249">
    <cfRule type="notContainsBlanks" dxfId="2564" priority="158" stopIfTrue="1">
      <formula>LEN(TRIM(E249))&gt;0</formula>
    </cfRule>
  </conditionalFormatting>
  <conditionalFormatting sqref="E250:AN250">
    <cfRule type="containsBlanks" dxfId="2563" priority="159" stopIfTrue="1">
      <formula>LEN(TRIM(E250))=0</formula>
    </cfRule>
  </conditionalFormatting>
  <conditionalFormatting sqref="E250:AN250">
    <cfRule type="notContainsBlanks" dxfId="2562" priority="160" stopIfTrue="1">
      <formula>LEN(TRIM(E250))&gt;0</formula>
    </cfRule>
  </conditionalFormatting>
  <conditionalFormatting sqref="E252:AN252">
    <cfRule type="containsBlanks" dxfId="2561" priority="161" stopIfTrue="1">
      <formula>LEN(TRIM(E252))=0</formula>
    </cfRule>
  </conditionalFormatting>
  <conditionalFormatting sqref="E252:AN252">
    <cfRule type="notContainsBlanks" dxfId="2560" priority="162" stopIfTrue="1">
      <formula>LEN(TRIM(E252))&gt;0</formula>
    </cfRule>
  </conditionalFormatting>
  <conditionalFormatting sqref="E253:AN253">
    <cfRule type="containsBlanks" dxfId="2559" priority="163" stopIfTrue="1">
      <formula>LEN(TRIM(E253))=0</formula>
    </cfRule>
  </conditionalFormatting>
  <conditionalFormatting sqref="E253:AN253">
    <cfRule type="notContainsBlanks" dxfId="2558" priority="164" stopIfTrue="1">
      <formula>LEN(TRIM(E253))&gt;0</formula>
    </cfRule>
  </conditionalFormatting>
  <conditionalFormatting sqref="E254:AN254">
    <cfRule type="containsBlanks" dxfId="2557" priority="165" stopIfTrue="1">
      <formula>LEN(TRIM(E254))=0</formula>
    </cfRule>
  </conditionalFormatting>
  <conditionalFormatting sqref="E254:AN254">
    <cfRule type="notContainsBlanks" dxfId="2556" priority="166" stopIfTrue="1">
      <formula>LEN(TRIM(E254))&gt;0</formula>
    </cfRule>
  </conditionalFormatting>
  <conditionalFormatting sqref="E255:AN255">
    <cfRule type="containsBlanks" dxfId="2555" priority="167" stopIfTrue="1">
      <formula>LEN(TRIM(E255))=0</formula>
    </cfRule>
  </conditionalFormatting>
  <conditionalFormatting sqref="E255:AN255">
    <cfRule type="notContainsBlanks" dxfId="2554" priority="168" stopIfTrue="1">
      <formula>LEN(TRIM(E255))&gt;0</formula>
    </cfRule>
  </conditionalFormatting>
  <conditionalFormatting sqref="E258:AN258">
    <cfRule type="containsBlanks" dxfId="2553" priority="169" stopIfTrue="1">
      <formula>LEN(TRIM(E258))=0</formula>
    </cfRule>
  </conditionalFormatting>
  <conditionalFormatting sqref="E258:AN258">
    <cfRule type="notContainsBlanks" dxfId="2552" priority="170" stopIfTrue="1">
      <formula>LEN(TRIM(E258))&gt;0</formula>
    </cfRule>
  </conditionalFormatting>
  <conditionalFormatting sqref="E260:AN260">
    <cfRule type="containsBlanks" dxfId="2551" priority="171" stopIfTrue="1">
      <formula>LEN(TRIM(E260))=0</formula>
    </cfRule>
  </conditionalFormatting>
  <conditionalFormatting sqref="E260:AN260">
    <cfRule type="notContainsBlanks" dxfId="2550" priority="172" stopIfTrue="1">
      <formula>LEN(TRIM(E260))&gt;0</formula>
    </cfRule>
  </conditionalFormatting>
  <conditionalFormatting sqref="E263:AN263">
    <cfRule type="containsBlanks" dxfId="2549" priority="173" stopIfTrue="1">
      <formula>LEN(TRIM(E263))=0</formula>
    </cfRule>
  </conditionalFormatting>
  <conditionalFormatting sqref="E263:AN263">
    <cfRule type="notContainsBlanks" dxfId="2548" priority="174" stopIfTrue="1">
      <formula>LEN(TRIM(E263))&gt;0</formula>
    </cfRule>
  </conditionalFormatting>
  <conditionalFormatting sqref="E264:AN264">
    <cfRule type="containsBlanks" dxfId="2547" priority="175" stopIfTrue="1">
      <formula>LEN(TRIM(E264))=0</formula>
    </cfRule>
  </conditionalFormatting>
  <conditionalFormatting sqref="E264:AN264">
    <cfRule type="notContainsBlanks" dxfId="2546" priority="176" stopIfTrue="1">
      <formula>LEN(TRIM(E264))&gt;0</formula>
    </cfRule>
  </conditionalFormatting>
  <conditionalFormatting sqref="E266:AN266">
    <cfRule type="containsBlanks" dxfId="2545" priority="177" stopIfTrue="1">
      <formula>LEN(TRIM(E266))=0</formula>
    </cfRule>
  </conditionalFormatting>
  <conditionalFormatting sqref="E266:AN266">
    <cfRule type="notContainsBlanks" dxfId="2544" priority="178" stopIfTrue="1">
      <formula>LEN(TRIM(E266))&gt;0</formula>
    </cfRule>
  </conditionalFormatting>
  <conditionalFormatting sqref="E267:AN267">
    <cfRule type="containsBlanks" dxfId="2543" priority="179" stopIfTrue="1">
      <formula>LEN(TRIM(E267))=0</formula>
    </cfRule>
  </conditionalFormatting>
  <conditionalFormatting sqref="E267:AN267">
    <cfRule type="notContainsBlanks" dxfId="2542" priority="180" stopIfTrue="1">
      <formula>LEN(TRIM(E267))&gt;0</formula>
    </cfRule>
  </conditionalFormatting>
  <conditionalFormatting sqref="E268:AN268">
    <cfRule type="containsBlanks" dxfId="2541" priority="181" stopIfTrue="1">
      <formula>LEN(TRIM(E268))=0</formula>
    </cfRule>
  </conditionalFormatting>
  <conditionalFormatting sqref="E268:AN268">
    <cfRule type="notContainsBlanks" dxfId="2540" priority="182" stopIfTrue="1">
      <formula>LEN(TRIM(E268))&gt;0</formula>
    </cfRule>
  </conditionalFormatting>
  <conditionalFormatting sqref="E269:AN269">
    <cfRule type="containsBlanks" dxfId="2539" priority="183" stopIfTrue="1">
      <formula>LEN(TRIM(E269))=0</formula>
    </cfRule>
  </conditionalFormatting>
  <conditionalFormatting sqref="E269:AN269">
    <cfRule type="notContainsBlanks" dxfId="2538" priority="184" stopIfTrue="1">
      <formula>LEN(TRIM(E269))&gt;0</formula>
    </cfRule>
  </conditionalFormatting>
  <conditionalFormatting sqref="E272:AN272">
    <cfRule type="containsBlanks" dxfId="2537" priority="185" stopIfTrue="1">
      <formula>LEN(TRIM(E272))=0</formula>
    </cfRule>
  </conditionalFormatting>
  <conditionalFormatting sqref="E272:AN272">
    <cfRule type="notContainsBlanks" dxfId="2536" priority="186" stopIfTrue="1">
      <formula>LEN(TRIM(E272))&gt;0</formula>
    </cfRule>
  </conditionalFormatting>
  <conditionalFormatting sqref="E274:AN274">
    <cfRule type="containsBlanks" dxfId="2535" priority="187" stopIfTrue="1">
      <formula>LEN(TRIM(E274))=0</formula>
    </cfRule>
  </conditionalFormatting>
  <conditionalFormatting sqref="E274:AN274">
    <cfRule type="notContainsBlanks" dxfId="2534" priority="188" stopIfTrue="1">
      <formula>LEN(TRIM(E274))&gt;0</formula>
    </cfRule>
  </conditionalFormatting>
  <conditionalFormatting sqref="E198:AN198">
    <cfRule type="containsBlanks" dxfId="2533" priority="189" stopIfTrue="1">
      <formula>LEN(TRIM(E198))=0</formula>
    </cfRule>
    <cfRule type="notContainsBlanks" dxfId="2532" priority="190" stopIfTrue="1">
      <formula>LEN(TRIM(E198))&gt;0</formula>
    </cfRule>
  </conditionalFormatting>
  <conditionalFormatting sqref="E199:AN199">
    <cfRule type="containsBlanks" dxfId="2531" priority="191" stopIfTrue="1">
      <formula>LEN(TRIM(E199))=0</formula>
    </cfRule>
    <cfRule type="notContainsBlanks" dxfId="2530" priority="192" stopIfTrue="1">
      <formula>LEN(TRIM(E199))&gt;0</formula>
    </cfRule>
  </conditionalFormatting>
  <conditionalFormatting sqref="E200:AN200">
    <cfRule type="containsBlanks" dxfId="2529" priority="193" stopIfTrue="1">
      <formula>LEN(TRIM(E200))=0</formula>
    </cfRule>
    <cfRule type="notContainsBlanks" dxfId="2528" priority="194" stopIfTrue="1">
      <formula>LEN(TRIM(E200))&gt;0</formula>
    </cfRule>
  </conditionalFormatting>
  <conditionalFormatting sqref="E201:AN201">
    <cfRule type="containsBlanks" dxfId="2527" priority="195" stopIfTrue="1">
      <formula>LEN(TRIM(E201))=0</formula>
    </cfRule>
    <cfRule type="notContainsBlanks" dxfId="2526" priority="196" stopIfTrue="1">
      <formula>LEN(TRIM(E201))&gt;0</formula>
    </cfRule>
  </conditionalFormatting>
  <conditionalFormatting sqref="E202:AN202">
    <cfRule type="containsBlanks" dxfId="2525" priority="197" stopIfTrue="1">
      <formula>LEN(TRIM(E202))=0</formula>
    </cfRule>
    <cfRule type="notContainsBlanks" dxfId="2524" priority="198" stopIfTrue="1">
      <formula>LEN(TRIM(E202))&gt;0</formula>
    </cfRule>
  </conditionalFormatting>
  <conditionalFormatting sqref="E191:AN191">
    <cfRule type="containsBlanks" dxfId="2523" priority="199" stopIfTrue="1">
      <formula>LEN(TRIM(E191))=0</formula>
    </cfRule>
    <cfRule type="notContainsBlanks" dxfId="2522" priority="200" stopIfTrue="1">
      <formula>LEN(TRIM(E191))&gt;0</formula>
    </cfRule>
  </conditionalFormatting>
  <conditionalFormatting sqref="E192:AN192">
    <cfRule type="containsBlanks" dxfId="2521" priority="201" stopIfTrue="1">
      <formula>LEN(TRIM(E192))=0</formula>
    </cfRule>
    <cfRule type="notContainsBlanks" dxfId="2520" priority="202" stopIfTrue="1">
      <formula>LEN(TRIM(E192))&gt;0</formula>
    </cfRule>
  </conditionalFormatting>
  <conditionalFormatting sqref="E193:AN193">
    <cfRule type="containsBlanks" dxfId="2519" priority="203" stopIfTrue="1">
      <formula>LEN(TRIM(E193))=0</formula>
    </cfRule>
    <cfRule type="notContainsBlanks" dxfId="2518" priority="204" stopIfTrue="1">
      <formula>LEN(TRIM(E193))&gt;0</formula>
    </cfRule>
  </conditionalFormatting>
  <conditionalFormatting sqref="E194:AN194">
    <cfRule type="containsBlanks" dxfId="2517" priority="205" stopIfTrue="1">
      <formula>LEN(TRIM(E194))=0</formula>
    </cfRule>
    <cfRule type="notContainsBlanks" dxfId="2516" priority="206" stopIfTrue="1">
      <formula>LEN(TRIM(E194))&gt;0</formula>
    </cfRule>
  </conditionalFormatting>
  <conditionalFormatting sqref="E195:AN195">
    <cfRule type="containsBlanks" dxfId="2515" priority="207" stopIfTrue="1">
      <formula>LEN(TRIM(E195))=0</formula>
    </cfRule>
    <cfRule type="notContainsBlanks" dxfId="2514" priority="208" stopIfTrue="1">
      <formula>LEN(TRIM(E195))&gt;0</formula>
    </cfRule>
  </conditionalFormatting>
  <conditionalFormatting sqref="E184:AN184">
    <cfRule type="containsBlanks" dxfId="2513" priority="209" stopIfTrue="1">
      <formula>LEN(TRIM(E184))=0</formula>
    </cfRule>
    <cfRule type="notContainsBlanks" dxfId="2512" priority="210" stopIfTrue="1">
      <formula>LEN(TRIM(E184))&gt;0</formula>
    </cfRule>
  </conditionalFormatting>
  <conditionalFormatting sqref="E185:AN185">
    <cfRule type="containsBlanks" dxfId="2511" priority="211" stopIfTrue="1">
      <formula>LEN(TRIM(E185))=0</formula>
    </cfRule>
    <cfRule type="notContainsBlanks" dxfId="2510" priority="212" stopIfTrue="1">
      <formula>LEN(TRIM(E185))&gt;0</formula>
    </cfRule>
  </conditionalFormatting>
  <conditionalFormatting sqref="E186:AN186">
    <cfRule type="containsBlanks" dxfId="2509" priority="213" stopIfTrue="1">
      <formula>LEN(TRIM(E186))=0</formula>
    </cfRule>
    <cfRule type="notContainsBlanks" dxfId="2508" priority="214" stopIfTrue="1">
      <formula>LEN(TRIM(E186))&gt;0</formula>
    </cfRule>
  </conditionalFormatting>
  <conditionalFormatting sqref="E187:AN187">
    <cfRule type="containsBlanks" dxfId="2507" priority="215" stopIfTrue="1">
      <formula>LEN(TRIM(E187))=0</formula>
    </cfRule>
    <cfRule type="notContainsBlanks" dxfId="2506" priority="216" stopIfTrue="1">
      <formula>LEN(TRIM(E187))&gt;0</formula>
    </cfRule>
  </conditionalFormatting>
  <conditionalFormatting sqref="E188:AN188">
    <cfRule type="containsBlanks" dxfId="2505" priority="217" stopIfTrue="1">
      <formula>LEN(TRIM(E188))=0</formula>
    </cfRule>
    <cfRule type="notContainsBlanks" dxfId="2504" priority="218" stopIfTrue="1">
      <formula>LEN(TRIM(E188))&gt;0</formula>
    </cfRule>
  </conditionalFormatting>
  <conditionalFormatting sqref="E177:AN177">
    <cfRule type="containsBlanks" dxfId="2503" priority="219" stopIfTrue="1">
      <formula>LEN(TRIM(E177))=0</formula>
    </cfRule>
    <cfRule type="notContainsBlanks" dxfId="2502" priority="220" stopIfTrue="1">
      <formula>LEN(TRIM(E177))&gt;0</formula>
    </cfRule>
  </conditionalFormatting>
  <conditionalFormatting sqref="E178:AN178">
    <cfRule type="containsBlanks" dxfId="2501" priority="221" stopIfTrue="1">
      <formula>LEN(TRIM(E178))=0</formula>
    </cfRule>
    <cfRule type="notContainsBlanks" dxfId="2500" priority="222" stopIfTrue="1">
      <formula>LEN(TRIM(E178))&gt;0</formula>
    </cfRule>
  </conditionalFormatting>
  <conditionalFormatting sqref="E179:AN179">
    <cfRule type="containsBlanks" dxfId="2499" priority="223" stopIfTrue="1">
      <formula>LEN(TRIM(E179))=0</formula>
    </cfRule>
    <cfRule type="notContainsBlanks" dxfId="2498" priority="224" stopIfTrue="1">
      <formula>LEN(TRIM(E179))&gt;0</formula>
    </cfRule>
  </conditionalFormatting>
  <conditionalFormatting sqref="E180:AN180">
    <cfRule type="containsBlanks" dxfId="2497" priority="225" stopIfTrue="1">
      <formula>LEN(TRIM(E180))=0</formula>
    </cfRule>
    <cfRule type="notContainsBlanks" dxfId="2496" priority="226" stopIfTrue="1">
      <formula>LEN(TRIM(E180))&gt;0</formula>
    </cfRule>
  </conditionalFormatting>
  <conditionalFormatting sqref="E181:AN181">
    <cfRule type="containsBlanks" dxfId="2495" priority="227" stopIfTrue="1">
      <formula>LEN(TRIM(E181))=0</formula>
    </cfRule>
    <cfRule type="notContainsBlanks" dxfId="2494" priority="228" stopIfTrue="1">
      <formula>LEN(TRIM(E181))&gt;0</formula>
    </cfRule>
  </conditionalFormatting>
  <conditionalFormatting sqref="E170:AN170">
    <cfRule type="containsBlanks" dxfId="2493" priority="229" stopIfTrue="1">
      <formula>LEN(TRIM(E170))=0</formula>
    </cfRule>
    <cfRule type="notContainsBlanks" dxfId="2492" priority="230" stopIfTrue="1">
      <formula>LEN(TRIM(E170))&gt;0</formula>
    </cfRule>
  </conditionalFormatting>
  <conditionalFormatting sqref="E171:AN171">
    <cfRule type="containsBlanks" dxfId="2491" priority="231" stopIfTrue="1">
      <formula>LEN(TRIM(E171))=0</formula>
    </cfRule>
    <cfRule type="notContainsBlanks" dxfId="2490" priority="232" stopIfTrue="1">
      <formula>LEN(TRIM(E171))&gt;0</formula>
    </cfRule>
  </conditionalFormatting>
  <conditionalFormatting sqref="E172:AN172">
    <cfRule type="containsBlanks" dxfId="2489" priority="233" stopIfTrue="1">
      <formula>LEN(TRIM(E172))=0</formula>
    </cfRule>
    <cfRule type="notContainsBlanks" dxfId="2488" priority="234" stopIfTrue="1">
      <formula>LEN(TRIM(E172))&gt;0</formula>
    </cfRule>
  </conditionalFormatting>
  <conditionalFormatting sqref="E173:AN173">
    <cfRule type="containsBlanks" dxfId="2487" priority="235" stopIfTrue="1">
      <formula>LEN(TRIM(E173))=0</formula>
    </cfRule>
    <cfRule type="notContainsBlanks" dxfId="2486" priority="236" stopIfTrue="1">
      <formula>LEN(TRIM(E173))&gt;0</formula>
    </cfRule>
  </conditionalFormatting>
  <conditionalFormatting sqref="E174:AN174">
    <cfRule type="containsBlanks" dxfId="2485" priority="237" stopIfTrue="1">
      <formula>LEN(TRIM(E174))=0</formula>
    </cfRule>
    <cfRule type="notContainsBlanks" dxfId="2484" priority="238" stopIfTrue="1">
      <formula>LEN(TRIM(E174))&gt;0</formula>
    </cfRule>
  </conditionalFormatting>
  <conditionalFormatting sqref="E163:AN163">
    <cfRule type="containsBlanks" dxfId="2483" priority="239" stopIfTrue="1">
      <formula>LEN(TRIM(E163))=0</formula>
    </cfRule>
    <cfRule type="notContainsBlanks" dxfId="2482" priority="240" stopIfTrue="1">
      <formula>LEN(TRIM(E163))&gt;0</formula>
    </cfRule>
  </conditionalFormatting>
  <conditionalFormatting sqref="E164:AN164">
    <cfRule type="containsBlanks" dxfId="2481" priority="241" stopIfTrue="1">
      <formula>LEN(TRIM(E164))=0</formula>
    </cfRule>
    <cfRule type="notContainsBlanks" dxfId="2480" priority="242" stopIfTrue="1">
      <formula>LEN(TRIM(E164))&gt;0</formula>
    </cfRule>
  </conditionalFormatting>
  <conditionalFormatting sqref="E165:AN165">
    <cfRule type="containsBlanks" dxfId="2479" priority="243" stopIfTrue="1">
      <formula>LEN(TRIM(E165))=0</formula>
    </cfRule>
    <cfRule type="notContainsBlanks" dxfId="2478" priority="244" stopIfTrue="1">
      <formula>LEN(TRIM(E165))&gt;0</formula>
    </cfRule>
  </conditionalFormatting>
  <conditionalFormatting sqref="E166:AN166">
    <cfRule type="containsBlanks" dxfId="2477" priority="245" stopIfTrue="1">
      <formula>LEN(TRIM(E166))=0</formula>
    </cfRule>
    <cfRule type="notContainsBlanks" dxfId="2476" priority="246" stopIfTrue="1">
      <formula>LEN(TRIM(E166))&gt;0</formula>
    </cfRule>
  </conditionalFormatting>
  <conditionalFormatting sqref="E167:AN167">
    <cfRule type="containsBlanks" dxfId="2475" priority="247" stopIfTrue="1">
      <formula>LEN(TRIM(E167))=0</formula>
    </cfRule>
    <cfRule type="notContainsBlanks" dxfId="2474" priority="248" stopIfTrue="1">
      <formula>LEN(TRIM(E167))&gt;0</formula>
    </cfRule>
  </conditionalFormatting>
  <conditionalFormatting sqref="E156">
    <cfRule type="containsBlanks" dxfId="2473" priority="249" stopIfTrue="1">
      <formula>LEN(TRIM(E156))=0</formula>
    </cfRule>
    <cfRule type="notContainsBlanks" dxfId="2472" priority="250" stopIfTrue="1">
      <formula>LEN(TRIM(E156))&gt;0</formula>
    </cfRule>
  </conditionalFormatting>
  <conditionalFormatting sqref="E157">
    <cfRule type="containsBlanks" dxfId="2471" priority="251" stopIfTrue="1">
      <formula>LEN(TRIM(E157))=0</formula>
    </cfRule>
    <cfRule type="notContainsBlanks" dxfId="2470" priority="252" stopIfTrue="1">
      <formula>LEN(TRIM(E157))&gt;0</formula>
    </cfRule>
  </conditionalFormatting>
  <conditionalFormatting sqref="E158">
    <cfRule type="containsBlanks" dxfId="2469" priority="253" stopIfTrue="1">
      <formula>LEN(TRIM(E158))=0</formula>
    </cfRule>
    <cfRule type="notContainsBlanks" dxfId="2468" priority="254" stopIfTrue="1">
      <formula>LEN(TRIM(E158))&gt;0</formula>
    </cfRule>
  </conditionalFormatting>
  <conditionalFormatting sqref="E159">
    <cfRule type="containsBlanks" dxfId="2467" priority="255" stopIfTrue="1">
      <formula>LEN(TRIM(E159))=0</formula>
    </cfRule>
    <cfRule type="notContainsBlanks" dxfId="2466" priority="256" stopIfTrue="1">
      <formula>LEN(TRIM(E159))&gt;0</formula>
    </cfRule>
  </conditionalFormatting>
  <conditionalFormatting sqref="E160">
    <cfRule type="containsBlanks" dxfId="2465" priority="257" stopIfTrue="1">
      <formula>LEN(TRIM(E160))=0</formula>
    </cfRule>
    <cfRule type="notContainsBlanks" dxfId="2464" priority="258" stopIfTrue="1">
      <formula>LEN(TRIM(E160))&gt;0</formula>
    </cfRule>
  </conditionalFormatting>
  <conditionalFormatting sqref="E149:AN149">
    <cfRule type="containsBlanks" dxfId="2463" priority="259" stopIfTrue="1">
      <formula>LEN(TRIM(E149))=0</formula>
    </cfRule>
    <cfRule type="notContainsBlanks" dxfId="2462" priority="260" stopIfTrue="1">
      <formula>LEN(TRIM(E149))&gt;0</formula>
    </cfRule>
  </conditionalFormatting>
  <conditionalFormatting sqref="E150:AN150">
    <cfRule type="containsBlanks" dxfId="2461" priority="261" stopIfTrue="1">
      <formula>LEN(TRIM(E150))=0</formula>
    </cfRule>
    <cfRule type="notContainsBlanks" dxfId="2460" priority="262" stopIfTrue="1">
      <formula>LEN(TRIM(E150))&gt;0</formula>
    </cfRule>
  </conditionalFormatting>
  <conditionalFormatting sqref="E151:AN151">
    <cfRule type="containsBlanks" dxfId="2459" priority="263" stopIfTrue="1">
      <formula>LEN(TRIM(E151))=0</formula>
    </cfRule>
    <cfRule type="notContainsBlanks" dxfId="2458" priority="264" stopIfTrue="1">
      <formula>LEN(TRIM(E151))&gt;0</formula>
    </cfRule>
  </conditionalFormatting>
  <conditionalFormatting sqref="E152:AN152">
    <cfRule type="containsBlanks" dxfId="2457" priority="265" stopIfTrue="1">
      <formula>LEN(TRIM(E152))=0</formula>
    </cfRule>
    <cfRule type="notContainsBlanks" dxfId="2456" priority="266" stopIfTrue="1">
      <formula>LEN(TRIM(E152))&gt;0</formula>
    </cfRule>
  </conditionalFormatting>
  <conditionalFormatting sqref="E153:AN153">
    <cfRule type="containsBlanks" dxfId="2455" priority="267" stopIfTrue="1">
      <formula>LEN(TRIM(E153))=0</formula>
    </cfRule>
    <cfRule type="notContainsBlanks" dxfId="2454" priority="268" stopIfTrue="1">
      <formula>LEN(TRIM(E153))&gt;0</formula>
    </cfRule>
  </conditionalFormatting>
  <conditionalFormatting sqref="E141:AN141">
    <cfRule type="containsBlanks" dxfId="2453" priority="269" stopIfTrue="1">
      <formula>LEN(TRIM(E141))=0</formula>
    </cfRule>
    <cfRule type="notContainsBlanks" dxfId="2452" priority="270" stopIfTrue="1">
      <formula>LEN(TRIM(E141))&gt;0</formula>
    </cfRule>
  </conditionalFormatting>
  <conditionalFormatting sqref="E142:AN142">
    <cfRule type="containsBlanks" dxfId="2451" priority="271" stopIfTrue="1">
      <formula>LEN(TRIM(E142))=0</formula>
    </cfRule>
    <cfRule type="notContainsBlanks" dxfId="2450" priority="272" stopIfTrue="1">
      <formula>LEN(TRIM(E142))&gt;0</formula>
    </cfRule>
  </conditionalFormatting>
  <conditionalFormatting sqref="E143:AN143">
    <cfRule type="containsBlanks" dxfId="2449" priority="273" stopIfTrue="1">
      <formula>LEN(TRIM(E143))=0</formula>
    </cfRule>
    <cfRule type="notContainsBlanks" dxfId="2448" priority="274" stopIfTrue="1">
      <formula>LEN(TRIM(E143))&gt;0</formula>
    </cfRule>
  </conditionalFormatting>
  <conditionalFormatting sqref="E144:AN144">
    <cfRule type="containsBlanks" dxfId="2447" priority="275" stopIfTrue="1">
      <formula>LEN(TRIM(E144))=0</formula>
    </cfRule>
    <cfRule type="notContainsBlanks" dxfId="2446" priority="276" stopIfTrue="1">
      <formula>LEN(TRIM(E144))&gt;0</formula>
    </cfRule>
  </conditionalFormatting>
  <conditionalFormatting sqref="E145:AN145">
    <cfRule type="containsBlanks" dxfId="2445" priority="277" stopIfTrue="1">
      <formula>LEN(TRIM(E145))=0</formula>
    </cfRule>
    <cfRule type="notContainsBlanks" dxfId="2444" priority="278" stopIfTrue="1">
      <formula>LEN(TRIM(E145))&gt;0</formula>
    </cfRule>
  </conditionalFormatting>
  <conditionalFormatting sqref="E146:AN146">
    <cfRule type="containsBlanks" dxfId="2443" priority="279" stopIfTrue="1">
      <formula>LEN(TRIM(E146))=0</formula>
    </cfRule>
    <cfRule type="notContainsBlanks" dxfId="2442" priority="280" stopIfTrue="1">
      <formula>LEN(TRIM(E146))&gt;0</formula>
    </cfRule>
  </conditionalFormatting>
  <conditionalFormatting sqref="E134:AN134">
    <cfRule type="containsBlanks" dxfId="2441" priority="281" stopIfTrue="1">
      <formula>LEN(TRIM(E134))=0</formula>
    </cfRule>
    <cfRule type="notContainsBlanks" dxfId="2440" priority="282" stopIfTrue="1">
      <formula>LEN(TRIM(E134))&gt;0</formula>
    </cfRule>
  </conditionalFormatting>
  <conditionalFormatting sqref="E135:AN135">
    <cfRule type="containsBlanks" dxfId="2439" priority="283" stopIfTrue="1">
      <formula>LEN(TRIM(E135))=0</formula>
    </cfRule>
    <cfRule type="notContainsBlanks" dxfId="2438" priority="284" stopIfTrue="1">
      <formula>LEN(TRIM(E135))&gt;0</formula>
    </cfRule>
  </conditionalFormatting>
  <conditionalFormatting sqref="E136:AN136">
    <cfRule type="containsBlanks" dxfId="2437" priority="285" stopIfTrue="1">
      <formula>LEN(TRIM(E136))=0</formula>
    </cfRule>
    <cfRule type="notContainsBlanks" dxfId="2436" priority="286" stopIfTrue="1">
      <formula>LEN(TRIM(E136))&gt;0</formula>
    </cfRule>
  </conditionalFormatting>
  <conditionalFormatting sqref="E137:AN137">
    <cfRule type="containsBlanks" dxfId="2435" priority="287" stopIfTrue="1">
      <formula>LEN(TRIM(E137))=0</formula>
    </cfRule>
    <cfRule type="notContainsBlanks" dxfId="2434" priority="288" stopIfTrue="1">
      <formula>LEN(TRIM(E137))&gt;0</formula>
    </cfRule>
  </conditionalFormatting>
  <conditionalFormatting sqref="E138:AN138">
    <cfRule type="containsBlanks" dxfId="2433" priority="289" stopIfTrue="1">
      <formula>LEN(TRIM(E138))=0</formula>
    </cfRule>
    <cfRule type="notContainsBlanks" dxfId="2432" priority="290" stopIfTrue="1">
      <formula>LEN(TRIM(E138))&gt;0</formula>
    </cfRule>
  </conditionalFormatting>
  <conditionalFormatting sqref="E126:AN126">
    <cfRule type="containsBlanks" dxfId="2431" priority="291" stopIfTrue="1">
      <formula>LEN(TRIM(E126))=0</formula>
    </cfRule>
    <cfRule type="notContainsBlanks" dxfId="2430" priority="292" stopIfTrue="1">
      <formula>LEN(TRIM(E126))&gt;0</formula>
    </cfRule>
  </conditionalFormatting>
  <conditionalFormatting sqref="E127:AN127">
    <cfRule type="containsBlanks" dxfId="2429" priority="293" stopIfTrue="1">
      <formula>LEN(TRIM(E127))=0</formula>
    </cfRule>
    <cfRule type="notContainsBlanks" dxfId="2428" priority="294" stopIfTrue="1">
      <formula>LEN(TRIM(E127))&gt;0</formula>
    </cfRule>
  </conditionalFormatting>
  <conditionalFormatting sqref="E128:AN128">
    <cfRule type="containsBlanks" dxfId="2427" priority="295" stopIfTrue="1">
      <formula>LEN(TRIM(E128))=0</formula>
    </cfRule>
    <cfRule type="notContainsBlanks" dxfId="2426" priority="296" stopIfTrue="1">
      <formula>LEN(TRIM(E128))&gt;0</formula>
    </cfRule>
  </conditionalFormatting>
  <conditionalFormatting sqref="E129:AN129">
    <cfRule type="containsBlanks" dxfId="2425" priority="297" stopIfTrue="1">
      <formula>LEN(TRIM(E129))=0</formula>
    </cfRule>
    <cfRule type="notContainsBlanks" dxfId="2424" priority="298" stopIfTrue="1">
      <formula>LEN(TRIM(E129))&gt;0</formula>
    </cfRule>
  </conditionalFormatting>
  <conditionalFormatting sqref="E130:AN130">
    <cfRule type="containsBlanks" dxfId="2423" priority="299" stopIfTrue="1">
      <formula>LEN(TRIM(E130))=0</formula>
    </cfRule>
    <cfRule type="notContainsBlanks" dxfId="2422" priority="300" stopIfTrue="1">
      <formula>LEN(TRIM(E130))&gt;0</formula>
    </cfRule>
  </conditionalFormatting>
  <conditionalFormatting sqref="E131:AN131">
    <cfRule type="containsBlanks" dxfId="2421" priority="301" stopIfTrue="1">
      <formula>LEN(TRIM(E131))=0</formula>
    </cfRule>
    <cfRule type="notContainsBlanks" dxfId="2420" priority="302" stopIfTrue="1">
      <formula>LEN(TRIM(E131))&gt;0</formula>
    </cfRule>
  </conditionalFormatting>
  <conditionalFormatting sqref="E120">
    <cfRule type="containsBlanks" dxfId="2419" priority="303">
      <formula>LEN(TRIM(E120))=0</formula>
    </cfRule>
    <cfRule type="notContainsBlanks" dxfId="2418" priority="304">
      <formula>LEN(TRIM(E120))&gt;0</formula>
    </cfRule>
    <cfRule type="expression" dxfId="2417" priority="309">
      <formula>LEFT(effTrend,1)="L"</formula>
    </cfRule>
    <cfRule type="expression" dxfId="2416" priority="310">
      <formula>LEFT(effTrend,1)="G"</formula>
    </cfRule>
  </conditionalFormatting>
  <conditionalFormatting sqref="E121:AN121">
    <cfRule type="containsBlanks" dxfId="2415" priority="311" stopIfTrue="1">
      <formula>LEN(TRIM(E121))=0</formula>
    </cfRule>
    <cfRule type="notContainsBlanks" dxfId="2414" priority="383" stopIfTrue="1">
      <formula>LEN(TRIM(E121))&gt;0</formula>
    </cfRule>
  </conditionalFormatting>
  <conditionalFormatting sqref="E123:AN123">
    <cfRule type="containsBlanks" dxfId="2413" priority="312" stopIfTrue="1">
      <formula>LEN(TRIM(E123))=0</formula>
    </cfRule>
    <cfRule type="notContainsBlanks" dxfId="2412" priority="384" stopIfTrue="1">
      <formula>LEN(TRIM(E123))&gt;0</formula>
    </cfRule>
  </conditionalFormatting>
  <conditionalFormatting sqref="F121">
    <cfRule type="expression" dxfId="2411" priority="313" stopIfTrue="1">
      <formula>F$121&gt;maxEff</formula>
    </cfRule>
  </conditionalFormatting>
  <conditionalFormatting sqref="F123">
    <cfRule type="expression" dxfId="2410" priority="314" stopIfTrue="1">
      <formula>OR(F$123&gt;maxEff,F$123&lt;F$121)</formula>
    </cfRule>
  </conditionalFormatting>
  <conditionalFormatting sqref="G121">
    <cfRule type="expression" dxfId="2409" priority="315" stopIfTrue="1">
      <formula>G$121&gt;maxEff</formula>
    </cfRule>
  </conditionalFormatting>
  <conditionalFormatting sqref="G123">
    <cfRule type="expression" dxfId="2408" priority="316" stopIfTrue="1">
      <formula>OR(G$123&gt;maxEff,G$123&lt;G$121)</formula>
    </cfRule>
  </conditionalFormatting>
  <conditionalFormatting sqref="H121">
    <cfRule type="expression" dxfId="2407" priority="317" stopIfTrue="1">
      <formula>H$121&gt;maxEff</formula>
    </cfRule>
  </conditionalFormatting>
  <conditionalFormatting sqref="H123">
    <cfRule type="expression" dxfId="2406" priority="318" stopIfTrue="1">
      <formula>OR(H$123&gt;maxEff,H$123&lt;H$121)</formula>
    </cfRule>
  </conditionalFormatting>
  <conditionalFormatting sqref="I121">
    <cfRule type="expression" dxfId="2405" priority="319" stopIfTrue="1">
      <formula>I$121&gt;maxEff</formula>
    </cfRule>
  </conditionalFormatting>
  <conditionalFormatting sqref="I123">
    <cfRule type="expression" dxfId="2404" priority="320" stopIfTrue="1">
      <formula>OR(I$123&gt;maxEff,I$123&lt;I$121)</formula>
    </cfRule>
  </conditionalFormatting>
  <conditionalFormatting sqref="J121">
    <cfRule type="expression" dxfId="2403" priority="321" stopIfTrue="1">
      <formula>J$121&gt;maxEff</formula>
    </cfRule>
  </conditionalFormatting>
  <conditionalFormatting sqref="J123">
    <cfRule type="expression" dxfId="2402" priority="322" stopIfTrue="1">
      <formula>OR(J$123&gt;maxEff,J$123&lt;J$121)</formula>
    </cfRule>
  </conditionalFormatting>
  <conditionalFormatting sqref="K121">
    <cfRule type="expression" dxfId="2401" priority="323" stopIfTrue="1">
      <formula>K$121&gt;maxEff</formula>
    </cfRule>
  </conditionalFormatting>
  <conditionalFormatting sqref="K123">
    <cfRule type="expression" dxfId="2400" priority="324" stopIfTrue="1">
      <formula>OR(K$123&gt;maxEff,K$123&lt;K$121)</formula>
    </cfRule>
  </conditionalFormatting>
  <conditionalFormatting sqref="L121">
    <cfRule type="expression" dxfId="2399" priority="325" stopIfTrue="1">
      <formula>L$121&gt;maxEff</formula>
    </cfRule>
  </conditionalFormatting>
  <conditionalFormatting sqref="L123">
    <cfRule type="expression" dxfId="2398" priority="326" stopIfTrue="1">
      <formula>OR(L$123&gt;maxEff,L$123&lt;L$121)</formula>
    </cfRule>
  </conditionalFormatting>
  <conditionalFormatting sqref="M121">
    <cfRule type="expression" dxfId="2397" priority="327" stopIfTrue="1">
      <formula>M$121&gt;maxEff</formula>
    </cfRule>
  </conditionalFormatting>
  <conditionalFormatting sqref="M123">
    <cfRule type="expression" dxfId="2396" priority="328" stopIfTrue="1">
      <formula>OR(M$123&gt;maxEff,M$123&lt;M$121)</formula>
    </cfRule>
  </conditionalFormatting>
  <conditionalFormatting sqref="N121">
    <cfRule type="expression" dxfId="2395" priority="329" stopIfTrue="1">
      <formula>N$121&gt;maxEff</formula>
    </cfRule>
  </conditionalFormatting>
  <conditionalFormatting sqref="N123">
    <cfRule type="expression" dxfId="2394" priority="330" stopIfTrue="1">
      <formula>OR(N$123&gt;maxEff,N$123&lt;N$121)</formula>
    </cfRule>
  </conditionalFormatting>
  <conditionalFormatting sqref="O121">
    <cfRule type="expression" dxfId="2393" priority="331" stopIfTrue="1">
      <formula>O$121&gt;maxEff</formula>
    </cfRule>
  </conditionalFormatting>
  <conditionalFormatting sqref="O123">
    <cfRule type="expression" dxfId="2392" priority="332" stopIfTrue="1">
      <formula>OR(O$123&gt;maxEff,O$123&lt;O$121)</formula>
    </cfRule>
  </conditionalFormatting>
  <conditionalFormatting sqref="P121">
    <cfRule type="expression" dxfId="2391" priority="333" stopIfTrue="1">
      <formula>P$121&gt;maxEff</formula>
    </cfRule>
  </conditionalFormatting>
  <conditionalFormatting sqref="P123">
    <cfRule type="expression" dxfId="2390" priority="334" stopIfTrue="1">
      <formula>OR(P$123&gt;maxEff,P$123&lt;P$121)</formula>
    </cfRule>
  </conditionalFormatting>
  <conditionalFormatting sqref="Q121">
    <cfRule type="expression" dxfId="2389" priority="335" stopIfTrue="1">
      <formula>Q$121&gt;maxEff</formula>
    </cfRule>
  </conditionalFormatting>
  <conditionalFormatting sqref="Q123">
    <cfRule type="expression" dxfId="2388" priority="336" stopIfTrue="1">
      <formula>OR(Q$123&gt;maxEff,Q$123&lt;Q$121)</formula>
    </cfRule>
  </conditionalFormatting>
  <conditionalFormatting sqref="R121">
    <cfRule type="expression" dxfId="2387" priority="337" stopIfTrue="1">
      <formula>R$121&gt;maxEff</formula>
    </cfRule>
  </conditionalFormatting>
  <conditionalFormatting sqref="R123">
    <cfRule type="expression" dxfId="2386" priority="338" stopIfTrue="1">
      <formula>OR(R$123&gt;maxEff,R$123&lt;R$121)</formula>
    </cfRule>
  </conditionalFormatting>
  <conditionalFormatting sqref="S121">
    <cfRule type="expression" dxfId="2385" priority="339" stopIfTrue="1">
      <formula>S$121&gt;maxEff</formula>
    </cfRule>
  </conditionalFormatting>
  <conditionalFormatting sqref="S123">
    <cfRule type="expression" dxfId="2384" priority="340" stopIfTrue="1">
      <formula>OR(S$123&gt;maxEff,S$123&lt;S$121)</formula>
    </cfRule>
  </conditionalFormatting>
  <conditionalFormatting sqref="T121">
    <cfRule type="expression" dxfId="2383" priority="341" stopIfTrue="1">
      <formula>T$121&gt;maxEff</formula>
    </cfRule>
  </conditionalFormatting>
  <conditionalFormatting sqref="T123">
    <cfRule type="expression" dxfId="2382" priority="342" stopIfTrue="1">
      <formula>OR(T$123&gt;maxEff,T$123&lt;T$121)</formula>
    </cfRule>
  </conditionalFormatting>
  <conditionalFormatting sqref="U121">
    <cfRule type="expression" dxfId="2381" priority="343" stopIfTrue="1">
      <formula>U$121&gt;maxEff</formula>
    </cfRule>
  </conditionalFormatting>
  <conditionalFormatting sqref="U123">
    <cfRule type="expression" dxfId="2380" priority="344" stopIfTrue="1">
      <formula>OR(U$123&gt;maxEff,U$123&lt;U$121)</formula>
    </cfRule>
  </conditionalFormatting>
  <conditionalFormatting sqref="V121">
    <cfRule type="expression" dxfId="2379" priority="345" stopIfTrue="1">
      <formula>V$121&gt;maxEff</formula>
    </cfRule>
  </conditionalFormatting>
  <conditionalFormatting sqref="V123">
    <cfRule type="expression" dxfId="2378" priority="346" stopIfTrue="1">
      <formula>OR(V$123&gt;maxEff,V$123&lt;V$121)</formula>
    </cfRule>
  </conditionalFormatting>
  <conditionalFormatting sqref="W121">
    <cfRule type="expression" dxfId="2377" priority="347" stopIfTrue="1">
      <formula>W$121&gt;maxEff</formula>
    </cfRule>
  </conditionalFormatting>
  <conditionalFormatting sqref="W123">
    <cfRule type="expression" dxfId="2376" priority="348" stopIfTrue="1">
      <formula>OR(W$123&gt;maxEff,W$123&lt;W$121)</formula>
    </cfRule>
  </conditionalFormatting>
  <conditionalFormatting sqref="X121">
    <cfRule type="expression" dxfId="2375" priority="349" stopIfTrue="1">
      <formula>X$121&gt;maxEff</formula>
    </cfRule>
  </conditionalFormatting>
  <conditionalFormatting sqref="X123">
    <cfRule type="expression" dxfId="2374" priority="350" stopIfTrue="1">
      <formula>OR(X$123&gt;maxEff,X$123&lt;X$121)</formula>
    </cfRule>
  </conditionalFormatting>
  <conditionalFormatting sqref="Y121">
    <cfRule type="expression" dxfId="2373" priority="351" stopIfTrue="1">
      <formula>Y$121&gt;maxEff</formula>
    </cfRule>
  </conditionalFormatting>
  <conditionalFormatting sqref="Y123">
    <cfRule type="expression" dxfId="2372" priority="352" stopIfTrue="1">
      <formula>OR(Y$123&gt;maxEff,Y$123&lt;Y$121)</formula>
    </cfRule>
  </conditionalFormatting>
  <conditionalFormatting sqref="Z121">
    <cfRule type="expression" dxfId="2371" priority="353" stopIfTrue="1">
      <formula>Z$121&gt;maxEff</formula>
    </cfRule>
  </conditionalFormatting>
  <conditionalFormatting sqref="Z123">
    <cfRule type="expression" dxfId="2370" priority="354" stopIfTrue="1">
      <formula>OR(Z$123&gt;maxEff,Z$123&lt;Z$121)</formula>
    </cfRule>
  </conditionalFormatting>
  <conditionalFormatting sqref="AA121">
    <cfRule type="expression" dxfId="2369" priority="355" stopIfTrue="1">
      <formula>AA$121&gt;maxEff</formula>
    </cfRule>
  </conditionalFormatting>
  <conditionalFormatting sqref="AA123">
    <cfRule type="expression" dxfId="2368" priority="356" stopIfTrue="1">
      <formula>OR(AA$123&gt;maxEff,AA$123&lt;AA$121)</formula>
    </cfRule>
  </conditionalFormatting>
  <conditionalFormatting sqref="AB121">
    <cfRule type="expression" dxfId="2367" priority="357" stopIfTrue="1">
      <formula>AB$121&gt;maxEff</formula>
    </cfRule>
  </conditionalFormatting>
  <conditionalFormatting sqref="AB123">
    <cfRule type="expression" dxfId="2366" priority="358" stopIfTrue="1">
      <formula>OR(AB$123&gt;maxEff,AB$123&lt;AB$121)</formula>
    </cfRule>
  </conditionalFormatting>
  <conditionalFormatting sqref="AC121">
    <cfRule type="expression" dxfId="2365" priority="359" stopIfTrue="1">
      <formula>AC$121&gt;maxEff</formula>
    </cfRule>
  </conditionalFormatting>
  <conditionalFormatting sqref="AC123">
    <cfRule type="expression" dxfId="2364" priority="360" stopIfTrue="1">
      <formula>OR(AC$123&gt;maxEff,AC$123&lt;AC$121)</formula>
    </cfRule>
  </conditionalFormatting>
  <conditionalFormatting sqref="AD121">
    <cfRule type="expression" dxfId="2363" priority="361" stopIfTrue="1">
      <formula>AD$121&gt;maxEff</formula>
    </cfRule>
  </conditionalFormatting>
  <conditionalFormatting sqref="AD123">
    <cfRule type="expression" dxfId="2362" priority="362" stopIfTrue="1">
      <formula>OR(AD$123&gt;maxEff,AD$123&lt;AD$121)</formula>
    </cfRule>
  </conditionalFormatting>
  <conditionalFormatting sqref="AE121">
    <cfRule type="expression" dxfId="2361" priority="363" stopIfTrue="1">
      <formula>AE$121&gt;maxEff</formula>
    </cfRule>
  </conditionalFormatting>
  <conditionalFormatting sqref="AE123">
    <cfRule type="expression" dxfId="2360" priority="364" stopIfTrue="1">
      <formula>OR(AE$123&gt;maxEff,AE$123&lt;AE$121)</formula>
    </cfRule>
  </conditionalFormatting>
  <conditionalFormatting sqref="AF121">
    <cfRule type="expression" dxfId="2359" priority="365" stopIfTrue="1">
      <formula>AF$121&gt;maxEff</formula>
    </cfRule>
  </conditionalFormatting>
  <conditionalFormatting sqref="AF123">
    <cfRule type="expression" dxfId="2358" priority="366" stopIfTrue="1">
      <formula>OR(AF$123&gt;maxEff,AF$123&lt;AF$121)</formula>
    </cfRule>
  </conditionalFormatting>
  <conditionalFormatting sqref="AG121">
    <cfRule type="expression" dxfId="2357" priority="367" stopIfTrue="1">
      <formula>AG$121&gt;maxEff</formula>
    </cfRule>
  </conditionalFormatting>
  <conditionalFormatting sqref="AG123">
    <cfRule type="expression" dxfId="2356" priority="368" stopIfTrue="1">
      <formula>OR(AG$123&gt;maxEff,AG$123&lt;AG$121)</formula>
    </cfRule>
  </conditionalFormatting>
  <conditionalFormatting sqref="AH121">
    <cfRule type="expression" dxfId="2355" priority="369" stopIfTrue="1">
      <formula>AH$121&gt;maxEff</formula>
    </cfRule>
  </conditionalFormatting>
  <conditionalFormatting sqref="AH123">
    <cfRule type="expression" dxfId="2354" priority="370" stopIfTrue="1">
      <formula>OR(AH$123&gt;maxEff,AH$123&lt;AH$121)</formula>
    </cfRule>
  </conditionalFormatting>
  <conditionalFormatting sqref="AI121">
    <cfRule type="expression" dxfId="2353" priority="371" stopIfTrue="1">
      <formula>AI$121&gt;maxEff</formula>
    </cfRule>
  </conditionalFormatting>
  <conditionalFormatting sqref="AI123">
    <cfRule type="expression" dxfId="2352" priority="372" stopIfTrue="1">
      <formula>OR(AI$123&gt;maxEff,AI$123&lt;AI$121)</formula>
    </cfRule>
  </conditionalFormatting>
  <conditionalFormatting sqref="AJ121">
    <cfRule type="expression" dxfId="2351" priority="373" stopIfTrue="1">
      <formula>AJ$121&gt;maxEff</formula>
    </cfRule>
  </conditionalFormatting>
  <conditionalFormatting sqref="AJ123">
    <cfRule type="expression" dxfId="2350" priority="374" stopIfTrue="1">
      <formula>OR(AJ$123&gt;maxEff,AJ$123&lt;AJ$121)</formula>
    </cfRule>
  </conditionalFormatting>
  <conditionalFormatting sqref="AK121">
    <cfRule type="expression" dxfId="2349" priority="375" stopIfTrue="1">
      <formula>AK$121&gt;maxEff</formula>
    </cfRule>
  </conditionalFormatting>
  <conditionalFormatting sqref="AK123">
    <cfRule type="expression" dxfId="2348" priority="376" stopIfTrue="1">
      <formula>OR(AK$123&gt;maxEff,AK$123&lt;AK$121)</formula>
    </cfRule>
  </conditionalFormatting>
  <conditionalFormatting sqref="AL121">
    <cfRule type="expression" dxfId="2347" priority="377" stopIfTrue="1">
      <formula>AL$121&gt;maxEff</formula>
    </cfRule>
  </conditionalFormatting>
  <conditionalFormatting sqref="AL123">
    <cfRule type="expression" dxfId="2346" priority="378" stopIfTrue="1">
      <formula>OR(AL$123&gt;maxEff,AL$123&lt;AL$121)</formula>
    </cfRule>
  </conditionalFormatting>
  <conditionalFormatting sqref="AM121">
    <cfRule type="expression" dxfId="2345" priority="379" stopIfTrue="1">
      <formula>AM$121&gt;maxEff</formula>
    </cfRule>
  </conditionalFormatting>
  <conditionalFormatting sqref="AM123">
    <cfRule type="expression" dxfId="2344" priority="380" stopIfTrue="1">
      <formula>OR(AM$123&gt;maxEff,AM$123&lt;AM$121)</formula>
    </cfRule>
  </conditionalFormatting>
  <conditionalFormatting sqref="AN121">
    <cfRule type="expression" dxfId="2343" priority="381" stopIfTrue="1">
      <formula>AN$121&gt;maxEff</formula>
    </cfRule>
  </conditionalFormatting>
  <conditionalFormatting sqref="AN123">
    <cfRule type="expression" dxfId="2342" priority="382" stopIfTrue="1">
      <formula>OR(AN$123&gt;maxEff,AN$123&lt;AN$121)</formula>
    </cfRule>
  </conditionalFormatting>
  <conditionalFormatting sqref="E113:E117">
    <cfRule type="containsBlanks" dxfId="2341" priority="385" stopIfTrue="1">
      <formula>LEN(TRIM(E113))=0</formula>
    </cfRule>
    <cfRule type="expression" dxfId="2340" priority="386" stopIfTrue="1">
      <formula>SUM($E$113:$E$117)&lt;&gt;1</formula>
    </cfRule>
    <cfRule type="notContainsBlanks" dxfId="2339" priority="387" stopIfTrue="1">
      <formula>LEN(TRIM(E113))&gt;0</formula>
    </cfRule>
  </conditionalFormatting>
  <conditionalFormatting sqref="F113:F117">
    <cfRule type="containsBlanks" dxfId="2338" priority="388" stopIfTrue="1">
      <formula>LEN(TRIM(F113))=0</formula>
    </cfRule>
    <cfRule type="expression" dxfId="2337" priority="389" stopIfTrue="1">
      <formula>SUM($F$113:$F$117)&lt;&gt;1</formula>
    </cfRule>
    <cfRule type="notContainsBlanks" dxfId="2336" priority="390" stopIfTrue="1">
      <formula>LEN(TRIM(F113))&gt;0</formula>
    </cfRule>
  </conditionalFormatting>
  <conditionalFormatting sqref="G113:G117">
    <cfRule type="containsBlanks" dxfId="2335" priority="391" stopIfTrue="1">
      <formula>LEN(TRIM(G113))=0</formula>
    </cfRule>
    <cfRule type="expression" dxfId="2334" priority="392" stopIfTrue="1">
      <formula>SUM($G$113:$G$117)&lt;&gt;1</formula>
    </cfRule>
    <cfRule type="notContainsBlanks" dxfId="2333" priority="393" stopIfTrue="1">
      <formula>LEN(TRIM(G113))&gt;0</formula>
    </cfRule>
  </conditionalFormatting>
  <conditionalFormatting sqref="H113:H117">
    <cfRule type="containsBlanks" dxfId="2332" priority="394" stopIfTrue="1">
      <formula>LEN(TRIM(H113))=0</formula>
    </cfRule>
    <cfRule type="expression" dxfId="2331" priority="395" stopIfTrue="1">
      <formula>SUM($H$113:$H$117)&lt;&gt;1</formula>
    </cfRule>
    <cfRule type="notContainsBlanks" dxfId="2330" priority="396" stopIfTrue="1">
      <formula>LEN(TRIM(H113))&gt;0</formula>
    </cfRule>
  </conditionalFormatting>
  <conditionalFormatting sqref="I113:I117">
    <cfRule type="containsBlanks" dxfId="2329" priority="397" stopIfTrue="1">
      <formula>LEN(TRIM(I113))=0</formula>
    </cfRule>
    <cfRule type="expression" dxfId="2328" priority="398" stopIfTrue="1">
      <formula>SUM($I$113:$I$117)&lt;&gt;1</formula>
    </cfRule>
    <cfRule type="notContainsBlanks" dxfId="2327" priority="399" stopIfTrue="1">
      <formula>LEN(TRIM(I113))&gt;0</formula>
    </cfRule>
  </conditionalFormatting>
  <conditionalFormatting sqref="J113:J117">
    <cfRule type="containsBlanks" dxfId="2326" priority="400" stopIfTrue="1">
      <formula>LEN(TRIM(J113))=0</formula>
    </cfRule>
    <cfRule type="expression" dxfId="2325" priority="401" stopIfTrue="1">
      <formula>SUM($J$113:$J$117)&lt;&gt;1</formula>
    </cfRule>
    <cfRule type="notContainsBlanks" dxfId="2324" priority="402" stopIfTrue="1">
      <formula>LEN(TRIM(J113))&gt;0</formula>
    </cfRule>
  </conditionalFormatting>
  <conditionalFormatting sqref="K113:K117">
    <cfRule type="containsBlanks" dxfId="2323" priority="403" stopIfTrue="1">
      <formula>LEN(TRIM(K113))=0</formula>
    </cfRule>
    <cfRule type="expression" dxfId="2322" priority="404" stopIfTrue="1">
      <formula>SUM($K$113:$K$117)&lt;&gt;1</formula>
    </cfRule>
    <cfRule type="notContainsBlanks" dxfId="2321" priority="405" stopIfTrue="1">
      <formula>LEN(TRIM(K113))&gt;0</formula>
    </cfRule>
  </conditionalFormatting>
  <conditionalFormatting sqref="L113:L117">
    <cfRule type="containsBlanks" dxfId="2320" priority="406" stopIfTrue="1">
      <formula>LEN(TRIM(L113))=0</formula>
    </cfRule>
    <cfRule type="expression" dxfId="2319" priority="407" stopIfTrue="1">
      <formula>SUM($L$113:$L$117)&lt;&gt;1</formula>
    </cfRule>
    <cfRule type="notContainsBlanks" dxfId="2318" priority="408" stopIfTrue="1">
      <formula>LEN(TRIM(L113))&gt;0</formula>
    </cfRule>
  </conditionalFormatting>
  <conditionalFormatting sqref="M113:M117">
    <cfRule type="containsBlanks" dxfId="2317" priority="409" stopIfTrue="1">
      <formula>LEN(TRIM(M113))=0</formula>
    </cfRule>
    <cfRule type="expression" dxfId="2316" priority="410" stopIfTrue="1">
      <formula>SUM($M$113:$M$117)&lt;&gt;1</formula>
    </cfRule>
    <cfRule type="notContainsBlanks" dxfId="2315" priority="411" stopIfTrue="1">
      <formula>LEN(TRIM(M113))&gt;0</formula>
    </cfRule>
  </conditionalFormatting>
  <conditionalFormatting sqref="N113:N117">
    <cfRule type="containsBlanks" dxfId="2314" priority="412" stopIfTrue="1">
      <formula>LEN(TRIM(N113))=0</formula>
    </cfRule>
    <cfRule type="expression" dxfId="2313" priority="413" stopIfTrue="1">
      <formula>SUM($N$113:$N$117)&lt;&gt;1</formula>
    </cfRule>
    <cfRule type="notContainsBlanks" dxfId="2312" priority="414" stopIfTrue="1">
      <formula>LEN(TRIM(N113))&gt;0</formula>
    </cfRule>
  </conditionalFormatting>
  <conditionalFormatting sqref="O113:O117">
    <cfRule type="containsBlanks" dxfId="2311" priority="415" stopIfTrue="1">
      <formula>LEN(TRIM(O113))=0</formula>
    </cfRule>
    <cfRule type="expression" dxfId="2310" priority="416" stopIfTrue="1">
      <formula>SUM($O$113:$O$117)&lt;&gt;1</formula>
    </cfRule>
    <cfRule type="notContainsBlanks" dxfId="2309" priority="417" stopIfTrue="1">
      <formula>LEN(TRIM(O113))&gt;0</formula>
    </cfRule>
  </conditionalFormatting>
  <conditionalFormatting sqref="P113:P117">
    <cfRule type="containsBlanks" dxfId="2308" priority="418" stopIfTrue="1">
      <formula>LEN(TRIM(P113))=0</formula>
    </cfRule>
    <cfRule type="expression" dxfId="2307" priority="419" stopIfTrue="1">
      <formula>SUM($P$113:$P$117)&lt;&gt;1</formula>
    </cfRule>
    <cfRule type="notContainsBlanks" dxfId="2306" priority="420" stopIfTrue="1">
      <formula>LEN(TRIM(P113))&gt;0</formula>
    </cfRule>
  </conditionalFormatting>
  <conditionalFormatting sqref="Q113:Q117">
    <cfRule type="containsBlanks" dxfId="2305" priority="421" stopIfTrue="1">
      <formula>LEN(TRIM(Q113))=0</formula>
    </cfRule>
    <cfRule type="expression" dxfId="2304" priority="422" stopIfTrue="1">
      <formula>SUM($Q$113:$Q$117)&lt;&gt;1</formula>
    </cfRule>
    <cfRule type="notContainsBlanks" dxfId="2303" priority="423" stopIfTrue="1">
      <formula>LEN(TRIM(Q113))&gt;0</formula>
    </cfRule>
  </conditionalFormatting>
  <conditionalFormatting sqref="R113:R117">
    <cfRule type="containsBlanks" dxfId="2302" priority="424" stopIfTrue="1">
      <formula>LEN(TRIM(R113))=0</formula>
    </cfRule>
    <cfRule type="expression" dxfId="2301" priority="425" stopIfTrue="1">
      <formula>SUM($R$113:$R$117)&lt;&gt;1</formula>
    </cfRule>
    <cfRule type="notContainsBlanks" dxfId="2300" priority="426" stopIfTrue="1">
      <formula>LEN(TRIM(R113))&gt;0</formula>
    </cfRule>
  </conditionalFormatting>
  <conditionalFormatting sqref="S113:S117">
    <cfRule type="containsBlanks" dxfId="2299" priority="427" stopIfTrue="1">
      <formula>LEN(TRIM(S113))=0</formula>
    </cfRule>
  </conditionalFormatting>
  <conditionalFormatting sqref="S113:S117">
    <cfRule type="expression" dxfId="2298" priority="428" stopIfTrue="1">
      <formula>SUM($S$113:$S$117)&lt;&gt;1</formula>
    </cfRule>
  </conditionalFormatting>
  <conditionalFormatting sqref="S113:S117">
    <cfRule type="notContainsBlanks" dxfId="2297" priority="429" stopIfTrue="1">
      <formula>LEN(TRIM(S113))&gt;0</formula>
    </cfRule>
  </conditionalFormatting>
  <conditionalFormatting sqref="T113:T117">
    <cfRule type="containsBlanks" dxfId="2296" priority="430" stopIfTrue="1">
      <formula>LEN(TRIM(T113))=0</formula>
    </cfRule>
  </conditionalFormatting>
  <conditionalFormatting sqref="T113:T117">
    <cfRule type="expression" dxfId="2295" priority="431" stopIfTrue="1">
      <formula>SUM($T$113:$T$117)&lt;&gt;1</formula>
    </cfRule>
  </conditionalFormatting>
  <conditionalFormatting sqref="T113:T117">
    <cfRule type="notContainsBlanks" dxfId="2294" priority="432" stopIfTrue="1">
      <formula>LEN(TRIM(T113))&gt;0</formula>
    </cfRule>
  </conditionalFormatting>
  <conditionalFormatting sqref="U113:U117">
    <cfRule type="containsBlanks" dxfId="2293" priority="433" stopIfTrue="1">
      <formula>LEN(TRIM(U113))=0</formula>
    </cfRule>
  </conditionalFormatting>
  <conditionalFormatting sqref="U113:U117">
    <cfRule type="expression" dxfId="2292" priority="434" stopIfTrue="1">
      <formula>SUM($U$113:$U$117)&lt;&gt;1</formula>
    </cfRule>
  </conditionalFormatting>
  <conditionalFormatting sqref="U113:U117">
    <cfRule type="notContainsBlanks" dxfId="2291" priority="435" stopIfTrue="1">
      <formula>LEN(TRIM(U113))&gt;0</formula>
    </cfRule>
  </conditionalFormatting>
  <conditionalFormatting sqref="V113:V117">
    <cfRule type="containsBlanks" dxfId="2290" priority="436" stopIfTrue="1">
      <formula>LEN(TRIM(V113))=0</formula>
    </cfRule>
  </conditionalFormatting>
  <conditionalFormatting sqref="V113:V117">
    <cfRule type="expression" dxfId="2289" priority="437" stopIfTrue="1">
      <formula>SUM($V$113:$V$117)&lt;&gt;1</formula>
    </cfRule>
  </conditionalFormatting>
  <conditionalFormatting sqref="V113:V117">
    <cfRule type="notContainsBlanks" dxfId="2288" priority="438" stopIfTrue="1">
      <formula>LEN(TRIM(V113))&gt;0</formula>
    </cfRule>
  </conditionalFormatting>
  <conditionalFormatting sqref="W113:W117">
    <cfRule type="containsBlanks" dxfId="2287" priority="439" stopIfTrue="1">
      <formula>LEN(TRIM(W113))=0</formula>
    </cfRule>
  </conditionalFormatting>
  <conditionalFormatting sqref="W113:W117">
    <cfRule type="expression" dxfId="2286" priority="440" stopIfTrue="1">
      <formula>SUM($W$113:$W$117)&lt;&gt;1</formula>
    </cfRule>
  </conditionalFormatting>
  <conditionalFormatting sqref="W113:W117">
    <cfRule type="notContainsBlanks" dxfId="2285" priority="441" stopIfTrue="1">
      <formula>LEN(TRIM(W113))&gt;0</formula>
    </cfRule>
  </conditionalFormatting>
  <conditionalFormatting sqref="X113:X117">
    <cfRule type="containsBlanks" dxfId="2284" priority="442" stopIfTrue="1">
      <formula>LEN(TRIM(X113))=0</formula>
    </cfRule>
  </conditionalFormatting>
  <conditionalFormatting sqref="X113:X117">
    <cfRule type="expression" dxfId="2283" priority="443" stopIfTrue="1">
      <formula>SUM($X$113:$X$117)&lt;&gt;1</formula>
    </cfRule>
  </conditionalFormatting>
  <conditionalFormatting sqref="X113:X117">
    <cfRule type="notContainsBlanks" dxfId="2282" priority="444" stopIfTrue="1">
      <formula>LEN(TRIM(X113))&gt;0</formula>
    </cfRule>
  </conditionalFormatting>
  <conditionalFormatting sqref="Y113:Y117">
    <cfRule type="containsBlanks" dxfId="2281" priority="445" stopIfTrue="1">
      <formula>LEN(TRIM(Y113))=0</formula>
    </cfRule>
  </conditionalFormatting>
  <conditionalFormatting sqref="Y113:Y117">
    <cfRule type="expression" dxfId="2280" priority="446" stopIfTrue="1">
      <formula>SUM($Y$113:$Y$117)&lt;&gt;1</formula>
    </cfRule>
  </conditionalFormatting>
  <conditionalFormatting sqref="Y113:Y117">
    <cfRule type="notContainsBlanks" dxfId="2279" priority="447" stopIfTrue="1">
      <formula>LEN(TRIM(Y113))&gt;0</formula>
    </cfRule>
  </conditionalFormatting>
  <conditionalFormatting sqref="Z113:Z117">
    <cfRule type="containsBlanks" dxfId="2278" priority="448" stopIfTrue="1">
      <formula>LEN(TRIM(Z113))=0</formula>
    </cfRule>
  </conditionalFormatting>
  <conditionalFormatting sqref="Z113:Z117">
    <cfRule type="expression" dxfId="2277" priority="449" stopIfTrue="1">
      <formula>SUM($Z$113:$Z$117)&lt;&gt;1</formula>
    </cfRule>
  </conditionalFormatting>
  <conditionalFormatting sqref="Z113:Z117">
    <cfRule type="notContainsBlanks" dxfId="2276" priority="450" stopIfTrue="1">
      <formula>LEN(TRIM(Z113))&gt;0</formula>
    </cfRule>
  </conditionalFormatting>
  <conditionalFormatting sqref="AA113:AA117">
    <cfRule type="containsBlanks" dxfId="2275" priority="451" stopIfTrue="1">
      <formula>LEN(TRIM(AA113))=0</formula>
    </cfRule>
  </conditionalFormatting>
  <conditionalFormatting sqref="AA113:AA117">
    <cfRule type="expression" dxfId="2274" priority="452" stopIfTrue="1">
      <formula>SUM($AA$113:$AA$117)&lt;&gt;1</formula>
    </cfRule>
  </conditionalFormatting>
  <conditionalFormatting sqref="AA113:AA117">
    <cfRule type="notContainsBlanks" dxfId="2273" priority="453" stopIfTrue="1">
      <formula>LEN(TRIM(AA113))&gt;0</formula>
    </cfRule>
  </conditionalFormatting>
  <conditionalFormatting sqref="AB113:AB117">
    <cfRule type="containsBlanks" dxfId="2272" priority="454" stopIfTrue="1">
      <formula>LEN(TRIM(AB113))=0</formula>
    </cfRule>
  </conditionalFormatting>
  <conditionalFormatting sqref="AB113:AB117">
    <cfRule type="expression" dxfId="2271" priority="455" stopIfTrue="1">
      <formula>SUM($AB$113:$AB$117)&lt;&gt;1</formula>
    </cfRule>
  </conditionalFormatting>
  <conditionalFormatting sqref="AB113:AB117">
    <cfRule type="notContainsBlanks" dxfId="2270" priority="456" stopIfTrue="1">
      <formula>LEN(TRIM(AB113))&gt;0</formula>
    </cfRule>
  </conditionalFormatting>
  <conditionalFormatting sqref="AC113:AC117">
    <cfRule type="containsBlanks" dxfId="2269" priority="457" stopIfTrue="1">
      <formula>LEN(TRIM(AC113))=0</formula>
    </cfRule>
  </conditionalFormatting>
  <conditionalFormatting sqref="AC113:AC117">
    <cfRule type="expression" dxfId="2268" priority="458" stopIfTrue="1">
      <formula>SUM($AC$113:$AC$117)&lt;&gt;1</formula>
    </cfRule>
  </conditionalFormatting>
  <conditionalFormatting sqref="AC113:AC117">
    <cfRule type="notContainsBlanks" dxfId="2267" priority="459" stopIfTrue="1">
      <formula>LEN(TRIM(AC113))&gt;0</formula>
    </cfRule>
  </conditionalFormatting>
  <conditionalFormatting sqref="AD113:AD117">
    <cfRule type="containsBlanks" dxfId="2266" priority="460" stopIfTrue="1">
      <formula>LEN(TRIM(AD113))=0</formula>
    </cfRule>
  </conditionalFormatting>
  <conditionalFormatting sqref="AD113:AD117">
    <cfRule type="expression" dxfId="2265" priority="461" stopIfTrue="1">
      <formula>SUM($AD$113:$AD$117)&lt;&gt;1</formula>
    </cfRule>
  </conditionalFormatting>
  <conditionalFormatting sqref="AD113:AD117">
    <cfRule type="notContainsBlanks" dxfId="2264" priority="462" stopIfTrue="1">
      <formula>LEN(TRIM(AD113))&gt;0</formula>
    </cfRule>
  </conditionalFormatting>
  <conditionalFormatting sqref="AE113:AE117">
    <cfRule type="containsBlanks" dxfId="2263" priority="463" stopIfTrue="1">
      <formula>LEN(TRIM(AE113))=0</formula>
    </cfRule>
  </conditionalFormatting>
  <conditionalFormatting sqref="AE113:AE117">
    <cfRule type="expression" dxfId="2262" priority="464" stopIfTrue="1">
      <formula>SUM($AE$113:$AE$117)&lt;&gt;1</formula>
    </cfRule>
  </conditionalFormatting>
  <conditionalFormatting sqref="AE113:AE117">
    <cfRule type="notContainsBlanks" dxfId="2261" priority="465" stopIfTrue="1">
      <formula>LEN(TRIM(AE113))&gt;0</formula>
    </cfRule>
  </conditionalFormatting>
  <conditionalFormatting sqref="AF113:AF117">
    <cfRule type="containsBlanks" dxfId="2260" priority="466" stopIfTrue="1">
      <formula>LEN(TRIM(AF113))=0</formula>
    </cfRule>
  </conditionalFormatting>
  <conditionalFormatting sqref="AF113:AF117">
    <cfRule type="expression" dxfId="2259" priority="467" stopIfTrue="1">
      <formula>SUM($AF$113:$AF$117)&lt;&gt;1</formula>
    </cfRule>
  </conditionalFormatting>
  <conditionalFormatting sqref="AF113:AF117">
    <cfRule type="notContainsBlanks" dxfId="2258" priority="468" stopIfTrue="1">
      <formula>LEN(TRIM(AF113))&gt;0</formula>
    </cfRule>
  </conditionalFormatting>
  <conditionalFormatting sqref="AG113:AG117">
    <cfRule type="containsBlanks" dxfId="2257" priority="469" stopIfTrue="1">
      <formula>LEN(TRIM(AG113))=0</formula>
    </cfRule>
  </conditionalFormatting>
  <conditionalFormatting sqref="AG113:AG117">
    <cfRule type="expression" dxfId="2256" priority="470" stopIfTrue="1">
      <formula>SUM($AG$113:$AG$117)&lt;&gt;1</formula>
    </cfRule>
  </conditionalFormatting>
  <conditionalFormatting sqref="AG113:AG117">
    <cfRule type="notContainsBlanks" dxfId="2255" priority="471" stopIfTrue="1">
      <formula>LEN(TRIM(AG113))&gt;0</formula>
    </cfRule>
  </conditionalFormatting>
  <conditionalFormatting sqref="AH113:AH117">
    <cfRule type="containsBlanks" dxfId="2254" priority="472" stopIfTrue="1">
      <formula>LEN(TRIM(AH113))=0</formula>
    </cfRule>
  </conditionalFormatting>
  <conditionalFormatting sqref="AH113:AH117">
    <cfRule type="expression" dxfId="2253" priority="473" stopIfTrue="1">
      <formula>SUM($AH$113:$AH$117)&lt;&gt;1</formula>
    </cfRule>
  </conditionalFormatting>
  <conditionalFormatting sqref="AH113:AH117">
    <cfRule type="notContainsBlanks" dxfId="2252" priority="474" stopIfTrue="1">
      <formula>LEN(TRIM(AH113))&gt;0</formula>
    </cfRule>
  </conditionalFormatting>
  <conditionalFormatting sqref="AI113:AI117">
    <cfRule type="containsBlanks" dxfId="2251" priority="475" stopIfTrue="1">
      <formula>LEN(TRIM(AI113))=0</formula>
    </cfRule>
  </conditionalFormatting>
  <conditionalFormatting sqref="AI113:AI117">
    <cfRule type="expression" dxfId="2250" priority="476" stopIfTrue="1">
      <formula>SUM($AI$113:$AI$117)&lt;&gt;1</formula>
    </cfRule>
  </conditionalFormatting>
  <conditionalFormatting sqref="AI113:AI117">
    <cfRule type="notContainsBlanks" dxfId="2249" priority="477" stopIfTrue="1">
      <formula>LEN(TRIM(AI113))&gt;0</formula>
    </cfRule>
  </conditionalFormatting>
  <conditionalFormatting sqref="AJ113:AJ117">
    <cfRule type="containsBlanks" dxfId="2248" priority="478" stopIfTrue="1">
      <formula>LEN(TRIM(AJ113))=0</formula>
    </cfRule>
  </conditionalFormatting>
  <conditionalFormatting sqref="AJ113:AJ117">
    <cfRule type="expression" dxfId="2247" priority="479" stopIfTrue="1">
      <formula>SUM($AJ$113:$AJ$117)&lt;&gt;1</formula>
    </cfRule>
  </conditionalFormatting>
  <conditionalFormatting sqref="AJ113:AJ117">
    <cfRule type="notContainsBlanks" dxfId="2246" priority="480" stopIfTrue="1">
      <formula>LEN(TRIM(AJ113))&gt;0</formula>
    </cfRule>
  </conditionalFormatting>
  <conditionalFormatting sqref="AK113:AK117">
    <cfRule type="containsBlanks" dxfId="2245" priority="481" stopIfTrue="1">
      <formula>LEN(TRIM(AK113))=0</formula>
    </cfRule>
  </conditionalFormatting>
  <conditionalFormatting sqref="AK113:AK117">
    <cfRule type="expression" dxfId="2244" priority="482" stopIfTrue="1">
      <formula>SUM($AK$113:$AK$117)&lt;&gt;1</formula>
    </cfRule>
  </conditionalFormatting>
  <conditionalFormatting sqref="AK113:AK117">
    <cfRule type="notContainsBlanks" dxfId="2243" priority="483" stopIfTrue="1">
      <formula>LEN(TRIM(AK113))&gt;0</formula>
    </cfRule>
  </conditionalFormatting>
  <conditionalFormatting sqref="AL113:AL117">
    <cfRule type="containsBlanks" dxfId="2242" priority="484" stopIfTrue="1">
      <formula>LEN(TRIM(AL113))=0</formula>
    </cfRule>
  </conditionalFormatting>
  <conditionalFormatting sqref="AL113:AL117">
    <cfRule type="expression" dxfId="2241" priority="485" stopIfTrue="1">
      <formula>SUM($AL$113:$AL$117)&lt;&gt;1</formula>
    </cfRule>
  </conditionalFormatting>
  <conditionalFormatting sqref="AL113:AL117">
    <cfRule type="notContainsBlanks" dxfId="2240" priority="486" stopIfTrue="1">
      <formula>LEN(TRIM(AL113))&gt;0</formula>
    </cfRule>
  </conditionalFormatting>
  <conditionalFormatting sqref="AM113:AM117">
    <cfRule type="containsBlanks" dxfId="2239" priority="487" stopIfTrue="1">
      <formula>LEN(TRIM(AM113))=0</formula>
    </cfRule>
  </conditionalFormatting>
  <conditionalFormatting sqref="AM113:AM117">
    <cfRule type="expression" dxfId="2238" priority="488" stopIfTrue="1">
      <formula>SUM($AM$113:$AM$117)&lt;&gt;1</formula>
    </cfRule>
  </conditionalFormatting>
  <conditionalFormatting sqref="AM113:AM117">
    <cfRule type="notContainsBlanks" dxfId="2237" priority="489" stopIfTrue="1">
      <formula>LEN(TRIM(AM113))&gt;0</formula>
    </cfRule>
  </conditionalFormatting>
  <conditionalFormatting sqref="AN113:AN117">
    <cfRule type="containsBlanks" dxfId="2236" priority="490" stopIfTrue="1">
      <formula>LEN(TRIM(AN113))=0</formula>
    </cfRule>
  </conditionalFormatting>
  <conditionalFormatting sqref="AN113:AN117">
    <cfRule type="expression" dxfId="2235" priority="491" stopIfTrue="1">
      <formula>SUM($AN$113:$AN$117)&lt;&gt;1</formula>
    </cfRule>
  </conditionalFormatting>
  <conditionalFormatting sqref="AN113:AN117">
    <cfRule type="notContainsBlanks" dxfId="2234" priority="492" stopIfTrue="1">
      <formula>LEN(TRIM(AN113))&gt;0</formula>
    </cfRule>
  </conditionalFormatting>
  <conditionalFormatting sqref="E107:E111">
    <cfRule type="containsBlanks" dxfId="2233" priority="503" stopIfTrue="1">
      <formula>LEN(TRIM(E107))=0</formula>
    </cfRule>
  </conditionalFormatting>
  <conditionalFormatting sqref="E107:E111">
    <cfRule type="expression" dxfId="2232" priority="504" stopIfTrue="1">
      <formula>SUM($E$107:$E$111)&lt;&gt;1</formula>
    </cfRule>
  </conditionalFormatting>
  <conditionalFormatting sqref="E107:E111">
    <cfRule type="notContainsBlanks" dxfId="2231" priority="505" stopIfTrue="1">
      <formula>LEN(TRIM(E107))&gt;0</formula>
    </cfRule>
  </conditionalFormatting>
  <conditionalFormatting sqref="F107:F111">
    <cfRule type="containsBlanks" dxfId="2230" priority="506" stopIfTrue="1">
      <formula>LEN(TRIM(F107))=0</formula>
    </cfRule>
  </conditionalFormatting>
  <conditionalFormatting sqref="F107:F111">
    <cfRule type="expression" dxfId="2229" priority="507" stopIfTrue="1">
      <formula>SUM($F$107:$F$111)&lt;&gt;1</formula>
    </cfRule>
  </conditionalFormatting>
  <conditionalFormatting sqref="F107:F111">
    <cfRule type="notContainsBlanks" dxfId="2228" priority="508" stopIfTrue="1">
      <formula>LEN(TRIM(F107))&gt;0</formula>
    </cfRule>
  </conditionalFormatting>
  <conditionalFormatting sqref="G107:G111">
    <cfRule type="containsBlanks" dxfId="2227" priority="509" stopIfTrue="1">
      <formula>LEN(TRIM(G107))=0</formula>
    </cfRule>
  </conditionalFormatting>
  <conditionalFormatting sqref="G107:G111">
    <cfRule type="expression" dxfId="2226" priority="510" stopIfTrue="1">
      <formula>SUM($G$107:$G$111)&lt;&gt;1</formula>
    </cfRule>
  </conditionalFormatting>
  <conditionalFormatting sqref="G107:G111">
    <cfRule type="notContainsBlanks" dxfId="2225" priority="511" stopIfTrue="1">
      <formula>LEN(TRIM(G107))&gt;0</formula>
    </cfRule>
  </conditionalFormatting>
  <conditionalFormatting sqref="H107:H111">
    <cfRule type="containsBlanks" dxfId="2224" priority="512" stopIfTrue="1">
      <formula>LEN(TRIM(H107))=0</formula>
    </cfRule>
  </conditionalFormatting>
  <conditionalFormatting sqref="H107:H111">
    <cfRule type="expression" dxfId="2223" priority="513" stopIfTrue="1">
      <formula>SUM($H$107:$H$111)&lt;&gt;1</formula>
    </cfRule>
  </conditionalFormatting>
  <conditionalFormatting sqref="H107:H111">
    <cfRule type="notContainsBlanks" dxfId="2222" priority="514" stopIfTrue="1">
      <formula>LEN(TRIM(H107))&gt;0</formula>
    </cfRule>
  </conditionalFormatting>
  <conditionalFormatting sqref="I107:I111">
    <cfRule type="containsBlanks" dxfId="2221" priority="515" stopIfTrue="1">
      <formula>LEN(TRIM(I107))=0</formula>
    </cfRule>
  </conditionalFormatting>
  <conditionalFormatting sqref="I107:I111">
    <cfRule type="expression" dxfId="2220" priority="516" stopIfTrue="1">
      <formula>SUM($I$107:$I$111)&lt;&gt;1</formula>
    </cfRule>
  </conditionalFormatting>
  <conditionalFormatting sqref="I107:I111">
    <cfRule type="notContainsBlanks" dxfId="2219" priority="517" stopIfTrue="1">
      <formula>LEN(TRIM(I107))&gt;0</formula>
    </cfRule>
  </conditionalFormatting>
  <conditionalFormatting sqref="J107:J111">
    <cfRule type="containsBlanks" dxfId="2218" priority="518" stopIfTrue="1">
      <formula>LEN(TRIM(J107))=0</formula>
    </cfRule>
  </conditionalFormatting>
  <conditionalFormatting sqref="J107:J111">
    <cfRule type="expression" dxfId="2217" priority="519" stopIfTrue="1">
      <formula>SUM($J$107:$J$111)&lt;&gt;1</formula>
    </cfRule>
  </conditionalFormatting>
  <conditionalFormatting sqref="J107:J111">
    <cfRule type="notContainsBlanks" dxfId="2216" priority="520" stopIfTrue="1">
      <formula>LEN(TRIM(J107))&gt;0</formula>
    </cfRule>
  </conditionalFormatting>
  <conditionalFormatting sqref="K107:K111">
    <cfRule type="containsBlanks" dxfId="2215" priority="521" stopIfTrue="1">
      <formula>LEN(TRIM(K107))=0</formula>
    </cfRule>
  </conditionalFormatting>
  <conditionalFormatting sqref="K107:K111">
    <cfRule type="expression" dxfId="2214" priority="522" stopIfTrue="1">
      <formula>SUM($K$107:$K$111)&lt;&gt;1</formula>
    </cfRule>
  </conditionalFormatting>
  <conditionalFormatting sqref="K107:K111">
    <cfRule type="notContainsBlanks" dxfId="2213" priority="523" stopIfTrue="1">
      <formula>LEN(TRIM(K107))&gt;0</formula>
    </cfRule>
  </conditionalFormatting>
  <conditionalFormatting sqref="L107:L111">
    <cfRule type="containsBlanks" dxfId="2212" priority="524" stopIfTrue="1">
      <formula>LEN(TRIM(L107))=0</formula>
    </cfRule>
  </conditionalFormatting>
  <conditionalFormatting sqref="L107:L111">
    <cfRule type="expression" dxfId="2211" priority="525" stopIfTrue="1">
      <formula>SUM($L$107:$L$111)&lt;&gt;1</formula>
    </cfRule>
  </conditionalFormatting>
  <conditionalFormatting sqref="L107:L111">
    <cfRule type="notContainsBlanks" dxfId="2210" priority="526" stopIfTrue="1">
      <formula>LEN(TRIM(L107))&gt;0</formula>
    </cfRule>
  </conditionalFormatting>
  <conditionalFormatting sqref="M107:M111">
    <cfRule type="containsBlanks" dxfId="2209" priority="527" stopIfTrue="1">
      <formula>LEN(TRIM(M107))=0</formula>
    </cfRule>
  </conditionalFormatting>
  <conditionalFormatting sqref="M107:M111">
    <cfRule type="expression" dxfId="2208" priority="528" stopIfTrue="1">
      <formula>SUM($M$107:$M$111)&lt;&gt;1</formula>
    </cfRule>
  </conditionalFormatting>
  <conditionalFormatting sqref="M107:M111">
    <cfRule type="notContainsBlanks" dxfId="2207" priority="529" stopIfTrue="1">
      <formula>LEN(TRIM(M107))&gt;0</formula>
    </cfRule>
  </conditionalFormatting>
  <conditionalFormatting sqref="N107:N111">
    <cfRule type="containsBlanks" dxfId="2206" priority="530" stopIfTrue="1">
      <formula>LEN(TRIM(N107))=0</formula>
    </cfRule>
  </conditionalFormatting>
  <conditionalFormatting sqref="N107:N111">
    <cfRule type="expression" dxfId="2205" priority="531" stopIfTrue="1">
      <formula>SUM($N$107:$N$111)&lt;&gt;1</formula>
    </cfRule>
  </conditionalFormatting>
  <conditionalFormatting sqref="N107:N111">
    <cfRule type="notContainsBlanks" dxfId="2204" priority="532" stopIfTrue="1">
      <formula>LEN(TRIM(N107))&gt;0</formula>
    </cfRule>
  </conditionalFormatting>
  <conditionalFormatting sqref="O107:O111">
    <cfRule type="containsBlanks" dxfId="2203" priority="533" stopIfTrue="1">
      <formula>LEN(TRIM(O107))=0</formula>
    </cfRule>
  </conditionalFormatting>
  <conditionalFormatting sqref="O107:O111">
    <cfRule type="expression" dxfId="2202" priority="534" stopIfTrue="1">
      <formula>SUM($O$107:$O$111)&lt;&gt;1</formula>
    </cfRule>
  </conditionalFormatting>
  <conditionalFormatting sqref="O107:O111">
    <cfRule type="notContainsBlanks" dxfId="2201" priority="535" stopIfTrue="1">
      <formula>LEN(TRIM(O107))&gt;0</formula>
    </cfRule>
  </conditionalFormatting>
  <conditionalFormatting sqref="P107:P111">
    <cfRule type="containsBlanks" dxfId="2200" priority="536" stopIfTrue="1">
      <formula>LEN(TRIM(P107))=0</formula>
    </cfRule>
  </conditionalFormatting>
  <conditionalFormatting sqref="P107:P111">
    <cfRule type="expression" dxfId="2199" priority="537" stopIfTrue="1">
      <formula>SUM($P$107:$P$111)&lt;&gt;1</formula>
    </cfRule>
  </conditionalFormatting>
  <conditionalFormatting sqref="P107:P111">
    <cfRule type="notContainsBlanks" dxfId="2198" priority="538" stopIfTrue="1">
      <formula>LEN(TRIM(P107))&gt;0</formula>
    </cfRule>
  </conditionalFormatting>
  <conditionalFormatting sqref="Q107:Q111">
    <cfRule type="containsBlanks" dxfId="2197" priority="539" stopIfTrue="1">
      <formula>LEN(TRIM(Q107))=0</formula>
    </cfRule>
  </conditionalFormatting>
  <conditionalFormatting sqref="Q107:Q111">
    <cfRule type="expression" dxfId="2196" priority="540" stopIfTrue="1">
      <formula>SUM($Q$107:$Q$111)&lt;&gt;1</formula>
    </cfRule>
  </conditionalFormatting>
  <conditionalFormatting sqref="Q107:Q111">
    <cfRule type="notContainsBlanks" dxfId="2195" priority="541" stopIfTrue="1">
      <formula>LEN(TRIM(Q107))&gt;0</formula>
    </cfRule>
  </conditionalFormatting>
  <conditionalFormatting sqref="R107:R111">
    <cfRule type="containsBlanks" dxfId="2194" priority="542" stopIfTrue="1">
      <formula>LEN(TRIM(R107))=0</formula>
    </cfRule>
  </conditionalFormatting>
  <conditionalFormatting sqref="R107:R111">
    <cfRule type="expression" dxfId="2193" priority="543" stopIfTrue="1">
      <formula>SUM($R$107:$R$111)&lt;&gt;1</formula>
    </cfRule>
  </conditionalFormatting>
  <conditionalFormatting sqref="R107:R111">
    <cfRule type="notContainsBlanks" dxfId="2192" priority="544" stopIfTrue="1">
      <formula>LEN(TRIM(R107))&gt;0</formula>
    </cfRule>
  </conditionalFormatting>
  <conditionalFormatting sqref="S107:S111">
    <cfRule type="containsBlanks" dxfId="2191" priority="545" stopIfTrue="1">
      <formula>LEN(TRIM(S107))=0</formula>
    </cfRule>
  </conditionalFormatting>
  <conditionalFormatting sqref="S107:S111">
    <cfRule type="expression" dxfId="2190" priority="546" stopIfTrue="1">
      <formula>SUM($S$107:$S$111)&lt;&gt;1</formula>
    </cfRule>
  </conditionalFormatting>
  <conditionalFormatting sqref="S107:S111">
    <cfRule type="notContainsBlanks" dxfId="2189" priority="547" stopIfTrue="1">
      <formula>LEN(TRIM(S107))&gt;0</formula>
    </cfRule>
  </conditionalFormatting>
  <conditionalFormatting sqref="T107:T111">
    <cfRule type="containsBlanks" dxfId="2188" priority="548" stopIfTrue="1">
      <formula>LEN(TRIM(T107))=0</formula>
    </cfRule>
  </conditionalFormatting>
  <conditionalFormatting sqref="T107:T111">
    <cfRule type="expression" dxfId="2187" priority="549" stopIfTrue="1">
      <formula>SUM($T$107:$T$111)&lt;&gt;1</formula>
    </cfRule>
  </conditionalFormatting>
  <conditionalFormatting sqref="T107:T111">
    <cfRule type="notContainsBlanks" dxfId="2186" priority="550" stopIfTrue="1">
      <formula>LEN(TRIM(T107))&gt;0</formula>
    </cfRule>
  </conditionalFormatting>
  <conditionalFormatting sqref="U107:U111">
    <cfRule type="containsBlanks" dxfId="2185" priority="551" stopIfTrue="1">
      <formula>LEN(TRIM(U107))=0</formula>
    </cfRule>
  </conditionalFormatting>
  <conditionalFormatting sqref="U107:U111">
    <cfRule type="expression" dxfId="2184" priority="552" stopIfTrue="1">
      <formula>SUM($U$107:$U$111)&lt;&gt;1</formula>
    </cfRule>
  </conditionalFormatting>
  <conditionalFormatting sqref="U107:U111">
    <cfRule type="notContainsBlanks" dxfId="2183" priority="553" stopIfTrue="1">
      <formula>LEN(TRIM(U107))&gt;0</formula>
    </cfRule>
  </conditionalFormatting>
  <conditionalFormatting sqref="V107:V111">
    <cfRule type="containsBlanks" dxfId="2182" priority="554" stopIfTrue="1">
      <formula>LEN(TRIM(V107))=0</formula>
    </cfRule>
  </conditionalFormatting>
  <conditionalFormatting sqref="V107:V111">
    <cfRule type="expression" dxfId="2181" priority="555" stopIfTrue="1">
      <formula>SUM($V$107:$V$111)&lt;&gt;1</formula>
    </cfRule>
  </conditionalFormatting>
  <conditionalFormatting sqref="V107:V111">
    <cfRule type="notContainsBlanks" dxfId="2180" priority="556" stopIfTrue="1">
      <formula>LEN(TRIM(V107))&gt;0</formula>
    </cfRule>
  </conditionalFormatting>
  <conditionalFormatting sqref="W107:W111">
    <cfRule type="containsBlanks" dxfId="2179" priority="557" stopIfTrue="1">
      <formula>LEN(TRIM(W107))=0</formula>
    </cfRule>
  </conditionalFormatting>
  <conditionalFormatting sqref="W107:W111">
    <cfRule type="expression" dxfId="2178" priority="558" stopIfTrue="1">
      <formula>SUM($W$107:$W$111)&lt;&gt;1</formula>
    </cfRule>
  </conditionalFormatting>
  <conditionalFormatting sqref="W107:W111">
    <cfRule type="notContainsBlanks" dxfId="2177" priority="559" stopIfTrue="1">
      <formula>LEN(TRIM(W107))&gt;0</formula>
    </cfRule>
  </conditionalFormatting>
  <conditionalFormatting sqref="X107:X111">
    <cfRule type="containsBlanks" dxfId="2176" priority="560" stopIfTrue="1">
      <formula>LEN(TRIM(X107))=0</formula>
    </cfRule>
  </conditionalFormatting>
  <conditionalFormatting sqref="X107:X111">
    <cfRule type="expression" dxfId="2175" priority="561" stopIfTrue="1">
      <formula>SUM($X$107:$X$111)&lt;&gt;1</formula>
    </cfRule>
  </conditionalFormatting>
  <conditionalFormatting sqref="X107:X111">
    <cfRule type="notContainsBlanks" dxfId="2174" priority="562" stopIfTrue="1">
      <formula>LEN(TRIM(X107))&gt;0</formula>
    </cfRule>
  </conditionalFormatting>
  <conditionalFormatting sqref="Y107:Y111">
    <cfRule type="containsBlanks" dxfId="2173" priority="563" stopIfTrue="1">
      <formula>LEN(TRIM(Y107))=0</formula>
    </cfRule>
  </conditionalFormatting>
  <conditionalFormatting sqref="Y107:Y111">
    <cfRule type="expression" dxfId="2172" priority="564" stopIfTrue="1">
      <formula>SUM($Y$107:$Y$111)&lt;&gt;1</formula>
    </cfRule>
  </conditionalFormatting>
  <conditionalFormatting sqref="Y107:Y111">
    <cfRule type="notContainsBlanks" dxfId="2171" priority="565" stopIfTrue="1">
      <formula>LEN(TRIM(Y107))&gt;0</formula>
    </cfRule>
  </conditionalFormatting>
  <conditionalFormatting sqref="Z107:Z111">
    <cfRule type="containsBlanks" dxfId="2170" priority="566" stopIfTrue="1">
      <formula>LEN(TRIM(Z107))=0</formula>
    </cfRule>
  </conditionalFormatting>
  <conditionalFormatting sqref="Z107:Z111">
    <cfRule type="expression" dxfId="2169" priority="567" stopIfTrue="1">
      <formula>SUM($Z$107:$Z$111)&lt;&gt;1</formula>
    </cfRule>
  </conditionalFormatting>
  <conditionalFormatting sqref="Z107:Z111">
    <cfRule type="notContainsBlanks" dxfId="2168" priority="568" stopIfTrue="1">
      <formula>LEN(TRIM(Z107))&gt;0</formula>
    </cfRule>
  </conditionalFormatting>
  <conditionalFormatting sqref="AA107:AA111">
    <cfRule type="containsBlanks" dxfId="2167" priority="569" stopIfTrue="1">
      <formula>LEN(TRIM(AA107))=0</formula>
    </cfRule>
  </conditionalFormatting>
  <conditionalFormatting sqref="AA107:AA111">
    <cfRule type="expression" dxfId="2166" priority="570" stopIfTrue="1">
      <formula>SUM($AA$107:$AA$111)&lt;&gt;1</formula>
    </cfRule>
  </conditionalFormatting>
  <conditionalFormatting sqref="AA107:AA111">
    <cfRule type="notContainsBlanks" dxfId="2165" priority="571" stopIfTrue="1">
      <formula>LEN(TRIM(AA107))&gt;0</formula>
    </cfRule>
  </conditionalFormatting>
  <conditionalFormatting sqref="AB107:AB111">
    <cfRule type="containsBlanks" dxfId="2164" priority="572" stopIfTrue="1">
      <formula>LEN(TRIM(AB107))=0</formula>
    </cfRule>
  </conditionalFormatting>
  <conditionalFormatting sqref="AB107:AB111">
    <cfRule type="expression" dxfId="2163" priority="573" stopIfTrue="1">
      <formula>SUM($AB$107:$AB$111)&lt;&gt;1</formula>
    </cfRule>
  </conditionalFormatting>
  <conditionalFormatting sqref="AB107:AB111">
    <cfRule type="notContainsBlanks" dxfId="2162" priority="574" stopIfTrue="1">
      <formula>LEN(TRIM(AB107))&gt;0</formula>
    </cfRule>
  </conditionalFormatting>
  <conditionalFormatting sqref="AC107:AC111">
    <cfRule type="containsBlanks" dxfId="2161" priority="575" stopIfTrue="1">
      <formula>LEN(TRIM(AC107))=0</formula>
    </cfRule>
  </conditionalFormatting>
  <conditionalFormatting sqref="AC107:AC111">
    <cfRule type="expression" dxfId="2160" priority="576" stopIfTrue="1">
      <formula>SUM($AC$107:$AC$111)&lt;&gt;1</formula>
    </cfRule>
  </conditionalFormatting>
  <conditionalFormatting sqref="AC107:AC111">
    <cfRule type="notContainsBlanks" dxfId="2159" priority="577" stopIfTrue="1">
      <formula>LEN(TRIM(AC107))&gt;0</formula>
    </cfRule>
  </conditionalFormatting>
  <conditionalFormatting sqref="AD107:AD111">
    <cfRule type="containsBlanks" dxfId="2158" priority="578" stopIfTrue="1">
      <formula>LEN(TRIM(AD107))=0</formula>
    </cfRule>
  </conditionalFormatting>
  <conditionalFormatting sqref="AD107:AD111">
    <cfRule type="expression" dxfId="2157" priority="579" stopIfTrue="1">
      <formula>SUM($AD$107:$AD$111)&lt;&gt;1</formula>
    </cfRule>
  </conditionalFormatting>
  <conditionalFormatting sqref="AD107:AD111">
    <cfRule type="notContainsBlanks" dxfId="2156" priority="580" stopIfTrue="1">
      <formula>LEN(TRIM(AD107))&gt;0</formula>
    </cfRule>
  </conditionalFormatting>
  <conditionalFormatting sqref="AE107:AE111">
    <cfRule type="containsBlanks" dxfId="2155" priority="581" stopIfTrue="1">
      <formula>LEN(TRIM(AE107))=0</formula>
    </cfRule>
  </conditionalFormatting>
  <conditionalFormatting sqref="AE107:AE111">
    <cfRule type="expression" dxfId="2154" priority="582" stopIfTrue="1">
      <formula>SUM($AE$107:$AE$111)&lt;&gt;1</formula>
    </cfRule>
  </conditionalFormatting>
  <conditionalFormatting sqref="AE107:AE111">
    <cfRule type="notContainsBlanks" dxfId="2153" priority="583" stopIfTrue="1">
      <formula>LEN(TRIM(AE107))&gt;0</formula>
    </cfRule>
  </conditionalFormatting>
  <conditionalFormatting sqref="AF107:AF111">
    <cfRule type="containsBlanks" dxfId="2152" priority="584" stopIfTrue="1">
      <formula>LEN(TRIM(AF107))=0</formula>
    </cfRule>
  </conditionalFormatting>
  <conditionalFormatting sqref="AF107:AF111">
    <cfRule type="expression" dxfId="2151" priority="585" stopIfTrue="1">
      <formula>SUM($AF$107:$AF$111)&lt;&gt;1</formula>
    </cfRule>
  </conditionalFormatting>
  <conditionalFormatting sqref="AF107:AF111">
    <cfRule type="notContainsBlanks" dxfId="2150" priority="586" stopIfTrue="1">
      <formula>LEN(TRIM(AF107))&gt;0</formula>
    </cfRule>
  </conditionalFormatting>
  <conditionalFormatting sqref="AG107:AG111">
    <cfRule type="containsBlanks" dxfId="2149" priority="587" stopIfTrue="1">
      <formula>LEN(TRIM(AG107))=0</formula>
    </cfRule>
  </conditionalFormatting>
  <conditionalFormatting sqref="AG107:AG111">
    <cfRule type="expression" dxfId="2148" priority="588" stopIfTrue="1">
      <formula>SUM($AG$107:$AG$111)&lt;&gt;1</formula>
    </cfRule>
  </conditionalFormatting>
  <conditionalFormatting sqref="AG107:AG111">
    <cfRule type="notContainsBlanks" dxfId="2147" priority="589" stopIfTrue="1">
      <formula>LEN(TRIM(AG107))&gt;0</formula>
    </cfRule>
  </conditionalFormatting>
  <conditionalFormatting sqref="AH107:AH111">
    <cfRule type="containsBlanks" dxfId="2146" priority="590" stopIfTrue="1">
      <formula>LEN(TRIM(AH107))=0</formula>
    </cfRule>
  </conditionalFormatting>
  <conditionalFormatting sqref="AH107:AH111">
    <cfRule type="expression" dxfId="2145" priority="591" stopIfTrue="1">
      <formula>SUM($AH$107:$AH$111)&lt;&gt;1</formula>
    </cfRule>
  </conditionalFormatting>
  <conditionalFormatting sqref="AH107:AH111">
    <cfRule type="notContainsBlanks" dxfId="2144" priority="592" stopIfTrue="1">
      <formula>LEN(TRIM(AH107))&gt;0</formula>
    </cfRule>
  </conditionalFormatting>
  <conditionalFormatting sqref="AI107:AI111">
    <cfRule type="containsBlanks" dxfId="2143" priority="593" stopIfTrue="1">
      <formula>LEN(TRIM(AI107))=0</formula>
    </cfRule>
  </conditionalFormatting>
  <conditionalFormatting sqref="AI107:AI111">
    <cfRule type="expression" dxfId="2142" priority="594" stopIfTrue="1">
      <formula>SUM($AI$107:$AI$111)&lt;&gt;1</formula>
    </cfRule>
  </conditionalFormatting>
  <conditionalFormatting sqref="AI107:AI111">
    <cfRule type="notContainsBlanks" dxfId="2141" priority="595" stopIfTrue="1">
      <formula>LEN(TRIM(AI107))&gt;0</formula>
    </cfRule>
  </conditionalFormatting>
  <conditionalFormatting sqref="AJ107:AJ111">
    <cfRule type="containsBlanks" dxfId="2140" priority="596" stopIfTrue="1">
      <formula>LEN(TRIM(AJ107))=0</formula>
    </cfRule>
  </conditionalFormatting>
  <conditionalFormatting sqref="AJ107:AJ111">
    <cfRule type="expression" dxfId="2139" priority="597" stopIfTrue="1">
      <formula>SUM($AJ$107:$AJ$111)&lt;&gt;1</formula>
    </cfRule>
  </conditionalFormatting>
  <conditionalFormatting sqref="AJ107:AJ111">
    <cfRule type="notContainsBlanks" dxfId="2138" priority="598" stopIfTrue="1">
      <formula>LEN(TRIM(AJ107))&gt;0</formula>
    </cfRule>
  </conditionalFormatting>
  <conditionalFormatting sqref="AK107:AK111">
    <cfRule type="containsBlanks" dxfId="2137" priority="599" stopIfTrue="1">
      <formula>LEN(TRIM(AK107))=0</formula>
    </cfRule>
  </conditionalFormatting>
  <conditionalFormatting sqref="AK107:AK111">
    <cfRule type="expression" dxfId="2136" priority="600" stopIfTrue="1">
      <formula>SUM($AK$107:$AK$111)&lt;&gt;1</formula>
    </cfRule>
  </conditionalFormatting>
  <conditionalFormatting sqref="AK107:AK111">
    <cfRule type="notContainsBlanks" dxfId="2135" priority="601" stopIfTrue="1">
      <formula>LEN(TRIM(AK107))&gt;0</formula>
    </cfRule>
  </conditionalFormatting>
  <conditionalFormatting sqref="AL107:AL111">
    <cfRule type="containsBlanks" dxfId="2134" priority="602" stopIfTrue="1">
      <formula>LEN(TRIM(AL107))=0</formula>
    </cfRule>
  </conditionalFormatting>
  <conditionalFormatting sqref="AL107:AL111">
    <cfRule type="expression" dxfId="2133" priority="603" stopIfTrue="1">
      <formula>SUM($AL$107:$AL$111)&lt;&gt;1</formula>
    </cfRule>
  </conditionalFormatting>
  <conditionalFormatting sqref="AL107:AL111">
    <cfRule type="notContainsBlanks" dxfId="2132" priority="604" stopIfTrue="1">
      <formula>LEN(TRIM(AL107))&gt;0</formula>
    </cfRule>
  </conditionalFormatting>
  <conditionalFormatting sqref="AM107:AM111">
    <cfRule type="containsBlanks" dxfId="2131" priority="605" stopIfTrue="1">
      <formula>LEN(TRIM(AM107))=0</formula>
    </cfRule>
  </conditionalFormatting>
  <conditionalFormatting sqref="AM107:AM111">
    <cfRule type="expression" dxfId="2130" priority="606" stopIfTrue="1">
      <formula>SUM($AM$107:$AM$111)&lt;&gt;1</formula>
    </cfRule>
  </conditionalFormatting>
  <conditionalFormatting sqref="AM107:AM111">
    <cfRule type="notContainsBlanks" dxfId="2129" priority="607" stopIfTrue="1">
      <formula>LEN(TRIM(AM107))&gt;0</formula>
    </cfRule>
  </conditionalFormatting>
  <conditionalFormatting sqref="AN107:AN111">
    <cfRule type="containsBlanks" dxfId="2128" priority="608" stopIfTrue="1">
      <formula>LEN(TRIM(AN107))=0</formula>
    </cfRule>
  </conditionalFormatting>
  <conditionalFormatting sqref="AN107:AN111">
    <cfRule type="expression" dxfId="2127" priority="609" stopIfTrue="1">
      <formula>SUM($AN$107:$AN$111)&lt;&gt;1</formula>
    </cfRule>
  </conditionalFormatting>
  <conditionalFormatting sqref="AN107:AN111">
    <cfRule type="notContainsBlanks" dxfId="2126" priority="610" stopIfTrue="1">
      <formula>LEN(TRIM(AN107))&gt;0</formula>
    </cfRule>
  </conditionalFormatting>
  <conditionalFormatting sqref="E101:E105">
    <cfRule type="containsBlanks" dxfId="2125" priority="621" stopIfTrue="1">
      <formula>LEN(TRIM(E101))=0</formula>
    </cfRule>
    <cfRule type="expression" dxfId="2124" priority="622" stopIfTrue="1">
      <formula>SUM($E$101:$E$105)&lt;&gt;1</formula>
    </cfRule>
    <cfRule type="notContainsBlanks" dxfId="2123" priority="623" stopIfTrue="1">
      <formula>LEN(TRIM(E101))&gt;0</formula>
    </cfRule>
  </conditionalFormatting>
  <conditionalFormatting sqref="F101:F105">
    <cfRule type="containsBlanks" dxfId="2122" priority="624" stopIfTrue="1">
      <formula>LEN(TRIM(F101))=0</formula>
    </cfRule>
    <cfRule type="expression" dxfId="2121" priority="625" stopIfTrue="1">
      <formula>SUM($F$101:$F$105)&lt;&gt;1</formula>
    </cfRule>
    <cfRule type="notContainsBlanks" dxfId="2120" priority="626" stopIfTrue="1">
      <formula>LEN(TRIM(F101))&gt;0</formula>
    </cfRule>
  </conditionalFormatting>
  <conditionalFormatting sqref="G101:G105">
    <cfRule type="containsBlanks" dxfId="2119" priority="627" stopIfTrue="1">
      <formula>LEN(TRIM(G101))=0</formula>
    </cfRule>
    <cfRule type="expression" dxfId="2118" priority="628" stopIfTrue="1">
      <formula>SUM($G$101:$G$105)&lt;&gt;1</formula>
    </cfRule>
    <cfRule type="notContainsBlanks" dxfId="2117" priority="629" stopIfTrue="1">
      <formula>LEN(TRIM(G101))&gt;0</formula>
    </cfRule>
  </conditionalFormatting>
  <conditionalFormatting sqref="H101:H105">
    <cfRule type="containsBlanks" dxfId="2116" priority="630" stopIfTrue="1">
      <formula>LEN(TRIM(H101))=0</formula>
    </cfRule>
    <cfRule type="expression" dxfId="2115" priority="631" stopIfTrue="1">
      <formula>SUM($H$101:$H$105)&lt;&gt;1</formula>
    </cfRule>
    <cfRule type="notContainsBlanks" dxfId="2114" priority="632" stopIfTrue="1">
      <formula>LEN(TRIM(H101))&gt;0</formula>
    </cfRule>
  </conditionalFormatting>
  <conditionalFormatting sqref="I101:I105">
    <cfRule type="containsBlanks" dxfId="2113" priority="633" stopIfTrue="1">
      <formula>LEN(TRIM(I101))=0</formula>
    </cfRule>
    <cfRule type="expression" dxfId="2112" priority="634" stopIfTrue="1">
      <formula>SUM($I$101:$I$105)&lt;&gt;1</formula>
    </cfRule>
    <cfRule type="notContainsBlanks" dxfId="2111" priority="635" stopIfTrue="1">
      <formula>LEN(TRIM(I101))&gt;0</formula>
    </cfRule>
  </conditionalFormatting>
  <conditionalFormatting sqref="J101:J105">
    <cfRule type="containsBlanks" dxfId="2110" priority="636" stopIfTrue="1">
      <formula>LEN(TRIM(J101))=0</formula>
    </cfRule>
    <cfRule type="expression" dxfId="2109" priority="637" stopIfTrue="1">
      <formula>SUM($J$101:$J$105)&lt;&gt;1</formula>
    </cfRule>
    <cfRule type="notContainsBlanks" dxfId="2108" priority="638" stopIfTrue="1">
      <formula>LEN(TRIM(J101))&gt;0</formula>
    </cfRule>
  </conditionalFormatting>
  <conditionalFormatting sqref="K101:K105">
    <cfRule type="containsBlanks" dxfId="2107" priority="639" stopIfTrue="1">
      <formula>LEN(TRIM(K101))=0</formula>
    </cfRule>
    <cfRule type="expression" dxfId="2106" priority="640" stopIfTrue="1">
      <formula>SUM($K$101:$K$105)&lt;&gt;1</formula>
    </cfRule>
    <cfRule type="notContainsBlanks" dxfId="2105" priority="641" stopIfTrue="1">
      <formula>LEN(TRIM(K101))&gt;0</formula>
    </cfRule>
  </conditionalFormatting>
  <conditionalFormatting sqref="L101:L105">
    <cfRule type="containsBlanks" dxfId="2104" priority="642" stopIfTrue="1">
      <formula>LEN(TRIM(L101))=0</formula>
    </cfRule>
    <cfRule type="expression" dxfId="2103" priority="643" stopIfTrue="1">
      <formula>SUM($L$101:$L$105)&lt;&gt;1</formula>
    </cfRule>
    <cfRule type="notContainsBlanks" dxfId="2102" priority="644" stopIfTrue="1">
      <formula>LEN(TRIM(L101))&gt;0</formula>
    </cfRule>
  </conditionalFormatting>
  <conditionalFormatting sqref="M101:M105">
    <cfRule type="containsBlanks" dxfId="2101" priority="645" stopIfTrue="1">
      <formula>LEN(TRIM(M101))=0</formula>
    </cfRule>
    <cfRule type="expression" dxfId="2100" priority="646" stopIfTrue="1">
      <formula>SUM($M$101:$M$105)&lt;&gt;1</formula>
    </cfRule>
    <cfRule type="notContainsBlanks" dxfId="2099" priority="647" stopIfTrue="1">
      <formula>LEN(TRIM(M101))&gt;0</formula>
    </cfRule>
  </conditionalFormatting>
  <conditionalFormatting sqref="N101:N105">
    <cfRule type="containsBlanks" dxfId="2098" priority="648" stopIfTrue="1">
      <formula>LEN(TRIM(N101))=0</formula>
    </cfRule>
    <cfRule type="expression" dxfId="2097" priority="649" stopIfTrue="1">
      <formula>SUM($N$101:$N$105)&lt;&gt;1</formula>
    </cfRule>
    <cfRule type="notContainsBlanks" dxfId="2096" priority="650" stopIfTrue="1">
      <formula>LEN(TRIM(N101))&gt;0</formula>
    </cfRule>
  </conditionalFormatting>
  <conditionalFormatting sqref="O101:O105">
    <cfRule type="containsBlanks" dxfId="2095" priority="651" stopIfTrue="1">
      <formula>LEN(TRIM(O101))=0</formula>
    </cfRule>
    <cfRule type="expression" dxfId="2094" priority="652" stopIfTrue="1">
      <formula>SUM($O$101:$O$105)&lt;&gt;1</formula>
    </cfRule>
    <cfRule type="notContainsBlanks" dxfId="2093" priority="653" stopIfTrue="1">
      <formula>LEN(TRIM(O101))&gt;0</formula>
    </cfRule>
  </conditionalFormatting>
  <conditionalFormatting sqref="P101:P105">
    <cfRule type="containsBlanks" dxfId="2092" priority="654" stopIfTrue="1">
      <formula>LEN(TRIM(P101))=0</formula>
    </cfRule>
  </conditionalFormatting>
  <conditionalFormatting sqref="P101:P105">
    <cfRule type="expression" dxfId="2091" priority="655" stopIfTrue="1">
      <formula>SUM($P$101:$P$105)&lt;&gt;1</formula>
    </cfRule>
  </conditionalFormatting>
  <conditionalFormatting sqref="P101:P105">
    <cfRule type="notContainsBlanks" dxfId="2090" priority="656" stopIfTrue="1">
      <formula>LEN(TRIM(P101))&gt;0</formula>
    </cfRule>
  </conditionalFormatting>
  <conditionalFormatting sqref="Q101:Q105">
    <cfRule type="containsBlanks" dxfId="2089" priority="657" stopIfTrue="1">
      <formula>LEN(TRIM(Q101))=0</formula>
    </cfRule>
  </conditionalFormatting>
  <conditionalFormatting sqref="Q101:Q105">
    <cfRule type="expression" dxfId="2088" priority="658" stopIfTrue="1">
      <formula>SUM($Q$101:$Q$105)&lt;&gt;1</formula>
    </cfRule>
  </conditionalFormatting>
  <conditionalFormatting sqref="Q101:Q105">
    <cfRule type="notContainsBlanks" dxfId="2087" priority="659" stopIfTrue="1">
      <formula>LEN(TRIM(Q101))&gt;0</formula>
    </cfRule>
  </conditionalFormatting>
  <conditionalFormatting sqref="R101:R105">
    <cfRule type="containsBlanks" dxfId="2086" priority="660" stopIfTrue="1">
      <formula>LEN(TRIM(R101))=0</formula>
    </cfRule>
  </conditionalFormatting>
  <conditionalFormatting sqref="R101:R105">
    <cfRule type="expression" dxfId="2085" priority="661" stopIfTrue="1">
      <formula>SUM($R$101:$R$105)&lt;&gt;1</formula>
    </cfRule>
  </conditionalFormatting>
  <conditionalFormatting sqref="R101:R105">
    <cfRule type="notContainsBlanks" dxfId="2084" priority="662" stopIfTrue="1">
      <formula>LEN(TRIM(R101))&gt;0</formula>
    </cfRule>
  </conditionalFormatting>
  <conditionalFormatting sqref="S101:S105">
    <cfRule type="containsBlanks" dxfId="2083" priority="663" stopIfTrue="1">
      <formula>LEN(TRIM(S101))=0</formula>
    </cfRule>
  </conditionalFormatting>
  <conditionalFormatting sqref="S101:S105">
    <cfRule type="expression" dxfId="2082" priority="664" stopIfTrue="1">
      <formula>SUM($S$101:$S$105)&lt;&gt;1</formula>
    </cfRule>
  </conditionalFormatting>
  <conditionalFormatting sqref="S101:S105">
    <cfRule type="notContainsBlanks" dxfId="2081" priority="665" stopIfTrue="1">
      <formula>LEN(TRIM(S101))&gt;0</formula>
    </cfRule>
  </conditionalFormatting>
  <conditionalFormatting sqref="T101:T105">
    <cfRule type="containsBlanks" dxfId="2080" priority="666" stopIfTrue="1">
      <formula>LEN(TRIM(T101))=0</formula>
    </cfRule>
  </conditionalFormatting>
  <conditionalFormatting sqref="T101:T105">
    <cfRule type="expression" dxfId="2079" priority="667" stopIfTrue="1">
      <formula>SUM($T$101:$T$105)&lt;&gt;1</formula>
    </cfRule>
  </conditionalFormatting>
  <conditionalFormatting sqref="T101:T105">
    <cfRule type="notContainsBlanks" dxfId="2078" priority="668" stopIfTrue="1">
      <formula>LEN(TRIM(T101))&gt;0</formula>
    </cfRule>
  </conditionalFormatting>
  <conditionalFormatting sqref="U101:U105">
    <cfRule type="containsBlanks" dxfId="2077" priority="669" stopIfTrue="1">
      <formula>LEN(TRIM(U101))=0</formula>
    </cfRule>
  </conditionalFormatting>
  <conditionalFormatting sqref="U101:U105">
    <cfRule type="expression" dxfId="2076" priority="670" stopIfTrue="1">
      <formula>SUM($U$101:$U$105)&lt;&gt;1</formula>
    </cfRule>
  </conditionalFormatting>
  <conditionalFormatting sqref="U101:U105">
    <cfRule type="notContainsBlanks" dxfId="2075" priority="671" stopIfTrue="1">
      <formula>LEN(TRIM(U101))&gt;0</formula>
    </cfRule>
  </conditionalFormatting>
  <conditionalFormatting sqref="V101:V105">
    <cfRule type="containsBlanks" dxfId="2074" priority="672" stopIfTrue="1">
      <formula>LEN(TRIM(V101))=0</formula>
    </cfRule>
  </conditionalFormatting>
  <conditionalFormatting sqref="V101:V105">
    <cfRule type="expression" dxfId="2073" priority="673" stopIfTrue="1">
      <formula>SUM($V$101:$V$105)&lt;&gt;1</formula>
    </cfRule>
  </conditionalFormatting>
  <conditionalFormatting sqref="V101:V105">
    <cfRule type="notContainsBlanks" dxfId="2072" priority="674" stopIfTrue="1">
      <formula>LEN(TRIM(V101))&gt;0</formula>
    </cfRule>
  </conditionalFormatting>
  <conditionalFormatting sqref="W101:W105">
    <cfRule type="containsBlanks" dxfId="2071" priority="675" stopIfTrue="1">
      <formula>LEN(TRIM(W101))=0</formula>
    </cfRule>
  </conditionalFormatting>
  <conditionalFormatting sqref="W101:W105">
    <cfRule type="expression" dxfId="2070" priority="676" stopIfTrue="1">
      <formula>SUM($W$101:$W$105)&lt;&gt;1</formula>
    </cfRule>
  </conditionalFormatting>
  <conditionalFormatting sqref="W101:W105">
    <cfRule type="notContainsBlanks" dxfId="2069" priority="677" stopIfTrue="1">
      <formula>LEN(TRIM(W101))&gt;0</formula>
    </cfRule>
  </conditionalFormatting>
  <conditionalFormatting sqref="X101:X105">
    <cfRule type="containsBlanks" dxfId="2068" priority="678" stopIfTrue="1">
      <formula>LEN(TRIM(X101))=0</formula>
    </cfRule>
  </conditionalFormatting>
  <conditionalFormatting sqref="X101:X105">
    <cfRule type="expression" dxfId="2067" priority="679" stopIfTrue="1">
      <formula>SUM($X$101:$X$105)&lt;&gt;1</formula>
    </cfRule>
  </conditionalFormatting>
  <conditionalFormatting sqref="X101:X105">
    <cfRule type="notContainsBlanks" dxfId="2066" priority="680" stopIfTrue="1">
      <formula>LEN(TRIM(X101))&gt;0</formula>
    </cfRule>
  </conditionalFormatting>
  <conditionalFormatting sqref="Y101:Y105">
    <cfRule type="containsBlanks" dxfId="2065" priority="681" stopIfTrue="1">
      <formula>LEN(TRIM(Y101))=0</formula>
    </cfRule>
  </conditionalFormatting>
  <conditionalFormatting sqref="Y101:Y105">
    <cfRule type="expression" dxfId="2064" priority="682" stopIfTrue="1">
      <formula>SUM($Y$101:$Y$105)&lt;&gt;1</formula>
    </cfRule>
  </conditionalFormatting>
  <conditionalFormatting sqref="Y101:Y105">
    <cfRule type="notContainsBlanks" dxfId="2063" priority="683" stopIfTrue="1">
      <formula>LEN(TRIM(Y101))&gt;0</formula>
    </cfRule>
  </conditionalFormatting>
  <conditionalFormatting sqref="Z101:Z105">
    <cfRule type="containsBlanks" dxfId="2062" priority="684" stopIfTrue="1">
      <formula>LEN(TRIM(Z101))=0</formula>
    </cfRule>
  </conditionalFormatting>
  <conditionalFormatting sqref="Z101:Z105">
    <cfRule type="expression" dxfId="2061" priority="685" stopIfTrue="1">
      <formula>SUM($Z$101:$Z$105)&lt;&gt;1</formula>
    </cfRule>
  </conditionalFormatting>
  <conditionalFormatting sqref="Z101:Z105">
    <cfRule type="notContainsBlanks" dxfId="2060" priority="686" stopIfTrue="1">
      <formula>LEN(TRIM(Z101))&gt;0</formula>
    </cfRule>
  </conditionalFormatting>
  <conditionalFormatting sqref="AA101:AA105">
    <cfRule type="containsBlanks" dxfId="2059" priority="687" stopIfTrue="1">
      <formula>LEN(TRIM(AA101))=0</formula>
    </cfRule>
  </conditionalFormatting>
  <conditionalFormatting sqref="AA101:AA105">
    <cfRule type="expression" dxfId="2058" priority="688" stopIfTrue="1">
      <formula>SUM($AA$101:$AA$105)&lt;&gt;1</formula>
    </cfRule>
  </conditionalFormatting>
  <conditionalFormatting sqref="AA101:AA105">
    <cfRule type="notContainsBlanks" dxfId="2057" priority="689" stopIfTrue="1">
      <formula>LEN(TRIM(AA101))&gt;0</formula>
    </cfRule>
  </conditionalFormatting>
  <conditionalFormatting sqref="AB101:AB105">
    <cfRule type="containsBlanks" dxfId="2056" priority="690" stopIfTrue="1">
      <formula>LEN(TRIM(AB101))=0</formula>
    </cfRule>
  </conditionalFormatting>
  <conditionalFormatting sqref="AB101:AB105">
    <cfRule type="expression" dxfId="2055" priority="691" stopIfTrue="1">
      <formula>SUM($AB$101:$AB$105)&lt;&gt;1</formula>
    </cfRule>
  </conditionalFormatting>
  <conditionalFormatting sqref="AB101:AB105">
    <cfRule type="notContainsBlanks" dxfId="2054" priority="692" stopIfTrue="1">
      <formula>LEN(TRIM(AB101))&gt;0</formula>
    </cfRule>
  </conditionalFormatting>
  <conditionalFormatting sqref="AC101:AC105">
    <cfRule type="containsBlanks" dxfId="2053" priority="693" stopIfTrue="1">
      <formula>LEN(TRIM(AC101))=0</formula>
    </cfRule>
  </conditionalFormatting>
  <conditionalFormatting sqref="AC101:AC105">
    <cfRule type="expression" dxfId="2052" priority="694" stopIfTrue="1">
      <formula>SUM($AC$101:$AC$105)&lt;&gt;1</formula>
    </cfRule>
  </conditionalFormatting>
  <conditionalFormatting sqref="AC101:AC105">
    <cfRule type="notContainsBlanks" dxfId="2051" priority="695" stopIfTrue="1">
      <formula>LEN(TRIM(AC101))&gt;0</formula>
    </cfRule>
  </conditionalFormatting>
  <conditionalFormatting sqref="AD101:AD105">
    <cfRule type="containsBlanks" dxfId="2050" priority="696" stopIfTrue="1">
      <formula>LEN(TRIM(AD101))=0</formula>
    </cfRule>
  </conditionalFormatting>
  <conditionalFormatting sqref="AD101:AD105">
    <cfRule type="expression" dxfId="2049" priority="697" stopIfTrue="1">
      <formula>SUM($AD$101:$AD$105)&lt;&gt;1</formula>
    </cfRule>
  </conditionalFormatting>
  <conditionalFormatting sqref="AD101:AD105">
    <cfRule type="notContainsBlanks" dxfId="2048" priority="698" stopIfTrue="1">
      <formula>LEN(TRIM(AD101))&gt;0</formula>
    </cfRule>
  </conditionalFormatting>
  <conditionalFormatting sqref="AE101:AE105">
    <cfRule type="containsBlanks" dxfId="2047" priority="699" stopIfTrue="1">
      <formula>LEN(TRIM(AE101))=0</formula>
    </cfRule>
  </conditionalFormatting>
  <conditionalFormatting sqref="AE101:AE105">
    <cfRule type="expression" dxfId="2046" priority="700" stopIfTrue="1">
      <formula>SUM($AE$101:$AE$105)&lt;&gt;1</formula>
    </cfRule>
  </conditionalFormatting>
  <conditionalFormatting sqref="AE101:AE105">
    <cfRule type="notContainsBlanks" dxfId="2045" priority="701" stopIfTrue="1">
      <formula>LEN(TRIM(AE101))&gt;0</formula>
    </cfRule>
  </conditionalFormatting>
  <conditionalFormatting sqref="AF101:AF105">
    <cfRule type="containsBlanks" dxfId="2044" priority="702" stopIfTrue="1">
      <formula>LEN(TRIM(AF101))=0</formula>
    </cfRule>
  </conditionalFormatting>
  <conditionalFormatting sqref="AF101:AF105">
    <cfRule type="expression" dxfId="2043" priority="703" stopIfTrue="1">
      <formula>SUM($AF$101:$AF$105)&lt;&gt;1</formula>
    </cfRule>
  </conditionalFormatting>
  <conditionalFormatting sqref="AF101:AF105">
    <cfRule type="notContainsBlanks" dxfId="2042" priority="704" stopIfTrue="1">
      <formula>LEN(TRIM(AF101))&gt;0</formula>
    </cfRule>
  </conditionalFormatting>
  <conditionalFormatting sqref="AG101:AG105">
    <cfRule type="containsBlanks" dxfId="2041" priority="705" stopIfTrue="1">
      <formula>LEN(TRIM(AG101))=0</formula>
    </cfRule>
  </conditionalFormatting>
  <conditionalFormatting sqref="AG101:AG105">
    <cfRule type="expression" dxfId="2040" priority="706" stopIfTrue="1">
      <formula>SUM($AG$101:$AG$105)&lt;&gt;1</formula>
    </cfRule>
  </conditionalFormatting>
  <conditionalFormatting sqref="AG101:AG105">
    <cfRule type="notContainsBlanks" dxfId="2039" priority="707" stopIfTrue="1">
      <formula>LEN(TRIM(AG101))&gt;0</formula>
    </cfRule>
  </conditionalFormatting>
  <conditionalFormatting sqref="AH101:AH105">
    <cfRule type="containsBlanks" dxfId="2038" priority="708" stopIfTrue="1">
      <formula>LEN(TRIM(AH101))=0</formula>
    </cfRule>
  </conditionalFormatting>
  <conditionalFormatting sqref="AH101:AH105">
    <cfRule type="expression" dxfId="2037" priority="709" stopIfTrue="1">
      <formula>SUM($AH$101:$AH$105)&lt;&gt;1</formula>
    </cfRule>
  </conditionalFormatting>
  <conditionalFormatting sqref="AH101:AH105">
    <cfRule type="notContainsBlanks" dxfId="2036" priority="710" stopIfTrue="1">
      <formula>LEN(TRIM(AH101))&gt;0</formula>
    </cfRule>
  </conditionalFormatting>
  <conditionalFormatting sqref="AI101:AI105">
    <cfRule type="containsBlanks" dxfId="2035" priority="711" stopIfTrue="1">
      <formula>LEN(TRIM(AI101))=0</formula>
    </cfRule>
  </conditionalFormatting>
  <conditionalFormatting sqref="AI101:AI105">
    <cfRule type="expression" dxfId="2034" priority="712" stopIfTrue="1">
      <formula>SUM($AI$101:$AI$105)&lt;&gt;1</formula>
    </cfRule>
  </conditionalFormatting>
  <conditionalFormatting sqref="AI101:AI105">
    <cfRule type="notContainsBlanks" dxfId="2033" priority="713" stopIfTrue="1">
      <formula>LEN(TRIM(AI101))&gt;0</formula>
    </cfRule>
  </conditionalFormatting>
  <conditionalFormatting sqref="AJ101:AJ105">
    <cfRule type="containsBlanks" dxfId="2032" priority="714" stopIfTrue="1">
      <formula>LEN(TRIM(AJ101))=0</formula>
    </cfRule>
  </conditionalFormatting>
  <conditionalFormatting sqref="AJ101:AJ105">
    <cfRule type="expression" dxfId="2031" priority="715" stopIfTrue="1">
      <formula>SUM($AJ$101:$AJ$105)&lt;&gt;1</formula>
    </cfRule>
  </conditionalFormatting>
  <conditionalFormatting sqref="AJ101:AJ105">
    <cfRule type="notContainsBlanks" dxfId="2030" priority="716" stopIfTrue="1">
      <formula>LEN(TRIM(AJ101))&gt;0</formula>
    </cfRule>
  </conditionalFormatting>
  <conditionalFormatting sqref="AK101:AK105">
    <cfRule type="containsBlanks" dxfId="2029" priority="717" stopIfTrue="1">
      <formula>LEN(TRIM(AK101))=0</formula>
    </cfRule>
  </conditionalFormatting>
  <conditionalFormatting sqref="AK101:AK105">
    <cfRule type="expression" dxfId="2028" priority="718" stopIfTrue="1">
      <formula>SUM($AK$101:$AK$105)&lt;&gt;1</formula>
    </cfRule>
  </conditionalFormatting>
  <conditionalFormatting sqref="AK101:AK105">
    <cfRule type="notContainsBlanks" dxfId="2027" priority="719" stopIfTrue="1">
      <formula>LEN(TRIM(AK101))&gt;0</formula>
    </cfRule>
  </conditionalFormatting>
  <conditionalFormatting sqref="AL101:AL105">
    <cfRule type="containsBlanks" dxfId="2026" priority="720" stopIfTrue="1">
      <formula>LEN(TRIM(AL101))=0</formula>
    </cfRule>
  </conditionalFormatting>
  <conditionalFormatting sqref="AL101:AL105">
    <cfRule type="expression" dxfId="2025" priority="721" stopIfTrue="1">
      <formula>SUM($AL$101:$AL$105)&lt;&gt;1</formula>
    </cfRule>
  </conditionalFormatting>
  <conditionalFormatting sqref="AL101:AL105">
    <cfRule type="notContainsBlanks" dxfId="2024" priority="722" stopIfTrue="1">
      <formula>LEN(TRIM(AL101))&gt;0</formula>
    </cfRule>
  </conditionalFormatting>
  <conditionalFormatting sqref="AM101:AM105">
    <cfRule type="containsBlanks" dxfId="2023" priority="723" stopIfTrue="1">
      <formula>LEN(TRIM(AM101))=0</formula>
    </cfRule>
  </conditionalFormatting>
  <conditionalFormatting sqref="AM101:AM105">
    <cfRule type="expression" dxfId="2022" priority="724" stopIfTrue="1">
      <formula>SUM($AM$101:$AM$105)&lt;&gt;1</formula>
    </cfRule>
  </conditionalFormatting>
  <conditionalFormatting sqref="AM101:AM105">
    <cfRule type="notContainsBlanks" dxfId="2021" priority="725" stopIfTrue="1">
      <formula>LEN(TRIM(AM101))&gt;0</formula>
    </cfRule>
  </conditionalFormatting>
  <conditionalFormatting sqref="AN101:AN105">
    <cfRule type="containsBlanks" dxfId="2020" priority="726" stopIfTrue="1">
      <formula>LEN(TRIM(AN101))=0</formula>
    </cfRule>
  </conditionalFormatting>
  <conditionalFormatting sqref="AN101:AN105">
    <cfRule type="expression" dxfId="2019" priority="727" stopIfTrue="1">
      <formula>SUM($AN$101:$AN$105)&lt;&gt;1</formula>
    </cfRule>
  </conditionalFormatting>
  <conditionalFormatting sqref="AN101:AN105">
    <cfRule type="notContainsBlanks" dxfId="2018" priority="728" stopIfTrue="1">
      <formula>LEN(TRIM(AN101))&gt;0</formula>
    </cfRule>
  </conditionalFormatting>
  <conditionalFormatting sqref="E93:AN93">
    <cfRule type="containsBlanks" dxfId="2017" priority="729" stopIfTrue="1">
      <formula>LEN(TRIM(E93))=0</formula>
    </cfRule>
  </conditionalFormatting>
  <conditionalFormatting sqref="E93:AN93">
    <cfRule type="notContainsBlanks" dxfId="2016" priority="730" stopIfTrue="1">
      <formula>LEN(TRIM(E93))&gt;0</formula>
    </cfRule>
  </conditionalFormatting>
  <conditionalFormatting sqref="E94:AN94">
    <cfRule type="containsBlanks" dxfId="2015" priority="731" stopIfTrue="1">
      <formula>LEN(TRIM(E94))=0</formula>
    </cfRule>
  </conditionalFormatting>
  <conditionalFormatting sqref="E94:AN94">
    <cfRule type="notContainsBlanks" dxfId="2014" priority="732" stopIfTrue="1">
      <formula>LEN(TRIM(E94))&gt;0</formula>
    </cfRule>
  </conditionalFormatting>
  <conditionalFormatting sqref="E95:AN95">
    <cfRule type="containsBlanks" dxfId="2013" priority="733" stopIfTrue="1">
      <formula>LEN(TRIM(E95))=0</formula>
    </cfRule>
  </conditionalFormatting>
  <conditionalFormatting sqref="E95:AN95">
    <cfRule type="notContainsBlanks" dxfId="2012" priority="734" stopIfTrue="1">
      <formula>LEN(TRIM(E95))&gt;0</formula>
    </cfRule>
  </conditionalFormatting>
  <conditionalFormatting sqref="E96:AN96">
    <cfRule type="containsBlanks" dxfId="2011" priority="735" stopIfTrue="1">
      <formula>LEN(TRIM(E96))=0</formula>
    </cfRule>
  </conditionalFormatting>
  <conditionalFormatting sqref="E96:AN96">
    <cfRule type="notContainsBlanks" dxfId="2010" priority="736" stopIfTrue="1">
      <formula>LEN(TRIM(E96))&gt;0</formula>
    </cfRule>
  </conditionalFormatting>
  <conditionalFormatting sqref="E97:AN97">
    <cfRule type="containsBlanks" dxfId="2009" priority="737" stopIfTrue="1">
      <formula>LEN(TRIM(E97))=0</formula>
    </cfRule>
  </conditionalFormatting>
  <conditionalFormatting sqref="E97:AN97">
    <cfRule type="notContainsBlanks" dxfId="2008" priority="738" stopIfTrue="1">
      <formula>LEN(TRIM(E97))&gt;0</formula>
    </cfRule>
  </conditionalFormatting>
  <conditionalFormatting sqref="E85:AN85">
    <cfRule type="containsBlanks" dxfId="2007" priority="739" stopIfTrue="1">
      <formula>LEN(TRIM(E85))=0</formula>
    </cfRule>
  </conditionalFormatting>
  <conditionalFormatting sqref="E85:AN85">
    <cfRule type="notContainsBlanks" dxfId="2006" priority="740" stopIfTrue="1">
      <formula>LEN(TRIM(E85))&gt;0</formula>
    </cfRule>
  </conditionalFormatting>
  <conditionalFormatting sqref="E86:AN86">
    <cfRule type="containsBlanks" dxfId="2005" priority="741" stopIfTrue="1">
      <formula>LEN(TRIM(E86))=0</formula>
    </cfRule>
  </conditionalFormatting>
  <conditionalFormatting sqref="E86:AN86">
    <cfRule type="notContainsBlanks" dxfId="2004" priority="742" stopIfTrue="1">
      <formula>LEN(TRIM(E86))&gt;0</formula>
    </cfRule>
  </conditionalFormatting>
  <conditionalFormatting sqref="E87:AN87">
    <cfRule type="containsBlanks" dxfId="2003" priority="743" stopIfTrue="1">
      <formula>LEN(TRIM(E87))=0</formula>
    </cfRule>
  </conditionalFormatting>
  <conditionalFormatting sqref="E87:AN87">
    <cfRule type="notContainsBlanks" dxfId="2002" priority="744" stopIfTrue="1">
      <formula>LEN(TRIM(E87))&gt;0</formula>
    </cfRule>
  </conditionalFormatting>
  <conditionalFormatting sqref="E88:AN88">
    <cfRule type="containsBlanks" dxfId="2001" priority="745" stopIfTrue="1">
      <formula>LEN(TRIM(E88))=0</formula>
    </cfRule>
  </conditionalFormatting>
  <conditionalFormatting sqref="E88:AN88">
    <cfRule type="notContainsBlanks" dxfId="2000" priority="746" stopIfTrue="1">
      <formula>LEN(TRIM(E88))&gt;0</formula>
    </cfRule>
  </conditionalFormatting>
  <conditionalFormatting sqref="E89:AN89">
    <cfRule type="containsBlanks" dxfId="1999" priority="747" stopIfTrue="1">
      <formula>LEN(TRIM(E89))=0</formula>
    </cfRule>
  </conditionalFormatting>
  <conditionalFormatting sqref="E89:AN89">
    <cfRule type="notContainsBlanks" dxfId="1998" priority="748" stopIfTrue="1">
      <formula>LEN(TRIM(E89))&gt;0</formula>
    </cfRule>
  </conditionalFormatting>
  <conditionalFormatting sqref="E90:AN90">
    <cfRule type="containsBlanks" dxfId="1997" priority="749" stopIfTrue="1">
      <formula>LEN(TRIM(E90))=0</formula>
    </cfRule>
  </conditionalFormatting>
  <conditionalFormatting sqref="E90:AN90">
    <cfRule type="notContainsBlanks" dxfId="1996" priority="750" stopIfTrue="1">
      <formula>LEN(TRIM(E90))&gt;0</formula>
    </cfRule>
  </conditionalFormatting>
  <conditionalFormatting sqref="E78:AN78">
    <cfRule type="containsBlanks" dxfId="1995" priority="751" stopIfTrue="1">
      <formula>LEN(TRIM(E78))=0</formula>
    </cfRule>
  </conditionalFormatting>
  <conditionalFormatting sqref="E78:AN78">
    <cfRule type="notContainsBlanks" dxfId="1994" priority="752" stopIfTrue="1">
      <formula>LEN(TRIM(E78))&gt;0</formula>
    </cfRule>
  </conditionalFormatting>
  <conditionalFormatting sqref="E79:AN79">
    <cfRule type="containsBlanks" dxfId="1993" priority="753" stopIfTrue="1">
      <formula>LEN(TRIM(E79))=0</formula>
    </cfRule>
  </conditionalFormatting>
  <conditionalFormatting sqref="E79:AN79">
    <cfRule type="notContainsBlanks" dxfId="1992" priority="754" stopIfTrue="1">
      <formula>LEN(TRIM(E79))&gt;0</formula>
    </cfRule>
  </conditionalFormatting>
  <conditionalFormatting sqref="E80:AN80">
    <cfRule type="containsBlanks" dxfId="1991" priority="755" stopIfTrue="1">
      <formula>LEN(TRIM(E80))=0</formula>
    </cfRule>
  </conditionalFormatting>
  <conditionalFormatting sqref="E80:AN80">
    <cfRule type="notContainsBlanks" dxfId="1990" priority="756" stopIfTrue="1">
      <formula>LEN(TRIM(E80))&gt;0</formula>
    </cfRule>
  </conditionalFormatting>
  <conditionalFormatting sqref="E81:AN81">
    <cfRule type="containsBlanks" dxfId="1989" priority="757" stopIfTrue="1">
      <formula>LEN(TRIM(E81))=0</formula>
    </cfRule>
  </conditionalFormatting>
  <conditionalFormatting sqref="E81:AN81">
    <cfRule type="notContainsBlanks" dxfId="1988" priority="758" stopIfTrue="1">
      <formula>LEN(TRIM(E81))&gt;0</formula>
    </cfRule>
  </conditionalFormatting>
  <conditionalFormatting sqref="E82:AN82">
    <cfRule type="containsBlanks" dxfId="1987" priority="759" stopIfTrue="1">
      <formula>LEN(TRIM(E82))=0</formula>
    </cfRule>
  </conditionalFormatting>
  <conditionalFormatting sqref="E82:AN82">
    <cfRule type="notContainsBlanks" dxfId="1986" priority="760" stopIfTrue="1">
      <formula>LEN(TRIM(E82))&gt;0</formula>
    </cfRule>
  </conditionalFormatting>
  <conditionalFormatting sqref="E70:AN70">
    <cfRule type="containsBlanks" dxfId="1985" priority="761" stopIfTrue="1">
      <formula>LEN(TRIM(E70))=0</formula>
    </cfRule>
  </conditionalFormatting>
  <conditionalFormatting sqref="E70:AN70">
    <cfRule type="notContainsBlanks" dxfId="1984" priority="762" stopIfTrue="1">
      <formula>LEN(TRIM(E70))&gt;0</formula>
    </cfRule>
  </conditionalFormatting>
  <conditionalFormatting sqref="E71:AN71">
    <cfRule type="containsBlanks" dxfId="1983" priority="763" stopIfTrue="1">
      <formula>LEN(TRIM(E71))=0</formula>
    </cfRule>
  </conditionalFormatting>
  <conditionalFormatting sqref="E71:AN71">
    <cfRule type="notContainsBlanks" dxfId="1982" priority="764" stopIfTrue="1">
      <formula>LEN(TRIM(E71))&gt;0</formula>
    </cfRule>
  </conditionalFormatting>
  <conditionalFormatting sqref="E72:AN72">
    <cfRule type="containsBlanks" dxfId="1981" priority="765" stopIfTrue="1">
      <formula>LEN(TRIM(E72))=0</formula>
    </cfRule>
  </conditionalFormatting>
  <conditionalFormatting sqref="E72:AN72">
    <cfRule type="notContainsBlanks" dxfId="1980" priority="766" stopIfTrue="1">
      <formula>LEN(TRIM(E72))&gt;0</formula>
    </cfRule>
  </conditionalFormatting>
  <conditionalFormatting sqref="E73:AN73">
    <cfRule type="containsBlanks" dxfId="1979" priority="767" stopIfTrue="1">
      <formula>LEN(TRIM(E73))=0</formula>
    </cfRule>
  </conditionalFormatting>
  <conditionalFormatting sqref="E73:AN73">
    <cfRule type="notContainsBlanks" dxfId="1978" priority="768" stopIfTrue="1">
      <formula>LEN(TRIM(E73))&gt;0</formula>
    </cfRule>
  </conditionalFormatting>
  <conditionalFormatting sqref="E74:AN74">
    <cfRule type="containsBlanks" dxfId="1977" priority="769" stopIfTrue="1">
      <formula>LEN(TRIM(E74))=0</formula>
    </cfRule>
  </conditionalFormatting>
  <conditionalFormatting sqref="E74:AN74">
    <cfRule type="notContainsBlanks" dxfId="1976" priority="770" stopIfTrue="1">
      <formula>LEN(TRIM(E74))&gt;0</formula>
    </cfRule>
  </conditionalFormatting>
  <conditionalFormatting sqref="E75:AN75">
    <cfRule type="containsBlanks" dxfId="1975" priority="771" stopIfTrue="1">
      <formula>LEN(TRIM(E75))=0</formula>
    </cfRule>
  </conditionalFormatting>
  <conditionalFormatting sqref="E75:AN75">
    <cfRule type="notContainsBlanks" dxfId="1974" priority="772" stopIfTrue="1">
      <formula>LEN(TRIM(E75))&gt;0</formula>
    </cfRule>
  </conditionalFormatting>
  <conditionalFormatting sqref="E64">
    <cfRule type="containsBlanks" dxfId="1973" priority="773">
      <formula>LEN(TRIM(E64))=0</formula>
    </cfRule>
  </conditionalFormatting>
  <conditionalFormatting sqref="E64">
    <cfRule type="notContainsBlanks" dxfId="1972" priority="774">
      <formula>LEN(TRIM(E64))&gt;0</formula>
    </cfRule>
  </conditionalFormatting>
  <conditionalFormatting sqref="E64">
    <cfRule type="expression" dxfId="1971" priority="779">
      <formula>LEFT(effTrend,1)="L"</formula>
    </cfRule>
  </conditionalFormatting>
  <conditionalFormatting sqref="E64">
    <cfRule type="expression" dxfId="1970" priority="780">
      <formula>LEFT(effTrend,1)="G"</formula>
    </cfRule>
  </conditionalFormatting>
  <conditionalFormatting sqref="E65:AN65">
    <cfRule type="containsBlanks" dxfId="1969" priority="781" stopIfTrue="1">
      <formula>LEN(TRIM(E65))=0</formula>
    </cfRule>
  </conditionalFormatting>
  <conditionalFormatting sqref="E67:AN67">
    <cfRule type="containsBlanks" dxfId="1968" priority="782" stopIfTrue="1">
      <formula>LEN(TRIM(E67))=0</formula>
    </cfRule>
  </conditionalFormatting>
  <conditionalFormatting sqref="F65">
    <cfRule type="expression" dxfId="1967" priority="783" stopIfTrue="1">
      <formula>F$65&gt;maxEff</formula>
    </cfRule>
  </conditionalFormatting>
  <conditionalFormatting sqref="F67">
    <cfRule type="expression" dxfId="1966" priority="784" stopIfTrue="1">
      <formula>OR(F$67&gt;maxEff,F$67&lt;F$65)</formula>
    </cfRule>
  </conditionalFormatting>
  <conditionalFormatting sqref="G65">
    <cfRule type="expression" dxfId="1965" priority="785" stopIfTrue="1">
      <formula>G$65&gt;maxEff</formula>
    </cfRule>
  </conditionalFormatting>
  <conditionalFormatting sqref="G67">
    <cfRule type="expression" dxfId="1964" priority="786" stopIfTrue="1">
      <formula>OR(G$67&gt;maxEff,G$67&lt;G$65)</formula>
    </cfRule>
  </conditionalFormatting>
  <conditionalFormatting sqref="H65">
    <cfRule type="expression" dxfId="1963" priority="787" stopIfTrue="1">
      <formula>H$65&gt;maxEff</formula>
    </cfRule>
  </conditionalFormatting>
  <conditionalFormatting sqref="H67">
    <cfRule type="expression" dxfId="1962" priority="788" stopIfTrue="1">
      <formula>OR(H$67&gt;maxEff,H$67&lt;H$65)</formula>
    </cfRule>
  </conditionalFormatting>
  <conditionalFormatting sqref="I65">
    <cfRule type="expression" dxfId="1961" priority="789" stopIfTrue="1">
      <formula>I$65&gt;maxEff</formula>
    </cfRule>
  </conditionalFormatting>
  <conditionalFormatting sqref="I67">
    <cfRule type="expression" dxfId="1960" priority="790" stopIfTrue="1">
      <formula>OR(I$67&gt;maxEff,I$67&lt;I$65)</formula>
    </cfRule>
  </conditionalFormatting>
  <conditionalFormatting sqref="J65">
    <cfRule type="expression" dxfId="1959" priority="791" stopIfTrue="1">
      <formula>J$65&gt;maxEff</formula>
    </cfRule>
  </conditionalFormatting>
  <conditionalFormatting sqref="J67">
    <cfRule type="expression" dxfId="1958" priority="792" stopIfTrue="1">
      <formula>OR(J$67&gt;maxEff,J$67&lt;J$65)</formula>
    </cfRule>
  </conditionalFormatting>
  <conditionalFormatting sqref="K65">
    <cfRule type="expression" dxfId="1957" priority="793" stopIfTrue="1">
      <formula>K$65&gt;maxEff</formula>
    </cfRule>
  </conditionalFormatting>
  <conditionalFormatting sqref="K67">
    <cfRule type="expression" dxfId="1956" priority="794" stopIfTrue="1">
      <formula>OR(K$67&gt;maxEff,K$67&lt;K$65)</formula>
    </cfRule>
  </conditionalFormatting>
  <conditionalFormatting sqref="L65">
    <cfRule type="expression" dxfId="1955" priority="795" stopIfTrue="1">
      <formula>L$65&gt;maxEff</formula>
    </cfRule>
  </conditionalFormatting>
  <conditionalFormatting sqref="L67">
    <cfRule type="expression" dxfId="1954" priority="796" stopIfTrue="1">
      <formula>OR(L$67&gt;maxEff,L$67&lt;L$65)</formula>
    </cfRule>
  </conditionalFormatting>
  <conditionalFormatting sqref="M65">
    <cfRule type="expression" dxfId="1953" priority="797" stopIfTrue="1">
      <formula>M$65&gt;maxEff</formula>
    </cfRule>
  </conditionalFormatting>
  <conditionalFormatting sqref="M67">
    <cfRule type="expression" dxfId="1952" priority="798" stopIfTrue="1">
      <formula>OR(M$67&gt;maxEff,M$67&lt;M$65)</formula>
    </cfRule>
  </conditionalFormatting>
  <conditionalFormatting sqref="N65">
    <cfRule type="expression" dxfId="1951" priority="799" stopIfTrue="1">
      <formula>N$65&gt;maxEff</formula>
    </cfRule>
  </conditionalFormatting>
  <conditionalFormatting sqref="N67">
    <cfRule type="expression" dxfId="1950" priority="800" stopIfTrue="1">
      <formula>OR(N$67&gt;maxEff,N$67&lt;N$65)</formula>
    </cfRule>
  </conditionalFormatting>
  <conditionalFormatting sqref="O65">
    <cfRule type="expression" dxfId="1949" priority="801" stopIfTrue="1">
      <formula>O$65&gt;maxEff</formula>
    </cfRule>
  </conditionalFormatting>
  <conditionalFormatting sqref="O67">
    <cfRule type="expression" dxfId="1948" priority="802" stopIfTrue="1">
      <formula>OR(O$67&gt;maxEff,O$67&lt;O$65)</formula>
    </cfRule>
  </conditionalFormatting>
  <conditionalFormatting sqref="P65">
    <cfRule type="expression" dxfId="1947" priority="803" stopIfTrue="1">
      <formula>P$65&gt;maxEff</formula>
    </cfRule>
  </conditionalFormatting>
  <conditionalFormatting sqref="P67">
    <cfRule type="expression" dxfId="1946" priority="804" stopIfTrue="1">
      <formula>OR(P$67&gt;maxEff,P$67&lt;P$65)</formula>
    </cfRule>
  </conditionalFormatting>
  <conditionalFormatting sqref="Q65">
    <cfRule type="expression" dxfId="1945" priority="805" stopIfTrue="1">
      <formula>Q$65&gt;maxEff</formula>
    </cfRule>
  </conditionalFormatting>
  <conditionalFormatting sqref="Q67">
    <cfRule type="expression" dxfId="1944" priority="806" stopIfTrue="1">
      <formula>OR(Q$67&gt;maxEff,Q$67&lt;Q$65)</formula>
    </cfRule>
  </conditionalFormatting>
  <conditionalFormatting sqref="R65">
    <cfRule type="expression" dxfId="1943" priority="807" stopIfTrue="1">
      <formula>R$65&gt;maxEff</formula>
    </cfRule>
  </conditionalFormatting>
  <conditionalFormatting sqref="R67">
    <cfRule type="expression" dxfId="1942" priority="808" stopIfTrue="1">
      <formula>OR(R$67&gt;maxEff,R$67&lt;R$65)</formula>
    </cfRule>
  </conditionalFormatting>
  <conditionalFormatting sqref="S65">
    <cfRule type="expression" dxfId="1941" priority="809" stopIfTrue="1">
      <formula>S$65&gt;maxEff</formula>
    </cfRule>
  </conditionalFormatting>
  <conditionalFormatting sqref="S67">
    <cfRule type="expression" dxfId="1940" priority="810" stopIfTrue="1">
      <formula>OR(S$67&gt;maxEff,S$67&lt;S$65)</formula>
    </cfRule>
  </conditionalFormatting>
  <conditionalFormatting sqref="T65">
    <cfRule type="expression" dxfId="1939" priority="811" stopIfTrue="1">
      <formula>T$65&gt;maxEff</formula>
    </cfRule>
  </conditionalFormatting>
  <conditionalFormatting sqref="T67">
    <cfRule type="expression" dxfId="1938" priority="812" stopIfTrue="1">
      <formula>OR(T$67&gt;maxEff,T$67&lt;T$65)</formula>
    </cfRule>
  </conditionalFormatting>
  <conditionalFormatting sqref="U65">
    <cfRule type="expression" dxfId="1937" priority="813" stopIfTrue="1">
      <formula>U$65&gt;maxEff</formula>
    </cfRule>
  </conditionalFormatting>
  <conditionalFormatting sqref="U67">
    <cfRule type="expression" dxfId="1936" priority="814" stopIfTrue="1">
      <formula>OR(U$67&gt;maxEff,U$67&lt;U$65)</formula>
    </cfRule>
  </conditionalFormatting>
  <conditionalFormatting sqref="V65">
    <cfRule type="expression" dxfId="1935" priority="815" stopIfTrue="1">
      <formula>V$65&gt;maxEff</formula>
    </cfRule>
  </conditionalFormatting>
  <conditionalFormatting sqref="V67">
    <cfRule type="expression" dxfId="1934" priority="816" stopIfTrue="1">
      <formula>OR(V$67&gt;maxEff,V$67&lt;V$65)</formula>
    </cfRule>
  </conditionalFormatting>
  <conditionalFormatting sqref="W65">
    <cfRule type="expression" dxfId="1933" priority="817" stopIfTrue="1">
      <formula>W$65&gt;maxEff</formula>
    </cfRule>
  </conditionalFormatting>
  <conditionalFormatting sqref="W67">
    <cfRule type="expression" dxfId="1932" priority="818" stopIfTrue="1">
      <formula>OR(W$67&gt;maxEff,W$67&lt;W$65)</formula>
    </cfRule>
  </conditionalFormatting>
  <conditionalFormatting sqref="X65">
    <cfRule type="expression" dxfId="1931" priority="819" stopIfTrue="1">
      <formula>X$65&gt;maxEff</formula>
    </cfRule>
  </conditionalFormatting>
  <conditionalFormatting sqref="X67">
    <cfRule type="expression" dxfId="1930" priority="820" stopIfTrue="1">
      <formula>OR(X$67&gt;maxEff,X$67&lt;X$65)</formula>
    </cfRule>
  </conditionalFormatting>
  <conditionalFormatting sqref="Y65">
    <cfRule type="expression" dxfId="1929" priority="821" stopIfTrue="1">
      <formula>Y$65&gt;maxEff</formula>
    </cfRule>
  </conditionalFormatting>
  <conditionalFormatting sqref="Y67">
    <cfRule type="expression" dxfId="1928" priority="822" stopIfTrue="1">
      <formula>OR(Y$67&gt;maxEff,Y$67&lt;Y$65)</formula>
    </cfRule>
  </conditionalFormatting>
  <conditionalFormatting sqref="Z65">
    <cfRule type="expression" dxfId="1927" priority="823" stopIfTrue="1">
      <formula>Z$65&gt;maxEff</formula>
    </cfRule>
  </conditionalFormatting>
  <conditionalFormatting sqref="Z67">
    <cfRule type="expression" dxfId="1926" priority="824" stopIfTrue="1">
      <formula>OR(Z$67&gt;maxEff,Z$67&lt;Z$65)</formula>
    </cfRule>
  </conditionalFormatting>
  <conditionalFormatting sqref="AA65">
    <cfRule type="expression" dxfId="1925" priority="825" stopIfTrue="1">
      <formula>AA$65&gt;maxEff</formula>
    </cfRule>
  </conditionalFormatting>
  <conditionalFormatting sqref="AA67">
    <cfRule type="expression" dxfId="1924" priority="826" stopIfTrue="1">
      <formula>OR(AA$67&gt;maxEff,AA$67&lt;AA$65)</formula>
    </cfRule>
  </conditionalFormatting>
  <conditionalFormatting sqref="AB65">
    <cfRule type="expression" dxfId="1923" priority="827" stopIfTrue="1">
      <formula>AB$65&gt;maxEff</formula>
    </cfRule>
  </conditionalFormatting>
  <conditionalFormatting sqref="AB67">
    <cfRule type="expression" dxfId="1922" priority="828" stopIfTrue="1">
      <formula>OR(AB$67&gt;maxEff,AB$67&lt;AB$65)</formula>
    </cfRule>
  </conditionalFormatting>
  <conditionalFormatting sqref="AC65">
    <cfRule type="expression" dxfId="1921" priority="829" stopIfTrue="1">
      <formula>AC$65&gt;maxEff</formula>
    </cfRule>
  </conditionalFormatting>
  <conditionalFormatting sqref="AC67">
    <cfRule type="expression" dxfId="1920" priority="830" stopIfTrue="1">
      <formula>OR(AC$67&gt;maxEff,AC$67&lt;AC$65)</formula>
    </cfRule>
  </conditionalFormatting>
  <conditionalFormatting sqref="AD65">
    <cfRule type="expression" dxfId="1919" priority="831" stopIfTrue="1">
      <formula>AD$65&gt;maxEff</formula>
    </cfRule>
  </conditionalFormatting>
  <conditionalFormatting sqref="AD67">
    <cfRule type="expression" dxfId="1918" priority="832" stopIfTrue="1">
      <formula>OR(AD$67&gt;maxEff,AD$67&lt;AD$65)</formula>
    </cfRule>
  </conditionalFormatting>
  <conditionalFormatting sqref="AE65">
    <cfRule type="expression" dxfId="1917" priority="833" stopIfTrue="1">
      <formula>AE$65&gt;maxEff</formula>
    </cfRule>
  </conditionalFormatting>
  <conditionalFormatting sqref="AE67">
    <cfRule type="expression" dxfId="1916" priority="834" stopIfTrue="1">
      <formula>OR(AE$67&gt;maxEff,AE$67&lt;AE$65)</formula>
    </cfRule>
  </conditionalFormatting>
  <conditionalFormatting sqref="AF65">
    <cfRule type="expression" dxfId="1915" priority="835" stopIfTrue="1">
      <formula>AF$65&gt;maxEff</formula>
    </cfRule>
  </conditionalFormatting>
  <conditionalFormatting sqref="AF67">
    <cfRule type="expression" dxfId="1914" priority="836" stopIfTrue="1">
      <formula>OR(AF$67&gt;maxEff,AF$67&lt;AF$65)</formula>
    </cfRule>
  </conditionalFormatting>
  <conditionalFormatting sqref="AG65">
    <cfRule type="expression" dxfId="1913" priority="837" stopIfTrue="1">
      <formula>AG$65&gt;maxEff</formula>
    </cfRule>
  </conditionalFormatting>
  <conditionalFormatting sqref="AG67">
    <cfRule type="expression" dxfId="1912" priority="838" stopIfTrue="1">
      <formula>OR(AG$67&gt;maxEff,AG$67&lt;AG$65)</formula>
    </cfRule>
  </conditionalFormatting>
  <conditionalFormatting sqref="AH65">
    <cfRule type="expression" dxfId="1911" priority="839" stopIfTrue="1">
      <formula>AH$65&gt;maxEff</formula>
    </cfRule>
  </conditionalFormatting>
  <conditionalFormatting sqref="AH67">
    <cfRule type="expression" dxfId="1910" priority="840" stopIfTrue="1">
      <formula>OR(AH$67&gt;maxEff,AH$67&lt;AH$65)</formula>
    </cfRule>
  </conditionalFormatting>
  <conditionalFormatting sqref="AI65">
    <cfRule type="expression" dxfId="1909" priority="841" stopIfTrue="1">
      <formula>AI$65&gt;maxEff</formula>
    </cfRule>
  </conditionalFormatting>
  <conditionalFormatting sqref="AI67">
    <cfRule type="expression" dxfId="1908" priority="842" stopIfTrue="1">
      <formula>OR(AI$67&gt;maxEff,AI$67&lt;AI$65)</formula>
    </cfRule>
  </conditionalFormatting>
  <conditionalFormatting sqref="AJ65">
    <cfRule type="expression" dxfId="1907" priority="843" stopIfTrue="1">
      <formula>AJ$65&gt;maxEff</formula>
    </cfRule>
  </conditionalFormatting>
  <conditionalFormatting sqref="AJ67">
    <cfRule type="expression" dxfId="1906" priority="844" stopIfTrue="1">
      <formula>OR(AJ$67&gt;maxEff,AJ$67&lt;AJ$65)</formula>
    </cfRule>
  </conditionalFormatting>
  <conditionalFormatting sqref="AK65">
    <cfRule type="expression" dxfId="1905" priority="845" stopIfTrue="1">
      <formula>AK$65&gt;maxEff</formula>
    </cfRule>
  </conditionalFormatting>
  <conditionalFormatting sqref="AK67">
    <cfRule type="expression" dxfId="1904" priority="846" stopIfTrue="1">
      <formula>OR(AK$67&gt;maxEff,AK$67&lt;AK$65)</formula>
    </cfRule>
  </conditionalFormatting>
  <conditionalFormatting sqref="AL65">
    <cfRule type="expression" dxfId="1903" priority="847" stopIfTrue="1">
      <formula>AL$65&gt;maxEff</formula>
    </cfRule>
  </conditionalFormatting>
  <conditionalFormatting sqref="AL67">
    <cfRule type="expression" dxfId="1902" priority="848" stopIfTrue="1">
      <formula>OR(AL$67&gt;maxEff,AL$67&lt;AL$65)</formula>
    </cfRule>
  </conditionalFormatting>
  <conditionalFormatting sqref="AM65">
    <cfRule type="expression" dxfId="1901" priority="849" stopIfTrue="1">
      <formula>AM$65&gt;maxEff</formula>
    </cfRule>
  </conditionalFormatting>
  <conditionalFormatting sqref="AM67">
    <cfRule type="expression" dxfId="1900" priority="850" stopIfTrue="1">
      <formula>OR(AM$67&gt;maxEff,AM$67&lt;AM$65)</formula>
    </cfRule>
  </conditionalFormatting>
  <conditionalFormatting sqref="AN65">
    <cfRule type="expression" dxfId="1899" priority="851" stopIfTrue="1">
      <formula>AN$65&gt;maxEff</formula>
    </cfRule>
  </conditionalFormatting>
  <conditionalFormatting sqref="AN67">
    <cfRule type="expression" dxfId="1898" priority="852" stopIfTrue="1">
      <formula>OR(AN$67&gt;maxEff,AN$67&lt;AN$65)</formula>
    </cfRule>
  </conditionalFormatting>
  <conditionalFormatting sqref="E65:AN65">
    <cfRule type="notContainsBlanks" dxfId="1897" priority="853" stopIfTrue="1">
      <formula>LEN(TRIM(E65))&gt;0</formula>
    </cfRule>
  </conditionalFormatting>
  <conditionalFormatting sqref="E67:AN67">
    <cfRule type="notContainsBlanks" dxfId="1896" priority="854" stopIfTrue="1">
      <formula>LEN(TRIM(E67))&gt;0</formula>
    </cfRule>
  </conditionalFormatting>
  <conditionalFormatting sqref="E57:E61">
    <cfRule type="containsBlanks" dxfId="1895" priority="855" stopIfTrue="1">
      <formula>LEN(TRIM(E57))=0</formula>
    </cfRule>
  </conditionalFormatting>
  <conditionalFormatting sqref="F57:F61">
    <cfRule type="notContainsBlanks" dxfId="1894" priority="860" stopIfTrue="1">
      <formula>LEN(TRIM(F57))&gt;0</formula>
    </cfRule>
  </conditionalFormatting>
  <conditionalFormatting sqref="G57:G61">
    <cfRule type="containsBlanks" dxfId="1893" priority="861" stopIfTrue="1">
      <formula>LEN(TRIM(G57))=0</formula>
    </cfRule>
  </conditionalFormatting>
  <conditionalFormatting sqref="E57:E61">
    <cfRule type="expression" dxfId="1892" priority="856" stopIfTrue="1">
      <formula>SUM($E$57:$E$61)&lt;&gt;1</formula>
    </cfRule>
  </conditionalFormatting>
  <conditionalFormatting sqref="E57:E61">
    <cfRule type="notContainsBlanks" dxfId="1891" priority="857" stopIfTrue="1">
      <formula>LEN(TRIM(E57))&gt;0</formula>
    </cfRule>
  </conditionalFormatting>
  <conditionalFormatting sqref="F57:F61">
    <cfRule type="containsBlanks" dxfId="1890" priority="858" stopIfTrue="1">
      <formula>LEN(TRIM(F57))=0</formula>
    </cfRule>
  </conditionalFormatting>
  <conditionalFormatting sqref="F57:F61">
    <cfRule type="expression" dxfId="1889" priority="859" stopIfTrue="1">
      <formula>SUM($F$57:$F$61)&lt;&gt;1</formula>
    </cfRule>
  </conditionalFormatting>
  <conditionalFormatting sqref="G57:G61">
    <cfRule type="expression" dxfId="1888" priority="862" stopIfTrue="1">
      <formula>SUM($G$57:$G$61)&lt;&gt;1</formula>
    </cfRule>
  </conditionalFormatting>
  <conditionalFormatting sqref="G57:G61">
    <cfRule type="notContainsBlanks" dxfId="1887" priority="863" stopIfTrue="1">
      <formula>LEN(TRIM(G57))&gt;0</formula>
    </cfRule>
  </conditionalFormatting>
  <conditionalFormatting sqref="H57:H61">
    <cfRule type="containsBlanks" dxfId="1886" priority="864" stopIfTrue="1">
      <formula>LEN(TRIM(H57))=0</formula>
    </cfRule>
  </conditionalFormatting>
  <conditionalFormatting sqref="H57:H61">
    <cfRule type="expression" dxfId="1885" priority="865" stopIfTrue="1">
      <formula>SUM($H$57:$H$61)&lt;&gt;1</formula>
    </cfRule>
  </conditionalFormatting>
  <conditionalFormatting sqref="H57:H61">
    <cfRule type="notContainsBlanks" dxfId="1884" priority="866" stopIfTrue="1">
      <formula>LEN(TRIM(H57))&gt;0</formula>
    </cfRule>
  </conditionalFormatting>
  <conditionalFormatting sqref="I57:I61">
    <cfRule type="containsBlanks" dxfId="1883" priority="867" stopIfTrue="1">
      <formula>LEN(TRIM(I57))=0</formula>
    </cfRule>
  </conditionalFormatting>
  <conditionalFormatting sqref="I57:I61">
    <cfRule type="expression" dxfId="1882" priority="868" stopIfTrue="1">
      <formula>SUM($I$57:$I$61)&lt;&gt;1</formula>
    </cfRule>
  </conditionalFormatting>
  <conditionalFormatting sqref="I57:I61">
    <cfRule type="notContainsBlanks" dxfId="1881" priority="869" stopIfTrue="1">
      <formula>LEN(TRIM(I57))&gt;0</formula>
    </cfRule>
  </conditionalFormatting>
  <conditionalFormatting sqref="J57:J61">
    <cfRule type="containsBlanks" dxfId="1880" priority="870" stopIfTrue="1">
      <formula>LEN(TRIM(J57))=0</formula>
    </cfRule>
  </conditionalFormatting>
  <conditionalFormatting sqref="J57:J61">
    <cfRule type="expression" dxfId="1879" priority="871" stopIfTrue="1">
      <formula>SUM($J$57:$J$61)&lt;&gt;1</formula>
    </cfRule>
  </conditionalFormatting>
  <conditionalFormatting sqref="J57:J61">
    <cfRule type="notContainsBlanks" dxfId="1878" priority="872" stopIfTrue="1">
      <formula>LEN(TRIM(J57))&gt;0</formula>
    </cfRule>
  </conditionalFormatting>
  <conditionalFormatting sqref="K57:K61">
    <cfRule type="containsBlanks" dxfId="1877" priority="873" stopIfTrue="1">
      <formula>LEN(TRIM(K57))=0</formula>
    </cfRule>
  </conditionalFormatting>
  <conditionalFormatting sqref="K57:K61">
    <cfRule type="expression" dxfId="1876" priority="874" stopIfTrue="1">
      <formula>SUM($K$57:$K$61)&lt;&gt;1</formula>
    </cfRule>
  </conditionalFormatting>
  <conditionalFormatting sqref="K57:K61">
    <cfRule type="notContainsBlanks" dxfId="1875" priority="875" stopIfTrue="1">
      <formula>LEN(TRIM(K57))&gt;0</formula>
    </cfRule>
  </conditionalFormatting>
  <conditionalFormatting sqref="L57:L61">
    <cfRule type="containsBlanks" dxfId="1874" priority="876" stopIfTrue="1">
      <formula>LEN(TRIM(L57))=0</formula>
    </cfRule>
  </conditionalFormatting>
  <conditionalFormatting sqref="L57:L61">
    <cfRule type="expression" dxfId="1873" priority="877" stopIfTrue="1">
      <formula>SUM($L$57:$L$61)&lt;&gt;1</formula>
    </cfRule>
  </conditionalFormatting>
  <conditionalFormatting sqref="L57:L61">
    <cfRule type="notContainsBlanks" dxfId="1872" priority="878" stopIfTrue="1">
      <formula>LEN(TRIM(L57))&gt;0</formula>
    </cfRule>
  </conditionalFormatting>
  <conditionalFormatting sqref="M57:M61">
    <cfRule type="containsBlanks" dxfId="1871" priority="879" stopIfTrue="1">
      <formula>LEN(TRIM(M57))=0</formula>
    </cfRule>
  </conditionalFormatting>
  <conditionalFormatting sqref="M57:M61">
    <cfRule type="expression" dxfId="1870" priority="880" stopIfTrue="1">
      <formula>SUM($M$57:$M$61)&lt;&gt;1</formula>
    </cfRule>
  </conditionalFormatting>
  <conditionalFormatting sqref="M57:M61">
    <cfRule type="notContainsBlanks" dxfId="1869" priority="881" stopIfTrue="1">
      <formula>LEN(TRIM(M57))&gt;0</formula>
    </cfRule>
  </conditionalFormatting>
  <conditionalFormatting sqref="N57:N61">
    <cfRule type="containsBlanks" dxfId="1868" priority="882" stopIfTrue="1">
      <formula>LEN(TRIM(N57))=0</formula>
    </cfRule>
  </conditionalFormatting>
  <conditionalFormatting sqref="N57:N61">
    <cfRule type="expression" dxfId="1867" priority="883" stopIfTrue="1">
      <formula>SUM($N$57:$N$61)&lt;&gt;1</formula>
    </cfRule>
  </conditionalFormatting>
  <conditionalFormatting sqref="N57:N61">
    <cfRule type="notContainsBlanks" dxfId="1866" priority="884" stopIfTrue="1">
      <formula>LEN(TRIM(N57))&gt;0</formula>
    </cfRule>
  </conditionalFormatting>
  <conditionalFormatting sqref="O57:O61">
    <cfRule type="containsBlanks" dxfId="1865" priority="885" stopIfTrue="1">
      <formula>LEN(TRIM(O57))=0</formula>
    </cfRule>
  </conditionalFormatting>
  <conditionalFormatting sqref="O57:O61">
    <cfRule type="expression" dxfId="1864" priority="886" stopIfTrue="1">
      <formula>SUM($O$57:$O$61)&lt;&gt;1</formula>
    </cfRule>
  </conditionalFormatting>
  <conditionalFormatting sqref="O57:O61">
    <cfRule type="notContainsBlanks" dxfId="1863" priority="887" stopIfTrue="1">
      <formula>LEN(TRIM(O57))&gt;0</formula>
    </cfRule>
  </conditionalFormatting>
  <conditionalFormatting sqref="P57:P61">
    <cfRule type="containsBlanks" dxfId="1862" priority="888" stopIfTrue="1">
      <formula>LEN(TRIM(P57))=0</formula>
    </cfRule>
  </conditionalFormatting>
  <conditionalFormatting sqref="P57:P61">
    <cfRule type="expression" dxfId="1861" priority="889" stopIfTrue="1">
      <formula>SUM($P$57:$P$61)&lt;&gt;1</formula>
    </cfRule>
  </conditionalFormatting>
  <conditionalFormatting sqref="P57:P61">
    <cfRule type="notContainsBlanks" dxfId="1860" priority="890" stopIfTrue="1">
      <formula>LEN(TRIM(P57))&gt;0</formula>
    </cfRule>
  </conditionalFormatting>
  <conditionalFormatting sqref="Q57:Q61">
    <cfRule type="containsBlanks" dxfId="1859" priority="891" stopIfTrue="1">
      <formula>LEN(TRIM(Q57))=0</formula>
    </cfRule>
  </conditionalFormatting>
  <conditionalFormatting sqref="Q57:Q61">
    <cfRule type="expression" dxfId="1858" priority="892" stopIfTrue="1">
      <formula>SUM($Q$57:$Q$61)&lt;&gt;1</formula>
    </cfRule>
  </conditionalFormatting>
  <conditionalFormatting sqref="Q57:Q61">
    <cfRule type="notContainsBlanks" dxfId="1857" priority="893" stopIfTrue="1">
      <formula>LEN(TRIM(Q57))&gt;0</formula>
    </cfRule>
  </conditionalFormatting>
  <conditionalFormatting sqref="R57:R61">
    <cfRule type="containsBlanks" dxfId="1856" priority="894" stopIfTrue="1">
      <formula>LEN(TRIM(R57))=0</formula>
    </cfRule>
  </conditionalFormatting>
  <conditionalFormatting sqref="R57:R61">
    <cfRule type="expression" dxfId="1855" priority="895" stopIfTrue="1">
      <formula>SUM($R$57:$R$61)&lt;&gt;1</formula>
    </cfRule>
  </conditionalFormatting>
  <conditionalFormatting sqref="R57:R61">
    <cfRule type="notContainsBlanks" dxfId="1854" priority="896" stopIfTrue="1">
      <formula>LEN(TRIM(R57))&gt;0</formula>
    </cfRule>
  </conditionalFormatting>
  <conditionalFormatting sqref="S57:S61">
    <cfRule type="containsBlanks" dxfId="1853" priority="897" stopIfTrue="1">
      <formula>LEN(TRIM(S57))=0</formula>
    </cfRule>
  </conditionalFormatting>
  <conditionalFormatting sqref="S57:S61">
    <cfRule type="expression" dxfId="1852" priority="898" stopIfTrue="1">
      <formula>SUM($S$57:$S$61)&lt;&gt;1</formula>
    </cfRule>
  </conditionalFormatting>
  <conditionalFormatting sqref="S57:S61">
    <cfRule type="notContainsBlanks" dxfId="1851" priority="899" stopIfTrue="1">
      <formula>LEN(TRIM(S57))&gt;0</formula>
    </cfRule>
  </conditionalFormatting>
  <conditionalFormatting sqref="T57:T61">
    <cfRule type="containsBlanks" dxfId="1850" priority="900" stopIfTrue="1">
      <formula>LEN(TRIM(T57))=0</formula>
    </cfRule>
  </conditionalFormatting>
  <conditionalFormatting sqref="T57:T61">
    <cfRule type="expression" dxfId="1849" priority="901" stopIfTrue="1">
      <formula>SUM($T$57:$T$61)&lt;&gt;1</formula>
    </cfRule>
  </conditionalFormatting>
  <conditionalFormatting sqref="T57:T61">
    <cfRule type="notContainsBlanks" dxfId="1848" priority="902" stopIfTrue="1">
      <formula>LEN(TRIM(T57))&gt;0</formula>
    </cfRule>
  </conditionalFormatting>
  <conditionalFormatting sqref="U57:U61">
    <cfRule type="containsBlanks" dxfId="1847" priority="903" stopIfTrue="1">
      <formula>LEN(TRIM(U57))=0</formula>
    </cfRule>
  </conditionalFormatting>
  <conditionalFormatting sqref="U57:U61">
    <cfRule type="expression" dxfId="1846" priority="904" stopIfTrue="1">
      <formula>SUM($U$57:$U$61)&lt;&gt;1</formula>
    </cfRule>
  </conditionalFormatting>
  <conditionalFormatting sqref="U57:U61">
    <cfRule type="notContainsBlanks" dxfId="1845" priority="905" stopIfTrue="1">
      <formula>LEN(TRIM(U57))&gt;0</formula>
    </cfRule>
  </conditionalFormatting>
  <conditionalFormatting sqref="V57:V61">
    <cfRule type="containsBlanks" dxfId="1844" priority="906" stopIfTrue="1">
      <formula>LEN(TRIM(V57))=0</formula>
    </cfRule>
  </conditionalFormatting>
  <conditionalFormatting sqref="V57:V61">
    <cfRule type="expression" dxfId="1843" priority="907" stopIfTrue="1">
      <formula>SUM($V$57:$V$61)&lt;&gt;1</formula>
    </cfRule>
  </conditionalFormatting>
  <conditionalFormatting sqref="V57:V61">
    <cfRule type="notContainsBlanks" dxfId="1842" priority="908" stopIfTrue="1">
      <formula>LEN(TRIM(V57))&gt;0</formula>
    </cfRule>
  </conditionalFormatting>
  <conditionalFormatting sqref="W57:W61">
    <cfRule type="containsBlanks" dxfId="1841" priority="909" stopIfTrue="1">
      <formula>LEN(TRIM(W57))=0</formula>
    </cfRule>
  </conditionalFormatting>
  <conditionalFormatting sqref="W57:W61">
    <cfRule type="expression" dxfId="1840" priority="910" stopIfTrue="1">
      <formula>SUM($W$57:$W$61)&lt;&gt;1</formula>
    </cfRule>
  </conditionalFormatting>
  <conditionalFormatting sqref="W57:W61">
    <cfRule type="notContainsBlanks" dxfId="1839" priority="911" stopIfTrue="1">
      <formula>LEN(TRIM(W57))&gt;0</formula>
    </cfRule>
  </conditionalFormatting>
  <conditionalFormatting sqref="X57:X61">
    <cfRule type="containsBlanks" dxfId="1838" priority="912" stopIfTrue="1">
      <formula>LEN(TRIM(X57))=0</formula>
    </cfRule>
  </conditionalFormatting>
  <conditionalFormatting sqref="X57:X61">
    <cfRule type="expression" dxfId="1837" priority="913" stopIfTrue="1">
      <formula>SUM($X$57:$X$61)&lt;&gt;1</formula>
    </cfRule>
  </conditionalFormatting>
  <conditionalFormatting sqref="X57:X61">
    <cfRule type="notContainsBlanks" dxfId="1836" priority="914" stopIfTrue="1">
      <formula>LEN(TRIM(X57))&gt;0</formula>
    </cfRule>
  </conditionalFormatting>
  <conditionalFormatting sqref="Y57:Y61">
    <cfRule type="containsBlanks" dxfId="1835" priority="915" stopIfTrue="1">
      <formula>LEN(TRIM(Y57))=0</formula>
    </cfRule>
  </conditionalFormatting>
  <conditionalFormatting sqref="Y57:Y61">
    <cfRule type="expression" dxfId="1834" priority="916" stopIfTrue="1">
      <formula>SUM($Y$57:$Y$61)&lt;&gt;1</formula>
    </cfRule>
  </conditionalFormatting>
  <conditionalFormatting sqref="Y57:Y61">
    <cfRule type="notContainsBlanks" dxfId="1833" priority="917" stopIfTrue="1">
      <formula>LEN(TRIM(Y57))&gt;0</formula>
    </cfRule>
  </conditionalFormatting>
  <conditionalFormatting sqref="Z57:Z61">
    <cfRule type="containsBlanks" dxfId="1832" priority="918" stopIfTrue="1">
      <formula>LEN(TRIM(Z57))=0</formula>
    </cfRule>
  </conditionalFormatting>
  <conditionalFormatting sqref="Z57:Z61">
    <cfRule type="expression" dxfId="1831" priority="919" stopIfTrue="1">
      <formula>SUM($Z$57:$Z$61)&lt;&gt;1</formula>
    </cfRule>
  </conditionalFormatting>
  <conditionalFormatting sqref="Z57:Z61">
    <cfRule type="notContainsBlanks" dxfId="1830" priority="920" stopIfTrue="1">
      <formula>LEN(TRIM(Z57))&gt;0</formula>
    </cfRule>
  </conditionalFormatting>
  <conditionalFormatting sqref="AA57:AA61">
    <cfRule type="containsBlanks" dxfId="1829" priority="921" stopIfTrue="1">
      <formula>LEN(TRIM(AA57))=0</formula>
    </cfRule>
  </conditionalFormatting>
  <conditionalFormatting sqref="AA57:AA61">
    <cfRule type="expression" dxfId="1828" priority="922" stopIfTrue="1">
      <formula>SUM($AA$57:$AA$61)&lt;&gt;1</formula>
    </cfRule>
  </conditionalFormatting>
  <conditionalFormatting sqref="AA57:AA61">
    <cfRule type="notContainsBlanks" dxfId="1827" priority="923" stopIfTrue="1">
      <formula>LEN(TRIM(AA57))&gt;0</formula>
    </cfRule>
  </conditionalFormatting>
  <conditionalFormatting sqref="AB57:AB61">
    <cfRule type="containsBlanks" dxfId="1826" priority="924" stopIfTrue="1">
      <formula>LEN(TRIM(AB57))=0</formula>
    </cfRule>
  </conditionalFormatting>
  <conditionalFormatting sqref="AB57:AB61">
    <cfRule type="expression" dxfId="1825" priority="925" stopIfTrue="1">
      <formula>SUM($AB$57:$AB$61)&lt;&gt;1</formula>
    </cfRule>
  </conditionalFormatting>
  <conditionalFormatting sqref="AB57:AB61">
    <cfRule type="notContainsBlanks" dxfId="1824" priority="926" stopIfTrue="1">
      <formula>LEN(TRIM(AB57))&gt;0</formula>
    </cfRule>
  </conditionalFormatting>
  <conditionalFormatting sqref="AC57:AC61">
    <cfRule type="containsBlanks" dxfId="1823" priority="927" stopIfTrue="1">
      <formula>LEN(TRIM(AC57))=0</formula>
    </cfRule>
  </conditionalFormatting>
  <conditionalFormatting sqref="AC57:AC61">
    <cfRule type="expression" dxfId="1822" priority="928" stopIfTrue="1">
      <formula>SUM($AC$57:$AC$61)&lt;&gt;1</formula>
    </cfRule>
  </conditionalFormatting>
  <conditionalFormatting sqref="AC57:AC61">
    <cfRule type="notContainsBlanks" dxfId="1821" priority="929" stopIfTrue="1">
      <formula>LEN(TRIM(AC57))&gt;0</formula>
    </cfRule>
  </conditionalFormatting>
  <conditionalFormatting sqref="AD57:AD61">
    <cfRule type="containsBlanks" dxfId="1820" priority="930" stopIfTrue="1">
      <formula>LEN(TRIM(AD57))=0</formula>
    </cfRule>
  </conditionalFormatting>
  <conditionalFormatting sqref="AD57:AD61">
    <cfRule type="expression" dxfId="1819" priority="931" stopIfTrue="1">
      <formula>SUM($AD$57:$AD$61)&lt;&gt;1</formula>
    </cfRule>
  </conditionalFormatting>
  <conditionalFormatting sqref="AD57:AD61">
    <cfRule type="notContainsBlanks" dxfId="1818" priority="932" stopIfTrue="1">
      <formula>LEN(TRIM(AD57))&gt;0</formula>
    </cfRule>
  </conditionalFormatting>
  <conditionalFormatting sqref="AE57:AE61">
    <cfRule type="containsBlanks" dxfId="1817" priority="933" stopIfTrue="1">
      <formula>LEN(TRIM(AE57))=0</formula>
    </cfRule>
  </conditionalFormatting>
  <conditionalFormatting sqref="AE57:AE61">
    <cfRule type="expression" dxfId="1816" priority="934" stopIfTrue="1">
      <formula>SUM($AE$57:$AE$61)&lt;&gt;1</formula>
    </cfRule>
  </conditionalFormatting>
  <conditionalFormatting sqref="AE57:AE61">
    <cfRule type="notContainsBlanks" dxfId="1815" priority="935" stopIfTrue="1">
      <formula>LEN(TRIM(AE57))&gt;0</formula>
    </cfRule>
  </conditionalFormatting>
  <conditionalFormatting sqref="AF57:AF61">
    <cfRule type="containsBlanks" dxfId="1814" priority="936" stopIfTrue="1">
      <formula>LEN(TRIM(AF57))=0</formula>
    </cfRule>
  </conditionalFormatting>
  <conditionalFormatting sqref="AF57:AF61">
    <cfRule type="expression" dxfId="1813" priority="937" stopIfTrue="1">
      <formula>SUM($AF$57:$AF$61)&lt;&gt;1</formula>
    </cfRule>
  </conditionalFormatting>
  <conditionalFormatting sqref="AF57:AF61">
    <cfRule type="notContainsBlanks" dxfId="1812" priority="938" stopIfTrue="1">
      <formula>LEN(TRIM(AF57))&gt;0</formula>
    </cfRule>
  </conditionalFormatting>
  <conditionalFormatting sqref="AG57:AG61">
    <cfRule type="containsBlanks" dxfId="1811" priority="939" stopIfTrue="1">
      <formula>LEN(TRIM(AG57))=0</formula>
    </cfRule>
  </conditionalFormatting>
  <conditionalFormatting sqref="AG57:AG61">
    <cfRule type="expression" dxfId="1810" priority="940" stopIfTrue="1">
      <formula>SUM($AG$57:$AG$61)&lt;&gt;1</formula>
    </cfRule>
  </conditionalFormatting>
  <conditionalFormatting sqref="AG57:AG61">
    <cfRule type="notContainsBlanks" dxfId="1809" priority="941" stopIfTrue="1">
      <formula>LEN(TRIM(AG57))&gt;0</formula>
    </cfRule>
  </conditionalFormatting>
  <conditionalFormatting sqref="AH57:AH61">
    <cfRule type="containsBlanks" dxfId="1808" priority="942" stopIfTrue="1">
      <formula>LEN(TRIM(AH57))=0</formula>
    </cfRule>
  </conditionalFormatting>
  <conditionalFormatting sqref="AH57:AH61">
    <cfRule type="expression" dxfId="1807" priority="943" stopIfTrue="1">
      <formula>SUM($AH$57:$AH$61)&lt;&gt;1</formula>
    </cfRule>
  </conditionalFormatting>
  <conditionalFormatting sqref="AH57:AH61">
    <cfRule type="notContainsBlanks" dxfId="1806" priority="944" stopIfTrue="1">
      <formula>LEN(TRIM(AH57))&gt;0</formula>
    </cfRule>
  </conditionalFormatting>
  <conditionalFormatting sqref="AI57:AI61">
    <cfRule type="containsBlanks" dxfId="1805" priority="945" stopIfTrue="1">
      <formula>LEN(TRIM(AI57))=0</formula>
    </cfRule>
  </conditionalFormatting>
  <conditionalFormatting sqref="AI57:AI61">
    <cfRule type="expression" dxfId="1804" priority="946" stopIfTrue="1">
      <formula>SUM($AI$57:$AI$61)&lt;&gt;1</formula>
    </cfRule>
  </conditionalFormatting>
  <conditionalFormatting sqref="AI57:AI61">
    <cfRule type="notContainsBlanks" dxfId="1803" priority="947" stopIfTrue="1">
      <formula>LEN(TRIM(AI57))&gt;0</formula>
    </cfRule>
  </conditionalFormatting>
  <conditionalFormatting sqref="AJ57:AJ61">
    <cfRule type="containsBlanks" dxfId="1802" priority="948" stopIfTrue="1">
      <formula>LEN(TRIM(AJ57))=0</formula>
    </cfRule>
  </conditionalFormatting>
  <conditionalFormatting sqref="AJ57:AJ61">
    <cfRule type="expression" dxfId="1801" priority="949" stopIfTrue="1">
      <formula>SUM($AJ$57:$AJ$61)&lt;&gt;1</formula>
    </cfRule>
  </conditionalFormatting>
  <conditionalFormatting sqref="AJ57:AJ61">
    <cfRule type="notContainsBlanks" dxfId="1800" priority="950" stopIfTrue="1">
      <formula>LEN(TRIM(AJ57))&gt;0</formula>
    </cfRule>
  </conditionalFormatting>
  <conditionalFormatting sqref="AK57:AK61">
    <cfRule type="containsBlanks" dxfId="1799" priority="951" stopIfTrue="1">
      <formula>LEN(TRIM(AK57))=0</formula>
    </cfRule>
  </conditionalFormatting>
  <conditionalFormatting sqref="AK57:AK61">
    <cfRule type="expression" dxfId="1798" priority="952" stopIfTrue="1">
      <formula>SUM($AK$57:$AK$61)&lt;&gt;1</formula>
    </cfRule>
  </conditionalFormatting>
  <conditionalFormatting sqref="AK57:AK61">
    <cfRule type="notContainsBlanks" dxfId="1797" priority="953" stopIfTrue="1">
      <formula>LEN(TRIM(AK57))&gt;0</formula>
    </cfRule>
  </conditionalFormatting>
  <conditionalFormatting sqref="AL57:AL61">
    <cfRule type="containsBlanks" dxfId="1796" priority="954" stopIfTrue="1">
      <formula>LEN(TRIM(AL57))=0</formula>
    </cfRule>
  </conditionalFormatting>
  <conditionalFormatting sqref="AL57:AL61">
    <cfRule type="expression" dxfId="1795" priority="955" stopIfTrue="1">
      <formula>SUM($AL$57:$AL$61)&lt;&gt;1</formula>
    </cfRule>
  </conditionalFormatting>
  <conditionalFormatting sqref="AL57:AL61">
    <cfRule type="notContainsBlanks" dxfId="1794" priority="956" stopIfTrue="1">
      <formula>LEN(TRIM(AL57))&gt;0</formula>
    </cfRule>
  </conditionalFormatting>
  <conditionalFormatting sqref="AM57:AM61">
    <cfRule type="containsBlanks" dxfId="1793" priority="957" stopIfTrue="1">
      <formula>LEN(TRIM(AM57))=0</formula>
    </cfRule>
  </conditionalFormatting>
  <conditionalFormatting sqref="AM57:AM61">
    <cfRule type="expression" dxfId="1792" priority="958" stopIfTrue="1">
      <formula>SUM($AM$57:$AM$61)&lt;&gt;1</formula>
    </cfRule>
  </conditionalFormatting>
  <conditionalFormatting sqref="AM57:AM61">
    <cfRule type="notContainsBlanks" dxfId="1791" priority="959" stopIfTrue="1">
      <formula>LEN(TRIM(AM57))&gt;0</formula>
    </cfRule>
  </conditionalFormatting>
  <conditionalFormatting sqref="AN57:AN61">
    <cfRule type="containsBlanks" dxfId="1790" priority="960" stopIfTrue="1">
      <formula>LEN(TRIM(AN57))=0</formula>
    </cfRule>
  </conditionalFormatting>
  <conditionalFormatting sqref="AN57:AN61">
    <cfRule type="expression" dxfId="1789" priority="961" stopIfTrue="1">
      <formula>SUM($AN$57:$AN$61)&lt;&gt;1</formula>
    </cfRule>
  </conditionalFormatting>
  <conditionalFormatting sqref="AN57:AN61">
    <cfRule type="notContainsBlanks" dxfId="1788" priority="962" stopIfTrue="1">
      <formula>LEN(TRIM(AN57))&gt;0</formula>
    </cfRule>
  </conditionalFormatting>
  <conditionalFormatting sqref="E51:E55">
    <cfRule type="containsBlanks" dxfId="1787" priority="973" stopIfTrue="1">
      <formula>LEN(TRIM(E51))=0</formula>
    </cfRule>
  </conditionalFormatting>
  <conditionalFormatting sqref="E51:E55">
    <cfRule type="expression" dxfId="1786" priority="974" stopIfTrue="1">
      <formula>SUM($E$51:$E$55)&lt;&gt;1</formula>
    </cfRule>
  </conditionalFormatting>
  <conditionalFormatting sqref="E51:E55">
    <cfRule type="notContainsBlanks" dxfId="1785" priority="975" stopIfTrue="1">
      <formula>LEN(TRIM(E51))&gt;0</formula>
    </cfRule>
  </conditionalFormatting>
  <conditionalFormatting sqref="F51:F55">
    <cfRule type="containsBlanks" dxfId="1784" priority="976" stopIfTrue="1">
      <formula>LEN(TRIM(F51))=0</formula>
    </cfRule>
  </conditionalFormatting>
  <conditionalFormatting sqref="F51:F55">
    <cfRule type="expression" dxfId="1783" priority="977" stopIfTrue="1">
      <formula>SUM($F$51:$F$55)&lt;&gt;1</formula>
    </cfRule>
  </conditionalFormatting>
  <conditionalFormatting sqref="F51:F55">
    <cfRule type="notContainsBlanks" dxfId="1782" priority="978" stopIfTrue="1">
      <formula>LEN(TRIM(F51))&gt;0</formula>
    </cfRule>
  </conditionalFormatting>
  <conditionalFormatting sqref="G51:G55">
    <cfRule type="containsBlanks" dxfId="1781" priority="979" stopIfTrue="1">
      <formula>LEN(TRIM(G51))=0</formula>
    </cfRule>
  </conditionalFormatting>
  <conditionalFormatting sqref="G51:G55">
    <cfRule type="expression" dxfId="1780" priority="980" stopIfTrue="1">
      <formula>SUM($G$51:$G$55)&lt;&gt;1</formula>
    </cfRule>
  </conditionalFormatting>
  <conditionalFormatting sqref="G51:G55">
    <cfRule type="notContainsBlanks" dxfId="1779" priority="981" stopIfTrue="1">
      <formula>LEN(TRIM(G51))&gt;0</formula>
    </cfRule>
  </conditionalFormatting>
  <conditionalFormatting sqref="H51:H55">
    <cfRule type="containsBlanks" dxfId="1778" priority="982" stopIfTrue="1">
      <formula>LEN(TRIM(H51))=0</formula>
    </cfRule>
  </conditionalFormatting>
  <conditionalFormatting sqref="H51:H55">
    <cfRule type="expression" dxfId="1777" priority="983" stopIfTrue="1">
      <formula>SUM($H$51:$H$55)&lt;&gt;1</formula>
    </cfRule>
  </conditionalFormatting>
  <conditionalFormatting sqref="H51:H55">
    <cfRule type="notContainsBlanks" dxfId="1776" priority="984" stopIfTrue="1">
      <formula>LEN(TRIM(H51))&gt;0</formula>
    </cfRule>
  </conditionalFormatting>
  <conditionalFormatting sqref="I51:I55">
    <cfRule type="containsBlanks" dxfId="1775" priority="985" stopIfTrue="1">
      <formula>LEN(TRIM(I51))=0</formula>
    </cfRule>
  </conditionalFormatting>
  <conditionalFormatting sqref="I51:I55">
    <cfRule type="expression" dxfId="1774" priority="986" stopIfTrue="1">
      <formula>SUM($I$51:$I$55)&lt;&gt;1</formula>
    </cfRule>
  </conditionalFormatting>
  <conditionalFormatting sqref="I51:I55">
    <cfRule type="notContainsBlanks" dxfId="1773" priority="987" stopIfTrue="1">
      <formula>LEN(TRIM(I51))&gt;0</formula>
    </cfRule>
  </conditionalFormatting>
  <conditionalFormatting sqref="J51:J55">
    <cfRule type="containsBlanks" dxfId="1772" priority="988" stopIfTrue="1">
      <formula>LEN(TRIM(J51))=0</formula>
    </cfRule>
  </conditionalFormatting>
  <conditionalFormatting sqref="J51:J55">
    <cfRule type="expression" dxfId="1771" priority="989" stopIfTrue="1">
      <formula>SUM($J$51:$J$55)&lt;&gt;1</formula>
    </cfRule>
  </conditionalFormatting>
  <conditionalFormatting sqref="J51:J55">
    <cfRule type="notContainsBlanks" dxfId="1770" priority="990" stopIfTrue="1">
      <formula>LEN(TRIM(J51))&gt;0</formula>
    </cfRule>
  </conditionalFormatting>
  <conditionalFormatting sqref="K51:K55">
    <cfRule type="containsBlanks" dxfId="1769" priority="991" stopIfTrue="1">
      <formula>LEN(TRIM(K51))=0</formula>
    </cfRule>
  </conditionalFormatting>
  <conditionalFormatting sqref="K51:K55">
    <cfRule type="expression" dxfId="1768" priority="992" stopIfTrue="1">
      <formula>SUM($K$51:$K$55)&lt;&gt;1</formula>
    </cfRule>
  </conditionalFormatting>
  <conditionalFormatting sqref="K51:K55">
    <cfRule type="notContainsBlanks" dxfId="1767" priority="993" stopIfTrue="1">
      <formula>LEN(TRIM(K51))&gt;0</formula>
    </cfRule>
  </conditionalFormatting>
  <conditionalFormatting sqref="L51:L55">
    <cfRule type="containsBlanks" dxfId="1766" priority="994" stopIfTrue="1">
      <formula>LEN(TRIM(L51))=0</formula>
    </cfRule>
  </conditionalFormatting>
  <conditionalFormatting sqref="L51:L55">
    <cfRule type="expression" dxfId="1765" priority="995" stopIfTrue="1">
      <formula>SUM($L$51:$L$55)&lt;&gt;1</formula>
    </cfRule>
  </conditionalFormatting>
  <conditionalFormatting sqref="L51:L55">
    <cfRule type="notContainsBlanks" dxfId="1764" priority="996" stopIfTrue="1">
      <formula>LEN(TRIM(L51))&gt;0</formula>
    </cfRule>
  </conditionalFormatting>
  <conditionalFormatting sqref="M51:M55">
    <cfRule type="containsBlanks" dxfId="1763" priority="997" stopIfTrue="1">
      <formula>LEN(TRIM(M51))=0</formula>
    </cfRule>
  </conditionalFormatting>
  <conditionalFormatting sqref="M51:M55">
    <cfRule type="expression" dxfId="1762" priority="998" stopIfTrue="1">
      <formula>SUM($M$51:$M$55)&lt;&gt;1</formula>
    </cfRule>
  </conditionalFormatting>
  <conditionalFormatting sqref="M51:M55">
    <cfRule type="notContainsBlanks" dxfId="1761" priority="999" stopIfTrue="1">
      <formula>LEN(TRIM(M51))&gt;0</formula>
    </cfRule>
  </conditionalFormatting>
  <conditionalFormatting sqref="N51:N55">
    <cfRule type="containsBlanks" dxfId="1760" priority="1000" stopIfTrue="1">
      <formula>LEN(TRIM(N51))=0</formula>
    </cfRule>
  </conditionalFormatting>
  <conditionalFormatting sqref="N51:N55">
    <cfRule type="expression" dxfId="1759" priority="1001" stopIfTrue="1">
      <formula>SUM($N$51:$N$55)&lt;&gt;1</formula>
    </cfRule>
  </conditionalFormatting>
  <conditionalFormatting sqref="N51:N55">
    <cfRule type="notContainsBlanks" dxfId="1758" priority="1002" stopIfTrue="1">
      <formula>LEN(TRIM(N51))&gt;0</formula>
    </cfRule>
  </conditionalFormatting>
  <conditionalFormatting sqref="O51:O55">
    <cfRule type="containsBlanks" dxfId="1757" priority="1003" stopIfTrue="1">
      <formula>LEN(TRIM(O51))=0</formula>
    </cfRule>
  </conditionalFormatting>
  <conditionalFormatting sqref="O51:O55">
    <cfRule type="expression" dxfId="1756" priority="1004" stopIfTrue="1">
      <formula>SUM($O$51:$O$55)&lt;&gt;1</formula>
    </cfRule>
  </conditionalFormatting>
  <conditionalFormatting sqref="O51:O55">
    <cfRule type="notContainsBlanks" dxfId="1755" priority="1005" stopIfTrue="1">
      <formula>LEN(TRIM(O51))&gt;0</formula>
    </cfRule>
  </conditionalFormatting>
  <conditionalFormatting sqref="P51:P55">
    <cfRule type="containsBlanks" dxfId="1754" priority="1006" stopIfTrue="1">
      <formula>LEN(TRIM(P51))=0</formula>
    </cfRule>
  </conditionalFormatting>
  <conditionalFormatting sqref="P51:P55">
    <cfRule type="expression" dxfId="1753" priority="1007" stopIfTrue="1">
      <formula>SUM($P$51:$P$55)&lt;&gt;1</formula>
    </cfRule>
  </conditionalFormatting>
  <conditionalFormatting sqref="P51:P55">
    <cfRule type="notContainsBlanks" dxfId="1752" priority="1008" stopIfTrue="1">
      <formula>LEN(TRIM(P51))&gt;0</formula>
    </cfRule>
  </conditionalFormatting>
  <conditionalFormatting sqref="Q51:Q55">
    <cfRule type="containsBlanks" dxfId="1751" priority="1009" stopIfTrue="1">
      <formula>LEN(TRIM(Q51))=0</formula>
    </cfRule>
  </conditionalFormatting>
  <conditionalFormatting sqref="Q51:Q55">
    <cfRule type="expression" dxfId="1750" priority="1010" stopIfTrue="1">
      <formula>SUM($Q$51:$Q$55)&lt;&gt;1</formula>
    </cfRule>
  </conditionalFormatting>
  <conditionalFormatting sqref="Q51:Q55">
    <cfRule type="notContainsBlanks" dxfId="1749" priority="1011" stopIfTrue="1">
      <formula>LEN(TRIM(Q51))&gt;0</formula>
    </cfRule>
  </conditionalFormatting>
  <conditionalFormatting sqref="R51:R55">
    <cfRule type="containsBlanks" dxfId="1748" priority="1012" stopIfTrue="1">
      <formula>LEN(TRIM(R51))=0</formula>
    </cfRule>
  </conditionalFormatting>
  <conditionalFormatting sqref="R51:R55">
    <cfRule type="expression" dxfId="1747" priority="1013" stopIfTrue="1">
      <formula>SUM($R$51:$R$55)&lt;&gt;1</formula>
    </cfRule>
  </conditionalFormatting>
  <conditionalFormatting sqref="R51:R55">
    <cfRule type="notContainsBlanks" dxfId="1746" priority="1014" stopIfTrue="1">
      <formula>LEN(TRIM(R51))&gt;0</formula>
    </cfRule>
  </conditionalFormatting>
  <conditionalFormatting sqref="S51:S55">
    <cfRule type="containsBlanks" dxfId="1745" priority="1015" stopIfTrue="1">
      <formula>LEN(TRIM(S51))=0</formula>
    </cfRule>
  </conditionalFormatting>
  <conditionalFormatting sqref="S51:S55">
    <cfRule type="expression" dxfId="1744" priority="1016" stopIfTrue="1">
      <formula>SUM($S$51:$S$55)&lt;&gt;1</formula>
    </cfRule>
  </conditionalFormatting>
  <conditionalFormatting sqref="S51:S55">
    <cfRule type="notContainsBlanks" dxfId="1743" priority="1017" stopIfTrue="1">
      <formula>LEN(TRIM(S51))&gt;0</formula>
    </cfRule>
  </conditionalFormatting>
  <conditionalFormatting sqref="T51:T55">
    <cfRule type="containsBlanks" dxfId="1742" priority="1018" stopIfTrue="1">
      <formula>LEN(TRIM(T51))=0</formula>
    </cfRule>
  </conditionalFormatting>
  <conditionalFormatting sqref="T51:T55">
    <cfRule type="expression" dxfId="1741" priority="1019" stopIfTrue="1">
      <formula>SUM($T$51:$T$55)&lt;&gt;1</formula>
    </cfRule>
  </conditionalFormatting>
  <conditionalFormatting sqref="T51:T55">
    <cfRule type="notContainsBlanks" dxfId="1740" priority="1020" stopIfTrue="1">
      <formula>LEN(TRIM(T51))&gt;0</formula>
    </cfRule>
  </conditionalFormatting>
  <conditionalFormatting sqref="U51:U55">
    <cfRule type="containsBlanks" dxfId="1739" priority="1021" stopIfTrue="1">
      <formula>LEN(TRIM(U51))=0</formula>
    </cfRule>
  </conditionalFormatting>
  <conditionalFormatting sqref="U51:U55">
    <cfRule type="expression" dxfId="1738" priority="1022" stopIfTrue="1">
      <formula>SUM($U$51:$U$55)&lt;&gt;1</formula>
    </cfRule>
  </conditionalFormatting>
  <conditionalFormatting sqref="U51:U55">
    <cfRule type="notContainsBlanks" dxfId="1737" priority="1023" stopIfTrue="1">
      <formula>LEN(TRIM(U51))&gt;0</formula>
    </cfRule>
  </conditionalFormatting>
  <conditionalFormatting sqref="V51:V55">
    <cfRule type="containsBlanks" dxfId="1736" priority="1024" stopIfTrue="1">
      <formula>LEN(TRIM(V51))=0</formula>
    </cfRule>
  </conditionalFormatting>
  <conditionalFormatting sqref="V51:V55">
    <cfRule type="expression" dxfId="1735" priority="1025" stopIfTrue="1">
      <formula>SUM($V$51:$V$55)&lt;&gt;1</formula>
    </cfRule>
  </conditionalFormatting>
  <conditionalFormatting sqref="V51:V55">
    <cfRule type="notContainsBlanks" dxfId="1734" priority="1026" stopIfTrue="1">
      <formula>LEN(TRIM(V51))&gt;0</formula>
    </cfRule>
  </conditionalFormatting>
  <conditionalFormatting sqref="W51:W55">
    <cfRule type="containsBlanks" dxfId="1733" priority="1027" stopIfTrue="1">
      <formula>LEN(TRIM(W51))=0</formula>
    </cfRule>
  </conditionalFormatting>
  <conditionalFormatting sqref="W51:W55">
    <cfRule type="expression" dxfId="1732" priority="1028" stopIfTrue="1">
      <formula>SUM($W$51:$W$55)&lt;&gt;1</formula>
    </cfRule>
  </conditionalFormatting>
  <conditionalFormatting sqref="W51:W55">
    <cfRule type="notContainsBlanks" dxfId="1731" priority="1029" stopIfTrue="1">
      <formula>LEN(TRIM(W51))&gt;0</formula>
    </cfRule>
  </conditionalFormatting>
  <conditionalFormatting sqref="X51:X55">
    <cfRule type="containsBlanks" dxfId="1730" priority="1030" stopIfTrue="1">
      <formula>LEN(TRIM(X51))=0</formula>
    </cfRule>
  </conditionalFormatting>
  <conditionalFormatting sqref="X51:X55">
    <cfRule type="expression" dxfId="1729" priority="1031" stopIfTrue="1">
      <formula>SUM($X$51:$X$55)&lt;&gt;1</formula>
    </cfRule>
  </conditionalFormatting>
  <conditionalFormatting sqref="X51:X55">
    <cfRule type="notContainsBlanks" dxfId="1728" priority="1032" stopIfTrue="1">
      <formula>LEN(TRIM(X51))&gt;0</formula>
    </cfRule>
  </conditionalFormatting>
  <conditionalFormatting sqref="Y51:Y55">
    <cfRule type="containsBlanks" dxfId="1727" priority="1033" stopIfTrue="1">
      <formula>LEN(TRIM(Y51))=0</formula>
    </cfRule>
  </conditionalFormatting>
  <conditionalFormatting sqref="Y51:Y55">
    <cfRule type="expression" dxfId="1726" priority="1034" stopIfTrue="1">
      <formula>SUM($Y$51:$Y$55)&lt;&gt;1</formula>
    </cfRule>
  </conditionalFormatting>
  <conditionalFormatting sqref="Y51:Y55">
    <cfRule type="notContainsBlanks" dxfId="1725" priority="1035" stopIfTrue="1">
      <formula>LEN(TRIM(Y51))&gt;0</formula>
    </cfRule>
  </conditionalFormatting>
  <conditionalFormatting sqref="Z51:Z55">
    <cfRule type="containsBlanks" dxfId="1724" priority="1036" stopIfTrue="1">
      <formula>LEN(TRIM(Z51))=0</formula>
    </cfRule>
  </conditionalFormatting>
  <conditionalFormatting sqref="Z51:Z55">
    <cfRule type="expression" dxfId="1723" priority="1037" stopIfTrue="1">
      <formula>SUM($Z$51:$Z$55)&lt;&gt;1</formula>
    </cfRule>
  </conditionalFormatting>
  <conditionalFormatting sqref="Z51:Z55">
    <cfRule type="notContainsBlanks" dxfId="1722" priority="1038" stopIfTrue="1">
      <formula>LEN(TRIM(Z51))&gt;0</formula>
    </cfRule>
  </conditionalFormatting>
  <conditionalFormatting sqref="AA51:AA55">
    <cfRule type="containsBlanks" dxfId="1721" priority="1039" stopIfTrue="1">
      <formula>LEN(TRIM(AA51))=0</formula>
    </cfRule>
  </conditionalFormatting>
  <conditionalFormatting sqref="AA51:AA55">
    <cfRule type="expression" dxfId="1720" priority="1040" stopIfTrue="1">
      <formula>SUM($AA$51:$AA$55)&lt;&gt;1</formula>
    </cfRule>
  </conditionalFormatting>
  <conditionalFormatting sqref="AA51:AA55">
    <cfRule type="notContainsBlanks" dxfId="1719" priority="1041" stopIfTrue="1">
      <formula>LEN(TRIM(AA51))&gt;0</formula>
    </cfRule>
  </conditionalFormatting>
  <conditionalFormatting sqref="AB51:AB55">
    <cfRule type="containsBlanks" dxfId="1718" priority="1042" stopIfTrue="1">
      <formula>LEN(TRIM(AB51))=0</formula>
    </cfRule>
  </conditionalFormatting>
  <conditionalFormatting sqref="AB51:AB55">
    <cfRule type="expression" dxfId="1717" priority="1043" stopIfTrue="1">
      <formula>SUM($AB$51:$AB$55)&lt;&gt;1</formula>
    </cfRule>
  </conditionalFormatting>
  <conditionalFormatting sqref="AB51:AB55">
    <cfRule type="notContainsBlanks" dxfId="1716" priority="1044" stopIfTrue="1">
      <formula>LEN(TRIM(AB51))&gt;0</formula>
    </cfRule>
  </conditionalFormatting>
  <conditionalFormatting sqref="AC51:AC55">
    <cfRule type="containsBlanks" dxfId="1715" priority="1045" stopIfTrue="1">
      <formula>LEN(TRIM(AC51))=0</formula>
    </cfRule>
  </conditionalFormatting>
  <conditionalFormatting sqref="AC51:AC55">
    <cfRule type="expression" dxfId="1714" priority="1046" stopIfTrue="1">
      <formula>SUM($AC$51:$AC$55)&lt;&gt;1</formula>
    </cfRule>
  </conditionalFormatting>
  <conditionalFormatting sqref="AC51:AC55">
    <cfRule type="notContainsBlanks" dxfId="1713" priority="1047" stopIfTrue="1">
      <formula>LEN(TRIM(AC51))&gt;0</formula>
    </cfRule>
  </conditionalFormatting>
  <conditionalFormatting sqref="AD51:AD55">
    <cfRule type="containsBlanks" dxfId="1712" priority="1048" stopIfTrue="1">
      <formula>LEN(TRIM(AD51))=0</formula>
    </cfRule>
  </conditionalFormatting>
  <conditionalFormatting sqref="AD51:AD55">
    <cfRule type="expression" dxfId="1711" priority="1049" stopIfTrue="1">
      <formula>SUM($AD$51:$AD$55)&lt;&gt;1</formula>
    </cfRule>
  </conditionalFormatting>
  <conditionalFormatting sqref="AD51:AD55">
    <cfRule type="notContainsBlanks" dxfId="1710" priority="1050" stopIfTrue="1">
      <formula>LEN(TRIM(AD51))&gt;0</formula>
    </cfRule>
  </conditionalFormatting>
  <conditionalFormatting sqref="AE51:AE55">
    <cfRule type="containsBlanks" dxfId="1709" priority="1051" stopIfTrue="1">
      <formula>LEN(TRIM(AE51))=0</formula>
    </cfRule>
  </conditionalFormatting>
  <conditionalFormatting sqref="AE51:AE55">
    <cfRule type="expression" dxfId="1708" priority="1052" stopIfTrue="1">
      <formula>SUM($AE$51:$AE$55)&lt;&gt;1</formula>
    </cfRule>
  </conditionalFormatting>
  <conditionalFormatting sqref="AE51:AE55">
    <cfRule type="notContainsBlanks" dxfId="1707" priority="1053" stopIfTrue="1">
      <formula>LEN(TRIM(AE51))&gt;0</formula>
    </cfRule>
  </conditionalFormatting>
  <conditionalFormatting sqref="AF51:AF55">
    <cfRule type="containsBlanks" dxfId="1706" priority="1054" stopIfTrue="1">
      <formula>LEN(TRIM(AF51))=0</formula>
    </cfRule>
  </conditionalFormatting>
  <conditionalFormatting sqref="AF51:AF55">
    <cfRule type="expression" dxfId="1705" priority="1055" stopIfTrue="1">
      <formula>SUM($AF$51:$AF$55)&lt;&gt;1</formula>
    </cfRule>
  </conditionalFormatting>
  <conditionalFormatting sqref="AF51:AF55">
    <cfRule type="notContainsBlanks" dxfId="1704" priority="1056" stopIfTrue="1">
      <formula>LEN(TRIM(AF51))&gt;0</formula>
    </cfRule>
  </conditionalFormatting>
  <conditionalFormatting sqref="AG51:AG55">
    <cfRule type="containsBlanks" dxfId="1703" priority="1057" stopIfTrue="1">
      <formula>LEN(TRIM(AG51))=0</formula>
    </cfRule>
  </conditionalFormatting>
  <conditionalFormatting sqref="AG51:AG55">
    <cfRule type="expression" dxfId="1702" priority="1058" stopIfTrue="1">
      <formula>SUM($AG$51:$AG$55)&lt;&gt;1</formula>
    </cfRule>
  </conditionalFormatting>
  <conditionalFormatting sqref="AG51:AG55">
    <cfRule type="notContainsBlanks" dxfId="1701" priority="1059" stopIfTrue="1">
      <formula>LEN(TRIM(AG51))&gt;0</formula>
    </cfRule>
  </conditionalFormatting>
  <conditionalFormatting sqref="AH51:AH55">
    <cfRule type="containsBlanks" dxfId="1700" priority="1060" stopIfTrue="1">
      <formula>LEN(TRIM(AH51))=0</formula>
    </cfRule>
  </conditionalFormatting>
  <conditionalFormatting sqref="AH51:AH55">
    <cfRule type="expression" dxfId="1699" priority="1061" stopIfTrue="1">
      <formula>SUM($AH$51:$AH$55)&lt;&gt;1</formula>
    </cfRule>
  </conditionalFormatting>
  <conditionalFormatting sqref="AH51:AH55">
    <cfRule type="notContainsBlanks" dxfId="1698" priority="1062" stopIfTrue="1">
      <formula>LEN(TRIM(AH51))&gt;0</formula>
    </cfRule>
  </conditionalFormatting>
  <conditionalFormatting sqref="AI51:AI55">
    <cfRule type="containsBlanks" dxfId="1697" priority="1063" stopIfTrue="1">
      <formula>LEN(TRIM(AI51))=0</formula>
    </cfRule>
  </conditionalFormatting>
  <conditionalFormatting sqref="AI51:AI55">
    <cfRule type="expression" dxfId="1696" priority="1064" stopIfTrue="1">
      <formula>SUM($AI$51:$AI$55)&lt;&gt;1</formula>
    </cfRule>
  </conditionalFormatting>
  <conditionalFormatting sqref="AI51:AI55">
    <cfRule type="notContainsBlanks" dxfId="1695" priority="1065" stopIfTrue="1">
      <formula>LEN(TRIM(AI51))&gt;0</formula>
    </cfRule>
  </conditionalFormatting>
  <conditionalFormatting sqref="AJ51:AJ55">
    <cfRule type="containsBlanks" dxfId="1694" priority="1066" stopIfTrue="1">
      <formula>LEN(TRIM(AJ51))=0</formula>
    </cfRule>
  </conditionalFormatting>
  <conditionalFormatting sqref="AJ51:AJ55">
    <cfRule type="expression" dxfId="1693" priority="1067" stopIfTrue="1">
      <formula>SUM($AJ$51:$AJ$55)&lt;&gt;1</formula>
    </cfRule>
  </conditionalFormatting>
  <conditionalFormatting sqref="AJ51:AJ55">
    <cfRule type="notContainsBlanks" dxfId="1692" priority="1068" stopIfTrue="1">
      <formula>LEN(TRIM(AJ51))&gt;0</formula>
    </cfRule>
  </conditionalFormatting>
  <conditionalFormatting sqref="AK51:AK55">
    <cfRule type="containsBlanks" dxfId="1691" priority="1069" stopIfTrue="1">
      <formula>LEN(TRIM(AK51))=0</formula>
    </cfRule>
  </conditionalFormatting>
  <conditionalFormatting sqref="AK51:AK55">
    <cfRule type="expression" dxfId="1690" priority="1070" stopIfTrue="1">
      <formula>SUM($AK$51:$AK$55)&lt;&gt;1</formula>
    </cfRule>
  </conditionalFormatting>
  <conditionalFormatting sqref="AK51:AK55">
    <cfRule type="notContainsBlanks" dxfId="1689" priority="1071" stopIfTrue="1">
      <formula>LEN(TRIM(AK51))&gt;0</formula>
    </cfRule>
  </conditionalFormatting>
  <conditionalFormatting sqref="AL51:AL55">
    <cfRule type="containsBlanks" dxfId="1688" priority="1072" stopIfTrue="1">
      <formula>LEN(TRIM(AL51))=0</formula>
    </cfRule>
  </conditionalFormatting>
  <conditionalFormatting sqref="AL51:AL55">
    <cfRule type="expression" dxfId="1687" priority="1073" stopIfTrue="1">
      <formula>SUM($AL$51:$AL$55)&lt;&gt;1</formula>
    </cfRule>
  </conditionalFormatting>
  <conditionalFormatting sqref="AL51:AL55">
    <cfRule type="notContainsBlanks" dxfId="1686" priority="1074" stopIfTrue="1">
      <formula>LEN(TRIM(AL51))&gt;0</formula>
    </cfRule>
  </conditionalFormatting>
  <conditionalFormatting sqref="AM51:AM55">
    <cfRule type="containsBlanks" dxfId="1685" priority="1075" stopIfTrue="1">
      <formula>LEN(TRIM(AM51))=0</formula>
    </cfRule>
  </conditionalFormatting>
  <conditionalFormatting sqref="AM51:AM55">
    <cfRule type="expression" dxfId="1684" priority="1076" stopIfTrue="1">
      <formula>SUM($AM$51:$AM$55)&lt;&gt;1</formula>
    </cfRule>
  </conditionalFormatting>
  <conditionalFormatting sqref="AM51:AM55">
    <cfRule type="notContainsBlanks" dxfId="1683" priority="1077" stopIfTrue="1">
      <formula>LEN(TRIM(AM51))&gt;0</formula>
    </cfRule>
  </conditionalFormatting>
  <conditionalFormatting sqref="AN51:AN55">
    <cfRule type="containsBlanks" dxfId="1682" priority="1078" stopIfTrue="1">
      <formula>LEN(TRIM(AN51))=0</formula>
    </cfRule>
  </conditionalFormatting>
  <conditionalFormatting sqref="AN51:AN55">
    <cfRule type="expression" dxfId="1681" priority="1079" stopIfTrue="1">
      <formula>SUM($AN$51:$AN$55)&lt;&gt;1</formula>
    </cfRule>
  </conditionalFormatting>
  <conditionalFormatting sqref="AN51:AN55">
    <cfRule type="notContainsBlanks" dxfId="1680" priority="1080" stopIfTrue="1">
      <formula>LEN(TRIM(AN51))&gt;0</formula>
    </cfRule>
  </conditionalFormatting>
  <conditionalFormatting sqref="E45:E49">
    <cfRule type="containsBlanks" dxfId="1679" priority="1091" stopIfTrue="1">
      <formula>LEN(TRIM(E45))=0</formula>
    </cfRule>
  </conditionalFormatting>
  <conditionalFormatting sqref="E45:E49">
    <cfRule type="expression" dxfId="1678" priority="1092" stopIfTrue="1">
      <formula>SUM($E$45:$E$49)&lt;&gt;1</formula>
    </cfRule>
  </conditionalFormatting>
  <conditionalFormatting sqref="E45:E49">
    <cfRule type="notContainsBlanks" dxfId="1677" priority="1093" stopIfTrue="1">
      <formula>LEN(TRIM(E45))&gt;0</formula>
    </cfRule>
  </conditionalFormatting>
  <conditionalFormatting sqref="F45:F49">
    <cfRule type="containsBlanks" dxfId="1676" priority="1094" stopIfTrue="1">
      <formula>LEN(TRIM(F45))=0</formula>
    </cfRule>
  </conditionalFormatting>
  <conditionalFormatting sqref="F45:F49">
    <cfRule type="expression" dxfId="1675" priority="1095" stopIfTrue="1">
      <formula>SUM($F$45:$F$49)&lt;&gt;1</formula>
    </cfRule>
  </conditionalFormatting>
  <conditionalFormatting sqref="F45:F49">
    <cfRule type="notContainsBlanks" dxfId="1674" priority="1096" stopIfTrue="1">
      <formula>LEN(TRIM(F45))&gt;0</formula>
    </cfRule>
  </conditionalFormatting>
  <conditionalFormatting sqref="G45:G49">
    <cfRule type="containsBlanks" dxfId="1673" priority="1097" stopIfTrue="1">
      <formula>LEN(TRIM(G45))=0</formula>
    </cfRule>
  </conditionalFormatting>
  <conditionalFormatting sqref="G45:G49">
    <cfRule type="expression" dxfId="1672" priority="1098" stopIfTrue="1">
      <formula>SUM($G$45:$G$49)&lt;&gt;1</formula>
    </cfRule>
  </conditionalFormatting>
  <conditionalFormatting sqref="G45:G49">
    <cfRule type="notContainsBlanks" dxfId="1671" priority="1099" stopIfTrue="1">
      <formula>LEN(TRIM(G45))&gt;0</formula>
    </cfRule>
  </conditionalFormatting>
  <conditionalFormatting sqref="H45:H49">
    <cfRule type="containsBlanks" dxfId="1670" priority="1100" stopIfTrue="1">
      <formula>LEN(TRIM(H45))=0</formula>
    </cfRule>
  </conditionalFormatting>
  <conditionalFormatting sqref="H45:H49">
    <cfRule type="expression" dxfId="1669" priority="1101" stopIfTrue="1">
      <formula>SUM($H$45:$H$49)&lt;&gt;1</formula>
    </cfRule>
  </conditionalFormatting>
  <conditionalFormatting sqref="H45:H49">
    <cfRule type="notContainsBlanks" dxfId="1668" priority="1102" stopIfTrue="1">
      <formula>LEN(TRIM(H45))&gt;0</formula>
    </cfRule>
  </conditionalFormatting>
  <conditionalFormatting sqref="I45:I49">
    <cfRule type="containsBlanks" dxfId="1667" priority="1103" stopIfTrue="1">
      <formula>LEN(TRIM(I45))=0</formula>
    </cfRule>
  </conditionalFormatting>
  <conditionalFormatting sqref="I45:I49">
    <cfRule type="expression" dxfId="1666" priority="1104" stopIfTrue="1">
      <formula>SUM($I$45:$I$49)&lt;&gt;1</formula>
    </cfRule>
  </conditionalFormatting>
  <conditionalFormatting sqref="I45:I49">
    <cfRule type="notContainsBlanks" dxfId="1665" priority="1105" stopIfTrue="1">
      <formula>LEN(TRIM(I45))&gt;0</formula>
    </cfRule>
  </conditionalFormatting>
  <conditionalFormatting sqref="J45:J49">
    <cfRule type="containsBlanks" dxfId="1664" priority="1106" stopIfTrue="1">
      <formula>LEN(TRIM(J45))=0</formula>
    </cfRule>
  </conditionalFormatting>
  <conditionalFormatting sqref="J45:J49">
    <cfRule type="expression" dxfId="1663" priority="1107" stopIfTrue="1">
      <formula>SUM($J$45:$J$49)&lt;&gt;1</formula>
    </cfRule>
  </conditionalFormatting>
  <conditionalFormatting sqref="J45:J49">
    <cfRule type="notContainsBlanks" dxfId="1662" priority="1108" stopIfTrue="1">
      <formula>LEN(TRIM(J45))&gt;0</formula>
    </cfRule>
  </conditionalFormatting>
  <conditionalFormatting sqref="K45:K49">
    <cfRule type="containsBlanks" dxfId="1661" priority="1109" stopIfTrue="1">
      <formula>LEN(TRIM(K45))=0</formula>
    </cfRule>
  </conditionalFormatting>
  <conditionalFormatting sqref="K45:K49">
    <cfRule type="expression" dxfId="1660" priority="1110" stopIfTrue="1">
      <formula>SUM($K$45:$K$49)&lt;&gt;1</formula>
    </cfRule>
  </conditionalFormatting>
  <conditionalFormatting sqref="K45:K49">
    <cfRule type="notContainsBlanks" dxfId="1659" priority="1111" stopIfTrue="1">
      <formula>LEN(TRIM(K45))&gt;0</formula>
    </cfRule>
  </conditionalFormatting>
  <conditionalFormatting sqref="L45:L49">
    <cfRule type="containsBlanks" dxfId="1658" priority="1112" stopIfTrue="1">
      <formula>LEN(TRIM(L45))=0</formula>
    </cfRule>
  </conditionalFormatting>
  <conditionalFormatting sqref="L45:L49">
    <cfRule type="expression" dxfId="1657" priority="1113" stopIfTrue="1">
      <formula>SUM($L$45:$L$49)&lt;&gt;1</formula>
    </cfRule>
  </conditionalFormatting>
  <conditionalFormatting sqref="L45:L49">
    <cfRule type="notContainsBlanks" dxfId="1656" priority="1114" stopIfTrue="1">
      <formula>LEN(TRIM(L45))&gt;0</formula>
    </cfRule>
  </conditionalFormatting>
  <conditionalFormatting sqref="M45:M49">
    <cfRule type="containsBlanks" dxfId="1655" priority="1115" stopIfTrue="1">
      <formula>LEN(TRIM(M45))=0</formula>
    </cfRule>
  </conditionalFormatting>
  <conditionalFormatting sqref="M45:M49">
    <cfRule type="expression" dxfId="1654" priority="1116" stopIfTrue="1">
      <formula>SUM($M$45:$M$49)&lt;&gt;1</formula>
    </cfRule>
  </conditionalFormatting>
  <conditionalFormatting sqref="M45:M49">
    <cfRule type="notContainsBlanks" dxfId="1653" priority="1117" stopIfTrue="1">
      <formula>LEN(TRIM(M45))&gt;0</formula>
    </cfRule>
  </conditionalFormatting>
  <conditionalFormatting sqref="N45:N49">
    <cfRule type="containsBlanks" dxfId="1652" priority="1118" stopIfTrue="1">
      <formula>LEN(TRIM(N45))=0</formula>
    </cfRule>
  </conditionalFormatting>
  <conditionalFormatting sqref="N45:N49">
    <cfRule type="expression" dxfId="1651" priority="1119" stopIfTrue="1">
      <formula>SUM($N$45:$N$49)&lt;&gt;1</formula>
    </cfRule>
  </conditionalFormatting>
  <conditionalFormatting sqref="N45:N49">
    <cfRule type="notContainsBlanks" dxfId="1650" priority="1120" stopIfTrue="1">
      <formula>LEN(TRIM(N45))&gt;0</formula>
    </cfRule>
  </conditionalFormatting>
  <conditionalFormatting sqref="O45:O49">
    <cfRule type="containsBlanks" dxfId="1649" priority="1121" stopIfTrue="1">
      <formula>LEN(TRIM(O45))=0</formula>
    </cfRule>
  </conditionalFormatting>
  <conditionalFormatting sqref="O45:O49">
    <cfRule type="expression" dxfId="1648" priority="1122" stopIfTrue="1">
      <formula>SUM($O$45:$O$49)&lt;&gt;1</formula>
    </cfRule>
  </conditionalFormatting>
  <conditionalFormatting sqref="O45:O49">
    <cfRule type="notContainsBlanks" dxfId="1647" priority="1123" stopIfTrue="1">
      <formula>LEN(TRIM(O45))&gt;0</formula>
    </cfRule>
  </conditionalFormatting>
  <conditionalFormatting sqref="P45:P49">
    <cfRule type="containsBlanks" dxfId="1646" priority="1124" stopIfTrue="1">
      <formula>LEN(TRIM(P45))=0</formula>
    </cfRule>
  </conditionalFormatting>
  <conditionalFormatting sqref="P45:P49">
    <cfRule type="expression" dxfId="1645" priority="1125" stopIfTrue="1">
      <formula>SUM($P$45:$P$49)&lt;&gt;1</formula>
    </cfRule>
  </conditionalFormatting>
  <conditionalFormatting sqref="P45:P49">
    <cfRule type="notContainsBlanks" dxfId="1644" priority="1126" stopIfTrue="1">
      <formula>LEN(TRIM(P45))&gt;0</formula>
    </cfRule>
  </conditionalFormatting>
  <conditionalFormatting sqref="Q45:Q49">
    <cfRule type="containsBlanks" dxfId="1643" priority="1127" stopIfTrue="1">
      <formula>LEN(TRIM(Q45))=0</formula>
    </cfRule>
  </conditionalFormatting>
  <conditionalFormatting sqref="Q45:Q49">
    <cfRule type="expression" dxfId="1642" priority="1128" stopIfTrue="1">
      <formula>SUM($Q$45:$Q$49)&lt;&gt;1</formula>
    </cfRule>
  </conditionalFormatting>
  <conditionalFormatting sqref="Q45:Q49">
    <cfRule type="notContainsBlanks" dxfId="1641" priority="1129" stopIfTrue="1">
      <formula>LEN(TRIM(Q45))&gt;0</formula>
    </cfRule>
  </conditionalFormatting>
  <conditionalFormatting sqref="R45:R49">
    <cfRule type="containsBlanks" dxfId="1640" priority="1130" stopIfTrue="1">
      <formula>LEN(TRIM(R45))=0</formula>
    </cfRule>
  </conditionalFormatting>
  <conditionalFormatting sqref="R45:R49">
    <cfRule type="expression" dxfId="1639" priority="1131" stopIfTrue="1">
      <formula>SUM($R$45:$R$49)&lt;&gt;1</formula>
    </cfRule>
  </conditionalFormatting>
  <conditionalFormatting sqref="R45:R49">
    <cfRule type="notContainsBlanks" dxfId="1638" priority="1132" stopIfTrue="1">
      <formula>LEN(TRIM(R45))&gt;0</formula>
    </cfRule>
  </conditionalFormatting>
  <conditionalFormatting sqref="S45:S49">
    <cfRule type="containsBlanks" dxfId="1637" priority="1133" stopIfTrue="1">
      <formula>LEN(TRIM(S45))=0</formula>
    </cfRule>
  </conditionalFormatting>
  <conditionalFormatting sqref="S45:S49">
    <cfRule type="expression" dxfId="1636" priority="1134" stopIfTrue="1">
      <formula>SUM($S$45:$S$49)&lt;&gt;1</formula>
    </cfRule>
  </conditionalFormatting>
  <conditionalFormatting sqref="S45:S49">
    <cfRule type="notContainsBlanks" dxfId="1635" priority="1135" stopIfTrue="1">
      <formula>LEN(TRIM(S45))&gt;0</formula>
    </cfRule>
  </conditionalFormatting>
  <conditionalFormatting sqref="T45:T49">
    <cfRule type="containsBlanks" dxfId="1634" priority="1136" stopIfTrue="1">
      <formula>LEN(TRIM(T45))=0</formula>
    </cfRule>
  </conditionalFormatting>
  <conditionalFormatting sqref="T45:T49">
    <cfRule type="expression" dxfId="1633" priority="1137" stopIfTrue="1">
      <formula>SUM($T$45:$T$49)&lt;&gt;1</formula>
    </cfRule>
  </conditionalFormatting>
  <conditionalFormatting sqref="T45:T49">
    <cfRule type="notContainsBlanks" dxfId="1632" priority="1138" stopIfTrue="1">
      <formula>LEN(TRIM(T45))&gt;0</formula>
    </cfRule>
  </conditionalFormatting>
  <conditionalFormatting sqref="U45:U49">
    <cfRule type="containsBlanks" dxfId="1631" priority="1139" stopIfTrue="1">
      <formula>LEN(TRIM(U45))=0</formula>
    </cfRule>
  </conditionalFormatting>
  <conditionalFormatting sqref="U45:U49">
    <cfRule type="expression" dxfId="1630" priority="1140" stopIfTrue="1">
      <formula>SUM($U$45:$U$49)&lt;&gt;1</formula>
    </cfRule>
  </conditionalFormatting>
  <conditionalFormatting sqref="U45:U49">
    <cfRule type="notContainsBlanks" dxfId="1629" priority="1141" stopIfTrue="1">
      <formula>LEN(TRIM(U45))&gt;0</formula>
    </cfRule>
  </conditionalFormatting>
  <conditionalFormatting sqref="V45:V49">
    <cfRule type="containsBlanks" dxfId="1628" priority="1142" stopIfTrue="1">
      <formula>LEN(TRIM(V45))=0</formula>
    </cfRule>
  </conditionalFormatting>
  <conditionalFormatting sqref="V45:V49">
    <cfRule type="expression" dxfId="1627" priority="1143" stopIfTrue="1">
      <formula>SUM($V$45:$V$49)&lt;&gt;1</formula>
    </cfRule>
  </conditionalFormatting>
  <conditionalFormatting sqref="V45:V49">
    <cfRule type="notContainsBlanks" dxfId="1626" priority="1144" stopIfTrue="1">
      <formula>LEN(TRIM(V45))&gt;0</formula>
    </cfRule>
  </conditionalFormatting>
  <conditionalFormatting sqref="W45:W49">
    <cfRule type="containsBlanks" dxfId="1625" priority="1145" stopIfTrue="1">
      <formula>LEN(TRIM(W45))=0</formula>
    </cfRule>
  </conditionalFormatting>
  <conditionalFormatting sqref="W45:W49">
    <cfRule type="expression" dxfId="1624" priority="1146" stopIfTrue="1">
      <formula>SUM($W$45:$W$49)&lt;&gt;1</formula>
    </cfRule>
  </conditionalFormatting>
  <conditionalFormatting sqref="W45:W49">
    <cfRule type="notContainsBlanks" dxfId="1623" priority="1147" stopIfTrue="1">
      <formula>LEN(TRIM(W45))&gt;0</formula>
    </cfRule>
  </conditionalFormatting>
  <conditionalFormatting sqref="X45:X49">
    <cfRule type="containsBlanks" dxfId="1622" priority="1148" stopIfTrue="1">
      <formula>LEN(TRIM(X45))=0</formula>
    </cfRule>
  </conditionalFormatting>
  <conditionalFormatting sqref="X45:X49">
    <cfRule type="expression" dxfId="1621" priority="1149" stopIfTrue="1">
      <formula>SUM($X$45:$X$49)&lt;&gt;1</formula>
    </cfRule>
  </conditionalFormatting>
  <conditionalFormatting sqref="X45:X49">
    <cfRule type="notContainsBlanks" dxfId="1620" priority="1150" stopIfTrue="1">
      <formula>LEN(TRIM(X45))&gt;0</formula>
    </cfRule>
  </conditionalFormatting>
  <conditionalFormatting sqref="Y45:Y49">
    <cfRule type="containsBlanks" dxfId="1619" priority="1151" stopIfTrue="1">
      <formula>LEN(TRIM(Y45))=0</formula>
    </cfRule>
  </conditionalFormatting>
  <conditionalFormatting sqref="Y45:Y49">
    <cfRule type="expression" dxfId="1618" priority="1152" stopIfTrue="1">
      <formula>SUM($Y$45:$Y$49)&lt;&gt;1</formula>
    </cfRule>
  </conditionalFormatting>
  <conditionalFormatting sqref="Y45:Y49">
    <cfRule type="notContainsBlanks" dxfId="1617" priority="1153" stopIfTrue="1">
      <formula>LEN(TRIM(Y45))&gt;0</formula>
    </cfRule>
  </conditionalFormatting>
  <conditionalFormatting sqref="Z45:Z49">
    <cfRule type="containsBlanks" dxfId="1616" priority="1154" stopIfTrue="1">
      <formula>LEN(TRIM(Z45))=0</formula>
    </cfRule>
  </conditionalFormatting>
  <conditionalFormatting sqref="Z45:Z49">
    <cfRule type="expression" dxfId="1615" priority="1155" stopIfTrue="1">
      <formula>SUM($Z$45:$Z$49)&lt;&gt;1</formula>
    </cfRule>
  </conditionalFormatting>
  <conditionalFormatting sqref="Z45:Z49">
    <cfRule type="notContainsBlanks" dxfId="1614" priority="1156" stopIfTrue="1">
      <formula>LEN(TRIM(Z45))&gt;0</formula>
    </cfRule>
  </conditionalFormatting>
  <conditionalFormatting sqref="AA45:AA49">
    <cfRule type="containsBlanks" dxfId="1613" priority="1157" stopIfTrue="1">
      <formula>LEN(TRIM(AA45))=0</formula>
    </cfRule>
  </conditionalFormatting>
  <conditionalFormatting sqref="AA45:AA49">
    <cfRule type="expression" dxfId="1612" priority="1158" stopIfTrue="1">
      <formula>SUM($AA$45:$AA$49)&lt;&gt;1</formula>
    </cfRule>
  </conditionalFormatting>
  <conditionalFormatting sqref="AA45:AA49">
    <cfRule type="notContainsBlanks" dxfId="1611" priority="1159" stopIfTrue="1">
      <formula>LEN(TRIM(AA45))&gt;0</formula>
    </cfRule>
  </conditionalFormatting>
  <conditionalFormatting sqref="AB45:AB49">
    <cfRule type="containsBlanks" dxfId="1610" priority="1160" stopIfTrue="1">
      <formula>LEN(TRIM(AB45))=0</formula>
    </cfRule>
  </conditionalFormatting>
  <conditionalFormatting sqref="AB45:AB49">
    <cfRule type="expression" dxfId="1609" priority="1161" stopIfTrue="1">
      <formula>SUM($AB$45:$AB$49)&lt;&gt;1</formula>
    </cfRule>
  </conditionalFormatting>
  <conditionalFormatting sqref="AB45:AB49">
    <cfRule type="notContainsBlanks" dxfId="1608" priority="1162" stopIfTrue="1">
      <formula>LEN(TRIM(AB45))&gt;0</formula>
    </cfRule>
  </conditionalFormatting>
  <conditionalFormatting sqref="AC45:AC49">
    <cfRule type="containsBlanks" dxfId="1607" priority="1163" stopIfTrue="1">
      <formula>LEN(TRIM(AC45))=0</formula>
    </cfRule>
  </conditionalFormatting>
  <conditionalFormatting sqref="AC45:AC49">
    <cfRule type="expression" dxfId="1606" priority="1164" stopIfTrue="1">
      <formula>SUM($AC$45:$AC$49)&lt;&gt;1</formula>
    </cfRule>
  </conditionalFormatting>
  <conditionalFormatting sqref="AC45:AC49">
    <cfRule type="notContainsBlanks" dxfId="1605" priority="1165" stopIfTrue="1">
      <formula>LEN(TRIM(AC45))&gt;0</formula>
    </cfRule>
  </conditionalFormatting>
  <conditionalFormatting sqref="AD45:AD49">
    <cfRule type="containsBlanks" dxfId="1604" priority="1166" stopIfTrue="1">
      <formula>LEN(TRIM(AD45))=0</formula>
    </cfRule>
  </conditionalFormatting>
  <conditionalFormatting sqref="AD45:AD49">
    <cfRule type="expression" dxfId="1603" priority="1167" stopIfTrue="1">
      <formula>SUM($AD$45:$AD$49)&lt;&gt;1</formula>
    </cfRule>
  </conditionalFormatting>
  <conditionalFormatting sqref="AD45:AD49">
    <cfRule type="notContainsBlanks" dxfId="1602" priority="1168" stopIfTrue="1">
      <formula>LEN(TRIM(AD45))&gt;0</formula>
    </cfRule>
  </conditionalFormatting>
  <conditionalFormatting sqref="AE45:AE49">
    <cfRule type="containsBlanks" dxfId="1601" priority="1169" stopIfTrue="1">
      <formula>LEN(TRIM(AE45))=0</formula>
    </cfRule>
  </conditionalFormatting>
  <conditionalFormatting sqref="AE45:AE49">
    <cfRule type="expression" dxfId="1600" priority="1170" stopIfTrue="1">
      <formula>SUM($AE$45:$AE$49)&lt;&gt;1</formula>
    </cfRule>
  </conditionalFormatting>
  <conditionalFormatting sqref="AE45:AE49">
    <cfRule type="notContainsBlanks" dxfId="1599" priority="1171" stopIfTrue="1">
      <formula>LEN(TRIM(AE45))&gt;0</formula>
    </cfRule>
  </conditionalFormatting>
  <conditionalFormatting sqref="AF45:AF49">
    <cfRule type="containsBlanks" dxfId="1598" priority="1172" stopIfTrue="1">
      <formula>LEN(TRIM(AF45))=0</formula>
    </cfRule>
  </conditionalFormatting>
  <conditionalFormatting sqref="AF45:AF49">
    <cfRule type="expression" dxfId="1597" priority="1173" stopIfTrue="1">
      <formula>SUM($AF$45:$AF$49)&lt;&gt;1</formula>
    </cfRule>
  </conditionalFormatting>
  <conditionalFormatting sqref="AF45:AF49">
    <cfRule type="notContainsBlanks" dxfId="1596" priority="1174" stopIfTrue="1">
      <formula>LEN(TRIM(AF45))&gt;0</formula>
    </cfRule>
  </conditionalFormatting>
  <conditionalFormatting sqref="AG45:AG49">
    <cfRule type="containsBlanks" dxfId="1595" priority="1175" stopIfTrue="1">
      <formula>LEN(TRIM(AG45))=0</formula>
    </cfRule>
  </conditionalFormatting>
  <conditionalFormatting sqref="AG45:AG49">
    <cfRule type="expression" dxfId="1594" priority="1176" stopIfTrue="1">
      <formula>SUM($AG$45:$AG$49)&lt;&gt;1</formula>
    </cfRule>
  </conditionalFormatting>
  <conditionalFormatting sqref="AG45:AG49">
    <cfRule type="notContainsBlanks" dxfId="1593" priority="1177" stopIfTrue="1">
      <formula>LEN(TRIM(AG45))&gt;0</formula>
    </cfRule>
  </conditionalFormatting>
  <conditionalFormatting sqref="AH45:AH49">
    <cfRule type="containsBlanks" dxfId="1592" priority="1178" stopIfTrue="1">
      <formula>LEN(TRIM(AH45))=0</formula>
    </cfRule>
  </conditionalFormatting>
  <conditionalFormatting sqref="AH45:AH49">
    <cfRule type="expression" dxfId="1591" priority="1179" stopIfTrue="1">
      <formula>SUM($AH$45:$AH$49)&lt;&gt;1</formula>
    </cfRule>
  </conditionalFormatting>
  <conditionalFormatting sqref="AH45:AH49">
    <cfRule type="notContainsBlanks" dxfId="1590" priority="1180" stopIfTrue="1">
      <formula>LEN(TRIM(AH45))&gt;0</formula>
    </cfRule>
  </conditionalFormatting>
  <conditionalFormatting sqref="AI45:AI49">
    <cfRule type="containsBlanks" dxfId="1589" priority="1181" stopIfTrue="1">
      <formula>LEN(TRIM(AI45))=0</formula>
    </cfRule>
  </conditionalFormatting>
  <conditionalFormatting sqref="AI45:AI49">
    <cfRule type="expression" dxfId="1588" priority="1182" stopIfTrue="1">
      <formula>SUM($AI$45:$AI$49)&lt;&gt;1</formula>
    </cfRule>
  </conditionalFormatting>
  <conditionalFormatting sqref="AI45:AI49">
    <cfRule type="notContainsBlanks" dxfId="1587" priority="1183" stopIfTrue="1">
      <formula>LEN(TRIM(AI45))&gt;0</formula>
    </cfRule>
  </conditionalFormatting>
  <conditionalFormatting sqref="AJ45:AJ49">
    <cfRule type="containsBlanks" dxfId="1586" priority="1184" stopIfTrue="1">
      <formula>LEN(TRIM(AJ45))=0</formula>
    </cfRule>
  </conditionalFormatting>
  <conditionalFormatting sqref="AJ45:AJ49">
    <cfRule type="expression" dxfId="1585" priority="1185" stopIfTrue="1">
      <formula>SUM($AJ$45:$AJ$49)&lt;&gt;1</formula>
    </cfRule>
  </conditionalFormatting>
  <conditionalFormatting sqref="AJ45:AJ49">
    <cfRule type="notContainsBlanks" dxfId="1584" priority="1186" stopIfTrue="1">
      <formula>LEN(TRIM(AJ45))&gt;0</formula>
    </cfRule>
  </conditionalFormatting>
  <conditionalFormatting sqref="AK45:AK49">
    <cfRule type="containsBlanks" dxfId="1583" priority="1187" stopIfTrue="1">
      <formula>LEN(TRIM(AK45))=0</formula>
    </cfRule>
  </conditionalFormatting>
  <conditionalFormatting sqref="AK45:AK49">
    <cfRule type="expression" dxfId="1582" priority="1188" stopIfTrue="1">
      <formula>SUM($AK$45:$AK$49)&lt;&gt;1</formula>
    </cfRule>
  </conditionalFormatting>
  <conditionalFormatting sqref="AK45:AK49">
    <cfRule type="notContainsBlanks" dxfId="1581" priority="1189" stopIfTrue="1">
      <formula>LEN(TRIM(AK45))&gt;0</formula>
    </cfRule>
  </conditionalFormatting>
  <conditionalFormatting sqref="AL45:AL49">
    <cfRule type="containsBlanks" dxfId="1580" priority="1190" stopIfTrue="1">
      <formula>LEN(TRIM(AL45))=0</formula>
    </cfRule>
  </conditionalFormatting>
  <conditionalFormatting sqref="AL45:AL49">
    <cfRule type="expression" dxfId="1579" priority="1191" stopIfTrue="1">
      <formula>SUM($AL$45:$AL$49)&lt;&gt;1</formula>
    </cfRule>
  </conditionalFormatting>
  <conditionalFormatting sqref="AL45:AL49">
    <cfRule type="notContainsBlanks" dxfId="1578" priority="1192" stopIfTrue="1">
      <formula>LEN(TRIM(AL45))&gt;0</formula>
    </cfRule>
  </conditionalFormatting>
  <conditionalFormatting sqref="AM45:AM49">
    <cfRule type="containsBlanks" dxfId="1577" priority="1193" stopIfTrue="1">
      <formula>LEN(TRIM(AM45))=0</formula>
    </cfRule>
  </conditionalFormatting>
  <conditionalFormatting sqref="AM45:AM49">
    <cfRule type="expression" dxfId="1576" priority="1194" stopIfTrue="1">
      <formula>SUM($AM$45:$AM$49)&lt;&gt;1</formula>
    </cfRule>
  </conditionalFormatting>
  <conditionalFormatting sqref="AM45:AM49">
    <cfRule type="notContainsBlanks" dxfId="1575" priority="1195" stopIfTrue="1">
      <formula>LEN(TRIM(AM45))&gt;0</formula>
    </cfRule>
  </conditionalFormatting>
  <conditionalFormatting sqref="AN45:AN49">
    <cfRule type="containsBlanks" dxfId="1574" priority="1196" stopIfTrue="1">
      <formula>LEN(TRIM(AN45))=0</formula>
    </cfRule>
  </conditionalFormatting>
  <conditionalFormatting sqref="AN45:AN49">
    <cfRule type="expression" dxfId="1573" priority="1197" stopIfTrue="1">
      <formula>SUM($AN$45:$AN$49)&lt;&gt;1</formula>
    </cfRule>
  </conditionalFormatting>
  <conditionalFormatting sqref="AN45:AN49">
    <cfRule type="notContainsBlanks" dxfId="1572" priority="1198" stopIfTrue="1">
      <formula>LEN(TRIM(AN45))&gt;0</formula>
    </cfRule>
  </conditionalFormatting>
  <conditionalFormatting sqref="E22:AN22">
    <cfRule type="containsBlanks" dxfId="1571" priority="1199" stopIfTrue="1">
      <formula>LEN(TRIM(E22))=0</formula>
    </cfRule>
  </conditionalFormatting>
  <conditionalFormatting sqref="E22:AN22">
    <cfRule type="notContainsBlanks" dxfId="1570" priority="1200" stopIfTrue="1">
      <formula>LEN(TRIM(E22))&gt;0</formula>
    </cfRule>
  </conditionalFormatting>
  <conditionalFormatting sqref="E23:AN23">
    <cfRule type="containsBlanks" dxfId="1569" priority="1201" stopIfTrue="1">
      <formula>LEN(TRIM(E23))=0</formula>
    </cfRule>
  </conditionalFormatting>
  <conditionalFormatting sqref="E23:AN23">
    <cfRule type="notContainsBlanks" dxfId="1568" priority="1202" stopIfTrue="1">
      <formula>LEN(TRIM(E23))&gt;0</formula>
    </cfRule>
  </conditionalFormatting>
  <conditionalFormatting sqref="E25:AN25">
    <cfRule type="containsBlanks" dxfId="1567" priority="1203" stopIfTrue="1">
      <formula>LEN(TRIM(E25))=0</formula>
    </cfRule>
  </conditionalFormatting>
  <conditionalFormatting sqref="E25:AN25">
    <cfRule type="notContainsBlanks" dxfId="1566" priority="1204" stopIfTrue="1">
      <formula>LEN(TRIM(E25))&gt;0</formula>
    </cfRule>
  </conditionalFormatting>
  <conditionalFormatting sqref="E26:AN26">
    <cfRule type="containsBlanks" dxfId="1565" priority="1205" stopIfTrue="1">
      <formula>LEN(TRIM(E26))=0</formula>
    </cfRule>
  </conditionalFormatting>
  <conditionalFormatting sqref="E26:AN26">
    <cfRule type="notContainsBlanks" dxfId="1564" priority="1206" stopIfTrue="1">
      <formula>LEN(TRIM(E26))&gt;0</formula>
    </cfRule>
  </conditionalFormatting>
  <conditionalFormatting sqref="E29:AN29">
    <cfRule type="containsBlanks" dxfId="1563" priority="1207" stopIfTrue="1">
      <formula>LEN(TRIM(E29))=0</formula>
    </cfRule>
  </conditionalFormatting>
  <conditionalFormatting sqref="E29:AN29">
    <cfRule type="notContainsBlanks" dxfId="1562" priority="1208" stopIfTrue="1">
      <formula>LEN(TRIM(E29))&gt;0</formula>
    </cfRule>
  </conditionalFormatting>
  <conditionalFormatting sqref="E30:AN30">
    <cfRule type="containsBlanks" dxfId="1561" priority="1209" stopIfTrue="1">
      <formula>LEN(TRIM(E30))=0</formula>
    </cfRule>
  </conditionalFormatting>
  <conditionalFormatting sqref="E30:AN30">
    <cfRule type="notContainsBlanks" dxfId="1560" priority="1210" stopIfTrue="1">
      <formula>LEN(TRIM(E30))&gt;0</formula>
    </cfRule>
  </conditionalFormatting>
  <conditionalFormatting sqref="E33:AN33">
    <cfRule type="containsBlanks" dxfId="1559" priority="1211" stopIfTrue="1">
      <formula>LEN(TRIM(E33))=0</formula>
    </cfRule>
  </conditionalFormatting>
  <conditionalFormatting sqref="E33:AN33">
    <cfRule type="notContainsBlanks" dxfId="1558" priority="1212" stopIfTrue="1">
      <formula>LEN(TRIM(E33))&gt;0</formula>
    </cfRule>
  </conditionalFormatting>
  <conditionalFormatting sqref="E34:AN34">
    <cfRule type="containsBlanks" dxfId="1557" priority="1213" stopIfTrue="1">
      <formula>LEN(TRIM(E34))=0</formula>
    </cfRule>
  </conditionalFormatting>
  <conditionalFormatting sqref="E34:AN34">
    <cfRule type="notContainsBlanks" dxfId="1556" priority="1214" stopIfTrue="1">
      <formula>LEN(TRIM(E34))&gt;0</formula>
    </cfRule>
  </conditionalFormatting>
  <conditionalFormatting sqref="E36:AN36">
    <cfRule type="containsBlanks" dxfId="1555" priority="1215" stopIfTrue="1">
      <formula>LEN(TRIM(E36))=0</formula>
    </cfRule>
  </conditionalFormatting>
  <conditionalFormatting sqref="E36:AN36">
    <cfRule type="notContainsBlanks" dxfId="1554" priority="1216" stopIfTrue="1">
      <formula>LEN(TRIM(E36))&gt;0</formula>
    </cfRule>
  </conditionalFormatting>
  <conditionalFormatting sqref="E37:AN37">
    <cfRule type="containsBlanks" dxfId="1553" priority="1217" stopIfTrue="1">
      <formula>LEN(TRIM(E37))=0</formula>
    </cfRule>
  </conditionalFormatting>
  <conditionalFormatting sqref="E37:AN37">
    <cfRule type="notContainsBlanks" dxfId="1552" priority="1218" stopIfTrue="1">
      <formula>LEN(TRIM(E37))&gt;0</formula>
    </cfRule>
  </conditionalFormatting>
  <conditionalFormatting sqref="E40:AN40">
    <cfRule type="containsBlanks" dxfId="1551" priority="1219" stopIfTrue="1">
      <formula>LEN(TRIM(E40))=0</formula>
    </cfRule>
  </conditionalFormatting>
  <conditionalFormatting sqref="E40:AN40">
    <cfRule type="notContainsBlanks" dxfId="1550" priority="1220" stopIfTrue="1">
      <formula>LEN(TRIM(E40))&gt;0</formula>
    </cfRule>
  </conditionalFormatting>
  <conditionalFormatting sqref="E41:AN41">
    <cfRule type="containsBlanks" dxfId="1549" priority="1221" stopIfTrue="1">
      <formula>LEN(TRIM(E41))=0</formula>
    </cfRule>
  </conditionalFormatting>
  <conditionalFormatting sqref="E41:AN41">
    <cfRule type="notContainsBlanks" dxfId="1548" priority="1222" stopIfTrue="1">
      <formula>LEN(TRIM(E41))&gt;0</formula>
    </cfRule>
  </conditionalFormatting>
  <conditionalFormatting sqref="E6:AN6">
    <cfRule type="containsBlanks" dxfId="1547" priority="1223" stopIfTrue="1">
      <formula>LEN(TRIM(E6))=0</formula>
    </cfRule>
  </conditionalFormatting>
  <conditionalFormatting sqref="E6:AN6">
    <cfRule type="notContainsBlanks" dxfId="1546" priority="1224" stopIfTrue="1">
      <formula>LEN(TRIM(E6))&gt;0</formula>
    </cfRule>
  </conditionalFormatting>
  <conditionalFormatting sqref="E7:AN7">
    <cfRule type="containsBlanks" dxfId="1545" priority="1225" stopIfTrue="1">
      <formula>LEN(TRIM(E7))=0</formula>
    </cfRule>
  </conditionalFormatting>
  <conditionalFormatting sqref="E7:AN7">
    <cfRule type="notContainsBlanks" dxfId="1544" priority="1226" stopIfTrue="1">
      <formula>LEN(TRIM(E7))&gt;0</formula>
    </cfRule>
  </conditionalFormatting>
  <conditionalFormatting sqref="E9:AN9">
    <cfRule type="containsBlanks" dxfId="1543" priority="1227" stopIfTrue="1">
      <formula>LEN(TRIM(E9))=0</formula>
    </cfRule>
  </conditionalFormatting>
  <conditionalFormatting sqref="E9:AN9">
    <cfRule type="notContainsBlanks" dxfId="1542" priority="1228" stopIfTrue="1">
      <formula>LEN(TRIM(E9))&gt;0</formula>
    </cfRule>
  </conditionalFormatting>
  <conditionalFormatting sqref="E10:AN10">
    <cfRule type="containsBlanks" dxfId="1541" priority="1229" stopIfTrue="1">
      <formula>LEN(TRIM(E10))=0</formula>
    </cfRule>
  </conditionalFormatting>
  <conditionalFormatting sqref="E10:AN10">
    <cfRule type="notContainsBlanks" dxfId="1540" priority="1230" stopIfTrue="1">
      <formula>LEN(TRIM(E10))&gt;0</formula>
    </cfRule>
  </conditionalFormatting>
  <conditionalFormatting sqref="E12:AN12">
    <cfRule type="containsBlanks" dxfId="1539" priority="1231" stopIfTrue="1">
      <formula>LEN(TRIM(E12))=0</formula>
    </cfRule>
  </conditionalFormatting>
  <conditionalFormatting sqref="E12:AN12">
    <cfRule type="notContainsBlanks" dxfId="1538" priority="1232" stopIfTrue="1">
      <formula>LEN(TRIM(E12))&gt;0</formula>
    </cfRule>
  </conditionalFormatting>
  <conditionalFormatting sqref="E13:AN13">
    <cfRule type="containsBlanks" dxfId="1537" priority="1233" stopIfTrue="1">
      <formula>LEN(TRIM(E13))=0</formula>
    </cfRule>
  </conditionalFormatting>
  <conditionalFormatting sqref="E13:AN13">
    <cfRule type="notContainsBlanks" dxfId="1536" priority="1234" stopIfTrue="1">
      <formula>LEN(TRIM(E13))&gt;0</formula>
    </cfRule>
  </conditionalFormatting>
  <conditionalFormatting sqref="E16:AN16">
    <cfRule type="containsBlanks" dxfId="1535" priority="1235" stopIfTrue="1">
      <formula>LEN(TRIM(E16))=0</formula>
    </cfRule>
  </conditionalFormatting>
  <conditionalFormatting sqref="E16:AN16">
    <cfRule type="notContainsBlanks" dxfId="1534" priority="1236" stopIfTrue="1">
      <formula>LEN(TRIM(E16))&gt;0</formula>
    </cfRule>
  </conditionalFormatting>
  <conditionalFormatting sqref="E17:AN17">
    <cfRule type="containsBlanks" dxfId="1533" priority="1237" stopIfTrue="1">
      <formula>LEN(TRIM(E17))=0</formula>
    </cfRule>
  </conditionalFormatting>
  <conditionalFormatting sqref="E17:AN17">
    <cfRule type="notContainsBlanks" dxfId="1532" priority="1238" stopIfTrue="1">
      <formula>LEN(TRIM(E17))&gt;0</formula>
    </cfRule>
  </conditionalFormatting>
  <conditionalFormatting sqref="E283:E284">
    <cfRule type="containsBlanks" dxfId="1531" priority="35" stopIfTrue="1">
      <formula>LEN(TRIM(E283))=0</formula>
    </cfRule>
    <cfRule type="notContainsBlanks" dxfId="1530" priority="36" stopIfTrue="1">
      <formula>LEN(TRIM(E283))&gt;0</formula>
    </cfRule>
  </conditionalFormatting>
  <conditionalFormatting sqref="E297:E298">
    <cfRule type="containsBlanks" dxfId="1529" priority="33" stopIfTrue="1">
      <formula>LEN(TRIM(E297))=0</formula>
    </cfRule>
    <cfRule type="notContainsBlanks" dxfId="1528" priority="34" stopIfTrue="1">
      <formula>LEN(TRIM(E297))&gt;0</formula>
    </cfRule>
  </conditionalFormatting>
  <conditionalFormatting sqref="E311:E312">
    <cfRule type="containsBlanks" dxfId="1527" priority="27" stopIfTrue="1">
      <formula>LEN(TRIM(E311))=0</formula>
    </cfRule>
    <cfRule type="notContainsBlanks" dxfId="1526" priority="28" stopIfTrue="1">
      <formula>LEN(TRIM(E311))&gt;0</formula>
    </cfRule>
  </conditionalFormatting>
  <conditionalFormatting sqref="E325:E326">
    <cfRule type="containsBlanks" dxfId="1525" priority="21" stopIfTrue="1">
      <formula>LEN(TRIM(E325))=0</formula>
    </cfRule>
    <cfRule type="notContainsBlanks" dxfId="1524" priority="22" stopIfTrue="1">
      <formula>LEN(TRIM(E325))&gt;0</formula>
    </cfRule>
  </conditionalFormatting>
  <conditionalFormatting sqref="E339:E340">
    <cfRule type="containsBlanks" dxfId="1523" priority="15" stopIfTrue="1">
      <formula>LEN(TRIM(E339))=0</formula>
    </cfRule>
    <cfRule type="notContainsBlanks" dxfId="1522" priority="16" stopIfTrue="1">
      <formula>LEN(TRIM(E339))&gt;0</formula>
    </cfRule>
  </conditionalFormatting>
  <conditionalFormatting sqref="F283:X284">
    <cfRule type="containsBlanks" dxfId="1521" priority="9" stopIfTrue="1">
      <formula>LEN(TRIM(F283))=0</formula>
    </cfRule>
    <cfRule type="notContainsBlanks" dxfId="1520" priority="10" stopIfTrue="1">
      <formula>LEN(TRIM(F283))&gt;0</formula>
    </cfRule>
  </conditionalFormatting>
  <conditionalFormatting sqref="F297:X298">
    <cfRule type="containsBlanks" dxfId="1519" priority="7" stopIfTrue="1">
      <formula>LEN(TRIM(F297))=0</formula>
    </cfRule>
    <cfRule type="notContainsBlanks" dxfId="1518" priority="8" stopIfTrue="1">
      <formula>LEN(TRIM(F297))&gt;0</formula>
    </cfRule>
  </conditionalFormatting>
  <conditionalFormatting sqref="F311:X312">
    <cfRule type="containsBlanks" dxfId="1517" priority="5" stopIfTrue="1">
      <formula>LEN(TRIM(F311))=0</formula>
    </cfRule>
    <cfRule type="notContainsBlanks" dxfId="1516" priority="6" stopIfTrue="1">
      <formula>LEN(TRIM(F311))&gt;0</formula>
    </cfRule>
  </conditionalFormatting>
  <conditionalFormatting sqref="F325:X326">
    <cfRule type="containsBlanks" dxfId="1515" priority="3" stopIfTrue="1">
      <formula>LEN(TRIM(F325))=0</formula>
    </cfRule>
    <cfRule type="notContainsBlanks" dxfId="1514" priority="4" stopIfTrue="1">
      <formula>LEN(TRIM(F325))&gt;0</formula>
    </cfRule>
  </conditionalFormatting>
  <conditionalFormatting sqref="F339:X340">
    <cfRule type="containsBlanks" dxfId="1513" priority="1" stopIfTrue="1">
      <formula>LEN(TRIM(F339))=0</formula>
    </cfRule>
    <cfRule type="notContainsBlanks" dxfId="1512" priority="2" stopIfTrue="1">
      <formula>LEN(TRIM(F339))&gt;0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2:AO345"/>
  <sheetViews>
    <sheetView zoomScale="85" zoomScaleNormal="85" workbookViewId="0">
      <selection activeCell="A9" sqref="A9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31.81640625" style="6" bestFit="1" customWidth="1"/>
    <col min="4" max="4" width="10.81640625" style="6" bestFit="1" customWidth="1"/>
    <col min="5" max="25" width="6.81640625" style="6" bestFit="1" customWidth="1"/>
    <col min="26" max="26" width="9.08984375" style="6" bestFit="1" customWidth="1"/>
    <col min="27" max="28" width="6.81640625" style="6" bestFit="1" customWidth="1"/>
    <col min="29" max="29" width="25.36328125" style="6" bestFit="1" customWidth="1"/>
    <col min="30" max="30" width="8.08984375" style="6" bestFit="1" customWidth="1"/>
    <col min="31" max="40" width="6.81640625" style="6" bestFit="1" customWidth="1"/>
    <col min="41" max="41" width="3.453125" style="6" customWidth="1"/>
    <col min="42" max="16384" width="9.1796875" style="6"/>
  </cols>
  <sheetData>
    <row r="2" spans="2:41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</row>
    <row r="3" spans="2:41" x14ac:dyDescent="0.35">
      <c r="B3" s="8"/>
      <c r="C3" s="23" t="s">
        <v>104</v>
      </c>
      <c r="D3" s="24"/>
      <c r="E3" s="26">
        <f t="array" ref="E3:AN3">_yS</f>
        <v>2024</v>
      </c>
      <c r="F3" s="26">
        <v>2025</v>
      </c>
      <c r="G3" s="26">
        <v>2026</v>
      </c>
      <c r="H3" s="26">
        <v>2027</v>
      </c>
      <c r="I3" s="26">
        <v>2028</v>
      </c>
      <c r="J3" s="26">
        <v>2029</v>
      </c>
      <c r="K3" s="26">
        <v>2030</v>
      </c>
      <c r="L3" s="26">
        <v>2031</v>
      </c>
      <c r="M3" s="26">
        <v>2032</v>
      </c>
      <c r="N3" s="26">
        <v>2033</v>
      </c>
      <c r="O3" s="26">
        <v>2034</v>
      </c>
      <c r="P3" s="26">
        <v>2035</v>
      </c>
      <c r="Q3" s="26">
        <v>2036</v>
      </c>
      <c r="R3" s="26">
        <v>2037</v>
      </c>
      <c r="S3" s="26">
        <v>2038</v>
      </c>
      <c r="T3" s="26">
        <v>2039</v>
      </c>
      <c r="U3" s="26">
        <v>2040</v>
      </c>
      <c r="V3" s="26">
        <v>2041</v>
      </c>
      <c r="W3" s="26">
        <v>2042</v>
      </c>
      <c r="X3" s="26">
        <v>2043</v>
      </c>
      <c r="Y3" s="26">
        <v>2044</v>
      </c>
      <c r="Z3" s="26">
        <v>2045</v>
      </c>
      <c r="AA3" s="26">
        <v>2046</v>
      </c>
      <c r="AB3" s="26">
        <v>2047</v>
      </c>
      <c r="AC3" s="26">
        <v>2048</v>
      </c>
      <c r="AD3" s="26">
        <v>2049</v>
      </c>
      <c r="AE3" s="26">
        <v>2050</v>
      </c>
      <c r="AF3" s="26">
        <v>2051</v>
      </c>
      <c r="AG3" s="26">
        <v>2052</v>
      </c>
      <c r="AH3" s="26">
        <v>2053</v>
      </c>
      <c r="AI3" s="26">
        <v>2054</v>
      </c>
      <c r="AJ3" s="26">
        <v>2055</v>
      </c>
      <c r="AK3" s="26">
        <v>2056</v>
      </c>
      <c r="AL3" s="26">
        <v>2057</v>
      </c>
      <c r="AM3" s="26">
        <v>2058</v>
      </c>
      <c r="AN3" s="27">
        <v>2059</v>
      </c>
      <c r="AO3" s="8"/>
    </row>
    <row r="4" spans="2:41" x14ac:dyDescent="0.35">
      <c r="B4" s="8"/>
      <c r="C4" s="57" t="str">
        <f ca="1">"Stds Case (CSL " &amp; stdCSL1 &amp; ",CSL " &amp; stdCSL2 &amp; "): " &amp; INDEX(_doName,3,stdCSL1+1) &amp; "," &amp; INDEX(_doName,3,stdCSL2+1)</f>
        <v>Stds Case (CSL 1,CSL 2): Tier 1,Tier 2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8"/>
      <c r="AO4" s="8"/>
    </row>
    <row r="5" spans="2:41" x14ac:dyDescent="0.35">
      <c r="B5" s="8"/>
      <c r="C5" s="10" t="s">
        <v>105</v>
      </c>
      <c r="D5" s="11" t="str">
        <f>"mi " &amp; _yearDol &amp; "$"</f>
        <v>mi 2021$</v>
      </c>
      <c r="E5" s="32">
        <f t="array" aca="1" ref="E5:AN5" ca="1">tnet_Res+tnet_Com</f>
        <v>88.908177288165433</v>
      </c>
      <c r="F5" s="32">
        <f ca="1"/>
        <v>93.171145915617501</v>
      </c>
      <c r="G5" s="32">
        <f ca="1"/>
        <v>219.32889262153407</v>
      </c>
      <c r="H5" s="32">
        <f ca="1"/>
        <v>231.04901386716733</v>
      </c>
      <c r="I5" s="32">
        <f ca="1"/>
        <v>243.7187045735426</v>
      </c>
      <c r="J5" s="32">
        <f ca="1"/>
        <v>257.01283228878918</v>
      </c>
      <c r="K5" s="32">
        <f ca="1"/>
        <v>270.79174756712121</v>
      </c>
      <c r="L5" s="32">
        <f ca="1"/>
        <v>284.98715983733081</v>
      </c>
      <c r="M5" s="32">
        <f ca="1"/>
        <v>299.44779091959339</v>
      </c>
      <c r="N5" s="32">
        <f ca="1"/>
        <v>314.29122332921355</v>
      </c>
      <c r="O5" s="32">
        <f ca="1"/>
        <v>329.32471758161921</v>
      </c>
      <c r="P5" s="32">
        <f ca="1"/>
        <v>344.71974585036219</v>
      </c>
      <c r="Q5" s="32">
        <f ca="1"/>
        <v>361.03782493957493</v>
      </c>
      <c r="R5" s="32">
        <f ca="1"/>
        <v>378.16422468029117</v>
      </c>
      <c r="S5" s="32">
        <f ca="1"/>
        <v>396.32795604423632</v>
      </c>
      <c r="T5" s="32">
        <f ca="1"/>
        <v>415.54752454010503</v>
      </c>
      <c r="U5" s="32">
        <f ca="1"/>
        <v>435.49871693421284</v>
      </c>
      <c r="V5" s="32">
        <f ca="1"/>
        <v>456.25693555376358</v>
      </c>
      <c r="W5" s="32">
        <f ca="1"/>
        <v>478.10063225988563</v>
      </c>
      <c r="X5" s="32">
        <f ca="1"/>
        <v>500.82229959413939</v>
      </c>
      <c r="Y5" s="32">
        <f ca="1"/>
        <v>524.59117673804246</v>
      </c>
      <c r="Z5" s="32">
        <f ca="1"/>
        <v>549.96036211480043</v>
      </c>
      <c r="AA5" s="32">
        <f ca="1"/>
        <v>576.40917412334113</v>
      </c>
      <c r="AB5" s="32">
        <f ca="1"/>
        <v>604.16794393779685</v>
      </c>
      <c r="AC5" s="32">
        <f ca="1"/>
        <v>633.50459895201959</v>
      </c>
      <c r="AD5" s="32">
        <f ca="1"/>
        <v>664.06194925434124</v>
      </c>
      <c r="AE5" s="32">
        <f ca="1"/>
        <v>696.27335716600112</v>
      </c>
      <c r="AF5" s="32">
        <f ca="1"/>
        <v>730.84486275760457</v>
      </c>
      <c r="AG5" s="32">
        <f ca="1"/>
        <v>767.10326606789556</v>
      </c>
      <c r="AH5" s="32">
        <f ca="1"/>
        <v>805.13024634433464</v>
      </c>
      <c r="AI5" s="32">
        <f ca="1"/>
        <v>845.01239395727293</v>
      </c>
      <c r="AJ5" s="32">
        <f ca="1"/>
        <v>886.84105563163189</v>
      </c>
      <c r="AK5" s="32">
        <f ca="1"/>
        <v>930.71223232108832</v>
      </c>
      <c r="AL5" s="32">
        <f ca="1"/>
        <v>976.72620416753148</v>
      </c>
      <c r="AM5" s="32">
        <f ca="1"/>
        <v>0</v>
      </c>
      <c r="AN5" s="55">
        <f ca="1"/>
        <v>0</v>
      </c>
      <c r="AO5" s="8"/>
    </row>
    <row r="6" spans="2:41" x14ac:dyDescent="0.35">
      <c r="B6" s="8"/>
      <c r="C6" s="20" t="str">
        <f>INDEX(_Sector,2,1)</f>
        <v>Residential</v>
      </c>
      <c r="D6" s="8"/>
      <c r="E6" s="32">
        <f t="array" aca="1" ref="E6:AN6" ca="1">tecs_Res-tiec_Res</f>
        <v>45.153682384960405</v>
      </c>
      <c r="F6" s="32">
        <f ca="1"/>
        <v>47.371699093359325</v>
      </c>
      <c r="G6" s="32">
        <f ca="1"/>
        <v>112.20402037120118</v>
      </c>
      <c r="H6" s="32">
        <f ca="1"/>
        <v>118.34256714051395</v>
      </c>
      <c r="I6" s="32">
        <f ca="1"/>
        <v>124.98455307255171</v>
      </c>
      <c r="J6" s="32">
        <f ca="1"/>
        <v>131.96229917857306</v>
      </c>
      <c r="K6" s="32">
        <f ca="1"/>
        <v>139.208316975527</v>
      </c>
      <c r="L6" s="32">
        <f ca="1"/>
        <v>146.68348728953049</v>
      </c>
      <c r="M6" s="32">
        <f ca="1"/>
        <v>154.32595302454729</v>
      </c>
      <c r="N6" s="32">
        <f ca="1"/>
        <v>162.16817616207823</v>
      </c>
      <c r="O6" s="32">
        <f ca="1"/>
        <v>170.14671354681786</v>
      </c>
      <c r="P6" s="32">
        <f ca="1"/>
        <v>178.33757770307227</v>
      </c>
      <c r="Q6" s="32">
        <f ca="1"/>
        <v>187.00849686395441</v>
      </c>
      <c r="R6" s="32">
        <f ca="1"/>
        <v>196.11047749988575</v>
      </c>
      <c r="S6" s="32">
        <f ca="1"/>
        <v>205.76263987368316</v>
      </c>
      <c r="T6" s="32">
        <f ca="1"/>
        <v>215.9618875057588</v>
      </c>
      <c r="U6" s="32">
        <f ca="1"/>
        <v>226.58430283606845</v>
      </c>
      <c r="V6" s="32">
        <f ca="1"/>
        <v>237.64716611664176</v>
      </c>
      <c r="W6" s="32">
        <f ca="1"/>
        <v>249.26285088490795</v>
      </c>
      <c r="X6" s="32">
        <f ca="1"/>
        <v>261.34599843540627</v>
      </c>
      <c r="Y6" s="32">
        <f ca="1"/>
        <v>274.00211585395618</v>
      </c>
      <c r="Z6" s="32">
        <f ca="1"/>
        <v>287.44677606405526</v>
      </c>
      <c r="AA6" s="32">
        <f ca="1"/>
        <v>301.46163671495833</v>
      </c>
      <c r="AB6" s="32">
        <f ca="1"/>
        <v>316.15818291448295</v>
      </c>
      <c r="AC6" s="32">
        <f ca="1"/>
        <v>331.62227774555504</v>
      </c>
      <c r="AD6" s="32">
        <f ca="1"/>
        <v>347.72561099975542</v>
      </c>
      <c r="AE6" s="32">
        <f ca="1"/>
        <v>364.67791076273284</v>
      </c>
      <c r="AF6" s="32">
        <f ca="1"/>
        <v>382.79430534252265</v>
      </c>
      <c r="AG6" s="32">
        <f ca="1"/>
        <v>401.7950281819451</v>
      </c>
      <c r="AH6" s="32">
        <f ca="1"/>
        <v>421.72291452841364</v>
      </c>
      <c r="AI6" s="32">
        <f ca="1"/>
        <v>442.62337522130133</v>
      </c>
      <c r="AJ6" s="32">
        <f ca="1"/>
        <v>464.54431586720239</v>
      </c>
      <c r="AK6" s="32">
        <f ca="1"/>
        <v>487.53608356964105</v>
      </c>
      <c r="AL6" s="32">
        <f ca="1"/>
        <v>511.65127067467893</v>
      </c>
      <c r="AM6" s="32">
        <f ca="1"/>
        <v>0</v>
      </c>
      <c r="AN6" s="55">
        <f ca="1"/>
        <v>0</v>
      </c>
      <c r="AO6" s="8"/>
    </row>
    <row r="7" spans="2:41" x14ac:dyDescent="0.35">
      <c r="B7" s="8"/>
      <c r="C7" s="20" t="str">
        <f>INDEX(_Sector,2,2)</f>
        <v>Commercial</v>
      </c>
      <c r="D7" s="8"/>
      <c r="E7" s="32">
        <f t="array" aca="1" ref="E7:AN7" ca="1">tecs_Com-tiec_Com</f>
        <v>43.754494903205028</v>
      </c>
      <c r="F7" s="32">
        <f ca="1"/>
        <v>45.799446822258176</v>
      </c>
      <c r="G7" s="32">
        <f ca="1"/>
        <v>107.12487225033288</v>
      </c>
      <c r="H7" s="32">
        <f ca="1"/>
        <v>112.70644672665338</v>
      </c>
      <c r="I7" s="32">
        <f ca="1"/>
        <v>118.73415150099089</v>
      </c>
      <c r="J7" s="32">
        <f ca="1"/>
        <v>125.05053311021612</v>
      </c>
      <c r="K7" s="32">
        <f ca="1"/>
        <v>131.58343059159421</v>
      </c>
      <c r="L7" s="32">
        <f ca="1"/>
        <v>138.30367254780032</v>
      </c>
      <c r="M7" s="32">
        <f ca="1"/>
        <v>145.1218378950461</v>
      </c>
      <c r="N7" s="32">
        <f ca="1"/>
        <v>152.12304716713533</v>
      </c>
      <c r="O7" s="32">
        <f ca="1"/>
        <v>159.17800403480135</v>
      </c>
      <c r="P7" s="32">
        <f ca="1"/>
        <v>166.38216814728992</v>
      </c>
      <c r="Q7" s="32">
        <f ca="1"/>
        <v>174.02932807562053</v>
      </c>
      <c r="R7" s="32">
        <f ca="1"/>
        <v>182.05374718040542</v>
      </c>
      <c r="S7" s="32">
        <f ca="1"/>
        <v>190.56531617055316</v>
      </c>
      <c r="T7" s="32">
        <f ca="1"/>
        <v>199.58563703434623</v>
      </c>
      <c r="U7" s="32">
        <f ca="1"/>
        <v>208.91441409814439</v>
      </c>
      <c r="V7" s="32">
        <f ca="1"/>
        <v>218.60976943712183</v>
      </c>
      <c r="W7" s="32">
        <f ca="1"/>
        <v>228.83778137497768</v>
      </c>
      <c r="X7" s="32">
        <f ca="1"/>
        <v>239.47630115873312</v>
      </c>
      <c r="Y7" s="32">
        <f ca="1"/>
        <v>250.58906088408628</v>
      </c>
      <c r="Z7" s="32">
        <f ca="1"/>
        <v>262.51358605074518</v>
      </c>
      <c r="AA7" s="32">
        <f ca="1"/>
        <v>274.9475374083828</v>
      </c>
      <c r="AB7" s="32">
        <f ca="1"/>
        <v>288.0097610233139</v>
      </c>
      <c r="AC7" s="32">
        <f ca="1"/>
        <v>301.88232120646455</v>
      </c>
      <c r="AD7" s="32">
        <f ca="1"/>
        <v>316.33633825458583</v>
      </c>
      <c r="AE7" s="32">
        <f ca="1"/>
        <v>331.59544640326828</v>
      </c>
      <c r="AF7" s="32">
        <f ca="1"/>
        <v>348.05055741508193</v>
      </c>
      <c r="AG7" s="32">
        <f ca="1"/>
        <v>365.30823788595046</v>
      </c>
      <c r="AH7" s="32">
        <f ca="1"/>
        <v>383.407331815921</v>
      </c>
      <c r="AI7" s="32">
        <f ca="1"/>
        <v>402.3890187359716</v>
      </c>
      <c r="AJ7" s="32">
        <f ca="1"/>
        <v>422.2967397644295</v>
      </c>
      <c r="AK7" s="32">
        <f ca="1"/>
        <v>443.17614875144727</v>
      </c>
      <c r="AL7" s="32">
        <f ca="1"/>
        <v>465.07493349285255</v>
      </c>
      <c r="AM7" s="32">
        <f ca="1"/>
        <v>0</v>
      </c>
      <c r="AN7" s="55">
        <f ca="1"/>
        <v>0</v>
      </c>
      <c r="AO7" s="8"/>
    </row>
    <row r="8" spans="2:41" x14ac:dyDescent="0.35">
      <c r="B8" s="8"/>
      <c r="C8" s="10" t="s">
        <v>106</v>
      </c>
      <c r="D8" s="11" t="str">
        <f>"mi " &amp; _yearDol &amp; "$"</f>
        <v>mi 2021$</v>
      </c>
      <c r="E8" s="32">
        <f t="array" ref="E8:AN8" ca="1">tiec_Res+tiec_Com</f>
        <v>1.8521329610684063</v>
      </c>
      <c r="F8" s="32">
        <f ca="1"/>
        <v>1.9185938571359316</v>
      </c>
      <c r="G8" s="32">
        <f ca="1"/>
        <v>5.5237625698179613</v>
      </c>
      <c r="H8" s="32">
        <f ca="1"/>
        <v>5.7462900716197964</v>
      </c>
      <c r="I8" s="32">
        <f ca="1"/>
        <v>5.9886604018212211</v>
      </c>
      <c r="J8" s="32">
        <f ca="1"/>
        <v>6.2443192391020261</v>
      </c>
      <c r="K8" s="32">
        <f ca="1"/>
        <v>6.5101888703024997</v>
      </c>
      <c r="L8" s="32">
        <f ca="1"/>
        <v>6.7835574489119495</v>
      </c>
      <c r="M8" s="32">
        <f ca="1"/>
        <v>7.0641087147540134</v>
      </c>
      <c r="N8" s="32">
        <f ca="1"/>
        <v>7.3531239407197404</v>
      </c>
      <c r="O8" s="32">
        <f ca="1"/>
        <v>7.6521560745615034</v>
      </c>
      <c r="P8" s="32">
        <f ca="1"/>
        <v>7.9638684186392084</v>
      </c>
      <c r="Q8" s="32">
        <f ca="1"/>
        <v>8.290030717173579</v>
      </c>
      <c r="R8" s="32">
        <f ca="1"/>
        <v>8.6315768250120186</v>
      </c>
      <c r="S8" s="32">
        <f ca="1"/>
        <v>8.9895524093963104</v>
      </c>
      <c r="T8" s="32">
        <f ca="1"/>
        <v>9.3626731815186872</v>
      </c>
      <c r="U8" s="32">
        <f ca="1"/>
        <v>9.7518881316170223</v>
      </c>
      <c r="V8" s="32">
        <f ca="1"/>
        <v>10.157337734308044</v>
      </c>
      <c r="W8" s="32">
        <f ca="1"/>
        <v>10.579422295393556</v>
      </c>
      <c r="X8" s="32">
        <f ca="1"/>
        <v>11.018803012555054</v>
      </c>
      <c r="Y8" s="32">
        <f ca="1"/>
        <v>11.476232169482614</v>
      </c>
      <c r="Z8" s="32">
        <f ca="1"/>
        <v>11.952708315655059</v>
      </c>
      <c r="AA8" s="32">
        <f ca="1"/>
        <v>12.449162753750784</v>
      </c>
      <c r="AB8" s="32">
        <f ca="1"/>
        <v>12.966500527961102</v>
      </c>
      <c r="AC8" s="32">
        <f ca="1"/>
        <v>13.505593892176762</v>
      </c>
      <c r="AD8" s="32">
        <f ca="1"/>
        <v>14.067296902116368</v>
      </c>
      <c r="AE8" s="32">
        <f ca="1"/>
        <v>14.652475413951947</v>
      </c>
      <c r="AF8" s="32">
        <f ca="1"/>
        <v>15.262032646364446</v>
      </c>
      <c r="AG8" s="32">
        <f ca="1"/>
        <v>15.896926990569796</v>
      </c>
      <c r="AH8" s="32">
        <f ca="1"/>
        <v>16.558179961547694</v>
      </c>
      <c r="AI8" s="32">
        <f ca="1"/>
        <v>17.246873998232104</v>
      </c>
      <c r="AJ8" s="32">
        <f ca="1"/>
        <v>17.964146222091813</v>
      </c>
      <c r="AK8" s="32">
        <f ca="1"/>
        <v>18.711183523749696</v>
      </c>
      <c r="AL8" s="32">
        <f ca="1"/>
        <v>19.489212452032234</v>
      </c>
      <c r="AM8" s="32">
        <f ca="1"/>
        <v>0</v>
      </c>
      <c r="AN8" s="55">
        <f ca="1"/>
        <v>0</v>
      </c>
      <c r="AO8" s="8"/>
    </row>
    <row r="9" spans="2:41" x14ac:dyDescent="0.35">
      <c r="B9" s="8"/>
      <c r="C9" s="20" t="str">
        <f>INDEX(_Sector,2,1)</f>
        <v>Residential</v>
      </c>
      <c r="D9" s="8"/>
      <c r="E9" s="32">
        <f t="array" aca="1" ref="E9:AN9" ca="1">tlccQmPol_Res*tShplrgStd_Res-tlccQmBC_Res*IF(bStdShipm,tShplrgStd_Res,tShplrgBC_Res)</f>
        <v>1.1151841566268672</v>
      </c>
      <c r="F9" s="32">
        <f ca="1"/>
        <v>1.1551634202545529</v>
      </c>
      <c r="G9" s="32">
        <f ca="1"/>
        <v>3.3258217027860155</v>
      </c>
      <c r="H9" s="32">
        <f ca="1"/>
        <v>3.4596558998483147</v>
      </c>
      <c r="I9" s="32">
        <f ca="1"/>
        <v>3.6054271472165169</v>
      </c>
      <c r="J9" s="32">
        <f ca="1"/>
        <v>3.7591951157528456</v>
      </c>
      <c r="K9" s="32">
        <f ca="1"/>
        <v>3.919099551614238</v>
      </c>
      <c r="L9" s="32">
        <f ca="1"/>
        <v>4.0835073528710382</v>
      </c>
      <c r="M9" s="32">
        <f ca="1"/>
        <v>4.2522277057147448</v>
      </c>
      <c r="N9" s="32">
        <f ca="1"/>
        <v>4.4260313985303128</v>
      </c>
      <c r="O9" s="32">
        <f ca="1"/>
        <v>4.6058554058288337</v>
      </c>
      <c r="P9" s="32">
        <f ca="1"/>
        <v>4.79329941339995</v>
      </c>
      <c r="Q9" s="32">
        <f ca="1"/>
        <v>4.9894276515340152</v>
      </c>
      <c r="R9" s="32">
        <f ca="1"/>
        <v>5.1948011182830669</v>
      </c>
      <c r="S9" s="32">
        <f ca="1"/>
        <v>5.4100480098911703</v>
      </c>
      <c r="T9" s="32">
        <f ca="1"/>
        <v>5.6343943176425455</v>
      </c>
      <c r="U9" s="32">
        <f ca="1"/>
        <v>5.8684100569544171</v>
      </c>
      <c r="V9" s="32">
        <f ca="1"/>
        <v>6.1121786413632435</v>
      </c>
      <c r="W9" s="32">
        <f ca="1"/>
        <v>6.3659398183810936</v>
      </c>
      <c r="X9" s="32">
        <f ca="1"/>
        <v>6.6300902734662941</v>
      </c>
      <c r="Y9" s="32">
        <f ca="1"/>
        <v>6.9050817802626625</v>
      </c>
      <c r="Z9" s="32">
        <f ca="1"/>
        <v>7.1915135274798558</v>
      </c>
      <c r="AA9" s="32">
        <f ca="1"/>
        <v>7.4899444682073408</v>
      </c>
      <c r="AB9" s="32">
        <f ca="1"/>
        <v>7.8009176622185805</v>
      </c>
      <c r="AC9" s="32">
        <f ca="1"/>
        <v>8.1249563491860499</v>
      </c>
      <c r="AD9" s="32">
        <f ca="1"/>
        <v>8.46257273007609</v>
      </c>
      <c r="AE9" s="32">
        <f ca="1"/>
        <v>8.814286013863466</v>
      </c>
      <c r="AF9" s="32">
        <f ca="1"/>
        <v>9.1806377910204446</v>
      </c>
      <c r="AG9" s="32">
        <f ca="1"/>
        <v>9.5622027403057928</v>
      </c>
      <c r="AH9" s="32">
        <f ca="1"/>
        <v>9.9595934029894124</v>
      </c>
      <c r="AI9" s="32">
        <f ca="1"/>
        <v>10.373458850432371</v>
      </c>
      <c r="AJ9" s="32">
        <f ca="1"/>
        <v>10.804480921148297</v>
      </c>
      <c r="AK9" s="32">
        <f ca="1"/>
        <v>11.253371257369963</v>
      </c>
      <c r="AL9" s="32">
        <f ca="1"/>
        <v>11.720865216516813</v>
      </c>
      <c r="AM9" s="32">
        <f ca="1"/>
        <v>0</v>
      </c>
      <c r="AN9" s="55">
        <f ca="1"/>
        <v>0</v>
      </c>
      <c r="AO9" s="8"/>
    </row>
    <row r="10" spans="2:41" x14ac:dyDescent="0.35">
      <c r="B10" s="8"/>
      <c r="C10" s="20" t="str">
        <f>INDEX(_Sector,2,2)</f>
        <v>Commercial</v>
      </c>
      <c r="D10" s="8"/>
      <c r="E10" s="32">
        <f t="array" aca="1" ref="E10:AN10" ca="1">tlccQmPol_Com*tShplrgStd_Com-tlccQmBC_Com*IF(bStdShipm,tShplrgStd_Com,tShplrgBC_Com)</f>
        <v>0.7369488044415391</v>
      </c>
      <c r="F10" s="32">
        <f ca="1"/>
        <v>0.76343043688137868</v>
      </c>
      <c r="G10" s="32">
        <f ca="1"/>
        <v>2.1979408670319458</v>
      </c>
      <c r="H10" s="32">
        <f ca="1"/>
        <v>2.2866341717714818</v>
      </c>
      <c r="I10" s="32">
        <f ca="1"/>
        <v>2.3832332546047041</v>
      </c>
      <c r="J10" s="32">
        <f ca="1"/>
        <v>2.4851241233491805</v>
      </c>
      <c r="K10" s="32">
        <f ca="1"/>
        <v>2.5910893186882618</v>
      </c>
      <c r="L10" s="32">
        <f ca="1"/>
        <v>2.7000500960409113</v>
      </c>
      <c r="M10" s="32">
        <f ca="1"/>
        <v>2.8118810090392685</v>
      </c>
      <c r="N10" s="32">
        <f ca="1"/>
        <v>2.9270925421894276</v>
      </c>
      <c r="O10" s="32">
        <f ca="1"/>
        <v>3.0463006687326697</v>
      </c>
      <c r="P10" s="32">
        <f ca="1"/>
        <v>3.1705690052392583</v>
      </c>
      <c r="Q10" s="32">
        <f ca="1"/>
        <v>3.3006030656395637</v>
      </c>
      <c r="R10" s="32">
        <f ca="1"/>
        <v>3.4367757067289517</v>
      </c>
      <c r="S10" s="32">
        <f ca="1"/>
        <v>3.5795043995051401</v>
      </c>
      <c r="T10" s="32">
        <f ca="1"/>
        <v>3.7282788638761417</v>
      </c>
      <c r="U10" s="32">
        <f ca="1"/>
        <v>3.8834780746626052</v>
      </c>
      <c r="V10" s="32">
        <f ca="1"/>
        <v>4.0451590929448002</v>
      </c>
      <c r="W10" s="32">
        <f ca="1"/>
        <v>4.2134824770124624</v>
      </c>
      <c r="X10" s="32">
        <f ca="1"/>
        <v>4.3887127390887599</v>
      </c>
      <c r="Y10" s="32">
        <f ca="1"/>
        <v>4.5711503892199516</v>
      </c>
      <c r="Z10" s="32">
        <f ca="1"/>
        <v>4.761194788175203</v>
      </c>
      <c r="AA10" s="32">
        <f ca="1"/>
        <v>4.959218285543443</v>
      </c>
      <c r="AB10" s="32">
        <f ca="1"/>
        <v>5.1655828657425218</v>
      </c>
      <c r="AC10" s="32">
        <f ca="1"/>
        <v>5.3806375429907121</v>
      </c>
      <c r="AD10" s="32">
        <f ca="1"/>
        <v>5.6047241720402781</v>
      </c>
      <c r="AE10" s="32">
        <f ca="1"/>
        <v>5.8381894000884813</v>
      </c>
      <c r="AF10" s="32">
        <f ca="1"/>
        <v>6.0813948553440014</v>
      </c>
      <c r="AG10" s="32">
        <f ca="1"/>
        <v>6.3347242502640029</v>
      </c>
      <c r="AH10" s="32">
        <f ca="1"/>
        <v>6.5985865585582815</v>
      </c>
      <c r="AI10" s="32">
        <f ca="1"/>
        <v>6.8734151477997329</v>
      </c>
      <c r="AJ10" s="32">
        <f ca="1"/>
        <v>7.1596653009435158</v>
      </c>
      <c r="AK10" s="32">
        <f ca="1"/>
        <v>7.457812266379733</v>
      </c>
      <c r="AL10" s="32">
        <f ca="1"/>
        <v>7.7683472355154208</v>
      </c>
      <c r="AM10" s="32">
        <f ca="1"/>
        <v>0</v>
      </c>
      <c r="AN10" s="55">
        <f ca="1"/>
        <v>0</v>
      </c>
      <c r="AO10" s="8"/>
    </row>
    <row r="11" spans="2:41" x14ac:dyDescent="0.35">
      <c r="B11" s="8"/>
      <c r="C11" s="10" t="str">
        <f>zEO&amp;" Costs Savings"</f>
        <v>Operating Costs Savings</v>
      </c>
      <c r="D11" s="11" t="str">
        <f>"mi " &amp; _yearDol &amp; "$"</f>
        <v>mi 2021$</v>
      </c>
      <c r="E11" s="32">
        <f t="array" ref="E11:AN11" ca="1">tecs_Res+tecs_Com</f>
        <v>90.760310249233839</v>
      </c>
      <c r="F11" s="32">
        <f ca="1"/>
        <v>95.089739772753433</v>
      </c>
      <c r="G11" s="32">
        <f ca="1"/>
        <v>224.85265519135203</v>
      </c>
      <c r="H11" s="32">
        <f ca="1"/>
        <v>236.79530393878713</v>
      </c>
      <c r="I11" s="32">
        <f ca="1"/>
        <v>249.70736497536382</v>
      </c>
      <c r="J11" s="32">
        <f ca="1"/>
        <v>263.25715152789121</v>
      </c>
      <c r="K11" s="32">
        <f ca="1"/>
        <v>277.30193643742371</v>
      </c>
      <c r="L11" s="32">
        <f ca="1"/>
        <v>291.77071728624276</v>
      </c>
      <c r="M11" s="32">
        <f ca="1"/>
        <v>306.5118996343474</v>
      </c>
      <c r="N11" s="32">
        <f ca="1"/>
        <v>321.64434726993329</v>
      </c>
      <c r="O11" s="32">
        <f ca="1"/>
        <v>336.97687365618071</v>
      </c>
      <c r="P11" s="32">
        <f ca="1"/>
        <v>352.6836142690014</v>
      </c>
      <c r="Q11" s="32">
        <f ca="1"/>
        <v>369.32785565674851</v>
      </c>
      <c r="R11" s="32">
        <f ca="1"/>
        <v>386.79580150530319</v>
      </c>
      <c r="S11" s="32">
        <f ca="1"/>
        <v>405.31750845363263</v>
      </c>
      <c r="T11" s="32">
        <f ca="1"/>
        <v>424.91019772162372</v>
      </c>
      <c r="U11" s="32">
        <f ca="1"/>
        <v>445.25060506582986</v>
      </c>
      <c r="V11" s="32">
        <f ca="1"/>
        <v>466.41427328807163</v>
      </c>
      <c r="W11" s="32">
        <f ca="1"/>
        <v>488.68005455527918</v>
      </c>
      <c r="X11" s="32">
        <f ca="1"/>
        <v>511.84110260669445</v>
      </c>
      <c r="Y11" s="32">
        <f ca="1"/>
        <v>536.06740890752508</v>
      </c>
      <c r="Z11" s="32">
        <f ca="1"/>
        <v>561.91307043045549</v>
      </c>
      <c r="AA11" s="32">
        <f ca="1"/>
        <v>588.85833687709192</v>
      </c>
      <c r="AB11" s="32">
        <f ca="1"/>
        <v>617.13444446575795</v>
      </c>
      <c r="AC11" s="32">
        <f ca="1"/>
        <v>647.01019284419635</v>
      </c>
      <c r="AD11" s="32">
        <f ca="1"/>
        <v>678.12924615645761</v>
      </c>
      <c r="AE11" s="32">
        <f ca="1"/>
        <v>710.92583257995307</v>
      </c>
      <c r="AF11" s="32">
        <f ca="1"/>
        <v>746.10689540396902</v>
      </c>
      <c r="AG11" s="32">
        <f ca="1"/>
        <v>783.00019305846536</v>
      </c>
      <c r="AH11" s="32">
        <f ca="1"/>
        <v>821.68842630588233</v>
      </c>
      <c r="AI11" s="32">
        <f ca="1"/>
        <v>862.25926795550504</v>
      </c>
      <c r="AJ11" s="32">
        <f ca="1"/>
        <v>904.8052018537237</v>
      </c>
      <c r="AK11" s="32">
        <f ca="1"/>
        <v>949.42341584483802</v>
      </c>
      <c r="AL11" s="32">
        <f ca="1"/>
        <v>996.21541661956371</v>
      </c>
      <c r="AM11" s="32">
        <f ca="1"/>
        <v>0</v>
      </c>
      <c r="AN11" s="55">
        <f ca="1"/>
        <v>0</v>
      </c>
      <c r="AO11" s="8"/>
    </row>
    <row r="12" spans="2:41" x14ac:dyDescent="0.35">
      <c r="B12" s="8"/>
      <c r="C12" s="20" t="str">
        <f>INDEX(_Sector,2,1)</f>
        <v>Residential</v>
      </c>
      <c r="D12" s="8"/>
      <c r="E12" s="32">
        <f t="array" aca="1" ref="E12:AN12" ca="1">tlccEmBC_Res*IF(bStdShipm,tShplrgStd_Res,tShplrgBC_Res)-tlccEmPol_Res*tShplrgStd_Res</f>
        <v>46.268866541587272</v>
      </c>
      <c r="F12" s="32">
        <f ca="1"/>
        <v>48.526862513613878</v>
      </c>
      <c r="G12" s="32">
        <f ca="1"/>
        <v>115.5298420739872</v>
      </c>
      <c r="H12" s="32">
        <f ca="1"/>
        <v>121.80222304036226</v>
      </c>
      <c r="I12" s="32">
        <f ca="1"/>
        <v>128.58998021976822</v>
      </c>
      <c r="J12" s="32">
        <f ca="1"/>
        <v>135.72149429432591</v>
      </c>
      <c r="K12" s="32">
        <f ca="1"/>
        <v>143.12741652714124</v>
      </c>
      <c r="L12" s="32">
        <f ca="1"/>
        <v>150.76699464240153</v>
      </c>
      <c r="M12" s="32">
        <f ca="1"/>
        <v>158.57818073026203</v>
      </c>
      <c r="N12" s="32">
        <f ca="1"/>
        <v>166.59420756060854</v>
      </c>
      <c r="O12" s="32">
        <f ca="1"/>
        <v>174.7525689526467</v>
      </c>
      <c r="P12" s="32">
        <f ca="1"/>
        <v>183.13087711647222</v>
      </c>
      <c r="Q12" s="32">
        <f ca="1"/>
        <v>191.99792451548842</v>
      </c>
      <c r="R12" s="32">
        <f ca="1"/>
        <v>201.30527861816881</v>
      </c>
      <c r="S12" s="32">
        <f ca="1"/>
        <v>211.17268788357433</v>
      </c>
      <c r="T12" s="32">
        <f ca="1"/>
        <v>221.59628182340134</v>
      </c>
      <c r="U12" s="32">
        <f ca="1"/>
        <v>232.45271289302286</v>
      </c>
      <c r="V12" s="32">
        <f ca="1"/>
        <v>243.759344758005</v>
      </c>
      <c r="W12" s="32">
        <f ca="1"/>
        <v>255.62879070328904</v>
      </c>
      <c r="X12" s="32">
        <f ca="1"/>
        <v>267.97608870887257</v>
      </c>
      <c r="Y12" s="32">
        <f ca="1"/>
        <v>280.90719763421885</v>
      </c>
      <c r="Z12" s="32">
        <f ca="1"/>
        <v>294.63828959153511</v>
      </c>
      <c r="AA12" s="32">
        <f ca="1"/>
        <v>308.95158118316567</v>
      </c>
      <c r="AB12" s="32">
        <f ca="1"/>
        <v>323.95910057670153</v>
      </c>
      <c r="AC12" s="32">
        <f ca="1"/>
        <v>339.74723409474109</v>
      </c>
      <c r="AD12" s="32">
        <f ca="1"/>
        <v>356.18818372983151</v>
      </c>
      <c r="AE12" s="32">
        <f ca="1"/>
        <v>373.4921967765963</v>
      </c>
      <c r="AF12" s="32">
        <f ca="1"/>
        <v>391.97494313354309</v>
      </c>
      <c r="AG12" s="32">
        <f ca="1"/>
        <v>411.35723092225089</v>
      </c>
      <c r="AH12" s="32">
        <f ca="1"/>
        <v>431.68250793140305</v>
      </c>
      <c r="AI12" s="32">
        <f ca="1"/>
        <v>452.9968340717337</v>
      </c>
      <c r="AJ12" s="32">
        <f ca="1"/>
        <v>475.34879678835068</v>
      </c>
      <c r="AK12" s="32">
        <f ca="1"/>
        <v>498.78945482701101</v>
      </c>
      <c r="AL12" s="32">
        <f ca="1"/>
        <v>523.37213589119574</v>
      </c>
      <c r="AM12" s="32">
        <f ca="1"/>
        <v>0</v>
      </c>
      <c r="AN12" s="55">
        <f ca="1"/>
        <v>0</v>
      </c>
      <c r="AO12" s="8"/>
    </row>
    <row r="13" spans="2:41" x14ac:dyDescent="0.35">
      <c r="B13" s="8"/>
      <c r="C13" s="20" t="str">
        <f>INDEX(_Sector,2,2)</f>
        <v>Commercial</v>
      </c>
      <c r="D13" s="8"/>
      <c r="E13" s="32">
        <f t="array" aca="1" ref="E13:AN13" ca="1">tlccEmBC_Com*IF(bStdShipm,tShplrgStd_Com,tShplrgBC_Com)-tlccEmPol_Com*tShplrgStd_Com</f>
        <v>44.491443707646567</v>
      </c>
      <c r="F13" s="32">
        <f ca="1"/>
        <v>46.562877259139555</v>
      </c>
      <c r="G13" s="32">
        <f ca="1"/>
        <v>109.32281311736483</v>
      </c>
      <c r="H13" s="32">
        <f ca="1"/>
        <v>114.99308089842486</v>
      </c>
      <c r="I13" s="32">
        <f ca="1"/>
        <v>121.11738475559559</v>
      </c>
      <c r="J13" s="32">
        <f ca="1"/>
        <v>127.5356572335653</v>
      </c>
      <c r="K13" s="32">
        <f ca="1"/>
        <v>134.17451991028247</v>
      </c>
      <c r="L13" s="32">
        <f ca="1"/>
        <v>141.00372264384123</v>
      </c>
      <c r="M13" s="32">
        <f ca="1"/>
        <v>147.93371890408537</v>
      </c>
      <c r="N13" s="32">
        <f ca="1"/>
        <v>155.05013970932475</v>
      </c>
      <c r="O13" s="32">
        <f ca="1"/>
        <v>162.22430470353402</v>
      </c>
      <c r="P13" s="32">
        <f ca="1"/>
        <v>169.55273715252918</v>
      </c>
      <c r="Q13" s="32">
        <f ca="1"/>
        <v>177.32993114126009</v>
      </c>
      <c r="R13" s="32">
        <f ca="1"/>
        <v>185.49052288713438</v>
      </c>
      <c r="S13" s="32">
        <f ca="1"/>
        <v>194.1448205700583</v>
      </c>
      <c r="T13" s="32">
        <f ca="1"/>
        <v>203.31391589822238</v>
      </c>
      <c r="U13" s="32">
        <f ca="1"/>
        <v>212.797892172807</v>
      </c>
      <c r="V13" s="32">
        <f ca="1"/>
        <v>222.65492853006663</v>
      </c>
      <c r="W13" s="32">
        <f ca="1"/>
        <v>233.05126385199014</v>
      </c>
      <c r="X13" s="32">
        <f ca="1"/>
        <v>243.86501389782188</v>
      </c>
      <c r="Y13" s="32">
        <f ca="1"/>
        <v>255.16021127330623</v>
      </c>
      <c r="Z13" s="32">
        <f ca="1"/>
        <v>267.27478083892038</v>
      </c>
      <c r="AA13" s="32">
        <f ca="1"/>
        <v>279.90675569392624</v>
      </c>
      <c r="AB13" s="32">
        <f ca="1"/>
        <v>293.17534388905642</v>
      </c>
      <c r="AC13" s="32">
        <f ca="1"/>
        <v>307.26295874945527</v>
      </c>
      <c r="AD13" s="32">
        <f ca="1"/>
        <v>321.9410624266261</v>
      </c>
      <c r="AE13" s="32">
        <f ca="1"/>
        <v>337.43363580335676</v>
      </c>
      <c r="AF13" s="32">
        <f ca="1"/>
        <v>354.13195227042593</v>
      </c>
      <c r="AG13" s="32">
        <f ca="1"/>
        <v>371.64296213621446</v>
      </c>
      <c r="AH13" s="32">
        <f ca="1"/>
        <v>390.00591837447928</v>
      </c>
      <c r="AI13" s="32">
        <f ca="1"/>
        <v>409.26243388377134</v>
      </c>
      <c r="AJ13" s="32">
        <f ca="1"/>
        <v>429.45640506537302</v>
      </c>
      <c r="AK13" s="32">
        <f ca="1"/>
        <v>450.633961017827</v>
      </c>
      <c r="AL13" s="32">
        <f ca="1"/>
        <v>472.84328072836797</v>
      </c>
      <c r="AM13" s="32">
        <f ca="1"/>
        <v>0</v>
      </c>
      <c r="AN13" s="55">
        <f ca="1"/>
        <v>0</v>
      </c>
      <c r="AO13" s="8"/>
    </row>
    <row r="14" spans="2:41" x14ac:dyDescent="0.35">
      <c r="B14" s="8"/>
      <c r="C14" s="10" t="s">
        <v>107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8"/>
      <c r="AO14" s="8"/>
    </row>
    <row r="15" spans="2:41" x14ac:dyDescent="0.35">
      <c r="B15" s="8"/>
      <c r="C15" s="20" t="str">
        <f>INDEX(_fuel,1)</f>
        <v>Electricity</v>
      </c>
      <c r="D15" s="11" t="s">
        <v>108</v>
      </c>
      <c r="E15" s="40">
        <f t="array" aca="1" ref="E15:AN15" ca="1">tsavElec_Res+tsavElec_Com</f>
        <v>8.3590162698958856</v>
      </c>
      <c r="F15" s="40">
        <f ca="1"/>
        <v>8.7070734558850127</v>
      </c>
      <c r="G15" s="40">
        <f ca="1"/>
        <v>19.488001296123535</v>
      </c>
      <c r="H15" s="40">
        <f ca="1"/>
        <v>20.426338116090029</v>
      </c>
      <c r="I15" s="40">
        <f ca="1"/>
        <v>21.462600894659523</v>
      </c>
      <c r="J15" s="40">
        <f ca="1"/>
        <v>22.566414084808358</v>
      </c>
      <c r="K15" s="40">
        <f ca="1"/>
        <v>23.724338033849001</v>
      </c>
      <c r="L15" s="40">
        <f ca="1"/>
        <v>24.920242318192809</v>
      </c>
      <c r="M15" s="40">
        <f ca="1"/>
        <v>26.157305107443229</v>
      </c>
      <c r="N15" s="40">
        <f ca="1"/>
        <v>27.441249155394328</v>
      </c>
      <c r="O15" s="40">
        <f ca="1"/>
        <v>28.775029835223766</v>
      </c>
      <c r="P15" s="40">
        <f ca="1"/>
        <v>30.176928671437757</v>
      </c>
      <c r="Q15" s="40">
        <f ca="1"/>
        <v>31.648338585899957</v>
      </c>
      <c r="R15" s="40">
        <f ca="1"/>
        <v>33.200128258111903</v>
      </c>
      <c r="S15" s="40">
        <f ca="1"/>
        <v>34.839047254183711</v>
      </c>
      <c r="T15" s="40">
        <f ca="1"/>
        <v>36.558704963988049</v>
      </c>
      <c r="U15" s="40">
        <f ca="1"/>
        <v>38.361203188618092</v>
      </c>
      <c r="V15" s="40">
        <f ca="1"/>
        <v>40.252614985351009</v>
      </c>
      <c r="W15" s="40">
        <f ca="1"/>
        <v>42.238731639110398</v>
      </c>
      <c r="X15" s="40">
        <f ca="1"/>
        <v>44.322744240479452</v>
      </c>
      <c r="Y15" s="40">
        <f ca="1"/>
        <v>46.510057110061844</v>
      </c>
      <c r="Z15" s="40">
        <f ca="1"/>
        <v>48.814829486696702</v>
      </c>
      <c r="AA15" s="40">
        <f ca="1"/>
        <v>51.239563664324351</v>
      </c>
      <c r="AB15" s="40">
        <f ca="1"/>
        <v>53.785468347686148</v>
      </c>
      <c r="AC15" s="40">
        <f ca="1"/>
        <v>56.458744884098067</v>
      </c>
      <c r="AD15" s="40">
        <f ca="1"/>
        <v>59.261881265777383</v>
      </c>
      <c r="AE15" s="40">
        <f ca="1"/>
        <v>62.198080606686645</v>
      </c>
      <c r="AF15" s="40">
        <f ca="1"/>
        <v>65.275999196239439</v>
      </c>
      <c r="AG15" s="40">
        <f ca="1"/>
        <v>68.503716196294903</v>
      </c>
      <c r="AH15" s="40">
        <f ca="1"/>
        <v>71.888466776877095</v>
      </c>
      <c r="AI15" s="40">
        <f ca="1"/>
        <v>75.43792109185955</v>
      </c>
      <c r="AJ15" s="40">
        <f ca="1"/>
        <v>79.160170191344832</v>
      </c>
      <c r="AK15" s="40">
        <f ca="1"/>
        <v>83.063716655905139</v>
      </c>
      <c r="AL15" s="40">
        <f ca="1"/>
        <v>87.157440899230565</v>
      </c>
      <c r="AM15" s="40">
        <f ca="1"/>
        <v>0</v>
      </c>
      <c r="AN15" s="41">
        <f ca="1"/>
        <v>0</v>
      </c>
      <c r="AO15" s="8"/>
    </row>
    <row r="16" spans="2:41" x14ac:dyDescent="0.35">
      <c r="B16" s="8"/>
      <c r="C16" s="50" t="str">
        <f>INDEX(_Sector,2,1)</f>
        <v>Residential</v>
      </c>
      <c r="D16" s="8"/>
      <c r="E16" s="40">
        <f t="array" aca="1" ref="E16:AN16" ca="1">tlccFmElecBC_Res*IF(bStdShipm,tShplrgStd_Res,tShplrgBC_Res)-tlccFmElecPol_Res*tShplrgStd_Res</f>
        <v>3.5072479841656481</v>
      </c>
      <c r="F16" s="40">
        <f ca="1"/>
        <v>3.6536909513630818</v>
      </c>
      <c r="G16" s="40">
        <f ca="1"/>
        <v>8.1875982542220918</v>
      </c>
      <c r="H16" s="40">
        <f ca="1"/>
        <v>8.5818845711030782</v>
      </c>
      <c r="I16" s="40">
        <f ca="1"/>
        <v>9.0168551790869493</v>
      </c>
      <c r="J16" s="40">
        <f ca="1"/>
        <v>9.4799770499474114</v>
      </c>
      <c r="K16" s="40">
        <f ca="1"/>
        <v>9.9657433825135016</v>
      </c>
      <c r="L16" s="40">
        <f ca="1"/>
        <v>10.467280819923793</v>
      </c>
      <c r="M16" s="40">
        <f ca="1"/>
        <v>10.985907612441576</v>
      </c>
      <c r="N16" s="40">
        <f ca="1"/>
        <v>11.524141511681659</v>
      </c>
      <c r="O16" s="40">
        <f ca="1"/>
        <v>12.083082188295425</v>
      </c>
      <c r="P16" s="40">
        <f ca="1"/>
        <v>12.670820631849544</v>
      </c>
      <c r="Q16" s="40">
        <f ca="1"/>
        <v>13.287756631507179</v>
      </c>
      <c r="R16" s="40">
        <f ca="1"/>
        <v>13.93847591460182</v>
      </c>
      <c r="S16" s="40">
        <f ca="1"/>
        <v>14.625733800287506</v>
      </c>
      <c r="T16" s="40">
        <f ca="1"/>
        <v>15.346762038370933</v>
      </c>
      <c r="U16" s="40">
        <f ca="1"/>
        <v>16.102470480160875</v>
      </c>
      <c r="V16" s="40">
        <f ca="1"/>
        <v>16.895545848083735</v>
      </c>
      <c r="W16" s="40">
        <f ca="1"/>
        <v>17.728383539367194</v>
      </c>
      <c r="X16" s="40">
        <f ca="1"/>
        <v>18.602305183400574</v>
      </c>
      <c r="Y16" s="40">
        <f ca="1"/>
        <v>19.519653306828602</v>
      </c>
      <c r="Z16" s="40">
        <f ca="1"/>
        <v>20.486425375601016</v>
      </c>
      <c r="AA16" s="40">
        <f ca="1"/>
        <v>21.503650664739745</v>
      </c>
      <c r="AB16" s="40">
        <f ca="1"/>
        <v>22.571771949140313</v>
      </c>
      <c r="AC16" s="40">
        <f ca="1"/>
        <v>23.693471654458008</v>
      </c>
      <c r="AD16" s="40">
        <f ca="1"/>
        <v>24.869744192420676</v>
      </c>
      <c r="AE16" s="40">
        <f ca="1"/>
        <v>26.101889368613243</v>
      </c>
      <c r="AF16" s="40">
        <f ca="1"/>
        <v>27.393560929868563</v>
      </c>
      <c r="AG16" s="40">
        <f ca="1"/>
        <v>28.748096515719745</v>
      </c>
      <c r="AH16" s="40">
        <f ca="1"/>
        <v>30.168532419494873</v>
      </c>
      <c r="AI16" s="40">
        <f ca="1"/>
        <v>31.658087478755547</v>
      </c>
      <c r="AJ16" s="40">
        <f ca="1"/>
        <v>33.220157163322483</v>
      </c>
      <c r="AK16" s="40">
        <f ca="1"/>
        <v>34.858309644865187</v>
      </c>
      <c r="AL16" s="40">
        <f ca="1"/>
        <v>36.57627165555715</v>
      </c>
      <c r="AM16" s="40">
        <f ca="1"/>
        <v>0</v>
      </c>
      <c r="AN16" s="41">
        <f ca="1"/>
        <v>0</v>
      </c>
      <c r="AO16" s="8"/>
    </row>
    <row r="17" spans="2:41" x14ac:dyDescent="0.35">
      <c r="B17" s="8"/>
      <c r="C17" s="58" t="str">
        <f>INDEX(_Sector,2,2)</f>
        <v>Commercial</v>
      </c>
      <c r="D17" s="56"/>
      <c r="E17" s="48">
        <f t="array" aca="1" ref="E17:AN17" ca="1">tlccFmElecBC_Com*IF(bStdShipm,tShplrgStd_Com,tShplrgBC_Com)-tlccFmElecPol_Com*tShplrgStd_Com</f>
        <v>4.8517682857302376</v>
      </c>
      <c r="F17" s="48">
        <f ca="1"/>
        <v>5.0533825045219309</v>
      </c>
      <c r="G17" s="48">
        <f ca="1"/>
        <v>11.300403041901443</v>
      </c>
      <c r="H17" s="48">
        <f ca="1"/>
        <v>11.844453544986951</v>
      </c>
      <c r="I17" s="48">
        <f ca="1"/>
        <v>12.445745715572574</v>
      </c>
      <c r="J17" s="48">
        <f ca="1"/>
        <v>13.086437034860946</v>
      </c>
      <c r="K17" s="48">
        <f ca="1"/>
        <v>13.7585946513355</v>
      </c>
      <c r="L17" s="48">
        <f ca="1"/>
        <v>14.452961498269016</v>
      </c>
      <c r="M17" s="48">
        <f ca="1"/>
        <v>15.171397495001653</v>
      </c>
      <c r="N17" s="48">
        <f ca="1"/>
        <v>15.917107643712669</v>
      </c>
      <c r="O17" s="48">
        <f ca="1"/>
        <v>16.691947646928341</v>
      </c>
      <c r="P17" s="48">
        <f ca="1"/>
        <v>17.506108039588213</v>
      </c>
      <c r="Q17" s="48">
        <f ca="1"/>
        <v>18.360581954392778</v>
      </c>
      <c r="R17" s="48">
        <f ca="1"/>
        <v>19.261652343510086</v>
      </c>
      <c r="S17" s="48">
        <f ca="1"/>
        <v>20.213313453896205</v>
      </c>
      <c r="T17" s="48">
        <f ca="1"/>
        <v>21.211942925617116</v>
      </c>
      <c r="U17" s="48">
        <f ca="1"/>
        <v>22.258732708457217</v>
      </c>
      <c r="V17" s="48">
        <f ca="1"/>
        <v>23.357069137267274</v>
      </c>
      <c r="W17" s="48">
        <f ca="1"/>
        <v>24.510348099743204</v>
      </c>
      <c r="X17" s="48">
        <f ca="1"/>
        <v>25.720439057078877</v>
      </c>
      <c r="Y17" s="48">
        <f ca="1"/>
        <v>26.990403803233242</v>
      </c>
      <c r="Z17" s="48">
        <f ca="1"/>
        <v>28.328404111095686</v>
      </c>
      <c r="AA17" s="48">
        <f ca="1"/>
        <v>29.735912999584606</v>
      </c>
      <c r="AB17" s="48">
        <f ca="1"/>
        <v>31.213696398545835</v>
      </c>
      <c r="AC17" s="48">
        <f ca="1"/>
        <v>32.765273229640059</v>
      </c>
      <c r="AD17" s="48">
        <f ca="1"/>
        <v>34.392137073356707</v>
      </c>
      <c r="AE17" s="48">
        <f ca="1"/>
        <v>36.096191238073402</v>
      </c>
      <c r="AF17" s="48">
        <f ca="1"/>
        <v>37.882438266370883</v>
      </c>
      <c r="AG17" s="48">
        <f ca="1"/>
        <v>39.755619680575165</v>
      </c>
      <c r="AH17" s="48">
        <f ca="1"/>
        <v>41.719934357382215</v>
      </c>
      <c r="AI17" s="48">
        <f ca="1"/>
        <v>43.779833613104003</v>
      </c>
      <c r="AJ17" s="48">
        <f ca="1"/>
        <v>45.940013028022349</v>
      </c>
      <c r="AK17" s="48">
        <f ca="1"/>
        <v>48.205407011039952</v>
      </c>
      <c r="AL17" s="48">
        <f ca="1"/>
        <v>50.581169243673415</v>
      </c>
      <c r="AM17" s="48">
        <f ca="1"/>
        <v>0</v>
      </c>
      <c r="AN17" s="49">
        <f ca="1"/>
        <v>0</v>
      </c>
      <c r="AO17" s="8"/>
    </row>
    <row r="18" spans="2:41" x14ac:dyDescent="0.3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2:41" x14ac:dyDescent="0.35">
      <c r="B19" s="8"/>
      <c r="C19" s="23" t="s">
        <v>103</v>
      </c>
      <c r="D19" s="24"/>
      <c r="E19" s="26">
        <f t="array" ref="E19:AN19">_yS</f>
        <v>2024</v>
      </c>
      <c r="F19" s="26">
        <v>2025</v>
      </c>
      <c r="G19" s="26">
        <v>2026</v>
      </c>
      <c r="H19" s="26">
        <v>2027</v>
      </c>
      <c r="I19" s="26">
        <v>2028</v>
      </c>
      <c r="J19" s="26">
        <v>2029</v>
      </c>
      <c r="K19" s="26">
        <v>2030</v>
      </c>
      <c r="L19" s="26">
        <v>2031</v>
      </c>
      <c r="M19" s="26">
        <v>2032</v>
      </c>
      <c r="N19" s="26">
        <v>2033</v>
      </c>
      <c r="O19" s="26">
        <v>2034</v>
      </c>
      <c r="P19" s="26">
        <v>2035</v>
      </c>
      <c r="Q19" s="26">
        <v>2036</v>
      </c>
      <c r="R19" s="26">
        <v>2037</v>
      </c>
      <c r="S19" s="26">
        <v>2038</v>
      </c>
      <c r="T19" s="26">
        <v>2039</v>
      </c>
      <c r="U19" s="26">
        <v>2040</v>
      </c>
      <c r="V19" s="26">
        <v>2041</v>
      </c>
      <c r="W19" s="26">
        <v>2042</v>
      </c>
      <c r="X19" s="26">
        <v>2043</v>
      </c>
      <c r="Y19" s="26">
        <v>2044</v>
      </c>
      <c r="Z19" s="26">
        <v>2045</v>
      </c>
      <c r="AA19" s="26">
        <v>2046</v>
      </c>
      <c r="AB19" s="26">
        <v>2047</v>
      </c>
      <c r="AC19" s="26">
        <v>2048</v>
      </c>
      <c r="AD19" s="26">
        <v>2049</v>
      </c>
      <c r="AE19" s="26">
        <v>2050</v>
      </c>
      <c r="AF19" s="26">
        <v>2051</v>
      </c>
      <c r="AG19" s="26">
        <v>2052</v>
      </c>
      <c r="AH19" s="26">
        <v>2053</v>
      </c>
      <c r="AI19" s="26">
        <v>2054</v>
      </c>
      <c r="AJ19" s="26">
        <v>2055</v>
      </c>
      <c r="AK19" s="26">
        <v>2056</v>
      </c>
      <c r="AL19" s="26">
        <v>2057</v>
      </c>
      <c r="AM19" s="26">
        <v>2058</v>
      </c>
      <c r="AN19" s="27">
        <v>2059</v>
      </c>
      <c r="AO19" s="8"/>
    </row>
    <row r="20" spans="2:41" x14ac:dyDescent="0.35">
      <c r="B20" s="8"/>
      <c r="C20" s="9" t="str">
        <f>"No-Stds Case (CSL 0): " &amp; INDEX(_doName,3,1)</f>
        <v>No-Stds Case (CSL 0): Baseline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18"/>
      <c r="AO20" s="8"/>
    </row>
    <row r="21" spans="2:41" x14ac:dyDescent="0.35">
      <c r="B21" s="8"/>
      <c r="C21" s="10" t="s">
        <v>70</v>
      </c>
      <c r="D21" s="11" t="str">
        <f>_yearDol &amp; "$"</f>
        <v>2021$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55"/>
      <c r="AO21" s="8"/>
    </row>
    <row r="22" spans="2:41" x14ac:dyDescent="0.35">
      <c r="B22" s="8"/>
      <c r="C22" s="20" t="str">
        <f>INDEX(_Sector,2,1)</f>
        <v>Residential</v>
      </c>
      <c r="D22" s="8"/>
      <c r="E22" s="32">
        <f>SUMPRODUCT(INDEX(bcEff_Res,,1),INDEX(tlccQu_Res,,1))</f>
        <v>152.23283061519967</v>
      </c>
      <c r="F22" s="32">
        <f ca="1">SUMPRODUCT(INDEX(bcEff_Res,,2),INDEX(tlccQu_Res,,2))</f>
        <v>151.19237985802224</v>
      </c>
      <c r="G22" s="32">
        <f ca="1">SUMPRODUCT(INDEX(bcEff_Res,,3),INDEX(tlccQu_Res,,3))</f>
        <v>150.19932274314979</v>
      </c>
      <c r="H22" s="32">
        <f ca="1">SUMPRODUCT(INDEX(bcEff_Res,,4),INDEX(tlccQu_Res,,4))</f>
        <v>149.24590338881771</v>
      </c>
      <c r="I22" s="32">
        <f ca="1">SUMPRODUCT(INDEX(bcEff_Res,,5),INDEX(tlccQu_Res,,5))</f>
        <v>148.32656047664662</v>
      </c>
      <c r="J22" s="32">
        <f ca="1">SUMPRODUCT(INDEX(bcEff_Res,,6),INDEX(tlccQu_Res,,6))</f>
        <v>147.43754637530586</v>
      </c>
      <c r="K22" s="32">
        <f ca="1">SUMPRODUCT(INDEX(bcEff_Res,,7),INDEX(tlccQu_Res,,7))</f>
        <v>146.57627454994403</v>
      </c>
      <c r="L22" s="32">
        <f ca="1">SUMPRODUCT(INDEX(bcEff_Res,,8),INDEX(tlccQu_Res,,8))</f>
        <v>145.74084687673584</v>
      </c>
      <c r="M22" s="32">
        <f ca="1">SUMPRODUCT(INDEX(bcEff_Res,,9),INDEX(tlccQu_Res,,9))</f>
        <v>144.9296146947411</v>
      </c>
      <c r="N22" s="32">
        <f ca="1">SUMPRODUCT(INDEX(bcEff_Res,,10),INDEX(tlccQu_Res,,10))</f>
        <v>144.14096873247033</v>
      </c>
      <c r="O22" s="32">
        <f ca="1">SUMPRODUCT(INDEX(bcEff_Res,,11),INDEX(tlccQu_Res,,11))</f>
        <v>143.37328913532389</v>
      </c>
      <c r="P22" s="32">
        <f ca="1">SUMPRODUCT(INDEX(bcEff_Res,,12),INDEX(tlccQu_Res,,12))</f>
        <v>142.62495321438359</v>
      </c>
      <c r="Q22" s="32">
        <f ca="1">SUMPRODUCT(INDEX(bcEff_Res,,13),INDEX(tlccQu_Res,,13))</f>
        <v>141.89440901740281</v>
      </c>
      <c r="R22" s="32">
        <f ca="1">SUMPRODUCT(INDEX(bcEff_Res,,14),INDEX(tlccQu_Res,,14))</f>
        <v>141.18025228796623</v>
      </c>
      <c r="S22" s="32">
        <f ca="1">SUMPRODUCT(INDEX(bcEff_Res,,15),INDEX(tlccQu_Res,,15))</f>
        <v>140.48120372088465</v>
      </c>
      <c r="T22" s="32">
        <f ca="1">SUMPRODUCT(INDEX(bcEff_Res,,16),INDEX(tlccQu_Res,,16))</f>
        <v>139.79626487101933</v>
      </c>
      <c r="U22" s="32">
        <f ca="1">SUMPRODUCT(INDEX(bcEff_Res,,17),INDEX(tlccQu_Res,,17))</f>
        <v>139.12451076365429</v>
      </c>
      <c r="V22" s="32">
        <f ca="1">SUMPRODUCT(INDEX(bcEff_Res,,18),INDEX(tlccQu_Res,,18))</f>
        <v>138.46513748798176</v>
      </c>
      <c r="W22" s="32">
        <f ca="1">SUMPRODUCT(INDEX(bcEff_Res,,19),INDEX(tlccQu_Res,,19))</f>
        <v>137.81742850879979</v>
      </c>
      <c r="X22" s="32">
        <f ca="1">SUMPRODUCT(INDEX(bcEff_Res,,20),INDEX(tlccQu_Res,,20))</f>
        <v>137.18072902781344</v>
      </c>
      <c r="Y22" s="32">
        <f ca="1">SUMPRODUCT(INDEX(bcEff_Res,,21),INDEX(tlccQu_Res,,21))</f>
        <v>136.55443314627217</v>
      </c>
      <c r="Z22" s="32">
        <f ca="1">SUMPRODUCT(INDEX(bcEff_Res,,22),INDEX(tlccQu_Res,,22))</f>
        <v>135.937973487047</v>
      </c>
      <c r="AA22" s="32">
        <f ca="1">SUMPRODUCT(INDEX(bcEff_Res,,23),INDEX(tlccQu_Res,,23))</f>
        <v>135.33082145452352</v>
      </c>
      <c r="AB22" s="32">
        <f ca="1">SUMPRODUCT(INDEX(bcEff_Res,,24),INDEX(tlccQu_Res,,24))</f>
        <v>134.73248709792537</v>
      </c>
      <c r="AC22" s="32">
        <f ca="1">SUMPRODUCT(INDEX(bcEff_Res,,25),INDEX(tlccQu_Res,,25))</f>
        <v>134.14251868972829</v>
      </c>
      <c r="AD22" s="32">
        <f ca="1">SUMPRODUCT(INDEX(bcEff_Res,,26),INDEX(tlccQu_Res,,26))</f>
        <v>133.56050120443447</v>
      </c>
      <c r="AE22" s="32">
        <f ca="1">SUMPRODUCT(INDEX(bcEff_Res,,27),INDEX(tlccQu_Res,,27))</f>
        <v>132.98605345382927</v>
      </c>
      <c r="AF22" s="32">
        <f ca="1">SUMPRODUCT(INDEX(bcEff_Res,,28),INDEX(tlccQu_Res,,28))</f>
        <v>132.41882452189441</v>
      </c>
      <c r="AG22" s="32">
        <f ca="1">SUMPRODUCT(INDEX(bcEff_Res,,29),INDEX(tlccQu_Res,,29))</f>
        <v>131.85849007828551</v>
      </c>
      <c r="AH22" s="32">
        <f ca="1">SUMPRODUCT(INDEX(bcEff_Res,,30),INDEX(tlccQu_Res,,30))</f>
        <v>131.30474903402691</v>
      </c>
      <c r="AI22" s="32">
        <f ca="1">SUMPRODUCT(INDEX(bcEff_Res,,31),INDEX(tlccQu_Res,,31))</f>
        <v>130.75732084403015</v>
      </c>
      <c r="AJ22" s="32">
        <f ca="1">SUMPRODUCT(INDEX(bcEff_Res,,32),INDEX(tlccQu_Res,,32))</f>
        <v>130.21594345058153</v>
      </c>
      <c r="AK22" s="32">
        <f ca="1">SUMPRODUCT(INDEX(bcEff_Res,,33),INDEX(tlccQu_Res,,33))</f>
        <v>129.68037168658219</v>
      </c>
      <c r="AL22" s="32">
        <f ca="1">SUMPRODUCT(INDEX(bcEff_Res,,34),INDEX(tlccQu_Res,,34))</f>
        <v>129.15037617363578</v>
      </c>
      <c r="AM22" s="32">
        <f ca="1">SUMPRODUCT(INDEX(bcEff_Res,,35),INDEX(tlccQu_Res,,35))</f>
        <v>128.62574210064204</v>
      </c>
      <c r="AN22" s="55">
        <f ca="1">SUMPRODUCT(INDEX(bcEff_Res,,36),INDEX(tlccQu_Res,,36))</f>
        <v>128.10626833136047</v>
      </c>
      <c r="AO22" s="8"/>
    </row>
    <row r="23" spans="2:41" x14ac:dyDescent="0.35">
      <c r="B23" s="8"/>
      <c r="C23" s="20" t="str">
        <f>INDEX(_Sector,2,2)</f>
        <v>Commercial</v>
      </c>
      <c r="D23" s="8"/>
      <c r="E23" s="32">
        <f>SUMPRODUCT(INDEX(bcEff_Com,,1),INDEX(tlccQu_Com,,1))</f>
        <v>147.10662226839921</v>
      </c>
      <c r="F23" s="32">
        <f ca="1">SUMPRODUCT(INDEX(bcEff_Com,,2),INDEX(tlccQu_Com,,2))</f>
        <v>146.10120853408827</v>
      </c>
      <c r="G23" s="32">
        <f ca="1">SUMPRODUCT(INDEX(bcEff_Com,,3),INDEX(tlccQu_Com,,3))</f>
        <v>145.14159246830104</v>
      </c>
      <c r="H23" s="32">
        <f ca="1">SUMPRODUCT(INDEX(bcEff_Com,,4),INDEX(tlccQu_Com,,4))</f>
        <v>144.22027936742563</v>
      </c>
      <c r="I23" s="32">
        <f ca="1">SUMPRODUCT(INDEX(bcEff_Com,,5),INDEX(tlccQu_Com,,5))</f>
        <v>143.33189518964321</v>
      </c>
      <c r="J23" s="32">
        <f ca="1">SUMPRODUCT(INDEX(bcEff_Com,,6),INDEX(tlccQu_Com,,6))</f>
        <v>142.47281850454482</v>
      </c>
      <c r="K23" s="32">
        <f ca="1">SUMPRODUCT(INDEX(bcEff_Com,,7),INDEX(tlccQu_Com,,7))</f>
        <v>141.64054987845148</v>
      </c>
      <c r="L23" s="32">
        <f ca="1">SUMPRODUCT(INDEX(bcEff_Com,,8),INDEX(tlccQu_Com,,8))</f>
        <v>140.83325510657247</v>
      </c>
      <c r="M23" s="32">
        <f ca="1">SUMPRODUCT(INDEX(bcEff_Com,,9),INDEX(tlccQu_Com,,9))</f>
        <v>140.04934104637687</v>
      </c>
      <c r="N23" s="32">
        <f ca="1">SUMPRODUCT(INDEX(bcEff_Com,,10),INDEX(tlccQu_Com,,10))</f>
        <v>139.28725261835075</v>
      </c>
      <c r="O23" s="32">
        <f ca="1">SUMPRODUCT(INDEX(bcEff_Com,,11),INDEX(tlccQu_Com,,11))</f>
        <v>138.54542451625474</v>
      </c>
      <c r="P23" s="32">
        <f ca="1">SUMPRODUCT(INDEX(bcEff_Com,,12),INDEX(tlccQu_Com,,12))</f>
        <v>137.82228869497601</v>
      </c>
      <c r="Q23" s="32">
        <f ca="1">SUMPRODUCT(INDEX(bcEff_Com,,13),INDEX(tlccQu_Com,,13))</f>
        <v>137.11634546402658</v>
      </c>
      <c r="R23" s="32">
        <f ca="1">SUMPRODUCT(INDEX(bcEff_Com,,14),INDEX(tlccQu_Com,,14))</f>
        <v>136.42623785511486</v>
      </c>
      <c r="S23" s="32">
        <f ca="1">SUMPRODUCT(INDEX(bcEff_Com,,15),INDEX(tlccQu_Com,,15))</f>
        <v>135.75072964346163</v>
      </c>
      <c r="T23" s="32">
        <f ca="1">SUMPRODUCT(INDEX(bcEff_Com,,16),INDEX(tlccQu_Com,,16))</f>
        <v>135.0888560064181</v>
      </c>
      <c r="U23" s="32">
        <f ca="1">SUMPRODUCT(INDEX(bcEff_Com,,17),INDEX(tlccQu_Com,,17))</f>
        <v>134.43972311765285</v>
      </c>
      <c r="V23" s="32">
        <f ca="1">SUMPRODUCT(INDEX(bcEff_Com,,18),INDEX(tlccQu_Com,,18))</f>
        <v>133.8025541379337</v>
      </c>
      <c r="W23" s="32">
        <f ca="1">SUMPRODUCT(INDEX(bcEff_Com,,19),INDEX(tlccQu_Com,,19))</f>
        <v>133.17665666127397</v>
      </c>
      <c r="X23" s="32">
        <f ca="1">SUMPRODUCT(INDEX(bcEff_Com,,20),INDEX(tlccQu_Com,,20))</f>
        <v>132.56139793961287</v>
      </c>
      <c r="Y23" s="32">
        <f ca="1">SUMPRODUCT(INDEX(bcEff_Com,,21),INDEX(tlccQu_Com,,21))</f>
        <v>131.95619247774923</v>
      </c>
      <c r="Z23" s="32">
        <f ca="1">SUMPRODUCT(INDEX(bcEff_Com,,22),INDEX(tlccQu_Com,,22))</f>
        <v>131.36049200489362</v>
      </c>
      <c r="AA23" s="32">
        <f ca="1">SUMPRODUCT(INDEX(bcEff_Com,,23),INDEX(tlccQu_Com,,23))</f>
        <v>130.77378572580938</v>
      </c>
      <c r="AB23" s="32">
        <f ca="1">SUMPRODUCT(INDEX(bcEff_Com,,24),INDEX(tlccQu_Com,,24))</f>
        <v>130.19560018873906</v>
      </c>
      <c r="AC23" s="32">
        <f ca="1">SUMPRODUCT(INDEX(bcEff_Com,,25),INDEX(tlccQu_Com,,25))</f>
        <v>129.62549887801481</v>
      </c>
      <c r="AD23" s="32">
        <f ca="1">SUMPRODUCT(INDEX(bcEff_Com,,26),INDEX(tlccQu_Com,,26))</f>
        <v>129.06308074406004</v>
      </c>
      <c r="AE23" s="32">
        <f ca="1">SUMPRODUCT(INDEX(bcEff_Com,,27),INDEX(tlccQu_Com,,27))</f>
        <v>128.50797743511606</v>
      </c>
      <c r="AF23" s="32">
        <f ca="1">SUMPRODUCT(INDEX(bcEff_Com,,28),INDEX(tlccQu_Com,,28))</f>
        <v>127.95984985220869</v>
      </c>
      <c r="AG23" s="32">
        <f ca="1">SUMPRODUCT(INDEX(bcEff_Com,,29),INDEX(tlccQu_Com,,29))</f>
        <v>127.41838458676915</v>
      </c>
      <c r="AH23" s="32">
        <f ca="1">SUMPRODUCT(INDEX(bcEff_Com,,30),INDEX(tlccQu_Com,,30))</f>
        <v>126.8832906889478</v>
      </c>
      <c r="AI23" s="32">
        <f ca="1">SUMPRODUCT(INDEX(bcEff_Com,,31),INDEX(tlccQu_Com,,31))</f>
        <v>126.3542970609698</v>
      </c>
      <c r="AJ23" s="32">
        <f ca="1">SUMPRODUCT(INDEX(bcEff_Com,,32),INDEX(tlccQu_Com,,32))</f>
        <v>125.83115046987567</v>
      </c>
      <c r="AK23" s="32">
        <f ca="1">SUMPRODUCT(INDEX(bcEff_Com,,33),INDEX(tlccQu_Com,,33))</f>
        <v>125.31361400453169</v>
      </c>
      <c r="AL23" s="32">
        <f ca="1">SUMPRODUCT(INDEX(bcEff_Com,,34),INDEX(tlccQu_Com,,34))</f>
        <v>124.80146601082456</v>
      </c>
      <c r="AM23" s="32">
        <f ca="1">SUMPRODUCT(INDEX(bcEff_Com,,35),INDEX(tlccQu_Com,,35))</f>
        <v>124.29449891138553</v>
      </c>
      <c r="AN23" s="55">
        <f ca="1">SUMPRODUCT(INDEX(bcEff_Com,,36),INDEX(tlccQu_Com,,36))</f>
        <v>123.79251834320677</v>
      </c>
      <c r="AO23" s="8"/>
    </row>
    <row r="24" spans="2:41" x14ac:dyDescent="0.35">
      <c r="B24" s="8"/>
      <c r="C24" s="10" t="str">
        <f>zEO&amp;" Costs"</f>
        <v>Operating Costs</v>
      </c>
      <c r="D24" s="11" t="str">
        <f>_yearDol &amp; "$"</f>
        <v>2021$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55"/>
      <c r="AO24" s="8"/>
    </row>
    <row r="25" spans="2:41" x14ac:dyDescent="0.35">
      <c r="B25" s="8"/>
      <c r="C25" s="20" t="str">
        <f>INDEX(_Sector,2,1)</f>
        <v>Residential</v>
      </c>
      <c r="D25" s="8"/>
      <c r="E25" s="32">
        <f ca="1">SUMPRODUCT(INDEX(bcEff_Res,,1),INDEX(tlccEu_Res,,1))</f>
        <v>318.62538722058309</v>
      </c>
      <c r="F25" s="32">
        <f ca="1">SUMPRODUCT(INDEX(bcEff_Res,,2),INDEX(tlccEu_Res,,2))</f>
        <v>318.84184202375741</v>
      </c>
      <c r="G25" s="32">
        <f ca="1">SUMPRODUCT(INDEX(bcEff_Res,,3),INDEX(tlccEu_Res,,3))</f>
        <v>319.18215693450293</v>
      </c>
      <c r="H25" s="32">
        <f ca="1">SUMPRODUCT(INDEX(bcEff_Res,,4),INDEX(tlccEu_Res,,4))</f>
        <v>319.57661690303365</v>
      </c>
      <c r="I25" s="32">
        <f ca="1">SUMPRODUCT(INDEX(bcEff_Res,,5),INDEX(tlccEu_Res,,5))</f>
        <v>319.94660075497575</v>
      </c>
      <c r="J25" s="32">
        <f ca="1">SUMPRODUCT(INDEX(bcEff_Res,,6),INDEX(tlccEu_Res,,6))</f>
        <v>320.25695570155528</v>
      </c>
      <c r="K25" s="32">
        <f ca="1">SUMPRODUCT(INDEX(bcEff_Res,,7),INDEX(tlccEu_Res,,7))</f>
        <v>320.49757086910398</v>
      </c>
      <c r="L25" s="32">
        <f ca="1">SUMPRODUCT(INDEX(bcEff_Res,,8),INDEX(tlccEu_Res,,8))</f>
        <v>320.68912255110348</v>
      </c>
      <c r="M25" s="32">
        <f ca="1">SUMPRODUCT(INDEX(bcEff_Res,,9),INDEX(tlccEu_Res,,9))</f>
        <v>320.78755681370802</v>
      </c>
      <c r="N25" s="32">
        <f ca="1">SUMPRODUCT(INDEX(bcEff_Res,,10),INDEX(tlccEu_Res,,10))</f>
        <v>320.80552575837038</v>
      </c>
      <c r="O25" s="32">
        <f ca="1">SUMPRODUCT(INDEX(bcEff_Res,,11),INDEX(tlccEu_Res,,11))</f>
        <v>320.67733636151837</v>
      </c>
      <c r="P25" s="32">
        <f ca="1">SUMPRODUCT(INDEX(bcEff_Res,,12),INDEX(tlccEu_Res,,12))</f>
        <v>320.42861832911547</v>
      </c>
      <c r="Q25" s="32">
        <f ca="1">SUMPRODUCT(INDEX(bcEff_Res,,13),INDEX(tlccEu_Res,,13))</f>
        <v>320.23071344255072</v>
      </c>
      <c r="R25" s="32">
        <f ca="1">SUMPRODUCT(INDEX(bcEff_Res,,14),INDEX(tlccEu_Res,,14))</f>
        <v>320.02515381182968</v>
      </c>
      <c r="S25" s="32">
        <f ca="1">SUMPRODUCT(INDEX(bcEff_Res,,15),INDEX(tlccEu_Res,,15))</f>
        <v>319.86838127134752</v>
      </c>
      <c r="T25" s="32">
        <f ca="1">SUMPRODUCT(INDEX(bcEff_Res,,16),INDEX(tlccEu_Res,,16))</f>
        <v>319.76466876619872</v>
      </c>
      <c r="U25" s="32">
        <f ca="1">SUMPRODUCT(INDEX(bcEff_Res,,17),INDEX(tlccEu_Res,,17))</f>
        <v>319.61813410921621</v>
      </c>
      <c r="V25" s="32">
        <f ca="1">SUMPRODUCT(INDEX(bcEff_Res,,18),INDEX(tlccEu_Res,,18))</f>
        <v>319.43773266172394</v>
      </c>
      <c r="W25" s="32">
        <f ca="1">SUMPRODUCT(INDEX(bcEff_Res,,19),INDEX(tlccEu_Res,,19))</f>
        <v>319.27756398274465</v>
      </c>
      <c r="X25" s="32">
        <f ca="1">SUMPRODUCT(INDEX(bcEff_Res,,20),INDEX(tlccEu_Res,,20))</f>
        <v>319.08058301011272</v>
      </c>
      <c r="Y25" s="32">
        <f ca="1">SUMPRODUCT(INDEX(bcEff_Res,,21),INDEX(tlccEu_Res,,21))</f>
        <v>318.88948718802851</v>
      </c>
      <c r="Z25" s="32">
        <f ca="1">SUMPRODUCT(INDEX(bcEff_Res,,22),INDEX(tlccEu_Res,,22))</f>
        <v>318.78556188354668</v>
      </c>
      <c r="AA25" s="32">
        <f ca="1">SUMPRODUCT(INDEX(bcEff_Res,,23),INDEX(tlccEu_Res,,23))</f>
        <v>318.64912795683176</v>
      </c>
      <c r="AB25" s="32">
        <f ca="1">SUMPRODUCT(INDEX(bcEff_Res,,24),INDEX(tlccEu_Res,,24))</f>
        <v>318.51675425548189</v>
      </c>
      <c r="AC25" s="32">
        <f ca="1">SUMPRODUCT(INDEX(bcEff_Res,,25),INDEX(tlccEu_Res,,25))</f>
        <v>318.40858585911309</v>
      </c>
      <c r="AD25" s="32">
        <f ca="1">SUMPRODUCT(INDEX(bcEff_Res,,26),INDEX(tlccEu_Res,,26))</f>
        <v>318.26138697748132</v>
      </c>
      <c r="AE25" s="32">
        <f ca="1">SUMPRODUCT(INDEX(bcEff_Res,,27),INDEX(tlccEu_Res,,27))</f>
        <v>318.14267107828908</v>
      </c>
      <c r="AF25" s="32">
        <f ca="1">SUMPRODUCT(INDEX(bcEff_Res,,28),INDEX(tlccEu_Res,,28))</f>
        <v>318.14267107828908</v>
      </c>
      <c r="AG25" s="32">
        <f ca="1">SUMPRODUCT(INDEX(bcEff_Res,,29),INDEX(tlccEu_Res,,29))</f>
        <v>318.14267107828908</v>
      </c>
      <c r="AH25" s="32">
        <f ca="1">SUMPRODUCT(INDEX(bcEff_Res,,30),INDEX(tlccEu_Res,,30))</f>
        <v>318.14267107828908</v>
      </c>
      <c r="AI25" s="32">
        <f ca="1">SUMPRODUCT(INDEX(bcEff_Res,,31),INDEX(tlccEu_Res,,31))</f>
        <v>318.14267107828908</v>
      </c>
      <c r="AJ25" s="32">
        <f ca="1">SUMPRODUCT(INDEX(bcEff_Res,,32),INDEX(tlccEu_Res,,32))</f>
        <v>318.14267107828908</v>
      </c>
      <c r="AK25" s="32">
        <f ca="1">SUMPRODUCT(INDEX(bcEff_Res,,33),INDEX(tlccEu_Res,,33))</f>
        <v>318.14267107828908</v>
      </c>
      <c r="AL25" s="32">
        <f ca="1">SUMPRODUCT(INDEX(bcEff_Res,,34),INDEX(tlccEu_Res,,34))</f>
        <v>318.14267107828908</v>
      </c>
      <c r="AM25" s="32">
        <f ca="1">SUMPRODUCT(INDEX(bcEff_Res,,35),INDEX(tlccEu_Res,,35))</f>
        <v>318.14267107828908</v>
      </c>
      <c r="AN25" s="55">
        <f ca="1">SUMPRODUCT(INDEX(bcEff_Res,,36),INDEX(tlccEu_Res,,36))</f>
        <v>318.14267107828908</v>
      </c>
      <c r="AO25" s="8"/>
    </row>
    <row r="26" spans="2:41" x14ac:dyDescent="0.35">
      <c r="B26" s="8"/>
      <c r="C26" s="20" t="str">
        <f>INDEX(_Sector,2,2)</f>
        <v>Commercial</v>
      </c>
      <c r="D26" s="8"/>
      <c r="E26" s="32">
        <f ca="1">SUMPRODUCT(INDEX(bcEff_Com,,1),INDEX(tlccEu_Com,,1))</f>
        <v>399.05715837088667</v>
      </c>
      <c r="F26" s="32">
        <f ca="1">SUMPRODUCT(INDEX(bcEff_Com,,2),INDEX(tlccEu_Com,,2))</f>
        <v>398.98455531496927</v>
      </c>
      <c r="G26" s="32">
        <f ca="1">SUMPRODUCT(INDEX(bcEff_Com,,3),INDEX(tlccEu_Com,,3))</f>
        <v>399.03818362979985</v>
      </c>
      <c r="H26" s="32">
        <f ca="1">SUMPRODUCT(INDEX(bcEff_Com,,4),INDEX(tlccEu_Com,,4))</f>
        <v>399.16098340168378</v>
      </c>
      <c r="I26" s="32">
        <f ca="1">SUMPRODUCT(INDEX(bcEff_Com,,5),INDEX(tlccEu_Com,,5))</f>
        <v>399.24065897349766</v>
      </c>
      <c r="J26" s="32">
        <f ca="1">SUMPRODUCT(INDEX(bcEff_Com,,6),INDEX(tlccEu_Com,,6))</f>
        <v>399.23627315019905</v>
      </c>
      <c r="K26" s="32">
        <f ca="1">SUMPRODUCT(INDEX(bcEff_Com,,7),INDEX(tlccEu_Com,,7))</f>
        <v>399.12554740062859</v>
      </c>
      <c r="L26" s="32">
        <f ca="1">SUMPRODUCT(INDEX(bcEff_Com,,8),INDEX(tlccEu_Com,,8))</f>
        <v>398.95174176323616</v>
      </c>
      <c r="M26" s="32">
        <f ca="1">SUMPRODUCT(INDEX(bcEff_Com,,9),INDEX(tlccEu_Com,,9))</f>
        <v>398.61553011095435</v>
      </c>
      <c r="N26" s="32">
        <f ca="1">SUMPRODUCT(INDEX(bcEff_Com,,10),INDEX(tlccEu_Com,,10))</f>
        <v>398.20688035441992</v>
      </c>
      <c r="O26" s="32">
        <f ca="1">SUMPRODUCT(INDEX(bcEff_Com,,11),INDEX(tlccEu_Com,,11))</f>
        <v>397.55163623753657</v>
      </c>
      <c r="P26" s="32">
        <f ca="1">SUMPRODUCT(INDEX(bcEff_Com,,12),INDEX(tlccEu_Com,,12))</f>
        <v>396.72059884351563</v>
      </c>
      <c r="Q26" s="32">
        <f ca="1">SUMPRODUCT(INDEX(bcEff_Com,,13),INDEX(tlccEu_Com,,13))</f>
        <v>396.00091111312628</v>
      </c>
      <c r="R26" s="32">
        <f ca="1">SUMPRODUCT(INDEX(bcEff_Com,,14),INDEX(tlccEu_Com,,14))</f>
        <v>395.28950489395316</v>
      </c>
      <c r="S26" s="32">
        <f ca="1">SUMPRODUCT(INDEX(bcEff_Com,,15),INDEX(tlccEu_Com,,15))</f>
        <v>394.66392760133164</v>
      </c>
      <c r="T26" s="32">
        <f ca="1">SUMPRODUCT(INDEX(bcEff_Com,,16),INDEX(tlccEu_Com,,16))</f>
        <v>394.15223515117793</v>
      </c>
      <c r="U26" s="32">
        <f ca="1">SUMPRODUCT(INDEX(bcEff_Com,,17),INDEX(tlccEu_Com,,17))</f>
        <v>393.54677148876942</v>
      </c>
      <c r="V26" s="32">
        <f ca="1">SUMPRODUCT(INDEX(bcEff_Com,,18),INDEX(tlccEu_Com,,18))</f>
        <v>392.90149260430053</v>
      </c>
      <c r="W26" s="32">
        <f ca="1">SUMPRODUCT(INDEX(bcEff_Com,,19),INDEX(tlccEu_Com,,19))</f>
        <v>392.34037564380492</v>
      </c>
      <c r="X26" s="32">
        <f ca="1">SUMPRODUCT(INDEX(bcEff_Com,,20),INDEX(tlccEu_Com,,20))</f>
        <v>391.74803771119764</v>
      </c>
      <c r="Y26" s="32">
        <f ca="1">SUMPRODUCT(INDEX(bcEff_Com,,21),INDEX(tlccEu_Com,,21))</f>
        <v>391.15896440017428</v>
      </c>
      <c r="Z26" s="32">
        <f ca="1">SUMPRODUCT(INDEX(bcEff_Com,,22),INDEX(tlccEu_Com,,22))</f>
        <v>390.77992213605773</v>
      </c>
      <c r="AA26" s="32">
        <f ca="1">SUMPRODUCT(INDEX(bcEff_Com,,23),INDEX(tlccEu_Com,,23))</f>
        <v>390.37242580641617</v>
      </c>
      <c r="AB26" s="32">
        <f ca="1">SUMPRODUCT(INDEX(bcEff_Com,,24),INDEX(tlccEu_Com,,24))</f>
        <v>389.99572435244733</v>
      </c>
      <c r="AC26" s="32">
        <f ca="1">SUMPRODUCT(INDEX(bcEff_Com,,25),INDEX(tlccEu_Com,,25))</f>
        <v>389.73489629041012</v>
      </c>
      <c r="AD26" s="32">
        <f ca="1">SUMPRODUCT(INDEX(bcEff_Com,,26),INDEX(tlccEu_Com,,26))</f>
        <v>389.4324368912674</v>
      </c>
      <c r="AE26" s="32">
        <f ca="1">SUMPRODUCT(INDEX(bcEff_Com,,27),INDEX(tlccEu_Com,,27))</f>
        <v>389.19588070132033</v>
      </c>
      <c r="AF26" s="32">
        <f ca="1">SUMPRODUCT(INDEX(bcEff_Com,,28),INDEX(tlccEu_Com,,28))</f>
        <v>389.19588070132033</v>
      </c>
      <c r="AG26" s="32">
        <f ca="1">SUMPRODUCT(INDEX(bcEff_Com,,29),INDEX(tlccEu_Com,,29))</f>
        <v>389.19588070132033</v>
      </c>
      <c r="AH26" s="32">
        <f ca="1">SUMPRODUCT(INDEX(bcEff_Com,,30),INDEX(tlccEu_Com,,30))</f>
        <v>389.19588070132033</v>
      </c>
      <c r="AI26" s="32">
        <f ca="1">SUMPRODUCT(INDEX(bcEff_Com,,31),INDEX(tlccEu_Com,,31))</f>
        <v>389.19588070132033</v>
      </c>
      <c r="AJ26" s="32">
        <f ca="1">SUMPRODUCT(INDEX(bcEff_Com,,32),INDEX(tlccEu_Com,,32))</f>
        <v>389.19588070132033</v>
      </c>
      <c r="AK26" s="32">
        <f ca="1">SUMPRODUCT(INDEX(bcEff_Com,,33),INDEX(tlccEu_Com,,33))</f>
        <v>389.19588070132033</v>
      </c>
      <c r="AL26" s="32">
        <f ca="1">SUMPRODUCT(INDEX(bcEff_Com,,34),INDEX(tlccEu_Com,,34))</f>
        <v>389.19588070132033</v>
      </c>
      <c r="AM26" s="32">
        <f ca="1">SUMPRODUCT(INDEX(bcEff_Com,,35),INDEX(tlccEu_Com,,35))</f>
        <v>389.19588070132033</v>
      </c>
      <c r="AN26" s="55">
        <f ca="1">SUMPRODUCT(INDEX(bcEff_Com,,36),INDEX(tlccEu_Com,,36))</f>
        <v>389.19588070132033</v>
      </c>
      <c r="AO26" s="8"/>
    </row>
    <row r="27" spans="2:41" x14ac:dyDescent="0.35">
      <c r="B27" s="8"/>
      <c r="C27" s="10" t="s">
        <v>78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18"/>
      <c r="AO27" s="8"/>
    </row>
    <row r="28" spans="2:41" x14ac:dyDescent="0.35">
      <c r="B28" s="8"/>
      <c r="C28" s="20" t="str">
        <f>INDEX(_fuel,1)</f>
        <v>Electricity</v>
      </c>
      <c r="D28" s="11" t="s">
        <v>80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1"/>
      <c r="AO28" s="8"/>
    </row>
    <row r="29" spans="2:41" x14ac:dyDescent="0.35">
      <c r="B29" s="8"/>
      <c r="C29" s="50" t="str">
        <f>INDEX(_Sector,2,1)</f>
        <v>Residential</v>
      </c>
      <c r="D29" s="8"/>
      <c r="E29" s="40">
        <f ca="1">SUMPRODUCT(INDEX(bcEff_Res,,1),INDEX(tlccFuElec_Res,,1))</f>
        <v>9.5081087090527383</v>
      </c>
      <c r="F29" s="40">
        <f ca="1">SUMPRODUCT(INDEX(bcEff_Res,,2),INDEX(tlccFuElec_Res,,2))</f>
        <v>9.4611169849061554</v>
      </c>
      <c r="G29" s="40">
        <f ca="1">SUMPRODUCT(INDEX(bcEff_Res,,3),INDEX(tlccFuElec_Res,,3))</f>
        <v>9.4270315239218547</v>
      </c>
      <c r="H29" s="40">
        <f ca="1">SUMPRODUCT(INDEX(bcEff_Res,,4),INDEX(tlccFuElec_Res,,4))</f>
        <v>9.4003720271361573</v>
      </c>
      <c r="I29" s="40">
        <f ca="1">SUMPRODUCT(INDEX(bcEff_Res,,5),INDEX(tlccFuElec_Res,,5))</f>
        <v>9.3818180395167534</v>
      </c>
      <c r="J29" s="40">
        <f ca="1">SUMPRODUCT(INDEX(bcEff_Res,,6),INDEX(tlccFuElec_Res,,6))</f>
        <v>9.3671839636806755</v>
      </c>
      <c r="K29" s="40">
        <f ca="1">SUMPRODUCT(INDEX(bcEff_Res,,7),INDEX(tlccFuElec_Res,,7))</f>
        <v>9.3545056961552984</v>
      </c>
      <c r="L29" s="40">
        <f ca="1">SUMPRODUCT(INDEX(bcEff_Res,,8),INDEX(tlccFuElec_Res,,8))</f>
        <v>9.3408275571142045</v>
      </c>
      <c r="M29" s="40">
        <f ca="1">SUMPRODUCT(INDEX(bcEff_Res,,9),INDEX(tlccFuElec_Res,,9))</f>
        <v>9.3276633036567826</v>
      </c>
      <c r="N29" s="40">
        <f ca="1">SUMPRODUCT(INDEX(bcEff_Res,,10),INDEX(tlccFuElec_Res,,10))</f>
        <v>9.3151943277767799</v>
      </c>
      <c r="O29" s="40">
        <f ca="1">SUMPRODUCT(INDEX(bcEff_Res,,11),INDEX(tlccFuElec_Res,,11))</f>
        <v>9.3021727752507708</v>
      </c>
      <c r="P29" s="40">
        <f ca="1">SUMPRODUCT(INDEX(bcEff_Res,,12),INDEX(tlccFuElec_Res,,12))</f>
        <v>9.2911695636292251</v>
      </c>
      <c r="Q29" s="40">
        <f ca="1">SUMPRODUCT(INDEX(bcEff_Res,,13),INDEX(tlccFuElec_Res,,13))</f>
        <v>9.2798817696802551</v>
      </c>
      <c r="R29" s="40">
        <f ca="1">SUMPRODUCT(INDEX(bcEff_Res,,14),INDEX(tlccFuElec_Res,,14))</f>
        <v>9.2700430482737826</v>
      </c>
      <c r="S29" s="40">
        <f ca="1">SUMPRODUCT(INDEX(bcEff_Res,,15),INDEX(tlccFuElec_Res,,15))</f>
        <v>9.2617552609408023</v>
      </c>
      <c r="T29" s="40">
        <f ca="1">SUMPRODUCT(INDEX(bcEff_Res,,16),INDEX(tlccFuElec_Res,,16))</f>
        <v>9.2540389061788595</v>
      </c>
      <c r="U29" s="40">
        <f ca="1">SUMPRODUCT(INDEX(bcEff_Res,,17),INDEX(tlccFuElec_Res,,17))</f>
        <v>9.2461087074355692</v>
      </c>
      <c r="V29" s="40">
        <f ca="1">SUMPRODUCT(INDEX(bcEff_Res,,18),INDEX(tlccFuElec_Res,,18))</f>
        <v>9.2390064878416691</v>
      </c>
      <c r="W29" s="40">
        <f ca="1">SUMPRODUCT(INDEX(bcEff_Res,,19),INDEX(tlccFuElec_Res,,19))</f>
        <v>9.2331972848122206</v>
      </c>
      <c r="X29" s="40">
        <f ca="1">SUMPRODUCT(INDEX(bcEff_Res,,20),INDEX(tlccFuElec_Res,,20))</f>
        <v>9.2282852410365024</v>
      </c>
      <c r="Y29" s="40">
        <f ca="1">SUMPRODUCT(INDEX(bcEff_Res,,21),INDEX(tlccFuElec_Res,,21))</f>
        <v>9.2243339736968846</v>
      </c>
      <c r="Z29" s="40">
        <f ca="1">SUMPRODUCT(INDEX(bcEff_Res,,22),INDEX(tlccFuElec_Res,,22))</f>
        <v>9.2228020302233116</v>
      </c>
      <c r="AA29" s="40">
        <f ca="1">SUMPRODUCT(INDEX(bcEff_Res,,23),INDEX(tlccFuElec_Res,,23))</f>
        <v>9.2227610354943756</v>
      </c>
      <c r="AB29" s="40">
        <f ca="1">SUMPRODUCT(INDEX(bcEff_Res,,24),INDEX(tlccFuElec_Res,,24))</f>
        <v>9.2231826268594688</v>
      </c>
      <c r="AC29" s="40">
        <f ca="1">SUMPRODUCT(INDEX(bcEff_Res,,25),INDEX(tlccFuElec_Res,,25))</f>
        <v>9.2240854040637803</v>
      </c>
      <c r="AD29" s="40">
        <f ca="1">SUMPRODUCT(INDEX(bcEff_Res,,26),INDEX(tlccFuElec_Res,,26))</f>
        <v>9.2248431676229394</v>
      </c>
      <c r="AE29" s="40">
        <f ca="1">SUMPRODUCT(INDEX(bcEff_Res,,27),INDEX(tlccFuElec_Res,,27))</f>
        <v>9.2250220088263948</v>
      </c>
      <c r="AF29" s="40">
        <f ca="1">SUMPRODUCT(INDEX(bcEff_Res,,28),INDEX(tlccFuElec_Res,,28))</f>
        <v>9.2250220088263948</v>
      </c>
      <c r="AG29" s="40">
        <f ca="1">SUMPRODUCT(INDEX(bcEff_Res,,29),INDEX(tlccFuElec_Res,,29))</f>
        <v>9.2250220088263948</v>
      </c>
      <c r="AH29" s="40">
        <f ca="1">SUMPRODUCT(INDEX(bcEff_Res,,30),INDEX(tlccFuElec_Res,,30))</f>
        <v>9.2250220088263948</v>
      </c>
      <c r="AI29" s="40">
        <f ca="1">SUMPRODUCT(INDEX(bcEff_Res,,31),INDEX(tlccFuElec_Res,,31))</f>
        <v>9.2250220088263948</v>
      </c>
      <c r="AJ29" s="40">
        <f ca="1">SUMPRODUCT(INDEX(bcEff_Res,,32),INDEX(tlccFuElec_Res,,32))</f>
        <v>9.2250220088263948</v>
      </c>
      <c r="AK29" s="40">
        <f ca="1">SUMPRODUCT(INDEX(bcEff_Res,,33),INDEX(tlccFuElec_Res,,33))</f>
        <v>9.2250220088263948</v>
      </c>
      <c r="AL29" s="40">
        <f ca="1">SUMPRODUCT(INDEX(bcEff_Res,,34),INDEX(tlccFuElec_Res,,34))</f>
        <v>9.2250220088263948</v>
      </c>
      <c r="AM29" s="40">
        <f ca="1">SUMPRODUCT(INDEX(bcEff_Res,,35),INDEX(tlccFuElec_Res,,35))</f>
        <v>9.2250220088263948</v>
      </c>
      <c r="AN29" s="41">
        <f ca="1">SUMPRODUCT(INDEX(bcEff_Res,,36),INDEX(tlccFuElec_Res,,36))</f>
        <v>9.2250220088263948</v>
      </c>
      <c r="AO29" s="8"/>
    </row>
    <row r="30" spans="2:41" x14ac:dyDescent="0.35">
      <c r="B30" s="8"/>
      <c r="C30" s="50" t="str">
        <f>INDEX(_Sector,2,2)</f>
        <v>Commercial</v>
      </c>
      <c r="D30" s="8"/>
      <c r="E30" s="40">
        <f ca="1">SUMPRODUCT(INDEX(bcEff_Com,,1),INDEX(tlccFuElec_Com,,1))</f>
        <v>19.47048337509645</v>
      </c>
      <c r="F30" s="40">
        <f ca="1">SUMPRODUCT(INDEX(bcEff_Com,,2),INDEX(tlccFuElec_Com,,2))</f>
        <v>19.370547025335132</v>
      </c>
      <c r="G30" s="40">
        <f ca="1">SUMPRODUCT(INDEX(bcEff_Com,,3),INDEX(tlccFuElec_Com,,3))</f>
        <v>19.299079729636162</v>
      </c>
      <c r="H30" s="40">
        <f ca="1">SUMPRODUCT(INDEX(bcEff_Com,,4),INDEX(tlccFuElec_Com,,4))</f>
        <v>19.244139341501548</v>
      </c>
      <c r="I30" s="40">
        <f ca="1">SUMPRODUCT(INDEX(bcEff_Com,,5),INDEX(tlccFuElec_Com,,5))</f>
        <v>19.207497540382281</v>
      </c>
      <c r="J30" s="40">
        <f ca="1">SUMPRODUCT(INDEX(bcEff_Com,,6),INDEX(tlccFuElec_Com,,6))</f>
        <v>19.179634195181745</v>
      </c>
      <c r="K30" s="40">
        <f ca="1">SUMPRODUCT(INDEX(bcEff_Com,,7),INDEX(tlccFuElec_Com,,7))</f>
        <v>19.155854990404155</v>
      </c>
      <c r="L30" s="40">
        <f ca="1">SUMPRODUCT(INDEX(bcEff_Com,,8),INDEX(tlccFuElec_Com,,8))</f>
        <v>19.130390285672711</v>
      </c>
      <c r="M30" s="40">
        <f ca="1">SUMPRODUCT(INDEX(bcEff_Com,,9),INDEX(tlccFuElec_Com,,9))</f>
        <v>19.10632656058991</v>
      </c>
      <c r="N30" s="40">
        <f ca="1">SUMPRODUCT(INDEX(bcEff_Com,,10),INDEX(tlccFuElec_Com,,10))</f>
        <v>19.083646588210705</v>
      </c>
      <c r="O30" s="40">
        <f ca="1">SUMPRODUCT(INDEX(bcEff_Com,,11),INDEX(tlccFuElec_Com,,11))</f>
        <v>19.060202009883202</v>
      </c>
      <c r="P30" s="40">
        <f ca="1">SUMPRODUCT(INDEX(bcEff_Com,,12),INDEX(tlccFuElec_Com,,12))</f>
        <v>19.040090066392615</v>
      </c>
      <c r="Q30" s="40">
        <f ca="1">SUMPRODUCT(INDEX(bcEff_Com,,13),INDEX(tlccFuElec_Com,,13))</f>
        <v>19.019141487512716</v>
      </c>
      <c r="R30" s="40">
        <f ca="1">SUMPRODUCT(INDEX(bcEff_Com,,14),INDEX(tlccFuElec_Com,,14))</f>
        <v>19.000876222530756</v>
      </c>
      <c r="S30" s="40">
        <f ca="1">SUMPRODUCT(INDEX(bcEff_Com,,15),INDEX(tlccFuElec_Com,,15))</f>
        <v>18.98570426284639</v>
      </c>
      <c r="T30" s="40">
        <f ca="1">SUMPRODUCT(INDEX(bcEff_Com,,16),INDEX(tlccFuElec_Com,,16))</f>
        <v>18.971798987642607</v>
      </c>
      <c r="U30" s="40">
        <f ca="1">SUMPRODUCT(INDEX(bcEff_Com,,17),INDEX(tlccFuElec_Com,,17))</f>
        <v>18.957469172445361</v>
      </c>
      <c r="V30" s="40">
        <f ca="1">SUMPRODUCT(INDEX(bcEff_Com,,18),INDEX(tlccFuElec_Com,,18))</f>
        <v>18.944570759464817</v>
      </c>
      <c r="W30" s="40">
        <f ca="1">SUMPRODUCT(INDEX(bcEff_Com,,19),INDEX(tlccFuElec_Com,,19))</f>
        <v>18.934148194172721</v>
      </c>
      <c r="X30" s="40">
        <f ca="1">SUMPRODUCT(INDEX(bcEff_Com,,20),INDEX(tlccFuElec_Com,,20))</f>
        <v>18.925435277220121</v>
      </c>
      <c r="Y30" s="40">
        <f ca="1">SUMPRODUCT(INDEX(bcEff_Com,,21),INDEX(tlccFuElec_Com,,21))</f>
        <v>18.918450177002377</v>
      </c>
      <c r="Z30" s="40">
        <f ca="1">SUMPRODUCT(INDEX(bcEff_Com,,22),INDEX(tlccFuElec_Com,,22))</f>
        <v>18.916120195872274</v>
      </c>
      <c r="AA30" s="40">
        <f ca="1">SUMPRODUCT(INDEX(bcEff_Com,,23),INDEX(tlccFuElec_Com,,23))</f>
        <v>18.916609269091559</v>
      </c>
      <c r="AB30" s="40">
        <f ca="1">SUMPRODUCT(INDEX(bcEff_Com,,24),INDEX(tlccFuElec_Com,,24))</f>
        <v>18.91792994242449</v>
      </c>
      <c r="AC30" s="40">
        <f ca="1">SUMPRODUCT(INDEX(bcEff_Com,,25),INDEX(tlccFuElec_Com,,25))</f>
        <v>18.92002329027714</v>
      </c>
      <c r="AD30" s="40">
        <f ca="1">SUMPRODUCT(INDEX(bcEff_Com,,26),INDEX(tlccFuElec_Com,,26))</f>
        <v>18.921697454255899</v>
      </c>
      <c r="AE30" s="40">
        <f ca="1">SUMPRODUCT(INDEX(bcEff_Com,,27),INDEX(tlccFuElec_Com,,27))</f>
        <v>18.922133564265888</v>
      </c>
      <c r="AF30" s="40">
        <f ca="1">SUMPRODUCT(INDEX(bcEff_Com,,28),INDEX(tlccFuElec_Com,,28))</f>
        <v>18.922133564265888</v>
      </c>
      <c r="AG30" s="40">
        <f ca="1">SUMPRODUCT(INDEX(bcEff_Com,,29),INDEX(tlccFuElec_Com,,29))</f>
        <v>18.922133564265888</v>
      </c>
      <c r="AH30" s="40">
        <f ca="1">SUMPRODUCT(INDEX(bcEff_Com,,30),INDEX(tlccFuElec_Com,,30))</f>
        <v>18.922133564265888</v>
      </c>
      <c r="AI30" s="40">
        <f ca="1">SUMPRODUCT(INDEX(bcEff_Com,,31),INDEX(tlccFuElec_Com,,31))</f>
        <v>18.922133564265888</v>
      </c>
      <c r="AJ30" s="40">
        <f ca="1">SUMPRODUCT(INDEX(bcEff_Com,,32),INDEX(tlccFuElec_Com,,32))</f>
        <v>18.922133564265888</v>
      </c>
      <c r="AK30" s="40">
        <f ca="1">SUMPRODUCT(INDEX(bcEff_Com,,33),INDEX(tlccFuElec_Com,,33))</f>
        <v>18.922133564265888</v>
      </c>
      <c r="AL30" s="40">
        <f ca="1">SUMPRODUCT(INDEX(bcEff_Com,,34),INDEX(tlccFuElec_Com,,34))</f>
        <v>18.922133564265888</v>
      </c>
      <c r="AM30" s="40">
        <f ca="1">SUMPRODUCT(INDEX(bcEff_Com,,35),INDEX(tlccFuElec_Com,,35))</f>
        <v>18.922133564265888</v>
      </c>
      <c r="AN30" s="41">
        <f ca="1">SUMPRODUCT(INDEX(bcEff_Com,,36),INDEX(tlccFuElec_Com,,36))</f>
        <v>18.922133564265888</v>
      </c>
      <c r="AO30" s="8"/>
    </row>
    <row r="31" spans="2:41" x14ac:dyDescent="0.35">
      <c r="B31" s="8"/>
      <c r="C31" s="42" t="str">
        <f ca="1">"Stds Case (CSL " &amp; stdCSL1 &amp; ",CSL " &amp; stdCSL2 &amp; "): " &amp; INDEX(_doName,3,stdCSL1+1) &amp; "," &amp; INDEX(_doName,3,stdCSL2+1)</f>
        <v>Stds Case (CSL 1,CSL 2): Tier 1,Tier 2</v>
      </c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8"/>
      <c r="AO31" s="8"/>
    </row>
    <row r="32" spans="2:41" x14ac:dyDescent="0.35">
      <c r="B32" s="8"/>
      <c r="C32" s="10" t="s">
        <v>70</v>
      </c>
      <c r="D32" s="11" t="str">
        <f>_yearDol &amp; "$"</f>
        <v>2021$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55"/>
      <c r="AO32" s="8"/>
    </row>
    <row r="33" spans="2:41" x14ac:dyDescent="0.35">
      <c r="B33" s="8"/>
      <c r="C33" s="20" t="str">
        <f>INDEX(_Sector,2,1)</f>
        <v>Residential</v>
      </c>
      <c r="D33" s="8"/>
      <c r="E33" s="32">
        <f ca="1">SUMPRODUCT(INDEX(polEff_Res,,1),INDEX(tlccQu_Res,,1))</f>
        <v>152.68607022654373</v>
      </c>
      <c r="F33" s="32">
        <f ca="1">SUMPRODUCT(INDEX(polEff_Res,,2),INDEX(tlccQu_Res,,2))</f>
        <v>151.64066964976081</v>
      </c>
      <c r="G33" s="32">
        <f ca="1">SUMPRODUCT(INDEX(polEff_Res,,3),INDEX(tlccQu_Res,,3))</f>
        <v>151.43230615004313</v>
      </c>
      <c r="H33" s="32">
        <f ca="1">SUMPRODUCT(INDEX(polEff_Res,,4),INDEX(tlccQu_Res,,4))</f>
        <v>150.4660817316292</v>
      </c>
      <c r="I33" s="32">
        <f ca="1">SUMPRODUCT(INDEX(polEff_Res,,5),INDEX(tlccQu_Res,,5))</f>
        <v>149.53438814695448</v>
      </c>
      <c r="J33" s="32">
        <f ca="1">SUMPRODUCT(INDEX(polEff_Res,,6),INDEX(tlccQu_Res,,6))</f>
        <v>148.63348743350645</v>
      </c>
      <c r="K33" s="32">
        <f ca="1">SUMPRODUCT(INDEX(polEff_Res,,7),INDEX(tlccQu_Res,,7))</f>
        <v>147.76069914570425</v>
      </c>
      <c r="L33" s="32">
        <f ca="1">SUMPRODUCT(INDEX(polEff_Res,,8),INDEX(tlccQu_Res,,8))</f>
        <v>146.9140998379051</v>
      </c>
      <c r="M33" s="32">
        <f ca="1">SUMPRODUCT(INDEX(polEff_Res,,9),INDEX(tlccQu_Res,,9))</f>
        <v>146.09201885576064</v>
      </c>
      <c r="N33" s="32">
        <f ca="1">SUMPRODUCT(INDEX(polEff_Res,,10),INDEX(tlccQu_Res,,10))</f>
        <v>145.29282545903635</v>
      </c>
      <c r="O33" s="32">
        <f ca="1">SUMPRODUCT(INDEX(polEff_Res,,11),INDEX(tlccQu_Res,,11))</f>
        <v>144.51489769313483</v>
      </c>
      <c r="P33" s="32">
        <f ca="1">SUMPRODUCT(INDEX(polEff_Res,,12),INDEX(tlccQu_Res,,12))</f>
        <v>143.75657176180869</v>
      </c>
      <c r="Q33" s="32">
        <f ca="1">SUMPRODUCT(INDEX(polEff_Res,,13),INDEX(tlccQu_Res,,13))</f>
        <v>143.01627500018486</v>
      </c>
      <c r="R33" s="32">
        <f ca="1">SUMPRODUCT(INDEX(polEff_Res,,14),INDEX(tlccQu_Res,,14))</f>
        <v>142.29258441035265</v>
      </c>
      <c r="S33" s="32">
        <f ca="1">SUMPRODUCT(INDEX(polEff_Res,,15),INDEX(tlccQu_Res,,15))</f>
        <v>141.58420361320668</v>
      </c>
      <c r="T33" s="32">
        <f ca="1">SUMPRODUCT(INDEX(polEff_Res,,16),INDEX(tlccQu_Res,,16))</f>
        <v>140.89012083830954</v>
      </c>
      <c r="U33" s="32">
        <f ca="1">SUMPRODUCT(INDEX(polEff_Res,,17),INDEX(tlccQu_Res,,17))</f>
        <v>140.20939876615276</v>
      </c>
      <c r="V33" s="32">
        <f ca="1">SUMPRODUCT(INDEX(polEff_Res,,18),INDEX(tlccQu_Res,,18))</f>
        <v>139.54122275692094</v>
      </c>
      <c r="W33" s="32">
        <f ca="1">SUMPRODUCT(INDEX(polEff_Res,,19),INDEX(tlccQu_Res,,19))</f>
        <v>138.88486671255055</v>
      </c>
      <c r="X33" s="32">
        <f ca="1">SUMPRODUCT(INDEX(polEff_Res,,20),INDEX(tlccQu_Res,,20))</f>
        <v>138.23966709582922</v>
      </c>
      <c r="Y33" s="32">
        <f ca="1">SUMPRODUCT(INDEX(polEff_Res,,21),INDEX(tlccQu_Res,,21))</f>
        <v>137.60501156446935</v>
      </c>
      <c r="Z33" s="32">
        <f ca="1">SUMPRODUCT(INDEX(polEff_Res,,22),INDEX(tlccQu_Res,,22))</f>
        <v>136.9803235283191</v>
      </c>
      <c r="AA33" s="32">
        <f ca="1">SUMPRODUCT(INDEX(polEff_Res,,23),INDEX(tlccQu_Res,,23))</f>
        <v>136.36506733679516</v>
      </c>
      <c r="AB33" s="32">
        <f ca="1">SUMPRODUCT(INDEX(polEff_Res,,24),INDEX(tlccQu_Res,,24))</f>
        <v>135.75874649992002</v>
      </c>
      <c r="AC33" s="32">
        <f ca="1">SUMPRODUCT(INDEX(polEff_Res,,25),INDEX(tlccQu_Res,,25))</f>
        <v>135.16090326111436</v>
      </c>
      <c r="AD33" s="32">
        <f ca="1">SUMPRODUCT(INDEX(polEff_Res,,26),INDEX(tlccQu_Res,,26))</f>
        <v>134.57111705567223</v>
      </c>
      <c r="AE33" s="32">
        <f ca="1">SUMPRODUCT(INDEX(polEff_Res,,27),INDEX(tlccQu_Res,,27))</f>
        <v>133.98900160778459</v>
      </c>
      <c r="AF33" s="32">
        <f ca="1">SUMPRODUCT(INDEX(polEff_Res,,28),INDEX(tlccQu_Res,,28))</f>
        <v>133.41420131787035</v>
      </c>
      <c r="AG33" s="32">
        <f ca="1">SUMPRODUCT(INDEX(polEff_Res,,29),INDEX(tlccQu_Res,,29))</f>
        <v>132.84638752685115</v>
      </c>
      <c r="AH33" s="32">
        <f ca="1">SUMPRODUCT(INDEX(polEff_Res,,30),INDEX(tlccQu_Res,,30))</f>
        <v>132.28525512720975</v>
      </c>
      <c r="AI33" s="32">
        <f ca="1">SUMPRODUCT(INDEX(polEff_Res,,31),INDEX(tlccQu_Res,,31))</f>
        <v>131.73051982950571</v>
      </c>
      <c r="AJ33" s="32">
        <f ca="1">SUMPRODUCT(INDEX(polEff_Res,,32),INDEX(tlccQu_Res,,32))</f>
        <v>131.18191607841513</v>
      </c>
      <c r="AK33" s="32">
        <f ca="1">SUMPRODUCT(INDEX(polEff_Res,,33),INDEX(tlccQu_Res,,33))</f>
        <v>130.63919543465994</v>
      </c>
      <c r="AL33" s="32">
        <f ca="1">SUMPRODUCT(INDEX(polEff_Res,,34),INDEX(tlccQu_Res,,34))</f>
        <v>130.10212545838908</v>
      </c>
      <c r="AM33" s="32">
        <f ca="1">SUMPRODUCT(INDEX(polEff_Res,,35),INDEX(tlccQu_Res,,35))</f>
        <v>129.57015923442881</v>
      </c>
      <c r="AN33" s="55">
        <f ca="1">SUMPRODUCT(INDEX(polEff_Res,,36),INDEX(tlccQu_Res,,36))</f>
        <v>129.04375146750067</v>
      </c>
      <c r="AO33" s="8"/>
    </row>
    <row r="34" spans="2:41" x14ac:dyDescent="0.35">
      <c r="B34" s="8"/>
      <c r="C34" s="20" t="str">
        <f>INDEX(_Sector,2,2)</f>
        <v>Commercial</v>
      </c>
      <c r="D34" s="8"/>
      <c r="E34" s="32">
        <f ca="1">SUMPRODUCT(INDEX(polEff_Com,,1),INDEX(tlccQu_Com,,1))</f>
        <v>147.55591078493273</v>
      </c>
      <c r="F34" s="32">
        <f ca="1">SUMPRODUCT(INDEX(polEff_Com,,2),INDEX(tlccQu_Com,,2))</f>
        <v>146.5456229504087</v>
      </c>
      <c r="G34" s="32">
        <f ca="1">SUMPRODUCT(INDEX(polEff_Com,,3),INDEX(tlccQu_Com,,3))</f>
        <v>146.36393283740401</v>
      </c>
      <c r="H34" s="32">
        <f ca="1">SUMPRODUCT(INDEX(polEff_Com,,4),INDEX(tlccQu_Com,,4))</f>
        <v>145.43004549143066</v>
      </c>
      <c r="I34" s="32">
        <f ca="1">SUMPRODUCT(INDEX(polEff_Com,,5),INDEX(tlccQu_Com,,5))</f>
        <v>144.529533190645</v>
      </c>
      <c r="J34" s="32">
        <f ca="1">SUMPRODUCT(INDEX(polEff_Com,,6),INDEX(tlccQu_Com,,6))</f>
        <v>143.65878613480746</v>
      </c>
      <c r="K34" s="32">
        <f ca="1">SUMPRODUCT(INDEX(polEff_Com,,7),INDEX(tlccQu_Com,,7))</f>
        <v>142.81521053617351</v>
      </c>
      <c r="L34" s="32">
        <f ca="1">SUMPRODUCT(INDEX(polEff_Com,,8),INDEX(tlccQu_Com,,8))</f>
        <v>141.99694733004799</v>
      </c>
      <c r="M34" s="32">
        <f ca="1">SUMPRODUCT(INDEX(polEff_Com,,9),INDEX(tlccQu_Com,,9))</f>
        <v>141.20238178167486</v>
      </c>
      <c r="N34" s="32">
        <f ca="1">SUMPRODUCT(INDEX(polEff_Com,,10),INDEX(tlccQu_Com,,10))</f>
        <v>140.4299377344289</v>
      </c>
      <c r="O34" s="32">
        <f ca="1">SUMPRODUCT(INDEX(polEff_Com,,11),INDEX(tlccQu_Com,,11))</f>
        <v>139.67804850289906</v>
      </c>
      <c r="P34" s="32">
        <f ca="1">SUMPRODUCT(INDEX(polEff_Com,,12),INDEX(tlccQu_Com,,12))</f>
        <v>138.94510499814567</v>
      </c>
      <c r="Q34" s="32">
        <f ca="1">SUMPRODUCT(INDEX(polEff_Com,,13),INDEX(tlccQu_Com,,13))</f>
        <v>138.22958719515879</v>
      </c>
      <c r="R34" s="32">
        <f ca="1">SUMPRODUCT(INDEX(polEff_Com,,14),INDEX(tlccQu_Com,,14))</f>
        <v>137.53011972627471</v>
      </c>
      <c r="S34" s="32">
        <f ca="1">SUMPRODUCT(INDEX(polEff_Com,,15),INDEX(tlccQu_Com,,15))</f>
        <v>136.84544960448019</v>
      </c>
      <c r="T34" s="32">
        <f ca="1">SUMPRODUCT(INDEX(polEff_Com,,16),INDEX(tlccQu_Com,,16))</f>
        <v>136.17459892507594</v>
      </c>
      <c r="U34" s="32">
        <f ca="1">SUMPRODUCT(INDEX(polEff_Com,,17),INDEX(tlccQu_Com,,17))</f>
        <v>135.51666174228791</v>
      </c>
      <c r="V34" s="32">
        <f ca="1">SUMPRODUCT(INDEX(polEff_Com,,18),INDEX(tlccQu_Com,,18))</f>
        <v>134.87085068372937</v>
      </c>
      <c r="W34" s="32">
        <f ca="1">SUMPRODUCT(INDEX(polEff_Com,,19),INDEX(tlccQu_Com,,19))</f>
        <v>134.23646395511722</v>
      </c>
      <c r="X34" s="32">
        <f ca="1">SUMPRODUCT(INDEX(polEff_Com,,20),INDEX(tlccQu_Com,,20))</f>
        <v>133.61286022899762</v>
      </c>
      <c r="Y34" s="32">
        <f ca="1">SUMPRODUCT(INDEX(polEff_Com,,21),INDEX(tlccQu_Com,,21))</f>
        <v>132.99944773979001</v>
      </c>
      <c r="Z34" s="32">
        <f ca="1">SUMPRODUCT(INDEX(polEff_Com,,22),INDEX(tlccQu_Com,,22))</f>
        <v>132.39566911609592</v>
      </c>
      <c r="AA34" s="32">
        <f ca="1">SUMPRODUCT(INDEX(polEff_Com,,23),INDEX(tlccQu_Com,,23))</f>
        <v>131.80100663650407</v>
      </c>
      <c r="AB34" s="32">
        <f ca="1">SUMPRODUCT(INDEX(polEff_Com,,24),INDEX(tlccQu_Com,,24))</f>
        <v>131.21498042943452</v>
      </c>
      <c r="AC34" s="32">
        <f ca="1">SUMPRODUCT(INDEX(polEff_Com,,25),INDEX(tlccQu_Com,,25))</f>
        <v>130.63714806022995</v>
      </c>
      <c r="AD34" s="32">
        <f ca="1">SUMPRODUCT(INDEX(polEff_Com,,26),INDEX(tlccQu_Com,,26))</f>
        <v>130.06710304122882</v>
      </c>
      <c r="AE34" s="32">
        <f ca="1">SUMPRODUCT(INDEX(polEff_Com,,27),INDEX(tlccQu_Com,,27))</f>
        <v>129.5044720259562</v>
      </c>
      <c r="AF34" s="32">
        <f ca="1">SUMPRODUCT(INDEX(polEff_Com,,28),INDEX(tlccQu_Com,,28))</f>
        <v>128.94891131737805</v>
      </c>
      <c r="AG34" s="32">
        <f ca="1">SUMPRODUCT(INDEX(polEff_Com,,29),INDEX(tlccQu_Com,,29))</f>
        <v>128.4001032572163</v>
      </c>
      <c r="AH34" s="32">
        <f ca="1">SUMPRODUCT(INDEX(polEff_Com,,30),INDEX(tlccQu_Com,,30))</f>
        <v>127.85775295044171</v>
      </c>
      <c r="AI34" s="32">
        <f ca="1">SUMPRODUCT(INDEX(polEff_Com,,31),INDEX(tlccQu_Com,,31))</f>
        <v>127.32158562328411</v>
      </c>
      <c r="AJ34" s="32">
        <f ca="1">SUMPRODUCT(INDEX(polEff_Com,,32),INDEX(tlccQu_Com,,32))</f>
        <v>126.79134460902593</v>
      </c>
      <c r="AK34" s="32">
        <f ca="1">SUMPRODUCT(INDEX(polEff_Com,,33),INDEX(tlccQu_Com,,33))</f>
        <v>126.26678978409089</v>
      </c>
      <c r="AL34" s="32">
        <f ca="1">SUMPRODUCT(INDEX(polEff_Com,,34),INDEX(tlccQu_Com,,34))</f>
        <v>125.74769648880083</v>
      </c>
      <c r="AM34" s="32">
        <f ca="1">SUMPRODUCT(INDEX(polEff_Com,,35),INDEX(tlccQu_Com,,35))</f>
        <v>125.23352029417387</v>
      </c>
      <c r="AN34" s="55">
        <f ca="1">SUMPRODUCT(INDEX(polEff_Com,,36),INDEX(tlccQu_Com,,36))</f>
        <v>124.7247323421695</v>
      </c>
      <c r="AO34" s="8"/>
    </row>
    <row r="35" spans="2:41" x14ac:dyDescent="0.35">
      <c r="B35" s="8"/>
      <c r="C35" s="10" t="str">
        <f>zEO&amp;" Costs"</f>
        <v>Operating Costs</v>
      </c>
      <c r="D35" s="11" t="str">
        <f>_yearDol &amp; "$"</f>
        <v>2021$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55"/>
      <c r="AO35" s="8"/>
    </row>
    <row r="36" spans="2:41" x14ac:dyDescent="0.35">
      <c r="B36" s="8"/>
      <c r="C36" s="20" t="str">
        <f>INDEX(_Sector,2,1)</f>
        <v>Residential</v>
      </c>
      <c r="D36" s="8"/>
      <c r="E36" s="32">
        <f ca="1">SUMPRODUCT(INDEX(polEff_Res,,1),INDEX(tlccEu_Res,,1))</f>
        <v>299.82052619021232</v>
      </c>
      <c r="F36" s="32">
        <f ca="1">SUMPRODUCT(INDEX(polEff_Res,,2),INDEX(tlccEu_Res,,2))</f>
        <v>300.00979046419485</v>
      </c>
      <c r="G36" s="32">
        <f ca="1">SUMPRODUCT(INDEX(polEff_Res,,3),INDEX(tlccEu_Res,,3))</f>
        <v>276.35172553798327</v>
      </c>
      <c r="H36" s="32">
        <f ca="1">SUMPRODUCT(INDEX(polEff_Res,,4),INDEX(tlccEu_Res,,4))</f>
        <v>276.61846182562789</v>
      </c>
      <c r="I36" s="32">
        <f ca="1">SUMPRODUCT(INDEX(polEff_Res,,5),INDEX(tlccEu_Res,,5))</f>
        <v>276.86861584722783</v>
      </c>
      <c r="J36" s="32">
        <f ca="1">SUMPRODUCT(INDEX(polEff_Res,,6),INDEX(tlccEu_Res,,6))</f>
        <v>277.07885440355619</v>
      </c>
      <c r="K36" s="32">
        <f ca="1">SUMPRODUCT(INDEX(polEff_Res,,7),INDEX(tlccEu_Res,,7))</f>
        <v>277.24181014403149</v>
      </c>
      <c r="L36" s="32">
        <f ca="1">SUMPRODUCT(INDEX(polEff_Res,,8),INDEX(tlccEu_Res,,8))</f>
        <v>277.37150178413651</v>
      </c>
      <c r="M36" s="32">
        <f ca="1">SUMPRODUCT(INDEX(polEff_Res,,9),INDEX(tlccEu_Res,,9))</f>
        <v>277.43805864830256</v>
      </c>
      <c r="N36" s="32">
        <f ca="1">SUMPRODUCT(INDEX(polEff_Res,,10),INDEX(tlccEu_Res,,10))</f>
        <v>277.45005868026897</v>
      </c>
      <c r="O36" s="32">
        <f ca="1">SUMPRODUCT(INDEX(polEff_Res,,11),INDEX(tlccEu_Res,,11))</f>
        <v>277.36311769036422</v>
      </c>
      <c r="P36" s="32">
        <f ca="1">SUMPRODUCT(INDEX(polEff_Res,,12),INDEX(tlccEu_Res,,12))</f>
        <v>277.19445345055846</v>
      </c>
      <c r="Q36" s="32">
        <f ca="1">SUMPRODUCT(INDEX(polEff_Res,,13),INDEX(tlccEu_Res,,13))</f>
        <v>277.0602427348615</v>
      </c>
      <c r="R36" s="32">
        <f ca="1">SUMPRODUCT(INDEX(polEff_Res,,14),INDEX(tlccEu_Res,,14))</f>
        <v>276.92084188257104</v>
      </c>
      <c r="S36" s="32">
        <f ca="1">SUMPRODUCT(INDEX(polEff_Res,,15),INDEX(tlccEu_Res,,15))</f>
        <v>276.81452083035299</v>
      </c>
      <c r="T36" s="32">
        <f ca="1">SUMPRODUCT(INDEX(polEff_Res,,16),INDEX(tlccEu_Res,,16))</f>
        <v>276.74417684875198</v>
      </c>
      <c r="U36" s="32">
        <f ca="1">SUMPRODUCT(INDEX(polEff_Res,,17),INDEX(tlccEu_Res,,17))</f>
        <v>276.64479773388734</v>
      </c>
      <c r="V36" s="32">
        <f ca="1">SUMPRODUCT(INDEX(polEff_Res,,18),INDEX(tlccEu_Res,,18))</f>
        <v>276.52245556474259</v>
      </c>
      <c r="W36" s="32">
        <f ca="1">SUMPRODUCT(INDEX(polEff_Res,,19),INDEX(tlccEu_Res,,19))</f>
        <v>276.41383215992494</v>
      </c>
      <c r="X36" s="32">
        <f ca="1">SUMPRODUCT(INDEX(polEff_Res,,20),INDEX(tlccEu_Res,,20))</f>
        <v>276.2802484826255</v>
      </c>
      <c r="Y36" s="32">
        <f ca="1">SUMPRODUCT(INDEX(polEff_Res,,21),INDEX(tlccEu_Res,,21))</f>
        <v>276.15066833807538</v>
      </c>
      <c r="Z36" s="32">
        <f ca="1">SUMPRODUCT(INDEX(polEff_Res,,22),INDEX(tlccEu_Res,,22))</f>
        <v>276.08019365437798</v>
      </c>
      <c r="AA36" s="32">
        <f ca="1">SUMPRODUCT(INDEX(polEff_Res,,23),INDEX(tlccEu_Res,,23))</f>
        <v>275.98767672493994</v>
      </c>
      <c r="AB36" s="32">
        <f ca="1">SUMPRODUCT(INDEX(polEff_Res,,24),INDEX(tlccEu_Res,,24))</f>
        <v>275.89791282881617</v>
      </c>
      <c r="AC36" s="32">
        <f ca="1">SUMPRODUCT(INDEX(polEff_Res,,25),INDEX(tlccEu_Res,,25))</f>
        <v>275.82456121905119</v>
      </c>
      <c r="AD36" s="32">
        <f ca="1">SUMPRODUCT(INDEX(polEff_Res,,26),INDEX(tlccEu_Res,,26))</f>
        <v>275.72474522767249</v>
      </c>
      <c r="AE36" s="32">
        <f ca="1">SUMPRODUCT(INDEX(polEff_Res,,27),INDEX(tlccEu_Res,,27))</f>
        <v>275.64424197301332</v>
      </c>
      <c r="AF36" s="32">
        <f ca="1">SUMPRODUCT(INDEX(polEff_Res,,28),INDEX(tlccEu_Res,,28))</f>
        <v>275.6442334010361</v>
      </c>
      <c r="AG36" s="32">
        <f ca="1">SUMPRODUCT(INDEX(polEff_Res,,29),INDEX(tlccEu_Res,,29))</f>
        <v>275.64422486106179</v>
      </c>
      <c r="AH36" s="32">
        <f ca="1">SUMPRODUCT(INDEX(polEff_Res,,30),INDEX(tlccEu_Res,,30))</f>
        <v>275.64421635019278</v>
      </c>
      <c r="AI36" s="32">
        <f ca="1">SUMPRODUCT(INDEX(polEff_Res,,31),INDEX(tlccEu_Res,,31))</f>
        <v>275.64420786571486</v>
      </c>
      <c r="AJ36" s="32">
        <f ca="1">SUMPRODUCT(INDEX(polEff_Res,,32),INDEX(tlccEu_Res,,32))</f>
        <v>275.64419940507742</v>
      </c>
      <c r="AK36" s="32">
        <f ca="1">SUMPRODUCT(INDEX(polEff_Res,,33),INDEX(tlccEu_Res,,33))</f>
        <v>275.64419096587972</v>
      </c>
      <c r="AL36" s="32">
        <f ca="1">SUMPRODUCT(INDEX(polEff_Res,,34),INDEX(tlccEu_Res,,34))</f>
        <v>275.64418254586298</v>
      </c>
      <c r="AM36" s="32">
        <f ca="1">SUMPRODUCT(INDEX(polEff_Res,,35),INDEX(tlccEu_Res,,35))</f>
        <v>275.64165469097929</v>
      </c>
      <c r="AN36" s="55">
        <f ca="1">SUMPRODUCT(INDEX(polEff_Res,,36),INDEX(tlccEu_Res,,36))</f>
        <v>275.64165469097929</v>
      </c>
      <c r="AO36" s="8"/>
    </row>
    <row r="37" spans="2:41" x14ac:dyDescent="0.35">
      <c r="B37" s="8"/>
      <c r="C37" s="20" t="str">
        <f>INDEX(_Sector,2,2)</f>
        <v>Commercial</v>
      </c>
      <c r="D37" s="8"/>
      <c r="E37" s="32">
        <f ca="1">SUMPRODUCT(INDEX(polEff_Com,,1),INDEX(tlccEu_Com,,1))</f>
        <v>371.9324861801345</v>
      </c>
      <c r="F37" s="32">
        <f ca="1">SUMPRODUCT(INDEX(polEff_Com,,2),INDEX(tlccEu_Com,,2))</f>
        <v>371.87898954285799</v>
      </c>
      <c r="G37" s="32">
        <f ca="1">SUMPRODUCT(INDEX(polEff_Com,,3),INDEX(tlccEu_Com,,3))</f>
        <v>338.24051170803267</v>
      </c>
      <c r="H37" s="32">
        <f ca="1">SUMPRODUCT(INDEX(polEff_Com,,4),INDEX(tlccEu_Com,,4))</f>
        <v>338.32277172652527</v>
      </c>
      <c r="I37" s="32">
        <f ca="1">SUMPRODUCT(INDEX(polEff_Com,,5),INDEX(tlccEu_Com,,5))</f>
        <v>338.37595666834335</v>
      </c>
      <c r="J37" s="32">
        <f ca="1">SUMPRODUCT(INDEX(polEff_Com,,6),INDEX(tlccEu_Com,,6))</f>
        <v>338.37284996655666</v>
      </c>
      <c r="K37" s="32">
        <f ca="1">SUMPRODUCT(INDEX(polEff_Com,,7),INDEX(tlccEu_Com,,7))</f>
        <v>338.29803031328254</v>
      </c>
      <c r="L37" s="32">
        <f ca="1">SUMPRODUCT(INDEX(polEff_Com,,8),INDEX(tlccEu_Com,,8))</f>
        <v>338.18067097372153</v>
      </c>
      <c r="M37" s="32">
        <f ca="1">SUMPRODUCT(INDEX(polEff_Com,,9),INDEX(tlccEu_Com,,9))</f>
        <v>337.95378678959958</v>
      </c>
      <c r="N37" s="32">
        <f ca="1">SUMPRODUCT(INDEX(polEff_Com,,10),INDEX(tlccEu_Com,,10))</f>
        <v>337.67805035058353</v>
      </c>
      <c r="O37" s="32">
        <f ca="1">SUMPRODUCT(INDEX(polEff_Com,,11),INDEX(tlccEu_Com,,11))</f>
        <v>337.23613927762602</v>
      </c>
      <c r="P37" s="32">
        <f ca="1">SUMPRODUCT(INDEX(polEff_Com,,12),INDEX(tlccEu_Com,,12))</f>
        <v>336.67567403433827</v>
      </c>
      <c r="Q37" s="32">
        <f ca="1">SUMPRODUCT(INDEX(polEff_Com,,13),INDEX(tlccEu_Com,,13))</f>
        <v>336.19030208219732</v>
      </c>
      <c r="R37" s="32">
        <f ca="1">SUMPRODUCT(INDEX(polEff_Com,,14),INDEX(tlccEu_Com,,14))</f>
        <v>335.71051488708025</v>
      </c>
      <c r="S37" s="32">
        <f ca="1">SUMPRODUCT(INDEX(polEff_Com,,15),INDEX(tlccEu_Com,,15))</f>
        <v>335.28861004737274</v>
      </c>
      <c r="T37" s="32">
        <f ca="1">SUMPRODUCT(INDEX(polEff_Com,,16),INDEX(tlccEu_Com,,16))</f>
        <v>334.94350841403946</v>
      </c>
      <c r="U37" s="32">
        <f ca="1">SUMPRODUCT(INDEX(polEff_Com,,17),INDEX(tlccEu_Com,,17))</f>
        <v>334.53516773670378</v>
      </c>
      <c r="V37" s="32">
        <f ca="1">SUMPRODUCT(INDEX(polEff_Com,,18),INDEX(tlccEu_Com,,18))</f>
        <v>334.09997563358149</v>
      </c>
      <c r="W37" s="32">
        <f ca="1">SUMPRODUCT(INDEX(polEff_Com,,19),INDEX(tlccEu_Com,,19))</f>
        <v>333.72154178909494</v>
      </c>
      <c r="X37" s="32">
        <f ca="1">SUMPRODUCT(INDEX(polEff_Com,,20),INDEX(tlccEu_Com,,20))</f>
        <v>333.32205244903855</v>
      </c>
      <c r="Y37" s="32">
        <f ca="1">SUMPRODUCT(INDEX(polEff_Com,,21),INDEX(tlccEu_Com,,21))</f>
        <v>332.92477597747853</v>
      </c>
      <c r="Z37" s="32">
        <f ca="1">SUMPRODUCT(INDEX(polEff_Com,,22),INDEX(tlccEu_Com,,22))</f>
        <v>332.66914367910192</v>
      </c>
      <c r="AA37" s="32">
        <f ca="1">SUMPRODUCT(INDEX(polEff_Com,,23),INDEX(tlccEu_Com,,23))</f>
        <v>332.394322012987</v>
      </c>
      <c r="AB37" s="32">
        <f ca="1">SUMPRODUCT(INDEX(polEff_Com,,24),INDEX(tlccEu_Com,,24))</f>
        <v>332.14026827186001</v>
      </c>
      <c r="AC37" s="32">
        <f ca="1">SUMPRODUCT(INDEX(polEff_Com,,25),INDEX(tlccEu_Com,,25))</f>
        <v>331.96435916348162</v>
      </c>
      <c r="AD37" s="32">
        <f ca="1">SUMPRODUCT(INDEX(polEff_Com,,26),INDEX(tlccEu_Com,,26))</f>
        <v>331.76037397994139</v>
      </c>
      <c r="AE37" s="32">
        <f ca="1">SUMPRODUCT(INDEX(polEff_Com,,27),INDEX(tlccEu_Com,,27))</f>
        <v>331.60083370944488</v>
      </c>
      <c r="AF37" s="32">
        <f ca="1">SUMPRODUCT(INDEX(polEff_Com,,28),INDEX(tlccEu_Com,,28))</f>
        <v>331.60082629236604</v>
      </c>
      <c r="AG37" s="32">
        <f ca="1">SUMPRODUCT(INDEX(polEff_Com,,29),INDEX(tlccEu_Com,,29))</f>
        <v>331.60081890297823</v>
      </c>
      <c r="AH37" s="32">
        <f ca="1">SUMPRODUCT(INDEX(polEff_Com,,30),INDEX(tlccEu_Com,,30))</f>
        <v>331.60081153877451</v>
      </c>
      <c r="AI37" s="32">
        <f ca="1">SUMPRODUCT(INDEX(polEff_Com,,31),INDEX(tlccEu_Com,,31))</f>
        <v>331.60080419740626</v>
      </c>
      <c r="AJ37" s="32">
        <f ca="1">SUMPRODUCT(INDEX(polEff_Com,,32),INDEX(tlccEu_Com,,32))</f>
        <v>331.60079687666661</v>
      </c>
      <c r="AK37" s="32">
        <f ca="1">SUMPRODUCT(INDEX(polEff_Com,,33),INDEX(tlccEu_Com,,33))</f>
        <v>331.60078957447814</v>
      </c>
      <c r="AL37" s="32">
        <f ca="1">SUMPRODUCT(INDEX(polEff_Com,,34),INDEX(tlccEu_Com,,34))</f>
        <v>331.60078228888653</v>
      </c>
      <c r="AM37" s="32">
        <f ca="1">SUMPRODUCT(INDEX(polEff_Com,,35),INDEX(tlccEu_Com,,35))</f>
        <v>331.59853235102833</v>
      </c>
      <c r="AN37" s="55">
        <f ca="1">SUMPRODUCT(INDEX(polEff_Com,,36),INDEX(tlccEu_Com,,36))</f>
        <v>331.59853235102833</v>
      </c>
      <c r="AO37" s="8"/>
    </row>
    <row r="38" spans="2:41" x14ac:dyDescent="0.35">
      <c r="B38" s="8"/>
      <c r="C38" s="10" t="s">
        <v>78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18"/>
      <c r="AO38" s="8"/>
    </row>
    <row r="39" spans="2:41" x14ac:dyDescent="0.35">
      <c r="B39" s="8"/>
      <c r="C39" s="20" t="str">
        <f>INDEX(_fuel,1)</f>
        <v>Electricity</v>
      </c>
      <c r="D39" s="11" t="s">
        <v>80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1"/>
      <c r="AO39" s="8"/>
    </row>
    <row r="40" spans="2:41" x14ac:dyDescent="0.35">
      <c r="B40" s="8"/>
      <c r="C40" s="50" t="str">
        <f>INDEX(_Sector,2,1)</f>
        <v>Residential</v>
      </c>
      <c r="D40" s="8"/>
      <c r="E40" s="40">
        <f ca="1">SUMPRODUCT(INDEX(polEff_Res,,1),INDEX(tlccFuElec_Res,,1))</f>
        <v>8.0826726465115684</v>
      </c>
      <c r="F40" s="40">
        <f ca="1">SUMPRODUCT(INDEX(polEff_Res,,2),INDEX(tlccFuElec_Res,,2))</f>
        <v>8.0432116678361822</v>
      </c>
      <c r="G40" s="40">
        <f ca="1">SUMPRODUCT(INDEX(polEff_Res,,3),INDEX(tlccFuElec_Res,,3))</f>
        <v>6.3916394638760776</v>
      </c>
      <c r="H40" s="40">
        <f ca="1">SUMPRODUCT(INDEX(polEff_Res,,4),INDEX(tlccFuElec_Res,,4))</f>
        <v>6.3736462493999291</v>
      </c>
      <c r="I40" s="40">
        <f ca="1">SUMPRODUCT(INDEX(polEff_Res,,5),INDEX(tlccFuElec_Res,,5))</f>
        <v>6.3611476058157077</v>
      </c>
      <c r="J40" s="40">
        <f ca="1">SUMPRODUCT(INDEX(polEff_Res,,6),INDEX(tlccFuElec_Res,,6))</f>
        <v>6.3512474571339101</v>
      </c>
      <c r="K40" s="40">
        <f ca="1">SUMPRODUCT(INDEX(polEff_Res,,7),INDEX(tlccFuElec_Res,,7))</f>
        <v>6.3426731509927592</v>
      </c>
      <c r="L40" s="40">
        <f ca="1">SUMPRODUCT(INDEX(polEff_Res,,8),INDEX(tlccFuElec_Res,,8))</f>
        <v>6.3334206502228758</v>
      </c>
      <c r="M40" s="40">
        <f ca="1">SUMPRODUCT(INDEX(polEff_Res,,9),INDEX(tlccFuElec_Res,,9))</f>
        <v>6.3245163404505824</v>
      </c>
      <c r="N40" s="40">
        <f ca="1">SUMPRODUCT(INDEX(polEff_Res,,10),INDEX(tlccFuElec_Res,,10))</f>
        <v>6.3160832228404047</v>
      </c>
      <c r="O40" s="40">
        <f ca="1">SUMPRODUCT(INDEX(polEff_Res,,11),INDEX(tlccFuElec_Res,,11))</f>
        <v>6.3072567790963774</v>
      </c>
      <c r="P40" s="40">
        <f ca="1">SUMPRODUCT(INDEX(polEff_Res,,12),INDEX(tlccFuElec_Res,,12))</f>
        <v>6.2997988184566704</v>
      </c>
      <c r="Q40" s="40">
        <f ca="1">SUMPRODUCT(INDEX(polEff_Res,,13),INDEX(tlccFuElec_Res,,13))</f>
        <v>6.2921478664155446</v>
      </c>
      <c r="R40" s="40">
        <f ca="1">SUMPRODUCT(INDEX(polEff_Res,,14),INDEX(tlccFuElec_Res,,14))</f>
        <v>6.2854794155383722</v>
      </c>
      <c r="S40" s="40">
        <f ca="1">SUMPRODUCT(INDEX(polEff_Res,,15),INDEX(tlccFuElec_Res,,15))</f>
        <v>6.279862535154769</v>
      </c>
      <c r="T40" s="40">
        <f ca="1">SUMPRODUCT(INDEX(polEff_Res,,16),INDEX(tlccFuElec_Res,,16))</f>
        <v>6.2746330840321027</v>
      </c>
      <c r="U40" s="40">
        <f ca="1">SUMPRODUCT(INDEX(polEff_Res,,17),INDEX(tlccFuElec_Res,,17))</f>
        <v>6.2692586126112859</v>
      </c>
      <c r="V40" s="40">
        <f ca="1">SUMPRODUCT(INDEX(polEff_Res,,18),INDEX(tlccFuElec_Res,,18))</f>
        <v>6.2644455228247367</v>
      </c>
      <c r="W40" s="40">
        <f ca="1">SUMPRODUCT(INDEX(polEff_Res,,19),INDEX(tlccFuElec_Res,,19))</f>
        <v>6.2605091318351329</v>
      </c>
      <c r="X40" s="40">
        <f ca="1">SUMPRODUCT(INDEX(polEff_Res,,20),INDEX(tlccFuElec_Res,,20))</f>
        <v>6.2571810329408146</v>
      </c>
      <c r="Y40" s="40">
        <f ca="1">SUMPRODUCT(INDEX(polEff_Res,,21),INDEX(tlccFuElec_Res,,21))</f>
        <v>6.2545028916868599</v>
      </c>
      <c r="Z40" s="40">
        <f ca="1">SUMPRODUCT(INDEX(polEff_Res,,22),INDEX(tlccFuElec_Res,,22))</f>
        <v>6.25346515083368</v>
      </c>
      <c r="AA40" s="40">
        <f ca="1">SUMPRODUCT(INDEX(polEff_Res,,23),INDEX(tlccFuElec_Res,,23))</f>
        <v>6.2534383324733014</v>
      </c>
      <c r="AB40" s="40">
        <f ca="1">SUMPRODUCT(INDEX(polEff_Res,,24),INDEX(tlccFuElec_Res,,24))</f>
        <v>6.2537251623005732</v>
      </c>
      <c r="AC40" s="40">
        <f ca="1">SUMPRODUCT(INDEX(polEff_Res,,25),INDEX(tlccFuElec_Res,,25))</f>
        <v>6.2543382523895721</v>
      </c>
      <c r="AD40" s="40">
        <f ca="1">SUMPRODUCT(INDEX(polEff_Res,,26),INDEX(tlccFuElec_Res,,26))</f>
        <v>6.2548530122931787</v>
      </c>
      <c r="AE40" s="40">
        <f ca="1">SUMPRODUCT(INDEX(polEff_Res,,27),INDEX(tlccFuElec_Res,,27))</f>
        <v>6.25497523296489</v>
      </c>
      <c r="AF40" s="40">
        <f ca="1">SUMPRODUCT(INDEX(polEff_Res,,28),INDEX(tlccFuElec_Res,,28))</f>
        <v>6.2549761874550462</v>
      </c>
      <c r="AG40" s="40">
        <f ca="1">SUMPRODUCT(INDEX(polEff_Res,,29),INDEX(tlccFuElec_Res,,29))</f>
        <v>6.2549771383816761</v>
      </c>
      <c r="AH40" s="40">
        <f ca="1">SUMPRODUCT(INDEX(polEff_Res,,30),INDEX(tlccFuElec_Res,,30))</f>
        <v>6.2549780860674371</v>
      </c>
      <c r="AI40" s="40">
        <f ca="1">SUMPRODUCT(INDEX(polEff_Res,,31),INDEX(tlccFuElec_Res,,31))</f>
        <v>6.2549790308145514</v>
      </c>
      <c r="AJ40" s="40">
        <f ca="1">SUMPRODUCT(INDEX(polEff_Res,,32),INDEX(tlccFuElec_Res,,32))</f>
        <v>6.2549799729070159</v>
      </c>
      <c r="AK40" s="40">
        <f ca="1">SUMPRODUCT(INDEX(polEff_Res,,33),INDEX(tlccFuElec_Res,,33))</f>
        <v>6.2549809126121705</v>
      </c>
      <c r="AL40" s="40">
        <f ca="1">SUMPRODUCT(INDEX(polEff_Res,,34),INDEX(tlccFuElec_Res,,34))</f>
        <v>6.2549818501815135</v>
      </c>
      <c r="AM40" s="40">
        <f ca="1">SUMPRODUCT(INDEX(polEff_Res,,35),INDEX(tlccFuElec_Res,,35))</f>
        <v>6.2552633269692395</v>
      </c>
      <c r="AN40" s="41">
        <f ca="1">SUMPRODUCT(INDEX(polEff_Res,,36),INDEX(tlccFuElec_Res,,36))</f>
        <v>6.2552633269692395</v>
      </c>
      <c r="AO40" s="8"/>
    </row>
    <row r="41" spans="2:41" x14ac:dyDescent="0.35">
      <c r="B41" s="8"/>
      <c r="C41" s="58" t="str">
        <f>INDEX(_Sector,2,2)</f>
        <v>Commercial</v>
      </c>
      <c r="D41" s="56"/>
      <c r="E41" s="48">
        <f ca="1">SUMPRODUCT(INDEX(polEff_Com,,1),INDEX(tlccFuElec_Com,,1))</f>
        <v>16.512552291522685</v>
      </c>
      <c r="F41" s="48">
        <f ca="1">SUMPRODUCT(INDEX(polEff_Com,,2),INDEX(tlccFuElec_Com,,2))</f>
        <v>16.428830363676951</v>
      </c>
      <c r="G41" s="48">
        <f ca="1">SUMPRODUCT(INDEX(polEff_Com,,3),INDEX(tlccFuElec_Com,,3))</f>
        <v>13.014589080939755</v>
      </c>
      <c r="H41" s="48">
        <f ca="1">SUMPRODUCT(INDEX(polEff_Com,,4),INDEX(tlccFuElec_Com,,4))</f>
        <v>12.977715602641899</v>
      </c>
      <c r="I41" s="48">
        <f ca="1">SUMPRODUCT(INDEX(polEff_Com,,5),INDEX(tlccFuElec_Com,,5))</f>
        <v>12.953179801664943</v>
      </c>
      <c r="J41" s="48">
        <f ca="1">SUMPRODUCT(INDEX(polEff_Com,,6),INDEX(tlccFuElec_Com,,6))</f>
        <v>12.934436793170706</v>
      </c>
      <c r="K41" s="48">
        <f ca="1">SUMPRODUCT(INDEX(polEff_Com,,7),INDEX(tlccFuElec_Com,,7))</f>
        <v>12.918447531733293</v>
      </c>
      <c r="L41" s="48">
        <f ca="1">SUMPRODUCT(INDEX(polEff_Com,,8),INDEX(tlccFuElec_Com,,8))</f>
        <v>12.901321081961164</v>
      </c>
      <c r="M41" s="48">
        <f ca="1">SUMPRODUCT(INDEX(polEff_Com,,9),INDEX(tlccFuElec_Com,,9))</f>
        <v>12.885138940310194</v>
      </c>
      <c r="N41" s="48">
        <f ca="1">SUMPRODUCT(INDEX(polEff_Com,,10),INDEX(tlccFuElec_Com,,10))</f>
        <v>12.869889512433575</v>
      </c>
      <c r="O41" s="48">
        <f ca="1">SUMPRODUCT(INDEX(polEff_Com,,11),INDEX(tlccFuElec_Com,,11))</f>
        <v>12.854084379154598</v>
      </c>
      <c r="P41" s="48">
        <f ca="1">SUMPRODUCT(INDEX(polEff_Com,,12),INDEX(tlccFuElec_Com,,12))</f>
        <v>12.84052668221206</v>
      </c>
      <c r="Q41" s="48">
        <f ca="1">SUMPRODUCT(INDEX(polEff_Com,,13),INDEX(tlccFuElec_Com,,13))</f>
        <v>12.826404695776585</v>
      </c>
      <c r="R41" s="48">
        <f ca="1">SUMPRODUCT(INDEX(polEff_Com,,14),INDEX(tlccFuElec_Com,,14))</f>
        <v>12.814092258435071</v>
      </c>
      <c r="S41" s="48">
        <f ca="1">SUMPRODUCT(INDEX(polEff_Com,,15),INDEX(tlccFuElec_Com,,15))</f>
        <v>12.803865872212077</v>
      </c>
      <c r="T41" s="48">
        <f ca="1">SUMPRODUCT(INDEX(polEff_Com,,16),INDEX(tlccFuElec_Com,,16))</f>
        <v>12.794493677782002</v>
      </c>
      <c r="U41" s="48">
        <f ca="1">SUMPRODUCT(INDEX(polEff_Com,,17),INDEX(tlccFuElec_Com,,17))</f>
        <v>12.78483512422863</v>
      </c>
      <c r="V41" s="48">
        <f ca="1">SUMPRODUCT(INDEX(polEff_Com,,18),INDEX(tlccFuElec_Com,,18))</f>
        <v>12.77614185322655</v>
      </c>
      <c r="W41" s="48">
        <f ca="1">SUMPRODUCT(INDEX(polEff_Com,,19),INDEX(tlccFuElec_Com,,19))</f>
        <v>12.769118237963431</v>
      </c>
      <c r="X41" s="48">
        <f ca="1">SUMPRODUCT(INDEX(polEff_Com,,20),INDEX(tlccFuElec_Com,,20))</f>
        <v>12.763247560064464</v>
      </c>
      <c r="Y41" s="48">
        <f ca="1">SUMPRODUCT(INDEX(polEff_Com,,21),INDEX(tlccFuElec_Com,,21))</f>
        <v>12.758538908553914</v>
      </c>
      <c r="Z41" s="48">
        <f ca="1">SUMPRODUCT(INDEX(polEff_Com,,22),INDEX(tlccFuElec_Com,,22))</f>
        <v>12.756969638636907</v>
      </c>
      <c r="AA41" s="48">
        <f ca="1">SUMPRODUCT(INDEX(polEff_Com,,23),INDEX(tlccFuElec_Com,,23))</f>
        <v>12.757301516735987</v>
      </c>
      <c r="AB41" s="48">
        <f ca="1">SUMPRODUCT(INDEX(polEff_Com,,24),INDEX(tlccFuElec_Com,,24))</f>
        <v>12.758194211775059</v>
      </c>
      <c r="AC41" s="48">
        <f ca="1">SUMPRODUCT(INDEX(polEff_Com,,25),INDEX(tlccFuElec_Com,,25))</f>
        <v>12.759607985774595</v>
      </c>
      <c r="AD41" s="48">
        <f ca="1">SUMPRODUCT(INDEX(polEff_Com,,26),INDEX(tlccFuElec_Com,,26))</f>
        <v>12.760739053984645</v>
      </c>
      <c r="AE41" s="48">
        <f ca="1">SUMPRODUCT(INDEX(polEff_Com,,27),INDEX(tlccFuElec_Com,,27))</f>
        <v>12.761035173363036</v>
      </c>
      <c r="AF41" s="48">
        <f ca="1">SUMPRODUCT(INDEX(polEff_Com,,28),INDEX(tlccFuElec_Com,,28))</f>
        <v>12.761037173197051</v>
      </c>
      <c r="AG41" s="48">
        <f ca="1">SUMPRODUCT(INDEX(polEff_Com,,29),INDEX(tlccFuElec_Com,,29))</f>
        <v>12.761039165564801</v>
      </c>
      <c r="AH41" s="48">
        <f ca="1">SUMPRODUCT(INDEX(polEff_Com,,30),INDEX(tlccFuElec_Com,,30))</f>
        <v>12.761041151142306</v>
      </c>
      <c r="AI41" s="48">
        <f ca="1">SUMPRODUCT(INDEX(polEff_Com,,31),INDEX(tlccFuElec_Com,,31))</f>
        <v>12.761043130562781</v>
      </c>
      <c r="AJ41" s="48">
        <f ca="1">SUMPRODUCT(INDEX(polEff_Com,,32),INDEX(tlccFuElec_Com,,32))</f>
        <v>12.761045104421257</v>
      </c>
      <c r="AK41" s="48">
        <f ca="1">SUMPRODUCT(INDEX(polEff_Com,,33),INDEX(tlccFuElec_Com,,33))</f>
        <v>12.761047073277854</v>
      </c>
      <c r="AL41" s="48">
        <f ca="1">SUMPRODUCT(INDEX(polEff_Com,,34),INDEX(tlccFuElec_Com,,34))</f>
        <v>12.761049037659518</v>
      </c>
      <c r="AM41" s="48">
        <f ca="1">SUMPRODUCT(INDEX(polEff_Com,,35),INDEX(tlccFuElec_Com,,35))</f>
        <v>12.761655678399416</v>
      </c>
      <c r="AN41" s="49">
        <f ca="1">SUMPRODUCT(INDEX(polEff_Com,,36),INDEX(tlccFuElec_Com,,36))</f>
        <v>12.761655678399416</v>
      </c>
      <c r="AO41" s="8"/>
    </row>
    <row r="42" spans="2:4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</row>
    <row r="43" spans="2:41" x14ac:dyDescent="0.35">
      <c r="B43" s="8"/>
      <c r="C43" s="132" t="s">
        <v>13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4"/>
      <c r="AO43" s="8"/>
    </row>
    <row r="44" spans="2:41" x14ac:dyDescent="0.35">
      <c r="B44" s="8"/>
      <c r="C44" s="23" t="s">
        <v>98</v>
      </c>
      <c r="D44" s="24"/>
      <c r="E44" s="26">
        <f t="array" ref="E44:AN44">_yS</f>
        <v>2024</v>
      </c>
      <c r="F44" s="26">
        <v>2025</v>
      </c>
      <c r="G44" s="26">
        <v>2026</v>
      </c>
      <c r="H44" s="26">
        <v>2027</v>
      </c>
      <c r="I44" s="26">
        <v>2028</v>
      </c>
      <c r="J44" s="26">
        <v>2029</v>
      </c>
      <c r="K44" s="26">
        <v>2030</v>
      </c>
      <c r="L44" s="26">
        <v>2031</v>
      </c>
      <c r="M44" s="26">
        <v>2032</v>
      </c>
      <c r="N44" s="26">
        <v>2033</v>
      </c>
      <c r="O44" s="26">
        <v>2034</v>
      </c>
      <c r="P44" s="26">
        <v>2035</v>
      </c>
      <c r="Q44" s="26">
        <v>2036</v>
      </c>
      <c r="R44" s="26">
        <v>2037</v>
      </c>
      <c r="S44" s="26">
        <v>2038</v>
      </c>
      <c r="T44" s="26">
        <v>2039</v>
      </c>
      <c r="U44" s="26">
        <v>2040</v>
      </c>
      <c r="V44" s="26">
        <v>2041</v>
      </c>
      <c r="W44" s="26">
        <v>2042</v>
      </c>
      <c r="X44" s="26">
        <v>2043</v>
      </c>
      <c r="Y44" s="26">
        <v>2044</v>
      </c>
      <c r="Z44" s="26">
        <v>2045</v>
      </c>
      <c r="AA44" s="26">
        <v>2046</v>
      </c>
      <c r="AB44" s="26">
        <v>2047</v>
      </c>
      <c r="AC44" s="26">
        <v>2048</v>
      </c>
      <c r="AD44" s="26">
        <v>2049</v>
      </c>
      <c r="AE44" s="26">
        <v>2050</v>
      </c>
      <c r="AF44" s="26">
        <v>2051</v>
      </c>
      <c r="AG44" s="26">
        <v>2052</v>
      </c>
      <c r="AH44" s="26">
        <v>2053</v>
      </c>
      <c r="AI44" s="26">
        <v>2054</v>
      </c>
      <c r="AJ44" s="26">
        <v>2055</v>
      </c>
      <c r="AK44" s="26">
        <v>2056</v>
      </c>
      <c r="AL44" s="26">
        <v>2057</v>
      </c>
      <c r="AM44" s="26">
        <v>2058</v>
      </c>
      <c r="AN44" s="27">
        <v>2059</v>
      </c>
      <c r="AO44" s="8"/>
    </row>
    <row r="45" spans="2:41" x14ac:dyDescent="0.35">
      <c r="B45" s="8"/>
      <c r="C45" s="19" t="str">
        <f>"EL 0: " &amp; INDEX(_doName,3,1)</f>
        <v>EL 0: Baseline</v>
      </c>
      <c r="D45" s="11" t="s">
        <v>63</v>
      </c>
      <c r="E45" s="43">
        <f t="array" aca="1" ref="E45:AN49" ca="1">IF(_yS&lt;yearC,bcEff_Res,IF(_yS&lt;year2nd,MMULT(mRoll1_Res,refEff_Res),MMULT(mRoll2_Res,refEff_Res)))</f>
        <v>0</v>
      </c>
      <c r="F45" s="43">
        <f ca="1"/>
        <v>0</v>
      </c>
      <c r="G45" s="43">
        <f ca="1"/>
        <v>0</v>
      </c>
      <c r="H45" s="43">
        <f ca="1"/>
        <v>0</v>
      </c>
      <c r="I45" s="43">
        <f ca="1"/>
        <v>0</v>
      </c>
      <c r="J45" s="43">
        <f ca="1"/>
        <v>0</v>
      </c>
      <c r="K45" s="43">
        <f ca="1"/>
        <v>0</v>
      </c>
      <c r="L45" s="43">
        <f ca="1"/>
        <v>0</v>
      </c>
      <c r="M45" s="43">
        <f ca="1"/>
        <v>0</v>
      </c>
      <c r="N45" s="43">
        <f ca="1"/>
        <v>0</v>
      </c>
      <c r="O45" s="43">
        <f ca="1"/>
        <v>0</v>
      </c>
      <c r="P45" s="43">
        <f ca="1"/>
        <v>0</v>
      </c>
      <c r="Q45" s="43">
        <f ca="1"/>
        <v>0</v>
      </c>
      <c r="R45" s="43">
        <f ca="1"/>
        <v>0</v>
      </c>
      <c r="S45" s="43">
        <f ca="1"/>
        <v>0</v>
      </c>
      <c r="T45" s="43">
        <f ca="1"/>
        <v>0</v>
      </c>
      <c r="U45" s="43">
        <f ca="1"/>
        <v>0</v>
      </c>
      <c r="V45" s="43">
        <f ca="1"/>
        <v>0</v>
      </c>
      <c r="W45" s="43">
        <f ca="1"/>
        <v>0</v>
      </c>
      <c r="X45" s="43">
        <f ca="1"/>
        <v>0</v>
      </c>
      <c r="Y45" s="43">
        <f ca="1"/>
        <v>0</v>
      </c>
      <c r="Z45" s="43">
        <f ca="1"/>
        <v>0</v>
      </c>
      <c r="AA45" s="43">
        <f ca="1"/>
        <v>0</v>
      </c>
      <c r="AB45" s="43">
        <f ca="1"/>
        <v>0</v>
      </c>
      <c r="AC45" s="43">
        <f ca="1"/>
        <v>0</v>
      </c>
      <c r="AD45" s="43">
        <f ca="1"/>
        <v>0</v>
      </c>
      <c r="AE45" s="43">
        <f ca="1"/>
        <v>0</v>
      </c>
      <c r="AF45" s="43">
        <f ca="1"/>
        <v>0</v>
      </c>
      <c r="AG45" s="43">
        <f ca="1"/>
        <v>0</v>
      </c>
      <c r="AH45" s="43">
        <f ca="1"/>
        <v>0</v>
      </c>
      <c r="AI45" s="43">
        <f ca="1"/>
        <v>0</v>
      </c>
      <c r="AJ45" s="43">
        <f ca="1"/>
        <v>0</v>
      </c>
      <c r="AK45" s="43">
        <f ca="1"/>
        <v>0</v>
      </c>
      <c r="AL45" s="43">
        <f ca="1"/>
        <v>0</v>
      </c>
      <c r="AM45" s="43">
        <f ca="1"/>
        <v>0</v>
      </c>
      <c r="AN45" s="44">
        <f ca="1"/>
        <v>0</v>
      </c>
      <c r="AO45" s="8"/>
    </row>
    <row r="46" spans="2:41" x14ac:dyDescent="0.35">
      <c r="B46" s="8"/>
      <c r="C46" s="19" t="str">
        <f>"EL 1: " &amp; INDEX(_doName,3,2)</f>
        <v>EL 1: Tier 1</v>
      </c>
      <c r="D46" s="11" t="s">
        <v>63</v>
      </c>
      <c r="E46" s="43">
        <f ca="1"/>
        <v>0.55400169110939512</v>
      </c>
      <c r="F46" s="43">
        <f ca="1"/>
        <v>0.554139807771307</v>
      </c>
      <c r="G46" s="43">
        <f ca="1"/>
        <v>0</v>
      </c>
      <c r="H46" s="43">
        <f ca="1"/>
        <v>0</v>
      </c>
      <c r="I46" s="43">
        <f ca="1"/>
        <v>0</v>
      </c>
      <c r="J46" s="43">
        <f ca="1"/>
        <v>0</v>
      </c>
      <c r="K46" s="43">
        <f ca="1"/>
        <v>0</v>
      </c>
      <c r="L46" s="43">
        <f ca="1"/>
        <v>0</v>
      </c>
      <c r="M46" s="43">
        <f ca="1"/>
        <v>0</v>
      </c>
      <c r="N46" s="43">
        <f ca="1"/>
        <v>0</v>
      </c>
      <c r="O46" s="43">
        <f ca="1"/>
        <v>0</v>
      </c>
      <c r="P46" s="43">
        <f ca="1"/>
        <v>0</v>
      </c>
      <c r="Q46" s="43">
        <f ca="1"/>
        <v>0</v>
      </c>
      <c r="R46" s="43">
        <f ca="1"/>
        <v>0</v>
      </c>
      <c r="S46" s="43">
        <f ca="1"/>
        <v>0</v>
      </c>
      <c r="T46" s="43">
        <f ca="1"/>
        <v>0</v>
      </c>
      <c r="U46" s="43">
        <f ca="1"/>
        <v>0</v>
      </c>
      <c r="V46" s="43">
        <f ca="1"/>
        <v>0</v>
      </c>
      <c r="W46" s="43">
        <f ca="1"/>
        <v>0</v>
      </c>
      <c r="X46" s="43">
        <f ca="1"/>
        <v>0</v>
      </c>
      <c r="Y46" s="43">
        <f ca="1"/>
        <v>0</v>
      </c>
      <c r="Z46" s="43">
        <f ca="1"/>
        <v>0</v>
      </c>
      <c r="AA46" s="43">
        <f ca="1"/>
        <v>0</v>
      </c>
      <c r="AB46" s="43">
        <f ca="1"/>
        <v>0</v>
      </c>
      <c r="AC46" s="43">
        <f ca="1"/>
        <v>0</v>
      </c>
      <c r="AD46" s="43">
        <f ca="1"/>
        <v>0</v>
      </c>
      <c r="AE46" s="43">
        <f ca="1"/>
        <v>0</v>
      </c>
      <c r="AF46" s="43">
        <f ca="1"/>
        <v>0</v>
      </c>
      <c r="AG46" s="43">
        <f ca="1"/>
        <v>0</v>
      </c>
      <c r="AH46" s="43">
        <f ca="1"/>
        <v>0</v>
      </c>
      <c r="AI46" s="43">
        <f ca="1"/>
        <v>0</v>
      </c>
      <c r="AJ46" s="43">
        <f ca="1"/>
        <v>0</v>
      </c>
      <c r="AK46" s="43">
        <f ca="1"/>
        <v>0</v>
      </c>
      <c r="AL46" s="43">
        <f ca="1"/>
        <v>0</v>
      </c>
      <c r="AM46" s="43">
        <f ca="1"/>
        <v>0</v>
      </c>
      <c r="AN46" s="44">
        <f ca="1"/>
        <v>0</v>
      </c>
      <c r="AO46" s="8"/>
    </row>
    <row r="47" spans="2:41" x14ac:dyDescent="0.35">
      <c r="B47" s="8"/>
      <c r="C47" s="19" t="str">
        <f>"EL 2: " &amp; INDEX(_doName,3,3)</f>
        <v>EL 2: Tier 2</v>
      </c>
      <c r="D47" s="11" t="s">
        <v>63</v>
      </c>
      <c r="E47" s="43">
        <f ca="1"/>
        <v>0.37764607764300262</v>
      </c>
      <c r="F47" s="43">
        <f ca="1"/>
        <v>0.37752912828559826</v>
      </c>
      <c r="G47" s="43">
        <f ca="1"/>
        <v>0.93158093785808083</v>
      </c>
      <c r="H47" s="43">
        <f ca="1"/>
        <v>0.93160282794110016</v>
      </c>
      <c r="I47" s="43">
        <f ca="1"/>
        <v>0.9316245217224377</v>
      </c>
      <c r="J47" s="43">
        <f ca="1"/>
        <v>0.93163044723959576</v>
      </c>
      <c r="K47" s="43">
        <f ca="1"/>
        <v>0.93163632119651019</v>
      </c>
      <c r="L47" s="43">
        <f ca="1"/>
        <v>0.93164214537185575</v>
      </c>
      <c r="M47" s="43">
        <f ca="1"/>
        <v>0.93164792136323671</v>
      </c>
      <c r="N47" s="43">
        <f ca="1"/>
        <v>0.93165365068698258</v>
      </c>
      <c r="O47" s="43">
        <f ca="1"/>
        <v>0.93165437749894209</v>
      </c>
      <c r="P47" s="43">
        <f ca="1"/>
        <v>0.93165509669249413</v>
      </c>
      <c r="Q47" s="43">
        <f ca="1"/>
        <v>0.93165580877935783</v>
      </c>
      <c r="R47" s="43">
        <f ca="1"/>
        <v>0.93165651422682783</v>
      </c>
      <c r="S47" s="43">
        <f ca="1"/>
        <v>0.93165721346477914</v>
      </c>
      <c r="T47" s="43">
        <f ca="1"/>
        <v>0.9316579068181714</v>
      </c>
      <c r="U47" s="43">
        <f ca="1"/>
        <v>0.93165859459103606</v>
      </c>
      <c r="V47" s="43">
        <f ca="1"/>
        <v>0.93165927704512708</v>
      </c>
      <c r="W47" s="43">
        <f ca="1"/>
        <v>0.93165995441269467</v>
      </c>
      <c r="X47" s="43">
        <f ca="1"/>
        <v>0.93166062690629614</v>
      </c>
      <c r="Y47" s="43">
        <f ca="1"/>
        <v>0.93166089566694743</v>
      </c>
      <c r="Z47" s="43">
        <f ca="1"/>
        <v>0.93166116261779086</v>
      </c>
      <c r="AA47" s="43">
        <f ca="1"/>
        <v>0.93166142790813522</v>
      </c>
      <c r="AB47" s="43">
        <f ca="1"/>
        <v>0.93166169167773183</v>
      </c>
      <c r="AC47" s="43">
        <f ca="1"/>
        <v>0.93166195405621477</v>
      </c>
      <c r="AD47" s="43">
        <f ca="1"/>
        <v>0.93166221516305081</v>
      </c>
      <c r="AE47" s="43">
        <f ca="1"/>
        <v>0.93166247510814171</v>
      </c>
      <c r="AF47" s="43">
        <f ca="1"/>
        <v>0.93166273399281541</v>
      </c>
      <c r="AG47" s="43">
        <f ca="1"/>
        <v>0.93166299191096069</v>
      </c>
      <c r="AH47" s="43">
        <f ca="1"/>
        <v>0.93166324895009023</v>
      </c>
      <c r="AI47" s="43">
        <f ca="1"/>
        <v>0.931663505192176</v>
      </c>
      <c r="AJ47" s="43">
        <f ca="1"/>
        <v>0.93166376071424584</v>
      </c>
      <c r="AK47" s="43">
        <f ca="1"/>
        <v>0.93166401558880962</v>
      </c>
      <c r="AL47" s="43">
        <f ca="1"/>
        <v>0.93166426988408158</v>
      </c>
      <c r="AM47" s="43">
        <f ca="1"/>
        <v>0.93174061433447108</v>
      </c>
      <c r="AN47" s="44">
        <f ca="1"/>
        <v>0.93174061433447108</v>
      </c>
      <c r="AO47" s="8"/>
    </row>
    <row r="48" spans="2:41" x14ac:dyDescent="0.35">
      <c r="B48" s="8"/>
      <c r="C48" s="19" t="str">
        <f>"EL 3: " &amp; INDEX(_doName,3,4)</f>
        <v>EL 3: EL 3</v>
      </c>
      <c r="D48" s="11" t="s">
        <v>63</v>
      </c>
      <c r="E48" s="43">
        <f ca="1"/>
        <v>3.0758504061421027E-2</v>
      </c>
      <c r="F48" s="43">
        <f ca="1"/>
        <v>3.0748978774392619E-2</v>
      </c>
      <c r="G48" s="43">
        <f ca="1"/>
        <v>3.078857796386365E-2</v>
      </c>
      <c r="H48" s="43">
        <f ca="1"/>
        <v>3.0778727426504945E-2</v>
      </c>
      <c r="I48" s="43">
        <f ca="1"/>
        <v>3.0768965224902998E-2</v>
      </c>
      <c r="J48" s="43">
        <f ca="1"/>
        <v>3.0766298742181997E-2</v>
      </c>
      <c r="K48" s="43">
        <f ca="1"/>
        <v>3.0763655461570442E-2</v>
      </c>
      <c r="L48" s="43">
        <f ca="1"/>
        <v>3.0761034582664964E-2</v>
      </c>
      <c r="M48" s="43">
        <f ca="1"/>
        <v>3.0758435386543527E-2</v>
      </c>
      <c r="N48" s="43">
        <f ca="1"/>
        <v>3.0755857190857841E-2</v>
      </c>
      <c r="O48" s="43">
        <f ca="1"/>
        <v>3.0755530125476143E-2</v>
      </c>
      <c r="P48" s="43">
        <f ca="1"/>
        <v>3.0755206488377623E-2</v>
      </c>
      <c r="Q48" s="43">
        <f ca="1"/>
        <v>3.0754886049289051E-2</v>
      </c>
      <c r="R48" s="43">
        <f ca="1"/>
        <v>3.0754568597927561E-2</v>
      </c>
      <c r="S48" s="43">
        <f ca="1"/>
        <v>3.075425394084947E-2</v>
      </c>
      <c r="T48" s="43">
        <f ca="1"/>
        <v>3.0753941931822879E-2</v>
      </c>
      <c r="U48" s="43">
        <f ca="1"/>
        <v>3.0753632434033742E-2</v>
      </c>
      <c r="V48" s="43">
        <f ca="1"/>
        <v>3.0753325329692827E-2</v>
      </c>
      <c r="W48" s="43">
        <f ca="1"/>
        <v>3.0753020514287441E-2</v>
      </c>
      <c r="X48" s="43">
        <f ca="1"/>
        <v>3.0752717892166666E-2</v>
      </c>
      <c r="Y48" s="43">
        <f ca="1"/>
        <v>3.0752596949873718E-2</v>
      </c>
      <c r="Z48" s="43">
        <f ca="1"/>
        <v>3.0752476821994171E-2</v>
      </c>
      <c r="AA48" s="43">
        <f ca="1"/>
        <v>3.0752357441339237E-2</v>
      </c>
      <c r="AB48" s="43">
        <f ca="1"/>
        <v>3.0752238745020737E-2</v>
      </c>
      <c r="AC48" s="43">
        <f ca="1"/>
        <v>3.0752120674703395E-2</v>
      </c>
      <c r="AD48" s="43">
        <f ca="1"/>
        <v>3.0752003176627084E-2</v>
      </c>
      <c r="AE48" s="43">
        <f ca="1"/>
        <v>3.0751886201336221E-2</v>
      </c>
      <c r="AF48" s="43">
        <f ca="1"/>
        <v>3.0751769703233102E-2</v>
      </c>
      <c r="AG48" s="43">
        <f ca="1"/>
        <v>3.0751653640067614E-2</v>
      </c>
      <c r="AH48" s="43">
        <f ca="1"/>
        <v>3.07515379724593E-2</v>
      </c>
      <c r="AI48" s="43">
        <f ca="1"/>
        <v>3.0751422663520794E-2</v>
      </c>
      <c r="AJ48" s="43">
        <f ca="1"/>
        <v>3.0751307678589357E-2</v>
      </c>
      <c r="AK48" s="43">
        <f ca="1"/>
        <v>3.0751192985035675E-2</v>
      </c>
      <c r="AL48" s="43">
        <f ca="1"/>
        <v>3.0751078552163219E-2</v>
      </c>
      <c r="AM48" s="43">
        <f ca="1"/>
        <v>3.0716723549488054E-2</v>
      </c>
      <c r="AN48" s="44">
        <f ca="1"/>
        <v>3.0716723549488054E-2</v>
      </c>
      <c r="AO48" s="8"/>
    </row>
    <row r="49" spans="2:41" x14ac:dyDescent="0.35">
      <c r="B49" s="8"/>
      <c r="C49" s="35" t="str">
        <f>"EL 4: " &amp; INDEX(_doName,3,5)</f>
        <v>EL 4: EL 4</v>
      </c>
      <c r="D49" s="15" t="s">
        <v>63</v>
      </c>
      <c r="E49" s="45">
        <f ca="1"/>
        <v>3.7593727186181258E-2</v>
      </c>
      <c r="F49" s="45">
        <f ca="1"/>
        <v>3.7582085168702088E-2</v>
      </c>
      <c r="G49" s="45">
        <f ca="1"/>
        <v>3.7630484178055569E-2</v>
      </c>
      <c r="H49" s="45">
        <f ca="1"/>
        <v>3.7618444632394936E-2</v>
      </c>
      <c r="I49" s="45">
        <f ca="1"/>
        <v>3.7606513052659225E-2</v>
      </c>
      <c r="J49" s="45">
        <f ca="1"/>
        <v>3.7603254018222447E-2</v>
      </c>
      <c r="K49" s="45">
        <f ca="1"/>
        <v>3.7600023341919434E-2</v>
      </c>
      <c r="L49" s="45">
        <f ca="1"/>
        <v>3.7596820045479408E-2</v>
      </c>
      <c r="M49" s="45">
        <f ca="1"/>
        <v>3.7593643250219869E-2</v>
      </c>
      <c r="N49" s="45">
        <f ca="1"/>
        <v>3.7590492122159591E-2</v>
      </c>
      <c r="O49" s="45">
        <f ca="1"/>
        <v>3.759009237558196E-2</v>
      </c>
      <c r="P49" s="45">
        <f ca="1"/>
        <v>3.7589696819128209E-2</v>
      </c>
      <c r="Q49" s="45">
        <f ca="1"/>
        <v>3.7589305171353289E-2</v>
      </c>
      <c r="R49" s="45">
        <f ca="1"/>
        <v>3.7588917175244804E-2</v>
      </c>
      <c r="S49" s="45">
        <f ca="1"/>
        <v>3.7588532594371581E-2</v>
      </c>
      <c r="T49" s="45">
        <f ca="1"/>
        <v>3.7588151250005752E-2</v>
      </c>
      <c r="U49" s="45">
        <f ca="1"/>
        <v>3.7587772974930135E-2</v>
      </c>
      <c r="V49" s="45">
        <f ca="1"/>
        <v>3.7587397625180125E-2</v>
      </c>
      <c r="W49" s="45">
        <f ca="1"/>
        <v>3.7587025073017991E-2</v>
      </c>
      <c r="X49" s="45">
        <f ca="1"/>
        <v>3.7586655201537041E-2</v>
      </c>
      <c r="Y49" s="45">
        <f ca="1"/>
        <v>3.7586507383179001E-2</v>
      </c>
      <c r="Z49" s="45">
        <f ca="1"/>
        <v>3.7586360560215103E-2</v>
      </c>
      <c r="AA49" s="45">
        <f ca="1"/>
        <v>3.7586214650525737E-2</v>
      </c>
      <c r="AB49" s="45">
        <f ca="1"/>
        <v>3.7586069577247576E-2</v>
      </c>
      <c r="AC49" s="45">
        <f ca="1"/>
        <v>3.758592526908193E-2</v>
      </c>
      <c r="AD49" s="45">
        <f ca="1"/>
        <v>3.7585781660321997E-2</v>
      </c>
      <c r="AE49" s="45">
        <f ca="1"/>
        <v>3.7585638690522054E-2</v>
      </c>
      <c r="AF49" s="45">
        <f ca="1"/>
        <v>3.7585496303951575E-2</v>
      </c>
      <c r="AG49" s="45">
        <f ca="1"/>
        <v>3.7585354448971528E-2</v>
      </c>
      <c r="AH49" s="45">
        <f ca="1"/>
        <v>3.7585213077450261E-2</v>
      </c>
      <c r="AI49" s="45">
        <f ca="1"/>
        <v>3.7585072144303198E-2</v>
      </c>
      <c r="AJ49" s="45">
        <f ca="1"/>
        <v>3.7584931607164772E-2</v>
      </c>
      <c r="AK49" s="45">
        <f ca="1"/>
        <v>3.7584791426154722E-2</v>
      </c>
      <c r="AL49" s="45">
        <f ca="1"/>
        <v>3.7584651563755053E-2</v>
      </c>
      <c r="AM49" s="45">
        <f ca="1"/>
        <v>3.7542662116040959E-2</v>
      </c>
      <c r="AN49" s="46">
        <f ca="1"/>
        <v>3.7542662116040959E-2</v>
      </c>
      <c r="AO49" s="8"/>
    </row>
    <row r="50" spans="2:41" hidden="1" x14ac:dyDescent="0.35">
      <c r="B50" s="8"/>
      <c r="C50" s="23" t="s">
        <v>97</v>
      </c>
      <c r="D50" s="24"/>
      <c r="E50" s="26">
        <f t="array" ref="E50:AN50">_yS</f>
        <v>2024</v>
      </c>
      <c r="F50" s="26">
        <v>2025</v>
      </c>
      <c r="G50" s="26">
        <v>2026</v>
      </c>
      <c r="H50" s="26">
        <v>2027</v>
      </c>
      <c r="I50" s="26">
        <v>2028</v>
      </c>
      <c r="J50" s="26">
        <v>2029</v>
      </c>
      <c r="K50" s="26">
        <v>2030</v>
      </c>
      <c r="L50" s="26">
        <v>2031</v>
      </c>
      <c r="M50" s="26">
        <v>2032</v>
      </c>
      <c r="N50" s="26">
        <v>2033</v>
      </c>
      <c r="O50" s="26">
        <v>2034</v>
      </c>
      <c r="P50" s="26">
        <v>2035</v>
      </c>
      <c r="Q50" s="26">
        <v>2036</v>
      </c>
      <c r="R50" s="26">
        <v>2037</v>
      </c>
      <c r="S50" s="26">
        <v>2038</v>
      </c>
      <c r="T50" s="26">
        <v>2039</v>
      </c>
      <c r="U50" s="26">
        <v>2040</v>
      </c>
      <c r="V50" s="26">
        <v>2041</v>
      </c>
      <c r="W50" s="26">
        <v>2042</v>
      </c>
      <c r="X50" s="26">
        <v>2043</v>
      </c>
      <c r="Y50" s="26">
        <v>2044</v>
      </c>
      <c r="Z50" s="26">
        <v>2045</v>
      </c>
      <c r="AA50" s="26">
        <v>2046</v>
      </c>
      <c r="AB50" s="26">
        <v>2047</v>
      </c>
      <c r="AC50" s="26">
        <v>2048</v>
      </c>
      <c r="AD50" s="26">
        <v>2049</v>
      </c>
      <c r="AE50" s="26">
        <v>2050</v>
      </c>
      <c r="AF50" s="26">
        <v>2051</v>
      </c>
      <c r="AG50" s="26">
        <v>2052</v>
      </c>
      <c r="AH50" s="26">
        <v>2053</v>
      </c>
      <c r="AI50" s="26">
        <v>2054</v>
      </c>
      <c r="AJ50" s="26">
        <v>2055</v>
      </c>
      <c r="AK50" s="26">
        <v>2056</v>
      </c>
      <c r="AL50" s="26">
        <v>2057</v>
      </c>
      <c r="AM50" s="26">
        <v>2058</v>
      </c>
      <c r="AN50" s="27">
        <v>2059</v>
      </c>
      <c r="AO50" s="8"/>
    </row>
    <row r="51" spans="2:41" hidden="1" x14ac:dyDescent="0.35">
      <c r="B51" s="8"/>
      <c r="C51" s="19" t="str">
        <f>"EL 0: " &amp; INDEX(_doName,3,1)</f>
        <v>EL 0: Baseline</v>
      </c>
      <c r="D51" s="11" t="s">
        <v>63</v>
      </c>
      <c r="E51" s="43">
        <f t="array" aca="1" ref="E51:AN55" ca="1">IF(_yS&lt;yearC,'CADR 150+'!bcEff_Res,IF(OR(bElast,bRepair),IF(tShplrgStd_Res&gt;0,elShpStd_Res/tShplrgStd_Res,'CADR 150+'!bcEff_Res),'CADR 150+'!bcEff_Res))</f>
        <v>0.22078456377733405</v>
      </c>
      <c r="F51" s="43">
        <f ca="1"/>
        <v>0.22102587104872032</v>
      </c>
      <c r="G51" s="43">
        <f ca="1"/>
        <v>0.22091441659801714</v>
      </c>
      <c r="H51" s="43">
        <f ca="1"/>
        <v>0.22104144185744401</v>
      </c>
      <c r="I51" s="43">
        <f ca="1"/>
        <v>0.22116741561555722</v>
      </c>
      <c r="J51" s="43">
        <f ca="1"/>
        <v>0.22120168480157554</v>
      </c>
      <c r="K51" s="43">
        <f ca="1"/>
        <v>0.22123567905163743</v>
      </c>
      <c r="L51" s="43">
        <f ca="1"/>
        <v>0.22126940786104912</v>
      </c>
      <c r="M51" s="43">
        <f ca="1"/>
        <v>0.22130287975939766</v>
      </c>
      <c r="N51" s="43">
        <f ca="1"/>
        <v>0.22133610284174832</v>
      </c>
      <c r="O51" s="43">
        <f ca="1"/>
        <v>0.2213401802353889</v>
      </c>
      <c r="P51" s="43">
        <f ca="1"/>
        <v>0.22134421701632856</v>
      </c>
      <c r="Q51" s="43">
        <f ca="1"/>
        <v>0.22134821591125456</v>
      </c>
      <c r="R51" s="43">
        <f ca="1"/>
        <v>0.22135217940999205</v>
      </c>
      <c r="S51" s="43">
        <f ca="1"/>
        <v>0.22135610980282114</v>
      </c>
      <c r="T51" s="43">
        <f ca="1"/>
        <v>0.22136000882162141</v>
      </c>
      <c r="U51" s="43">
        <f ca="1"/>
        <v>0.22136387808661653</v>
      </c>
      <c r="V51" s="43">
        <f ca="1"/>
        <v>0.22136771899289237</v>
      </c>
      <c r="W51" s="43">
        <f ca="1"/>
        <v>0.22137153277837707</v>
      </c>
      <c r="X51" s="43">
        <f ca="1"/>
        <v>0.22137532057604378</v>
      </c>
      <c r="Y51" s="43">
        <f ca="1"/>
        <v>0.22137674945997224</v>
      </c>
      <c r="Z51" s="43">
        <f ca="1"/>
        <v>0.2213781686554718</v>
      </c>
      <c r="AA51" s="43">
        <f ca="1"/>
        <v>0.22137957895760335</v>
      </c>
      <c r="AB51" s="43">
        <f ca="1"/>
        <v>0.22138098111047097</v>
      </c>
      <c r="AC51" s="43">
        <f ca="1"/>
        <v>0.2213823758042551</v>
      </c>
      <c r="AD51" s="43">
        <f ca="1"/>
        <v>0.22138376367496446</v>
      </c>
      <c r="AE51" s="43">
        <f ca="1"/>
        <v>0.22138514530764597</v>
      </c>
      <c r="AF51" s="43">
        <f ca="1"/>
        <v>0.22138652124167224</v>
      </c>
      <c r="AG51" s="43">
        <f ca="1"/>
        <v>0.22138789197678049</v>
      </c>
      <c r="AH51" s="43">
        <f ca="1"/>
        <v>0.22138925797872591</v>
      </c>
      <c r="AI51" s="43">
        <f ca="1"/>
        <v>0.22139061968373727</v>
      </c>
      <c r="AJ51" s="43">
        <f ca="1"/>
        <v>0.22139197750169373</v>
      </c>
      <c r="AK51" s="43">
        <f ca="1"/>
        <v>0.22139333181838944</v>
      </c>
      <c r="AL51" s="43">
        <f ca="1"/>
        <v>0.2213946829967276</v>
      </c>
      <c r="AM51" s="43">
        <f ca="1"/>
        <v>0.22184300341296928</v>
      </c>
      <c r="AN51" s="44">
        <f ca="1"/>
        <v>0.22184300341296928</v>
      </c>
      <c r="AO51" s="8"/>
    </row>
    <row r="52" spans="2:41" hidden="1" x14ac:dyDescent="0.35">
      <c r="B52" s="8"/>
      <c r="C52" s="19" t="str">
        <f>"EL 1: " &amp; INDEX(_doName,3,2)</f>
        <v>EL 1: Tier 1</v>
      </c>
      <c r="D52" s="11" t="s">
        <v>63</v>
      </c>
      <c r="E52" s="43">
        <f ca="1"/>
        <v>0.3332171273320611</v>
      </c>
      <c r="F52" s="43">
        <f ca="1"/>
        <v>0.33311393672258671</v>
      </c>
      <c r="G52" s="43">
        <f ca="1"/>
        <v>0.33265120292596007</v>
      </c>
      <c r="H52" s="43">
        <f ca="1"/>
        <v>0.33266701045823438</v>
      </c>
      <c r="I52" s="43">
        <f ca="1"/>
        <v>0.33268258862334932</v>
      </c>
      <c r="J52" s="43">
        <f ca="1"/>
        <v>0.3326869834367856</v>
      </c>
      <c r="K52" s="43">
        <f ca="1"/>
        <v>0.3326913167555911</v>
      </c>
      <c r="L52" s="43">
        <f ca="1"/>
        <v>0.33269559069030891</v>
      </c>
      <c r="M52" s="43">
        <f ca="1"/>
        <v>0.33269980713572128</v>
      </c>
      <c r="N52" s="43">
        <f ca="1"/>
        <v>0.33270396789081297</v>
      </c>
      <c r="O52" s="43">
        <f ca="1"/>
        <v>0.33270463294520713</v>
      </c>
      <c r="P52" s="43">
        <f ca="1"/>
        <v>0.33270528890219581</v>
      </c>
      <c r="Q52" s="43">
        <f ca="1"/>
        <v>0.33270593637405432</v>
      </c>
      <c r="R52" s="43">
        <f ca="1"/>
        <v>0.33270657592005837</v>
      </c>
      <c r="S52" s="43">
        <f ca="1"/>
        <v>0.33270720805486165</v>
      </c>
      <c r="T52" s="43">
        <f ca="1"/>
        <v>0.33270783316694674</v>
      </c>
      <c r="U52" s="43">
        <f ca="1"/>
        <v>0.33270845161989415</v>
      </c>
      <c r="V52" s="43">
        <f ca="1"/>
        <v>0.33270906372656167</v>
      </c>
      <c r="W52" s="43">
        <f ca="1"/>
        <v>0.33270966976445498</v>
      </c>
      <c r="X52" s="43">
        <f ca="1"/>
        <v>0.33271026998753944</v>
      </c>
      <c r="Y52" s="43">
        <f ca="1"/>
        <v>0.33271059476685888</v>
      </c>
      <c r="Z52" s="43">
        <f ca="1"/>
        <v>0.33271091742561282</v>
      </c>
      <c r="AA52" s="43">
        <f ca="1"/>
        <v>0.33271123814297776</v>
      </c>
      <c r="AB52" s="43">
        <f ca="1"/>
        <v>0.33271155708672845</v>
      </c>
      <c r="AC52" s="43">
        <f ca="1"/>
        <v>0.33271187441254568</v>
      </c>
      <c r="AD52" s="43">
        <f ca="1"/>
        <v>0.33271219026394266</v>
      </c>
      <c r="AE52" s="43">
        <f ca="1"/>
        <v>0.33271250477297887</v>
      </c>
      <c r="AF52" s="43">
        <f ca="1"/>
        <v>0.33271281806144781</v>
      </c>
      <c r="AG52" s="43">
        <f ca="1"/>
        <v>0.33271313024223903</v>
      </c>
      <c r="AH52" s="43">
        <f ca="1"/>
        <v>0.3327134414206141</v>
      </c>
      <c r="AI52" s="43">
        <f ca="1"/>
        <v>0.33271375169521111</v>
      </c>
      <c r="AJ52" s="43">
        <f ca="1"/>
        <v>0.33271406115876057</v>
      </c>
      <c r="AK52" s="43">
        <f ca="1"/>
        <v>0.33271436989859327</v>
      </c>
      <c r="AL52" s="43">
        <f ca="1"/>
        <v>0.33271467799690563</v>
      </c>
      <c r="AM52" s="43">
        <f ca="1"/>
        <v>0.33276450511945393</v>
      </c>
      <c r="AN52" s="44">
        <f ca="1"/>
        <v>0.33276450511945393</v>
      </c>
      <c r="AO52" s="8"/>
    </row>
    <row r="53" spans="2:41" hidden="1" x14ac:dyDescent="0.35">
      <c r="B53" s="8"/>
      <c r="C53" s="19" t="str">
        <f>"EL 2: " &amp; INDEX(_doName,3,3)</f>
        <v>EL 2: Tier 2</v>
      </c>
      <c r="D53" s="11" t="s">
        <v>63</v>
      </c>
      <c r="E53" s="43">
        <f ca="1"/>
        <v>0.37764607764300262</v>
      </c>
      <c r="F53" s="43">
        <f ca="1"/>
        <v>0.37752912828559826</v>
      </c>
      <c r="G53" s="43">
        <f ca="1"/>
        <v>0.37801531833410368</v>
      </c>
      <c r="H53" s="43">
        <f ca="1"/>
        <v>0.37789437562542183</v>
      </c>
      <c r="I53" s="43">
        <f ca="1"/>
        <v>0.37777451748353125</v>
      </c>
      <c r="J53" s="43">
        <f ca="1"/>
        <v>0.37774177900123457</v>
      </c>
      <c r="K53" s="43">
        <f ca="1"/>
        <v>0.37770932538928159</v>
      </c>
      <c r="L53" s="43">
        <f ca="1"/>
        <v>0.37767714682049763</v>
      </c>
      <c r="M53" s="43">
        <f ca="1"/>
        <v>0.37764523446811776</v>
      </c>
      <c r="N53" s="43">
        <f ca="1"/>
        <v>0.37761357995442135</v>
      </c>
      <c r="O53" s="43">
        <f ca="1"/>
        <v>0.37760956431834602</v>
      </c>
      <c r="P53" s="43">
        <f ca="1"/>
        <v>0.37760559077396977</v>
      </c>
      <c r="Q53" s="43">
        <f ca="1"/>
        <v>0.37760165649404898</v>
      </c>
      <c r="R53" s="43">
        <f ca="1"/>
        <v>0.37759775889677732</v>
      </c>
      <c r="S53" s="43">
        <f ca="1"/>
        <v>0.37759389560709627</v>
      </c>
      <c r="T53" s="43">
        <f ca="1"/>
        <v>0.37759006482960317</v>
      </c>
      <c r="U53" s="43">
        <f ca="1"/>
        <v>0.3775862648845254</v>
      </c>
      <c r="V53" s="43">
        <f ca="1"/>
        <v>0.37758249432567303</v>
      </c>
      <c r="W53" s="43">
        <f ca="1"/>
        <v>0.37757875186986251</v>
      </c>
      <c r="X53" s="43">
        <f ca="1"/>
        <v>0.377575036342713</v>
      </c>
      <c r="Y53" s="43">
        <f ca="1"/>
        <v>0.37757355144011628</v>
      </c>
      <c r="Z53" s="43">
        <f ca="1"/>
        <v>0.37757207653670621</v>
      </c>
      <c r="AA53" s="43">
        <f ca="1"/>
        <v>0.377570610807554</v>
      </c>
      <c r="AB53" s="43">
        <f ca="1"/>
        <v>0.37756915348053238</v>
      </c>
      <c r="AC53" s="43">
        <f ca="1"/>
        <v>0.37756770383941396</v>
      </c>
      <c r="AD53" s="43">
        <f ca="1"/>
        <v>0.37756626122414372</v>
      </c>
      <c r="AE53" s="43">
        <f ca="1"/>
        <v>0.37756482502751693</v>
      </c>
      <c r="AF53" s="43">
        <f ca="1"/>
        <v>0.3775633946896953</v>
      </c>
      <c r="AG53" s="43">
        <f ca="1"/>
        <v>0.37756196969194122</v>
      </c>
      <c r="AH53" s="43">
        <f ca="1"/>
        <v>0.3775605495507503</v>
      </c>
      <c r="AI53" s="43">
        <f ca="1"/>
        <v>0.37755913381322759</v>
      </c>
      <c r="AJ53" s="43">
        <f ca="1"/>
        <v>0.37755772205379157</v>
      </c>
      <c r="AK53" s="43">
        <f ca="1"/>
        <v>0.37755631387182692</v>
      </c>
      <c r="AL53" s="43">
        <f ca="1"/>
        <v>0.37755490889044846</v>
      </c>
      <c r="AM53" s="43">
        <f ca="1"/>
        <v>0.37713310580204779</v>
      </c>
      <c r="AN53" s="44">
        <f ca="1"/>
        <v>0.37713310580204779</v>
      </c>
      <c r="AO53" s="8"/>
    </row>
    <row r="54" spans="2:41" hidden="1" x14ac:dyDescent="0.35">
      <c r="B54" s="8"/>
      <c r="C54" s="19" t="str">
        <f>"EL 3: " &amp; INDEX(_doName,3,4)</f>
        <v>EL 3: EL 3</v>
      </c>
      <c r="D54" s="11" t="s">
        <v>63</v>
      </c>
      <c r="E54" s="43">
        <f ca="1"/>
        <v>3.0758504061421027E-2</v>
      </c>
      <c r="F54" s="43">
        <f ca="1"/>
        <v>3.0748978774392619E-2</v>
      </c>
      <c r="G54" s="43">
        <f ca="1"/>
        <v>3.078857796386365E-2</v>
      </c>
      <c r="H54" s="43">
        <f ca="1"/>
        <v>3.0778727426504945E-2</v>
      </c>
      <c r="I54" s="43">
        <f ca="1"/>
        <v>3.0768965224902998E-2</v>
      </c>
      <c r="J54" s="43">
        <f ca="1"/>
        <v>3.0766298742181997E-2</v>
      </c>
      <c r="K54" s="43">
        <f ca="1"/>
        <v>3.0763655461570442E-2</v>
      </c>
      <c r="L54" s="43">
        <f ca="1"/>
        <v>3.0761034582664964E-2</v>
      </c>
      <c r="M54" s="43">
        <f ca="1"/>
        <v>3.0758435386543527E-2</v>
      </c>
      <c r="N54" s="43">
        <f ca="1"/>
        <v>3.0755857190857841E-2</v>
      </c>
      <c r="O54" s="43">
        <f ca="1"/>
        <v>3.0755530125476143E-2</v>
      </c>
      <c r="P54" s="43">
        <f ca="1"/>
        <v>3.0755206488377623E-2</v>
      </c>
      <c r="Q54" s="43">
        <f ca="1"/>
        <v>3.0754886049289051E-2</v>
      </c>
      <c r="R54" s="43">
        <f ca="1"/>
        <v>3.0754568597927561E-2</v>
      </c>
      <c r="S54" s="43">
        <f ca="1"/>
        <v>3.075425394084947E-2</v>
      </c>
      <c r="T54" s="43">
        <f ca="1"/>
        <v>3.0753941931822879E-2</v>
      </c>
      <c r="U54" s="43">
        <f ca="1"/>
        <v>3.0753632434033742E-2</v>
      </c>
      <c r="V54" s="43">
        <f ca="1"/>
        <v>3.0753325329692827E-2</v>
      </c>
      <c r="W54" s="43">
        <f ca="1"/>
        <v>3.0753020514287441E-2</v>
      </c>
      <c r="X54" s="43">
        <f ca="1"/>
        <v>3.0752717892166666E-2</v>
      </c>
      <c r="Y54" s="43">
        <f ca="1"/>
        <v>3.0752596949873718E-2</v>
      </c>
      <c r="Z54" s="43">
        <f ca="1"/>
        <v>3.0752476821994171E-2</v>
      </c>
      <c r="AA54" s="43">
        <f ca="1"/>
        <v>3.0752357441339237E-2</v>
      </c>
      <c r="AB54" s="43">
        <f ca="1"/>
        <v>3.0752238745020737E-2</v>
      </c>
      <c r="AC54" s="43">
        <f ca="1"/>
        <v>3.0752120674703395E-2</v>
      </c>
      <c r="AD54" s="43">
        <f ca="1"/>
        <v>3.0752003176627084E-2</v>
      </c>
      <c r="AE54" s="43">
        <f ca="1"/>
        <v>3.0751886201336221E-2</v>
      </c>
      <c r="AF54" s="43">
        <f ca="1"/>
        <v>3.0751769703233102E-2</v>
      </c>
      <c r="AG54" s="43">
        <f ca="1"/>
        <v>3.0751653640067614E-2</v>
      </c>
      <c r="AH54" s="43">
        <f ca="1"/>
        <v>3.07515379724593E-2</v>
      </c>
      <c r="AI54" s="43">
        <f ca="1"/>
        <v>3.0751422663520794E-2</v>
      </c>
      <c r="AJ54" s="43">
        <f ca="1"/>
        <v>3.0751307678589357E-2</v>
      </c>
      <c r="AK54" s="43">
        <f ca="1"/>
        <v>3.0751192985035675E-2</v>
      </c>
      <c r="AL54" s="43">
        <f ca="1"/>
        <v>3.0751078552163219E-2</v>
      </c>
      <c r="AM54" s="43">
        <f ca="1"/>
        <v>3.0716723549488054E-2</v>
      </c>
      <c r="AN54" s="44">
        <f ca="1"/>
        <v>3.0716723549488054E-2</v>
      </c>
      <c r="AO54" s="8"/>
    </row>
    <row r="55" spans="2:41" hidden="1" x14ac:dyDescent="0.35">
      <c r="B55" s="8"/>
      <c r="C55" s="35" t="str">
        <f>"EL 4: " &amp; INDEX(_doName,3,5)</f>
        <v>EL 4: EL 4</v>
      </c>
      <c r="D55" s="15" t="s">
        <v>63</v>
      </c>
      <c r="E55" s="45">
        <f ca="1"/>
        <v>3.7593727186181258E-2</v>
      </c>
      <c r="F55" s="45">
        <f ca="1"/>
        <v>3.7582085168702088E-2</v>
      </c>
      <c r="G55" s="45">
        <f ca="1"/>
        <v>3.7630484178055569E-2</v>
      </c>
      <c r="H55" s="45">
        <f ca="1"/>
        <v>3.7618444632394936E-2</v>
      </c>
      <c r="I55" s="45">
        <f ca="1"/>
        <v>3.7606513052659225E-2</v>
      </c>
      <c r="J55" s="45">
        <f ca="1"/>
        <v>3.7603254018222447E-2</v>
      </c>
      <c r="K55" s="45">
        <f ca="1"/>
        <v>3.7600023341919434E-2</v>
      </c>
      <c r="L55" s="45">
        <f ca="1"/>
        <v>3.7596820045479408E-2</v>
      </c>
      <c r="M55" s="45">
        <f ca="1"/>
        <v>3.7593643250219869E-2</v>
      </c>
      <c r="N55" s="45">
        <f ca="1"/>
        <v>3.7590492122159591E-2</v>
      </c>
      <c r="O55" s="45">
        <f ca="1"/>
        <v>3.759009237558196E-2</v>
      </c>
      <c r="P55" s="45">
        <f ca="1"/>
        <v>3.7589696819128209E-2</v>
      </c>
      <c r="Q55" s="45">
        <f ca="1"/>
        <v>3.7589305171353289E-2</v>
      </c>
      <c r="R55" s="45">
        <f ca="1"/>
        <v>3.7588917175244804E-2</v>
      </c>
      <c r="S55" s="45">
        <f ca="1"/>
        <v>3.7588532594371581E-2</v>
      </c>
      <c r="T55" s="45">
        <f ca="1"/>
        <v>3.7588151250005752E-2</v>
      </c>
      <c r="U55" s="45">
        <f ca="1"/>
        <v>3.7587772974930135E-2</v>
      </c>
      <c r="V55" s="45">
        <f ca="1"/>
        <v>3.7587397625180125E-2</v>
      </c>
      <c r="W55" s="45">
        <f ca="1"/>
        <v>3.7587025073017991E-2</v>
      </c>
      <c r="X55" s="45">
        <f ca="1"/>
        <v>3.7586655201537041E-2</v>
      </c>
      <c r="Y55" s="45">
        <f ca="1"/>
        <v>3.7586507383179001E-2</v>
      </c>
      <c r="Z55" s="45">
        <f ca="1"/>
        <v>3.7586360560215103E-2</v>
      </c>
      <c r="AA55" s="45">
        <f ca="1"/>
        <v>3.7586214650525737E-2</v>
      </c>
      <c r="AB55" s="45">
        <f ca="1"/>
        <v>3.7586069577247576E-2</v>
      </c>
      <c r="AC55" s="45">
        <f ca="1"/>
        <v>3.758592526908193E-2</v>
      </c>
      <c r="AD55" s="45">
        <f ca="1"/>
        <v>3.7585781660321997E-2</v>
      </c>
      <c r="AE55" s="45">
        <f ca="1"/>
        <v>3.7585638690522054E-2</v>
      </c>
      <c r="AF55" s="45">
        <f ca="1"/>
        <v>3.7585496303951575E-2</v>
      </c>
      <c r="AG55" s="45">
        <f ca="1"/>
        <v>3.7585354448971528E-2</v>
      </c>
      <c r="AH55" s="45">
        <f ca="1"/>
        <v>3.7585213077450261E-2</v>
      </c>
      <c r="AI55" s="45">
        <f ca="1"/>
        <v>3.7585072144303198E-2</v>
      </c>
      <c r="AJ55" s="45">
        <f ca="1"/>
        <v>3.7584931607164772E-2</v>
      </c>
      <c r="AK55" s="45">
        <f ca="1"/>
        <v>3.7584791426154722E-2</v>
      </c>
      <c r="AL55" s="45">
        <f ca="1"/>
        <v>3.7584651563755053E-2</v>
      </c>
      <c r="AM55" s="45">
        <f ca="1"/>
        <v>3.7542662116040959E-2</v>
      </c>
      <c r="AN55" s="46">
        <f ca="1"/>
        <v>3.7542662116040959E-2</v>
      </c>
      <c r="AO55" s="8"/>
    </row>
    <row r="56" spans="2:41" x14ac:dyDescent="0.35">
      <c r="B56" s="8"/>
      <c r="C56" s="23" t="s">
        <v>96</v>
      </c>
      <c r="D56" s="24"/>
      <c r="E56" s="26">
        <f t="array" ref="E56:AN56">_yS</f>
        <v>2024</v>
      </c>
      <c r="F56" s="26">
        <v>2025</v>
      </c>
      <c r="G56" s="26">
        <v>2026</v>
      </c>
      <c r="H56" s="26">
        <v>2027</v>
      </c>
      <c r="I56" s="26">
        <v>2028</v>
      </c>
      <c r="J56" s="26">
        <v>2029</v>
      </c>
      <c r="K56" s="26">
        <v>2030</v>
      </c>
      <c r="L56" s="26">
        <v>2031</v>
      </c>
      <c r="M56" s="26">
        <v>2032</v>
      </c>
      <c r="N56" s="26">
        <v>2033</v>
      </c>
      <c r="O56" s="26">
        <v>2034</v>
      </c>
      <c r="P56" s="26">
        <v>2035</v>
      </c>
      <c r="Q56" s="26">
        <v>2036</v>
      </c>
      <c r="R56" s="26">
        <v>2037</v>
      </c>
      <c r="S56" s="26">
        <v>2038</v>
      </c>
      <c r="T56" s="26">
        <v>2039</v>
      </c>
      <c r="U56" s="26">
        <v>2040</v>
      </c>
      <c r="V56" s="26">
        <v>2041</v>
      </c>
      <c r="W56" s="26">
        <v>2042</v>
      </c>
      <c r="X56" s="26">
        <v>2043</v>
      </c>
      <c r="Y56" s="26">
        <v>2044</v>
      </c>
      <c r="Z56" s="26">
        <v>2045</v>
      </c>
      <c r="AA56" s="26">
        <v>2046</v>
      </c>
      <c r="AB56" s="26">
        <v>2047</v>
      </c>
      <c r="AC56" s="26">
        <v>2048</v>
      </c>
      <c r="AD56" s="26">
        <v>2049</v>
      </c>
      <c r="AE56" s="26">
        <v>2050</v>
      </c>
      <c r="AF56" s="26">
        <v>2051</v>
      </c>
      <c r="AG56" s="26">
        <v>2052</v>
      </c>
      <c r="AH56" s="26">
        <v>2053</v>
      </c>
      <c r="AI56" s="26">
        <v>2054</v>
      </c>
      <c r="AJ56" s="26">
        <v>2055</v>
      </c>
      <c r="AK56" s="26">
        <v>2056</v>
      </c>
      <c r="AL56" s="26">
        <v>2057</v>
      </c>
      <c r="AM56" s="26">
        <v>2058</v>
      </c>
      <c r="AN56" s="27">
        <v>2059</v>
      </c>
      <c r="AO56" s="8"/>
    </row>
    <row r="57" spans="2:41" x14ac:dyDescent="0.35">
      <c r="B57" s="8"/>
      <c r="C57" s="19" t="str">
        <f>"EL 0: " &amp; INDEX(_doName,3,1)</f>
        <v>EL 0: Baseline</v>
      </c>
      <c r="D57" s="11" t="s">
        <v>63</v>
      </c>
      <c r="E57" s="43">
        <f t="array" ref="E57:E61">TRANSPOSE(bclrg_Res)</f>
        <v>0.22184300341296928</v>
      </c>
      <c r="F57" s="43">
        <f t="array" ref="F57:F61" ca="1">eff0BC_Res+IF(_el=0,0,pullBC_Res)-pushBC_Res</f>
        <v>0.22184300341296928</v>
      </c>
      <c r="G57" s="43">
        <f t="array" ref="G57:G61" ca="1">eff0BC_Res+IF(_el=0,0,pullBC_Res)-pushBC_Res</f>
        <v>0.22184300341296928</v>
      </c>
      <c r="H57" s="43">
        <f t="array" ref="H57:H61" ca="1">eff0BC_Res+IF(_el=0,0,pullBC_Res)-pushBC_Res</f>
        <v>0.22184300341296928</v>
      </c>
      <c r="I57" s="43">
        <f t="array" ref="I57:I61" ca="1">eff0BC_Res+IF(_el=0,0,pullBC_Res)-pushBC_Res</f>
        <v>0.22184300341296928</v>
      </c>
      <c r="J57" s="43">
        <f t="array" ref="J57:J61" ca="1">eff0BC_Res+IF(_el=0,0,pullBC_Res)-pushBC_Res</f>
        <v>0.22184300341296928</v>
      </c>
      <c r="K57" s="43">
        <f t="array" ref="K57:K61" ca="1">eff0BC_Res+IF(_el=0,0,pullBC_Res)-pushBC_Res</f>
        <v>0.22184300341296928</v>
      </c>
      <c r="L57" s="43">
        <f t="array" ref="L57:L61" ca="1">eff0BC_Res+IF(_el=0,0,pullBC_Res)-pushBC_Res</f>
        <v>0.22184300341296928</v>
      </c>
      <c r="M57" s="43">
        <f t="array" ref="M57:M61" ca="1">eff0BC_Res+IF(_el=0,0,pullBC_Res)-pushBC_Res</f>
        <v>0.22184300341296928</v>
      </c>
      <c r="N57" s="43">
        <f t="array" ref="N57:N61" ca="1">eff0BC_Res+IF(_el=0,0,pullBC_Res)-pushBC_Res</f>
        <v>0.22184300341296928</v>
      </c>
      <c r="O57" s="43">
        <f t="array" ref="O57:O61" ca="1">eff0BC_Res+IF(_el=0,0,pullBC_Res)-pushBC_Res</f>
        <v>0.22184300341296928</v>
      </c>
      <c r="P57" s="43">
        <f t="array" ref="P57:P61" ca="1">eff0BC_Res+IF(_el=0,0,pullBC_Res)-pushBC_Res</f>
        <v>0.22184300341296928</v>
      </c>
      <c r="Q57" s="43">
        <f t="array" ref="Q57:Q61" ca="1">eff0BC_Res+IF(_el=0,0,pullBC_Res)-pushBC_Res</f>
        <v>0.22184300341296928</v>
      </c>
      <c r="R57" s="43">
        <f t="array" ref="R57:R61" ca="1">eff0BC_Res+IF(_el=0,0,pullBC_Res)-pushBC_Res</f>
        <v>0.22184300341296928</v>
      </c>
      <c r="S57" s="43">
        <f t="array" ref="S57:S61" ca="1">eff0BC_Res+IF(_el=0,0,pullBC_Res)-pushBC_Res</f>
        <v>0.22184300341296928</v>
      </c>
      <c r="T57" s="43">
        <f t="array" ref="T57:T61" ca="1">eff0BC_Res+IF(_el=0,0,pullBC_Res)-pushBC_Res</f>
        <v>0.22184300341296928</v>
      </c>
      <c r="U57" s="43">
        <f t="array" ref="U57:U61" ca="1">eff0BC_Res+IF(_el=0,0,pullBC_Res)-pushBC_Res</f>
        <v>0.22184300341296928</v>
      </c>
      <c r="V57" s="43">
        <f t="array" ref="V57:V61" ca="1">eff0BC_Res+IF(_el=0,0,pullBC_Res)-pushBC_Res</f>
        <v>0.22184300341296928</v>
      </c>
      <c r="W57" s="43">
        <f t="array" ref="W57:W61" ca="1">eff0BC_Res+IF(_el=0,0,pullBC_Res)-pushBC_Res</f>
        <v>0.22184300341296928</v>
      </c>
      <c r="X57" s="43">
        <f t="array" ref="X57:X61" ca="1">eff0BC_Res+IF(_el=0,0,pullBC_Res)-pushBC_Res</f>
        <v>0.22184300341296928</v>
      </c>
      <c r="Y57" s="43">
        <f t="array" ref="Y57:Y61" ca="1">eff0BC_Res+IF(_el=0,0,pullBC_Res)-pushBC_Res</f>
        <v>0.22184300341296928</v>
      </c>
      <c r="Z57" s="43">
        <f t="array" ref="Z57:Z61" ca="1">eff0BC_Res+IF(_el=0,0,pullBC_Res)-pushBC_Res</f>
        <v>0.22184300341296928</v>
      </c>
      <c r="AA57" s="43">
        <f t="array" ref="AA57:AA61" ca="1">eff0BC_Res+IF(_el=0,0,pullBC_Res)-pushBC_Res</f>
        <v>0.22184300341296928</v>
      </c>
      <c r="AB57" s="43">
        <f t="array" ref="AB57:AB61" ca="1">eff0BC_Res+IF(_el=0,0,pullBC_Res)-pushBC_Res</f>
        <v>0.22184300341296928</v>
      </c>
      <c r="AC57" s="43">
        <f t="array" ref="AC57:AC61" ca="1">eff0BC_Res+IF(_el=0,0,pullBC_Res)-pushBC_Res</f>
        <v>0.22184300341296928</v>
      </c>
      <c r="AD57" s="43">
        <f t="array" ref="AD57:AD61" ca="1">eff0BC_Res+IF(_el=0,0,pullBC_Res)-pushBC_Res</f>
        <v>0.22184300341296928</v>
      </c>
      <c r="AE57" s="43">
        <f t="array" ref="AE57:AE61" ca="1">eff0BC_Res+IF(_el=0,0,pullBC_Res)-pushBC_Res</f>
        <v>0.22184300341296928</v>
      </c>
      <c r="AF57" s="43">
        <f t="array" ref="AF57:AF61" ca="1">eff0BC_Res+IF(_el=0,0,pullBC_Res)-pushBC_Res</f>
        <v>0.22184300341296928</v>
      </c>
      <c r="AG57" s="43">
        <f t="array" ref="AG57:AG61" ca="1">eff0BC_Res+IF(_el=0,0,pullBC_Res)-pushBC_Res</f>
        <v>0.22184300341296928</v>
      </c>
      <c r="AH57" s="43">
        <f t="array" ref="AH57:AH61" ca="1">eff0BC_Res+IF(_el=0,0,pullBC_Res)-pushBC_Res</f>
        <v>0.22184300341296928</v>
      </c>
      <c r="AI57" s="43">
        <f t="array" ref="AI57:AI61" ca="1">eff0BC_Res+IF(_el=0,0,pullBC_Res)-pushBC_Res</f>
        <v>0.22184300341296928</v>
      </c>
      <c r="AJ57" s="43">
        <f t="array" ref="AJ57:AJ61" ca="1">eff0BC_Res+IF(_el=0,0,pullBC_Res)-pushBC_Res</f>
        <v>0.22184300341296928</v>
      </c>
      <c r="AK57" s="43">
        <f t="array" ref="AK57:AK61" ca="1">eff0BC_Res+IF(_el=0,0,pullBC_Res)-pushBC_Res</f>
        <v>0.22184300341296928</v>
      </c>
      <c r="AL57" s="43">
        <f t="array" ref="AL57:AL61" ca="1">eff0BC_Res+IF(_el=0,0,pullBC_Res)-pushBC_Res</f>
        <v>0.22184300341296928</v>
      </c>
      <c r="AM57" s="43">
        <f t="array" ref="AM57:AM61" ca="1">eff0BC_Res+IF(_el=0,0,pullBC_Res)-pushBC_Res</f>
        <v>0.22184300341296928</v>
      </c>
      <c r="AN57" s="44">
        <f t="array" ref="AN57:AN61" ca="1">eff0BC_Res+IF(_el=0,0,pullBC_Res)-pushBC_Res</f>
        <v>0.22184300341296928</v>
      </c>
      <c r="AO57" s="8"/>
    </row>
    <row r="58" spans="2:41" x14ac:dyDescent="0.35">
      <c r="B58" s="8"/>
      <c r="C58" s="19" t="str">
        <f>"EL 1: " &amp; INDEX(_doName,3,2)</f>
        <v>EL 1: Tier 1</v>
      </c>
      <c r="D58" s="11" t="s">
        <v>63</v>
      </c>
      <c r="E58" s="43">
        <v>0.33276450511945393</v>
      </c>
      <c r="F58" s="43">
        <f ca="1"/>
        <v>0.33276450511945393</v>
      </c>
      <c r="G58" s="43">
        <f ca="1"/>
        <v>0.33276450511945393</v>
      </c>
      <c r="H58" s="43">
        <f ca="1"/>
        <v>0.33276450511945393</v>
      </c>
      <c r="I58" s="43">
        <f ca="1"/>
        <v>0.33276450511945393</v>
      </c>
      <c r="J58" s="43">
        <f ca="1"/>
        <v>0.33276450511945393</v>
      </c>
      <c r="K58" s="43">
        <f ca="1"/>
        <v>0.33276450511945393</v>
      </c>
      <c r="L58" s="43">
        <f ca="1"/>
        <v>0.33276450511945393</v>
      </c>
      <c r="M58" s="43">
        <f ca="1"/>
        <v>0.33276450511945393</v>
      </c>
      <c r="N58" s="43">
        <f ca="1"/>
        <v>0.33276450511945393</v>
      </c>
      <c r="O58" s="43">
        <f ca="1"/>
        <v>0.33276450511945393</v>
      </c>
      <c r="P58" s="43">
        <f ca="1"/>
        <v>0.33276450511945393</v>
      </c>
      <c r="Q58" s="43">
        <f ca="1"/>
        <v>0.33276450511945393</v>
      </c>
      <c r="R58" s="43">
        <f ca="1"/>
        <v>0.33276450511945393</v>
      </c>
      <c r="S58" s="43">
        <f ca="1"/>
        <v>0.33276450511945393</v>
      </c>
      <c r="T58" s="43">
        <f ca="1"/>
        <v>0.33276450511945393</v>
      </c>
      <c r="U58" s="43">
        <f ca="1"/>
        <v>0.33276450511945393</v>
      </c>
      <c r="V58" s="43">
        <f ca="1"/>
        <v>0.33276450511945393</v>
      </c>
      <c r="W58" s="43">
        <f ca="1"/>
        <v>0.33276450511945393</v>
      </c>
      <c r="X58" s="43">
        <f ca="1"/>
        <v>0.33276450511945393</v>
      </c>
      <c r="Y58" s="43">
        <f ca="1"/>
        <v>0.33276450511945393</v>
      </c>
      <c r="Z58" s="43">
        <f ca="1"/>
        <v>0.33276450511945393</v>
      </c>
      <c r="AA58" s="43">
        <f ca="1"/>
        <v>0.33276450511945393</v>
      </c>
      <c r="AB58" s="43">
        <f ca="1"/>
        <v>0.33276450511945393</v>
      </c>
      <c r="AC58" s="43">
        <f ca="1"/>
        <v>0.33276450511945393</v>
      </c>
      <c r="AD58" s="43">
        <f ca="1"/>
        <v>0.33276450511945393</v>
      </c>
      <c r="AE58" s="43">
        <f ca="1"/>
        <v>0.33276450511945393</v>
      </c>
      <c r="AF58" s="43">
        <f ca="1"/>
        <v>0.33276450511945393</v>
      </c>
      <c r="AG58" s="43">
        <f ca="1"/>
        <v>0.33276450511945393</v>
      </c>
      <c r="AH58" s="43">
        <f ca="1"/>
        <v>0.33276450511945393</v>
      </c>
      <c r="AI58" s="43">
        <f ca="1"/>
        <v>0.33276450511945393</v>
      </c>
      <c r="AJ58" s="43">
        <f ca="1"/>
        <v>0.33276450511945393</v>
      </c>
      <c r="AK58" s="43">
        <f ca="1"/>
        <v>0.33276450511945393</v>
      </c>
      <c r="AL58" s="43">
        <f ca="1"/>
        <v>0.33276450511945393</v>
      </c>
      <c r="AM58" s="43">
        <f ca="1"/>
        <v>0.33276450511945393</v>
      </c>
      <c r="AN58" s="44">
        <f ca="1"/>
        <v>0.33276450511945393</v>
      </c>
      <c r="AO58" s="8"/>
    </row>
    <row r="59" spans="2:41" x14ac:dyDescent="0.35">
      <c r="B59" s="8"/>
      <c r="C59" s="19" t="str">
        <f>"EL 2: " &amp; INDEX(_doName,3,3)</f>
        <v>EL 2: Tier 2</v>
      </c>
      <c r="D59" s="11" t="s">
        <v>63</v>
      </c>
      <c r="E59" s="43">
        <v>0.37713310580204779</v>
      </c>
      <c r="F59" s="43">
        <f ca="1"/>
        <v>0.37713310580204779</v>
      </c>
      <c r="G59" s="43">
        <f ca="1"/>
        <v>0.37713310580204779</v>
      </c>
      <c r="H59" s="43">
        <f ca="1"/>
        <v>0.37713310580204779</v>
      </c>
      <c r="I59" s="43">
        <f ca="1"/>
        <v>0.37713310580204779</v>
      </c>
      <c r="J59" s="43">
        <f ca="1"/>
        <v>0.37713310580204779</v>
      </c>
      <c r="K59" s="43">
        <f ca="1"/>
        <v>0.37713310580204779</v>
      </c>
      <c r="L59" s="43">
        <f ca="1"/>
        <v>0.37713310580204779</v>
      </c>
      <c r="M59" s="43">
        <f ca="1"/>
        <v>0.37713310580204779</v>
      </c>
      <c r="N59" s="43">
        <f ca="1"/>
        <v>0.37713310580204779</v>
      </c>
      <c r="O59" s="43">
        <f ca="1"/>
        <v>0.37713310580204779</v>
      </c>
      <c r="P59" s="43">
        <f ca="1"/>
        <v>0.37713310580204779</v>
      </c>
      <c r="Q59" s="43">
        <f ca="1"/>
        <v>0.37713310580204779</v>
      </c>
      <c r="R59" s="43">
        <f ca="1"/>
        <v>0.37713310580204779</v>
      </c>
      <c r="S59" s="43">
        <f ca="1"/>
        <v>0.37713310580204779</v>
      </c>
      <c r="T59" s="43">
        <f ca="1"/>
        <v>0.37713310580204779</v>
      </c>
      <c r="U59" s="43">
        <f ca="1"/>
        <v>0.37713310580204779</v>
      </c>
      <c r="V59" s="43">
        <f ca="1"/>
        <v>0.37713310580204779</v>
      </c>
      <c r="W59" s="43">
        <f ca="1"/>
        <v>0.37713310580204779</v>
      </c>
      <c r="X59" s="43">
        <f ca="1"/>
        <v>0.37713310580204779</v>
      </c>
      <c r="Y59" s="43">
        <f ca="1"/>
        <v>0.37713310580204779</v>
      </c>
      <c r="Z59" s="43">
        <f ca="1"/>
        <v>0.37713310580204779</v>
      </c>
      <c r="AA59" s="43">
        <f ca="1"/>
        <v>0.37713310580204779</v>
      </c>
      <c r="AB59" s="43">
        <f ca="1"/>
        <v>0.37713310580204779</v>
      </c>
      <c r="AC59" s="43">
        <f ca="1"/>
        <v>0.37713310580204779</v>
      </c>
      <c r="AD59" s="43">
        <f ca="1"/>
        <v>0.37713310580204779</v>
      </c>
      <c r="AE59" s="43">
        <f ca="1"/>
        <v>0.37713310580204779</v>
      </c>
      <c r="AF59" s="43">
        <f ca="1"/>
        <v>0.37713310580204779</v>
      </c>
      <c r="AG59" s="43">
        <f ca="1"/>
        <v>0.37713310580204779</v>
      </c>
      <c r="AH59" s="43">
        <f ca="1"/>
        <v>0.37713310580204779</v>
      </c>
      <c r="AI59" s="43">
        <f ca="1"/>
        <v>0.37713310580204779</v>
      </c>
      <c r="AJ59" s="43">
        <f ca="1"/>
        <v>0.37713310580204779</v>
      </c>
      <c r="AK59" s="43">
        <f ca="1"/>
        <v>0.37713310580204779</v>
      </c>
      <c r="AL59" s="43">
        <f ca="1"/>
        <v>0.37713310580204779</v>
      </c>
      <c r="AM59" s="43">
        <f ca="1"/>
        <v>0.37713310580204779</v>
      </c>
      <c r="AN59" s="44">
        <f ca="1"/>
        <v>0.37713310580204779</v>
      </c>
      <c r="AO59" s="8"/>
    </row>
    <row r="60" spans="2:41" x14ac:dyDescent="0.35">
      <c r="B60" s="8"/>
      <c r="C60" s="19" t="str">
        <f>"EL 3: " &amp; INDEX(_doName,3,4)</f>
        <v>EL 3: EL 3</v>
      </c>
      <c r="D60" s="11" t="s">
        <v>63</v>
      </c>
      <c r="E60" s="43">
        <v>3.0716723549488054E-2</v>
      </c>
      <c r="F60" s="43">
        <f ca="1"/>
        <v>3.0716723549488054E-2</v>
      </c>
      <c r="G60" s="43">
        <f ca="1"/>
        <v>3.0716723549488054E-2</v>
      </c>
      <c r="H60" s="43">
        <f ca="1"/>
        <v>3.0716723549488054E-2</v>
      </c>
      <c r="I60" s="43">
        <f ca="1"/>
        <v>3.0716723549488054E-2</v>
      </c>
      <c r="J60" s="43">
        <f ca="1"/>
        <v>3.0716723549488054E-2</v>
      </c>
      <c r="K60" s="43">
        <f ca="1"/>
        <v>3.0716723549488054E-2</v>
      </c>
      <c r="L60" s="43">
        <f ca="1"/>
        <v>3.0716723549488054E-2</v>
      </c>
      <c r="M60" s="43">
        <f ca="1"/>
        <v>3.0716723549488054E-2</v>
      </c>
      <c r="N60" s="43">
        <f ca="1"/>
        <v>3.0716723549488054E-2</v>
      </c>
      <c r="O60" s="43">
        <f ca="1"/>
        <v>3.0716723549488054E-2</v>
      </c>
      <c r="P60" s="43">
        <f ca="1"/>
        <v>3.0716723549488054E-2</v>
      </c>
      <c r="Q60" s="43">
        <f ca="1"/>
        <v>3.0716723549488054E-2</v>
      </c>
      <c r="R60" s="43">
        <f ca="1"/>
        <v>3.0716723549488054E-2</v>
      </c>
      <c r="S60" s="43">
        <f ca="1"/>
        <v>3.0716723549488054E-2</v>
      </c>
      <c r="T60" s="43">
        <f ca="1"/>
        <v>3.0716723549488054E-2</v>
      </c>
      <c r="U60" s="43">
        <f ca="1"/>
        <v>3.0716723549488054E-2</v>
      </c>
      <c r="V60" s="43">
        <f ca="1"/>
        <v>3.0716723549488054E-2</v>
      </c>
      <c r="W60" s="43">
        <f ca="1"/>
        <v>3.0716723549488054E-2</v>
      </c>
      <c r="X60" s="43">
        <f ca="1"/>
        <v>3.0716723549488054E-2</v>
      </c>
      <c r="Y60" s="43">
        <f ca="1"/>
        <v>3.0716723549488054E-2</v>
      </c>
      <c r="Z60" s="43">
        <f ca="1"/>
        <v>3.0716723549488054E-2</v>
      </c>
      <c r="AA60" s="43">
        <f ca="1"/>
        <v>3.0716723549488054E-2</v>
      </c>
      <c r="AB60" s="43">
        <f ca="1"/>
        <v>3.0716723549488054E-2</v>
      </c>
      <c r="AC60" s="43">
        <f ca="1"/>
        <v>3.0716723549488054E-2</v>
      </c>
      <c r="AD60" s="43">
        <f ca="1"/>
        <v>3.0716723549488054E-2</v>
      </c>
      <c r="AE60" s="43">
        <f ca="1"/>
        <v>3.0716723549488054E-2</v>
      </c>
      <c r="AF60" s="43">
        <f ca="1"/>
        <v>3.0716723549488054E-2</v>
      </c>
      <c r="AG60" s="43">
        <f ca="1"/>
        <v>3.0716723549488054E-2</v>
      </c>
      <c r="AH60" s="43">
        <f ca="1"/>
        <v>3.0716723549488054E-2</v>
      </c>
      <c r="AI60" s="43">
        <f ca="1"/>
        <v>3.0716723549488054E-2</v>
      </c>
      <c r="AJ60" s="43">
        <f ca="1"/>
        <v>3.0716723549488054E-2</v>
      </c>
      <c r="AK60" s="43">
        <f ca="1"/>
        <v>3.0716723549488054E-2</v>
      </c>
      <c r="AL60" s="43">
        <f ca="1"/>
        <v>3.0716723549488054E-2</v>
      </c>
      <c r="AM60" s="43">
        <f ca="1"/>
        <v>3.0716723549488054E-2</v>
      </c>
      <c r="AN60" s="44">
        <f ca="1"/>
        <v>3.0716723549488054E-2</v>
      </c>
      <c r="AO60" s="8"/>
    </row>
    <row r="61" spans="2:41" x14ac:dyDescent="0.35">
      <c r="B61" s="8"/>
      <c r="C61" s="35" t="str">
        <f>"EL 4: " &amp; INDEX(_doName,3,5)</f>
        <v>EL 4: EL 4</v>
      </c>
      <c r="D61" s="15" t="s">
        <v>63</v>
      </c>
      <c r="E61" s="45">
        <v>3.7542662116040959E-2</v>
      </c>
      <c r="F61" s="45">
        <f ca="1"/>
        <v>3.7542662116040959E-2</v>
      </c>
      <c r="G61" s="45">
        <f ca="1"/>
        <v>3.7542662116040959E-2</v>
      </c>
      <c r="H61" s="45">
        <f ca="1"/>
        <v>3.7542662116040959E-2</v>
      </c>
      <c r="I61" s="45">
        <f ca="1"/>
        <v>3.7542662116040959E-2</v>
      </c>
      <c r="J61" s="45">
        <f ca="1"/>
        <v>3.7542662116040959E-2</v>
      </c>
      <c r="K61" s="45">
        <f ca="1"/>
        <v>3.7542662116040959E-2</v>
      </c>
      <c r="L61" s="45">
        <f ca="1"/>
        <v>3.7542662116040959E-2</v>
      </c>
      <c r="M61" s="45">
        <f ca="1"/>
        <v>3.7542662116040959E-2</v>
      </c>
      <c r="N61" s="45">
        <f ca="1"/>
        <v>3.7542662116040959E-2</v>
      </c>
      <c r="O61" s="45">
        <f ca="1"/>
        <v>3.7542662116040959E-2</v>
      </c>
      <c r="P61" s="45">
        <f ca="1"/>
        <v>3.7542662116040959E-2</v>
      </c>
      <c r="Q61" s="45">
        <f ca="1"/>
        <v>3.7542662116040959E-2</v>
      </c>
      <c r="R61" s="45">
        <f ca="1"/>
        <v>3.7542662116040959E-2</v>
      </c>
      <c r="S61" s="45">
        <f ca="1"/>
        <v>3.7542662116040959E-2</v>
      </c>
      <c r="T61" s="45">
        <f ca="1"/>
        <v>3.7542662116040959E-2</v>
      </c>
      <c r="U61" s="45">
        <f ca="1"/>
        <v>3.7542662116040959E-2</v>
      </c>
      <c r="V61" s="45">
        <f ca="1"/>
        <v>3.7542662116040959E-2</v>
      </c>
      <c r="W61" s="45">
        <f ca="1"/>
        <v>3.7542662116040959E-2</v>
      </c>
      <c r="X61" s="45">
        <f ca="1"/>
        <v>3.7542662116040959E-2</v>
      </c>
      <c r="Y61" s="45">
        <f ca="1"/>
        <v>3.7542662116040959E-2</v>
      </c>
      <c r="Z61" s="45">
        <f ca="1"/>
        <v>3.7542662116040959E-2</v>
      </c>
      <c r="AA61" s="45">
        <f ca="1"/>
        <v>3.7542662116040959E-2</v>
      </c>
      <c r="AB61" s="45">
        <f ca="1"/>
        <v>3.7542662116040959E-2</v>
      </c>
      <c r="AC61" s="45">
        <f ca="1"/>
        <v>3.7542662116040959E-2</v>
      </c>
      <c r="AD61" s="45">
        <f ca="1"/>
        <v>3.7542662116040959E-2</v>
      </c>
      <c r="AE61" s="45">
        <f ca="1"/>
        <v>3.7542662116040959E-2</v>
      </c>
      <c r="AF61" s="45">
        <f ca="1"/>
        <v>3.7542662116040959E-2</v>
      </c>
      <c r="AG61" s="45">
        <f ca="1"/>
        <v>3.7542662116040959E-2</v>
      </c>
      <c r="AH61" s="45">
        <f ca="1"/>
        <v>3.7542662116040959E-2</v>
      </c>
      <c r="AI61" s="45">
        <f ca="1"/>
        <v>3.7542662116040959E-2</v>
      </c>
      <c r="AJ61" s="45">
        <f ca="1"/>
        <v>3.7542662116040959E-2</v>
      </c>
      <c r="AK61" s="45">
        <f ca="1"/>
        <v>3.7542662116040959E-2</v>
      </c>
      <c r="AL61" s="45">
        <f ca="1"/>
        <v>3.7542662116040959E-2</v>
      </c>
      <c r="AM61" s="45">
        <f ca="1"/>
        <v>3.7542662116040959E-2</v>
      </c>
      <c r="AN61" s="46">
        <f ca="1"/>
        <v>3.7542662116040959E-2</v>
      </c>
      <c r="AO61" s="8"/>
    </row>
    <row r="62" spans="2:41" x14ac:dyDescent="0.35">
      <c r="B62" s="8"/>
      <c r="C62" s="23" t="s">
        <v>92</v>
      </c>
      <c r="D62" s="24"/>
      <c r="E62" s="26">
        <f t="array" ref="E62:AN62">_yS</f>
        <v>2024</v>
      </c>
      <c r="F62" s="26">
        <v>2025</v>
      </c>
      <c r="G62" s="26">
        <v>2026</v>
      </c>
      <c r="H62" s="26">
        <v>2027</v>
      </c>
      <c r="I62" s="26">
        <v>2028</v>
      </c>
      <c r="J62" s="26">
        <v>2029</v>
      </c>
      <c r="K62" s="26">
        <v>2030</v>
      </c>
      <c r="L62" s="26">
        <v>2031</v>
      </c>
      <c r="M62" s="26">
        <v>2032</v>
      </c>
      <c r="N62" s="26">
        <v>2033</v>
      </c>
      <c r="O62" s="26">
        <v>2034</v>
      </c>
      <c r="P62" s="26">
        <v>2035</v>
      </c>
      <c r="Q62" s="26">
        <v>2036</v>
      </c>
      <c r="R62" s="26">
        <v>2037</v>
      </c>
      <c r="S62" s="26">
        <v>2038</v>
      </c>
      <c r="T62" s="26">
        <v>2039</v>
      </c>
      <c r="U62" s="26">
        <v>2040</v>
      </c>
      <c r="V62" s="26">
        <v>2041</v>
      </c>
      <c r="W62" s="26">
        <v>2042</v>
      </c>
      <c r="X62" s="26">
        <v>2043</v>
      </c>
      <c r="Y62" s="26">
        <v>2044</v>
      </c>
      <c r="Z62" s="26">
        <v>2045</v>
      </c>
      <c r="AA62" s="26">
        <v>2046</v>
      </c>
      <c r="AB62" s="26">
        <v>2047</v>
      </c>
      <c r="AC62" s="26">
        <v>2048</v>
      </c>
      <c r="AD62" s="26">
        <v>2049</v>
      </c>
      <c r="AE62" s="26">
        <v>2050</v>
      </c>
      <c r="AF62" s="26">
        <v>2051</v>
      </c>
      <c r="AG62" s="26">
        <v>2052</v>
      </c>
      <c r="AH62" s="26">
        <v>2053</v>
      </c>
      <c r="AI62" s="26">
        <v>2054</v>
      </c>
      <c r="AJ62" s="26">
        <v>2055</v>
      </c>
      <c r="AK62" s="26">
        <v>2056</v>
      </c>
      <c r="AL62" s="26">
        <v>2057</v>
      </c>
      <c r="AM62" s="26">
        <v>2058</v>
      </c>
      <c r="AN62" s="27">
        <v>2059</v>
      </c>
      <c r="AO62" s="8"/>
    </row>
    <row r="63" spans="2:41" x14ac:dyDescent="0.35">
      <c r="B63" s="8"/>
      <c r="C63" s="19" t="s">
        <v>65</v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18"/>
      <c r="AO63" s="8"/>
    </row>
    <row r="64" spans="2:41" x14ac:dyDescent="0.35">
      <c r="B64" s="8"/>
      <c r="C64" s="10" t="s">
        <v>93</v>
      </c>
      <c r="D64" s="11" t="str">
        <f>CHOOSE(MATCH(LEFT(effTrend,1),{"L","G"},0),"CADR/watt","%")</f>
        <v>CADR/watt</v>
      </c>
      <c r="E64" s="8">
        <v>0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18"/>
      <c r="AO64" s="8"/>
    </row>
    <row r="65" spans="2:41" x14ac:dyDescent="0.35">
      <c r="B65" s="8"/>
      <c r="C65" s="10" t="s">
        <v>94</v>
      </c>
      <c r="D65" s="11" t="s">
        <v>74</v>
      </c>
      <c r="E65" s="33">
        <f>SUMPRODUCT(doEff,INDEX(bcEff_Res,,1))</f>
        <v>2.5119112627986349</v>
      </c>
      <c r="F65" s="33">
        <f>MIN(maxEff,(1+effTrendG*trendGrowthBC_Res)*E$65+effTrendL*trendGrowthBC_Res)</f>
        <v>2.5119112627986349</v>
      </c>
      <c r="G65" s="33">
        <f>MIN(maxEff,(1+effTrendG*trendGrowthBC_Res)*F$65+effTrendL*trendGrowthBC_Res)</f>
        <v>2.5119112627986349</v>
      </c>
      <c r="H65" s="33">
        <f>MIN(maxEff,(1+effTrendG*trendGrowthBC_Res)*G$65+effTrendL*trendGrowthBC_Res)</f>
        <v>2.5119112627986349</v>
      </c>
      <c r="I65" s="33">
        <f>MIN(maxEff,(1+effTrendG*trendGrowthBC_Res)*H$65+effTrendL*trendGrowthBC_Res)</f>
        <v>2.5119112627986349</v>
      </c>
      <c r="J65" s="33">
        <f>MIN(maxEff,(1+effTrendG*trendGrowthBC_Res)*I$65+effTrendL*trendGrowthBC_Res)</f>
        <v>2.5119112627986349</v>
      </c>
      <c r="K65" s="33">
        <f>MIN(maxEff,(1+effTrendG*trendGrowthBC_Res)*J$65+effTrendL*trendGrowthBC_Res)</f>
        <v>2.5119112627986349</v>
      </c>
      <c r="L65" s="33">
        <f>MIN(maxEff,(1+effTrendG*trendGrowthBC_Res)*K$65+effTrendL*trendGrowthBC_Res)</f>
        <v>2.5119112627986349</v>
      </c>
      <c r="M65" s="33">
        <f>MIN(maxEff,(1+effTrendG*trendGrowthBC_Res)*L$65+effTrendL*trendGrowthBC_Res)</f>
        <v>2.5119112627986349</v>
      </c>
      <c r="N65" s="33">
        <f>MIN(maxEff,(1+effTrendG*trendGrowthBC_Res)*M$65+effTrendL*trendGrowthBC_Res)</f>
        <v>2.5119112627986349</v>
      </c>
      <c r="O65" s="33">
        <f>MIN(maxEff,(1+effTrendG*trendGrowthBC_Res)*N$65+effTrendL*trendGrowthBC_Res)</f>
        <v>2.5119112627986349</v>
      </c>
      <c r="P65" s="33">
        <f>MIN(maxEff,(1+effTrendG*trendGrowthBC_Res)*O$65+effTrendL*trendGrowthBC_Res)</f>
        <v>2.5119112627986349</v>
      </c>
      <c r="Q65" s="33">
        <f>MIN(maxEff,(1+effTrendG*trendGrowthBC_Res)*P$65+effTrendL*trendGrowthBC_Res)</f>
        <v>2.5119112627986349</v>
      </c>
      <c r="R65" s="33">
        <f>MIN(maxEff,(1+effTrendG*trendGrowthBC_Res)*Q$65+effTrendL*trendGrowthBC_Res)</f>
        <v>2.5119112627986349</v>
      </c>
      <c r="S65" s="33">
        <f>MIN(maxEff,(1+effTrendG*trendGrowthBC_Res)*R$65+effTrendL*trendGrowthBC_Res)</f>
        <v>2.5119112627986349</v>
      </c>
      <c r="T65" s="33">
        <f>MIN(maxEff,(1+effTrendG*trendGrowthBC_Res)*S$65+effTrendL*trendGrowthBC_Res)</f>
        <v>2.5119112627986349</v>
      </c>
      <c r="U65" s="33">
        <f>MIN(maxEff,(1+effTrendG*trendGrowthBC_Res)*T$65+effTrendL*trendGrowthBC_Res)</f>
        <v>2.5119112627986349</v>
      </c>
      <c r="V65" s="33">
        <f>MIN(maxEff,(1+effTrendG*trendGrowthBC_Res)*U$65+effTrendL*trendGrowthBC_Res)</f>
        <v>2.5119112627986349</v>
      </c>
      <c r="W65" s="33">
        <f>MIN(maxEff,(1+effTrendG*trendGrowthBC_Res)*V$65+effTrendL*trendGrowthBC_Res)</f>
        <v>2.5119112627986349</v>
      </c>
      <c r="X65" s="33">
        <f>MIN(maxEff,(1+effTrendG*trendGrowthBC_Res)*W$65+effTrendL*trendGrowthBC_Res)</f>
        <v>2.5119112627986349</v>
      </c>
      <c r="Y65" s="33">
        <f>MIN(maxEff,(1+effTrendG*trendGrowthBC_Res)*X$65+effTrendL*trendGrowthBC_Res)</f>
        <v>2.5119112627986349</v>
      </c>
      <c r="Z65" s="33">
        <f>MIN(maxEff,(1+effTrendG*trendGrowthBC_Res)*Y$65+effTrendL*trendGrowthBC_Res)</f>
        <v>2.5119112627986349</v>
      </c>
      <c r="AA65" s="33">
        <f>MIN(maxEff,(1+effTrendG*trendGrowthBC_Res)*Z$65+effTrendL*trendGrowthBC_Res)</f>
        <v>2.5119112627986349</v>
      </c>
      <c r="AB65" s="33">
        <f>MIN(maxEff,(1+effTrendG*trendGrowthBC_Res)*AA$65+effTrendL*trendGrowthBC_Res)</f>
        <v>2.5119112627986349</v>
      </c>
      <c r="AC65" s="33">
        <f>MIN(maxEff,(1+effTrendG*trendGrowthBC_Res)*AB$65+effTrendL*trendGrowthBC_Res)</f>
        <v>2.5119112627986349</v>
      </c>
      <c r="AD65" s="33">
        <f>MIN(maxEff,(1+effTrendG*trendGrowthBC_Res)*AC$65+effTrendL*trendGrowthBC_Res)</f>
        <v>2.5119112627986349</v>
      </c>
      <c r="AE65" s="33">
        <f>MIN(maxEff,(1+effTrendG*trendGrowthBC_Res)*AD$65+effTrendL*trendGrowthBC_Res)</f>
        <v>2.5119112627986349</v>
      </c>
      <c r="AF65" s="33">
        <f>MIN(maxEff,(1+effTrendG*trendGrowthBC_Res)*AE$65+effTrendL*trendGrowthBC_Res)</f>
        <v>2.5119112627986349</v>
      </c>
      <c r="AG65" s="33">
        <f>MIN(maxEff,(1+effTrendG*trendGrowthBC_Res)*AF$65+effTrendL*trendGrowthBC_Res)</f>
        <v>2.5119112627986349</v>
      </c>
      <c r="AH65" s="33">
        <f>MIN(maxEff,(1+effTrendG*trendGrowthBC_Res)*AG$65+effTrendL*trendGrowthBC_Res)</f>
        <v>2.5119112627986349</v>
      </c>
      <c r="AI65" s="33">
        <f>MIN(maxEff,(1+effTrendG*trendGrowthBC_Res)*AH$65+effTrendL*trendGrowthBC_Res)</f>
        <v>2.5119112627986349</v>
      </c>
      <c r="AJ65" s="33">
        <f>MIN(maxEff,(1+effTrendG*trendGrowthBC_Res)*AI$65+effTrendL*trendGrowthBC_Res)</f>
        <v>2.5119112627986349</v>
      </c>
      <c r="AK65" s="33">
        <f>MIN(maxEff,(1+effTrendG*trendGrowthBC_Res)*AJ$65+effTrendL*trendGrowthBC_Res)</f>
        <v>2.5119112627986349</v>
      </c>
      <c r="AL65" s="33">
        <f>MIN(maxEff,(1+effTrendG*trendGrowthBC_Res)*AK$65+effTrendL*trendGrowthBC_Res)</f>
        <v>2.5119112627986349</v>
      </c>
      <c r="AM65" s="33">
        <f>MIN(maxEff,(1+effTrendG*trendGrowthBC_Res)*AL$65+effTrendL*trendGrowthBC_Res)</f>
        <v>2.5119112627986349</v>
      </c>
      <c r="AN65" s="34">
        <f>MIN(maxEff,(1+effTrendG*trendGrowthBC_Res)*AM$65+effTrendL*trendGrowthBC_Res)</f>
        <v>2.5119112627986349</v>
      </c>
      <c r="AO65" s="8"/>
    </row>
    <row r="66" spans="2:41" x14ac:dyDescent="0.35">
      <c r="B66" s="8"/>
      <c r="C66" s="19" t="s">
        <v>95</v>
      </c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18"/>
      <c r="AO66" s="8"/>
    </row>
    <row r="67" spans="2:41" x14ac:dyDescent="0.35">
      <c r="B67" s="8"/>
      <c r="C67" s="14" t="s">
        <v>94</v>
      </c>
      <c r="D67" s="15" t="s">
        <v>74</v>
      </c>
      <c r="E67" s="21">
        <f ca="1">IF(E$62&lt;yearC,E$65,IF(E$62=yearC,SUMPRODUCT(doEff,INDEX(polEff_Res,,1)),MIN(maxEff,MAX(0,E$65))))</f>
        <v>2.6925312051229326</v>
      </c>
      <c r="F67" s="21">
        <f ca="1">IF(F$62&lt;yearC,F$65,IF(F$62=yearC,SUMPRODUCT(doEff,INDEX(polEff_Res,,2)),MIN(maxEff,MAX(INDEX(trendEffPol_Res,1),F$65))))</f>
        <v>2.6925312051229326</v>
      </c>
      <c r="G67" s="21">
        <f ca="1">IF(G$62&lt;yearC,G$65,IF(G$62=yearC,SUMPRODUCT(doEff,INDEX(polEff_Res,,3)),MIN(maxEff,MAX(INDEX(trendEffPol_Res,2),G$65))))</f>
        <v>2.6925312051229326</v>
      </c>
      <c r="H67" s="21">
        <f ca="1">IF(H$62&lt;yearC,H$65,IF(H$62=yearC,SUMPRODUCT(doEff,INDEX(polEff_Res,,4)),MIN(maxEff,MAX(INDEX(trendEffPol_Res,3),H$65))))</f>
        <v>2.6925312051229326</v>
      </c>
      <c r="I67" s="21">
        <f ca="1">IF(I$62&lt;yearC,I$65,IF(I$62=yearC,SUMPRODUCT(doEff,INDEX(polEff_Res,,5)),MIN(maxEff,MAX(INDEX(trendEffPol_Res,4),I$65))))</f>
        <v>2.6925312051229326</v>
      </c>
      <c r="J67" s="21">
        <f ca="1">IF(J$62&lt;yearC,J$65,IF(J$62=yearC,SUMPRODUCT(doEff,INDEX(polEff_Res,,6)),MIN(maxEff,MAX(INDEX(trendEffPol_Res,5),J$65))))</f>
        <v>2.6925312051229326</v>
      </c>
      <c r="K67" s="21">
        <f ca="1">IF(K$62&lt;yearC,K$65,IF(K$62=yearC,SUMPRODUCT(doEff,INDEX(polEff_Res,,7)),MIN(maxEff,MAX(INDEX(trendEffPol_Res,6),K$65))))</f>
        <v>2.6925312051229326</v>
      </c>
      <c r="L67" s="21">
        <f ca="1">MIN(maxEff,MAX(INDEX(trendEffPol_Res,7),L$65))</f>
        <v>2.6925312051229326</v>
      </c>
      <c r="M67" s="21">
        <f ca="1">MIN(maxEff,MAX(INDEX(trendEffPol_Res,7),M$65))</f>
        <v>2.6925312051229326</v>
      </c>
      <c r="N67" s="21">
        <f ca="1">MIN(maxEff,MAX(INDEX(trendEffPol_Res,7),N$65))</f>
        <v>2.6925312051229326</v>
      </c>
      <c r="O67" s="21">
        <f ca="1">MIN(maxEff,MAX(INDEX(trendEffPol_Res,7),O$65))</f>
        <v>2.6925312051229326</v>
      </c>
      <c r="P67" s="21">
        <f ca="1">MIN(maxEff,MAX(INDEX(trendEffPol_Res,7),P$65))</f>
        <v>2.6925312051229326</v>
      </c>
      <c r="Q67" s="21">
        <f ca="1">MIN(maxEff,MAX(INDEX(trendEffPol_Res,7),Q$65))</f>
        <v>2.6925312051229326</v>
      </c>
      <c r="R67" s="21">
        <f ca="1">MIN(maxEff,MAX(INDEX(trendEffPol_Res,7),R$65))</f>
        <v>2.6925312051229326</v>
      </c>
      <c r="S67" s="21">
        <f ca="1">MIN(maxEff,MAX(INDEX(trendEffPol_Res,7),S$65))</f>
        <v>2.6925312051229326</v>
      </c>
      <c r="T67" s="21">
        <f ca="1">MIN(maxEff,MAX(INDEX(trendEffPol_Res,7),T$65))</f>
        <v>2.6925312051229326</v>
      </c>
      <c r="U67" s="21">
        <f ca="1">MIN(maxEff,MAX(INDEX(trendEffPol_Res,7),U$65))</f>
        <v>2.6925312051229326</v>
      </c>
      <c r="V67" s="21">
        <f ca="1">MIN(maxEff,MAX(INDEX(trendEffPol_Res,7),V$65))</f>
        <v>2.6925312051229326</v>
      </c>
      <c r="W67" s="21">
        <f ca="1">MIN(maxEff,MAX(INDEX(trendEffPol_Res,7),W$65))</f>
        <v>2.6925312051229326</v>
      </c>
      <c r="X67" s="21">
        <f ca="1">MIN(maxEff,MAX(INDEX(trendEffPol_Res,7),X$65))</f>
        <v>2.6925312051229326</v>
      </c>
      <c r="Y67" s="21">
        <f ca="1">MIN(maxEff,MAX(INDEX(trendEffPol_Res,7),Y$65))</f>
        <v>2.6925312051229326</v>
      </c>
      <c r="Z67" s="21">
        <f ca="1">MIN(maxEff,MAX(INDEX(trendEffPol_Res,7),Z$65))</f>
        <v>2.6925312051229326</v>
      </c>
      <c r="AA67" s="21">
        <f ca="1">MIN(maxEff,MAX(INDEX(trendEffPol_Res,7),AA$65))</f>
        <v>2.6925312051229326</v>
      </c>
      <c r="AB67" s="21">
        <f ca="1">MIN(maxEff,MAX(INDEX(trendEffPol_Res,7),AB$65))</f>
        <v>2.6925312051229326</v>
      </c>
      <c r="AC67" s="21">
        <f ca="1">MIN(maxEff,MAX(INDEX(trendEffPol_Res,7),AC$65))</f>
        <v>2.6925312051229326</v>
      </c>
      <c r="AD67" s="21">
        <f ca="1">MIN(maxEff,MAX(INDEX(trendEffPol_Res,7),AD$65))</f>
        <v>2.6925312051229326</v>
      </c>
      <c r="AE67" s="21">
        <f ca="1">MIN(maxEff,MAX(INDEX(trendEffPol_Res,7),AE$65))</f>
        <v>2.6925312051229326</v>
      </c>
      <c r="AF67" s="21">
        <f ca="1">MIN(maxEff,MAX(INDEX(trendEffPol_Res,7),AF$65))</f>
        <v>2.6925312051229326</v>
      </c>
      <c r="AG67" s="21">
        <f ca="1">MIN(maxEff,MAX(INDEX(trendEffPol_Res,7),AG$65))</f>
        <v>2.6925312051229326</v>
      </c>
      <c r="AH67" s="21">
        <f ca="1">MIN(maxEff,MAX(INDEX(trendEffPol_Res,7),AH$65))</f>
        <v>2.6925312051229326</v>
      </c>
      <c r="AI67" s="21">
        <f ca="1">MIN(maxEff,MAX(INDEX(trendEffPol_Res,7),AI$65))</f>
        <v>2.6925312051229326</v>
      </c>
      <c r="AJ67" s="21">
        <f ca="1">MIN(maxEff,MAX(INDEX(trendEffPol_Res,7),AJ$65))</f>
        <v>2.6925312051229326</v>
      </c>
      <c r="AK67" s="21">
        <f ca="1">MIN(maxEff,MAX(INDEX(trendEffPol_Res,7),AK$65))</f>
        <v>2.6925312051229326</v>
      </c>
      <c r="AL67" s="21">
        <f ca="1">MIN(maxEff,MAX(INDEX(trendEffPol_Res,7),AL$65))</f>
        <v>2.6925312051229326</v>
      </c>
      <c r="AM67" s="21">
        <f ca="1">MIN(maxEff,MAX(INDEX(trendEffPol_Res,7),AM$65))</f>
        <v>2.6925312051229326</v>
      </c>
      <c r="AN67" s="22">
        <f ca="1">MIN(maxEff,MAX(INDEX(trendEffPol_Res,7),AN$65))</f>
        <v>2.6925312051229326</v>
      </c>
      <c r="AO67" s="8"/>
    </row>
    <row r="68" spans="2:4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</row>
    <row r="69" spans="2:41" hidden="1" x14ac:dyDescent="0.35">
      <c r="B69" s="8"/>
      <c r="C69" s="23" t="s">
        <v>102</v>
      </c>
      <c r="D69" s="24"/>
      <c r="E69" s="26">
        <f t="array" ref="E69:AN69">_yS</f>
        <v>2024</v>
      </c>
      <c r="F69" s="26">
        <v>2025</v>
      </c>
      <c r="G69" s="26">
        <v>2026</v>
      </c>
      <c r="H69" s="26">
        <v>2027</v>
      </c>
      <c r="I69" s="26">
        <v>2028</v>
      </c>
      <c r="J69" s="26">
        <v>2029</v>
      </c>
      <c r="K69" s="26">
        <v>2030</v>
      </c>
      <c r="L69" s="26">
        <v>2031</v>
      </c>
      <c r="M69" s="26">
        <v>2032</v>
      </c>
      <c r="N69" s="26">
        <v>2033</v>
      </c>
      <c r="O69" s="26">
        <v>2034</v>
      </c>
      <c r="P69" s="26">
        <v>2035</v>
      </c>
      <c r="Q69" s="26">
        <v>2036</v>
      </c>
      <c r="R69" s="26">
        <v>2037</v>
      </c>
      <c r="S69" s="26">
        <v>2038</v>
      </c>
      <c r="T69" s="26">
        <v>2039</v>
      </c>
      <c r="U69" s="26">
        <v>2040</v>
      </c>
      <c r="V69" s="26">
        <v>2041</v>
      </c>
      <c r="W69" s="26">
        <v>2042</v>
      </c>
      <c r="X69" s="26">
        <v>2043</v>
      </c>
      <c r="Y69" s="26">
        <v>2044</v>
      </c>
      <c r="Z69" s="26">
        <v>2045</v>
      </c>
      <c r="AA69" s="26">
        <v>2046</v>
      </c>
      <c r="AB69" s="26">
        <v>2047</v>
      </c>
      <c r="AC69" s="26">
        <v>2048</v>
      </c>
      <c r="AD69" s="26">
        <v>2049</v>
      </c>
      <c r="AE69" s="26">
        <v>2050</v>
      </c>
      <c r="AF69" s="26">
        <v>2051</v>
      </c>
      <c r="AG69" s="26">
        <v>2052</v>
      </c>
      <c r="AH69" s="26">
        <v>2053</v>
      </c>
      <c r="AI69" s="26">
        <v>2054</v>
      </c>
      <c r="AJ69" s="26">
        <v>2055</v>
      </c>
      <c r="AK69" s="26">
        <v>2056</v>
      </c>
      <c r="AL69" s="26">
        <v>2057</v>
      </c>
      <c r="AM69" s="26">
        <v>2058</v>
      </c>
      <c r="AN69" s="27">
        <v>2059</v>
      </c>
      <c r="AO69" s="8"/>
    </row>
    <row r="70" spans="2:41" hidden="1" x14ac:dyDescent="0.35">
      <c r="B70" s="8"/>
      <c r="C70" s="19" t="s">
        <v>89</v>
      </c>
      <c r="D70" s="11"/>
      <c r="E70" s="43">
        <f>0</f>
        <v>0</v>
      </c>
      <c r="F70" s="43">
        <f t="array" ref="F70:AN70">$E$70</f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0</v>
      </c>
      <c r="AA70" s="43">
        <v>0</v>
      </c>
      <c r="AB70" s="43">
        <v>0</v>
      </c>
      <c r="AC70" s="43">
        <v>0</v>
      </c>
      <c r="AD70" s="43">
        <v>0</v>
      </c>
      <c r="AE70" s="43">
        <v>0</v>
      </c>
      <c r="AF70" s="43">
        <v>0</v>
      </c>
      <c r="AG70" s="43">
        <v>0</v>
      </c>
      <c r="AH70" s="43">
        <v>0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4">
        <v>0</v>
      </c>
      <c r="AO70" s="8"/>
    </row>
    <row r="71" spans="2:41" hidden="1" x14ac:dyDescent="0.35">
      <c r="B71" s="8"/>
      <c r="C71" s="19" t="str">
        <f>"EL 0: " &amp; INDEX(_doName,3,1)</f>
        <v>EL 0: Baseline</v>
      </c>
      <c r="D71" s="11"/>
      <c r="E71" s="43"/>
      <c r="F71" s="43">
        <f ca="1">(INDEX(teffSumPol_Res,1,2)&lt;INDEX(effGoalPol_Res,2)) * MIN(INDEX(polEff_Res,1,1),(INDEX(effGoalPol_Res,2)-INDEX(teffSumPol_Res,1,2))/(INDEX(doEff,2)-INDEX(doEff,1)))</f>
        <v>0</v>
      </c>
      <c r="G71" s="43">
        <f ca="1">(INDEX(teffSumPol_Res,1,3)&lt;INDEX(effGoalPol_Res,3)) * MIN(INDEX(polEff_Res,1,2),(INDEX(effGoalPol_Res,3)-INDEX(teffSumPol_Res,1,3))/(INDEX(doEff,2)-INDEX(doEff,1)))</f>
        <v>0</v>
      </c>
      <c r="H71" s="43">
        <f ca="1">(INDEX(teffSumPol_Res,1,4)&lt;INDEX(effGoalPol_Res,4)) * MIN(INDEX(polEff_Res,1,3),(INDEX(effGoalPol_Res,4)-INDEX(teffSumPol_Res,1,4))/(INDEX(doEff,2)-INDEX(doEff,1)))</f>
        <v>0</v>
      </c>
      <c r="I71" s="43">
        <f ca="1">(INDEX(teffSumPol_Res,1,5)&lt;INDEX(effGoalPol_Res,5)) * MIN(INDEX(polEff_Res,1,4),(INDEX(effGoalPol_Res,5)-INDEX(teffSumPol_Res,1,5))/(INDEX(doEff,2)-INDEX(doEff,1)))</f>
        <v>0</v>
      </c>
      <c r="J71" s="43">
        <f ca="1">(INDEX(teffSumPol_Res,1,6)&lt;INDEX(effGoalPol_Res,6)) * MIN(INDEX(polEff_Res,1,5),(INDEX(effGoalPol_Res,6)-INDEX(teffSumPol_Res,1,6))/(INDEX(doEff,2)-INDEX(doEff,1)))</f>
        <v>0</v>
      </c>
      <c r="K71" s="43">
        <f ca="1">(INDEX(teffSumPol_Res,1,7)&lt;INDEX(effGoalPol_Res,7)) * MIN(INDEX(polEff_Res,1,6),(INDEX(effGoalPol_Res,7)-INDEX(teffSumPol_Res,1,7))/(INDEX(doEff,2)-INDEX(doEff,1)))</f>
        <v>0</v>
      </c>
      <c r="L71" s="43">
        <f ca="1">(INDEX(teffSumPol_Res,1,8)&lt;INDEX(effGoalPol_Res,8)) * MIN(INDEX(polEff_Res,1,7),(INDEX(effGoalPol_Res,8)-INDEX(teffSumPol_Res,1,8))/(INDEX(doEff,2)-INDEX(doEff,1)))</f>
        <v>0</v>
      </c>
      <c r="M71" s="43">
        <f ca="1">(INDEX(teffSumPol_Res,1,9)&lt;INDEX(effGoalPol_Res,9)) * MIN(INDEX(polEff_Res,1,8),(INDEX(effGoalPol_Res,9)-INDEX(teffSumPol_Res,1,9))/(INDEX(doEff,2)-INDEX(doEff,1)))</f>
        <v>0</v>
      </c>
      <c r="N71" s="43">
        <f ca="1">(INDEX(teffSumPol_Res,1,10)&lt;INDEX(effGoalPol_Res,10)) * MIN(INDEX(polEff_Res,1,9),(INDEX(effGoalPol_Res,10)-INDEX(teffSumPol_Res,1,10))/(INDEX(doEff,2)-INDEX(doEff,1)))</f>
        <v>0</v>
      </c>
      <c r="O71" s="43">
        <f ca="1">(INDEX(teffSumPol_Res,1,11)&lt;INDEX(effGoalPol_Res,11)) * MIN(INDEX(polEff_Res,1,10),(INDEX(effGoalPol_Res,11)-INDEX(teffSumPol_Res,1,11))/(INDEX(doEff,2)-INDEX(doEff,1)))</f>
        <v>0</v>
      </c>
      <c r="P71" s="43">
        <f ca="1">(INDEX(teffSumPol_Res,1,12)&lt;INDEX(effGoalPol_Res,12)) * MIN(INDEX(polEff_Res,1,11),(INDEX(effGoalPol_Res,12)-INDEX(teffSumPol_Res,1,12))/(INDEX(doEff,2)-INDEX(doEff,1)))</f>
        <v>0</v>
      </c>
      <c r="Q71" s="43">
        <f ca="1">(INDEX(teffSumPol_Res,1,13)&lt;INDEX(effGoalPol_Res,13)) * MIN(INDEX(polEff_Res,1,12),(INDEX(effGoalPol_Res,13)-INDEX(teffSumPol_Res,1,13))/(INDEX(doEff,2)-INDEX(doEff,1)))</f>
        <v>0</v>
      </c>
      <c r="R71" s="43">
        <f ca="1">(INDEX(teffSumPol_Res,1,14)&lt;INDEX(effGoalPol_Res,14)) * MIN(INDEX(polEff_Res,1,13),(INDEX(effGoalPol_Res,14)-INDEX(teffSumPol_Res,1,14))/(INDEX(doEff,2)-INDEX(doEff,1)))</f>
        <v>0</v>
      </c>
      <c r="S71" s="43">
        <f ca="1">(INDEX(teffSumPol_Res,1,15)&lt;INDEX(effGoalPol_Res,15)) * MIN(INDEX(polEff_Res,1,14),(INDEX(effGoalPol_Res,15)-INDEX(teffSumPol_Res,1,15))/(INDEX(doEff,2)-INDEX(doEff,1)))</f>
        <v>0</v>
      </c>
      <c r="T71" s="43">
        <f ca="1">(INDEX(teffSumPol_Res,1,16)&lt;INDEX(effGoalPol_Res,16)) * MIN(INDEX(polEff_Res,1,15),(INDEX(effGoalPol_Res,16)-INDEX(teffSumPol_Res,1,16))/(INDEX(doEff,2)-INDEX(doEff,1)))</f>
        <v>0</v>
      </c>
      <c r="U71" s="43">
        <f ca="1">(INDEX(teffSumPol_Res,1,17)&lt;INDEX(effGoalPol_Res,17)) * MIN(INDEX(polEff_Res,1,16),(INDEX(effGoalPol_Res,17)-INDEX(teffSumPol_Res,1,17))/(INDEX(doEff,2)-INDEX(doEff,1)))</f>
        <v>0</v>
      </c>
      <c r="V71" s="43">
        <f ca="1">(INDEX(teffSumPol_Res,1,18)&lt;INDEX(effGoalPol_Res,18)) * MIN(INDEX(polEff_Res,1,17),(INDEX(effGoalPol_Res,18)-INDEX(teffSumPol_Res,1,18))/(INDEX(doEff,2)-INDEX(doEff,1)))</f>
        <v>0</v>
      </c>
      <c r="W71" s="43">
        <f ca="1">(INDEX(teffSumPol_Res,1,19)&lt;INDEX(effGoalPol_Res,19)) * MIN(INDEX(polEff_Res,1,18),(INDEX(effGoalPol_Res,19)-INDEX(teffSumPol_Res,1,19))/(INDEX(doEff,2)-INDEX(doEff,1)))</f>
        <v>0</v>
      </c>
      <c r="X71" s="43">
        <f ca="1">(INDEX(teffSumPol_Res,1,20)&lt;INDEX(effGoalPol_Res,20)) * MIN(INDEX(polEff_Res,1,19),(INDEX(effGoalPol_Res,20)-INDEX(teffSumPol_Res,1,20))/(INDEX(doEff,2)-INDEX(doEff,1)))</f>
        <v>0</v>
      </c>
      <c r="Y71" s="43">
        <f ca="1">(INDEX(teffSumPol_Res,1,21)&lt;INDEX(effGoalPol_Res,21)) * MIN(INDEX(polEff_Res,1,20),(INDEX(effGoalPol_Res,21)-INDEX(teffSumPol_Res,1,21))/(INDEX(doEff,2)-INDEX(doEff,1)))</f>
        <v>0</v>
      </c>
      <c r="Z71" s="43">
        <f ca="1">(INDEX(teffSumPol_Res,1,22)&lt;INDEX(effGoalPol_Res,22)) * MIN(INDEX(polEff_Res,1,21),(INDEX(effGoalPol_Res,22)-INDEX(teffSumPol_Res,1,22))/(INDEX(doEff,2)-INDEX(doEff,1)))</f>
        <v>0</v>
      </c>
      <c r="AA71" s="43">
        <f ca="1">(INDEX(teffSumPol_Res,1,23)&lt;INDEX(effGoalPol_Res,23)) * MIN(INDEX(polEff_Res,1,22),(INDEX(effGoalPol_Res,23)-INDEX(teffSumPol_Res,1,23))/(INDEX(doEff,2)-INDEX(doEff,1)))</f>
        <v>0</v>
      </c>
      <c r="AB71" s="43">
        <f ca="1">(INDEX(teffSumPol_Res,1,24)&lt;INDEX(effGoalPol_Res,24)) * MIN(INDEX(polEff_Res,1,23),(INDEX(effGoalPol_Res,24)-INDEX(teffSumPol_Res,1,24))/(INDEX(doEff,2)-INDEX(doEff,1)))</f>
        <v>0</v>
      </c>
      <c r="AC71" s="43">
        <f ca="1">(INDEX(teffSumPol_Res,1,25)&lt;INDEX(effGoalPol_Res,25)) * MIN(INDEX(polEff_Res,1,24),(INDEX(effGoalPol_Res,25)-INDEX(teffSumPol_Res,1,25))/(INDEX(doEff,2)-INDEX(doEff,1)))</f>
        <v>0</v>
      </c>
      <c r="AD71" s="43">
        <f ca="1">(INDEX(teffSumPol_Res,1,26)&lt;INDEX(effGoalPol_Res,26)) * MIN(INDEX(polEff_Res,1,25),(INDEX(effGoalPol_Res,26)-INDEX(teffSumPol_Res,1,26))/(INDEX(doEff,2)-INDEX(doEff,1)))</f>
        <v>0</v>
      </c>
      <c r="AE71" s="43">
        <f ca="1">(INDEX(teffSumPol_Res,1,27)&lt;INDEX(effGoalPol_Res,27)) * MIN(INDEX(polEff_Res,1,26),(INDEX(effGoalPol_Res,27)-INDEX(teffSumPol_Res,1,27))/(INDEX(doEff,2)-INDEX(doEff,1)))</f>
        <v>0</v>
      </c>
      <c r="AF71" s="43">
        <f ca="1">(INDEX(teffSumPol_Res,1,28)&lt;INDEX(effGoalPol_Res,28)) * MIN(INDEX(polEff_Res,1,27),(INDEX(effGoalPol_Res,28)-INDEX(teffSumPol_Res,1,28))/(INDEX(doEff,2)-INDEX(doEff,1)))</f>
        <v>0</v>
      </c>
      <c r="AG71" s="43">
        <f ca="1">(INDEX(teffSumPol_Res,1,29)&lt;INDEX(effGoalPol_Res,29)) * MIN(INDEX(polEff_Res,1,28),(INDEX(effGoalPol_Res,29)-INDEX(teffSumPol_Res,1,29))/(INDEX(doEff,2)-INDEX(doEff,1)))</f>
        <v>0</v>
      </c>
      <c r="AH71" s="43">
        <f ca="1">(INDEX(teffSumPol_Res,1,30)&lt;INDEX(effGoalPol_Res,30)) * MIN(INDEX(polEff_Res,1,29),(INDEX(effGoalPol_Res,30)-INDEX(teffSumPol_Res,1,30))/(INDEX(doEff,2)-INDEX(doEff,1)))</f>
        <v>0</v>
      </c>
      <c r="AI71" s="43">
        <f ca="1">(INDEX(teffSumPol_Res,1,31)&lt;INDEX(effGoalPol_Res,31)) * MIN(INDEX(polEff_Res,1,30),(INDEX(effGoalPol_Res,31)-INDEX(teffSumPol_Res,1,31))/(INDEX(doEff,2)-INDEX(doEff,1)))</f>
        <v>0</v>
      </c>
      <c r="AJ71" s="43">
        <f ca="1">(INDEX(teffSumPol_Res,1,32)&lt;INDEX(effGoalPol_Res,32)) * MIN(INDEX(polEff_Res,1,31),(INDEX(effGoalPol_Res,32)-INDEX(teffSumPol_Res,1,32))/(INDEX(doEff,2)-INDEX(doEff,1)))</f>
        <v>0</v>
      </c>
      <c r="AK71" s="43">
        <f ca="1">(INDEX(teffSumPol_Res,1,33)&lt;INDEX(effGoalPol_Res,33)) * MIN(INDEX(polEff_Res,1,32),(INDEX(effGoalPol_Res,33)-INDEX(teffSumPol_Res,1,33))/(INDEX(doEff,2)-INDEX(doEff,1)))</f>
        <v>0</v>
      </c>
      <c r="AL71" s="43">
        <f ca="1">(INDEX(teffSumPol_Res,1,34)&lt;INDEX(effGoalPol_Res,34)) * MIN(INDEX(polEff_Res,1,33),(INDEX(effGoalPol_Res,34)-INDEX(teffSumPol_Res,1,34))/(INDEX(doEff,2)-INDEX(doEff,1)))</f>
        <v>0</v>
      </c>
      <c r="AM71" s="43">
        <f ca="1">(INDEX(teffSumPol_Res,1,35)&lt;INDEX(effGoalPol_Res,35)) * MIN(INDEX(polEff_Res,1,34),(INDEX(effGoalPol_Res,35)-INDEX(teffSumPol_Res,1,35))/(INDEX(doEff,2)-INDEX(doEff,1)))</f>
        <v>0</v>
      </c>
      <c r="AN71" s="44">
        <f ca="1">(INDEX(teffSumPol_Res,1,36)&lt;INDEX(effGoalPol_Res,36)) * MIN(INDEX(polEff_Res,1,35),(INDEX(effGoalPol_Res,36)-INDEX(teffSumPol_Res,1,36))/(INDEX(doEff,2)-INDEX(doEff,1)))</f>
        <v>0</v>
      </c>
      <c r="AO71" s="8"/>
    </row>
    <row r="72" spans="2:41" hidden="1" x14ac:dyDescent="0.35">
      <c r="B72" s="8"/>
      <c r="C72" s="19" t="str">
        <f>"EL 1: " &amp; INDEX(_doName,3,2)</f>
        <v>EL 1: Tier 1</v>
      </c>
      <c r="D72" s="11"/>
      <c r="E72" s="43"/>
      <c r="F72" s="43">
        <f ca="1">(INDEX(teffSumPol_Res,2,2)&lt;INDEX(effGoalPol_Res,2)) * MIN(INDEX(polEff_Res,2,1)+INDEX(pushPol_Res,1),(INDEX(effGoalPol_Res,2)-INDEX(teffSumPol_Res,2,2))/(INDEX(doEff,3)-INDEX(doEff,2)))</f>
        <v>0</v>
      </c>
      <c r="G72" s="43">
        <f ca="1">(INDEX(teffSumPol_Res,2,3)&lt;INDEX(effGoalPol_Res,3)) * MIN(INDEX(polEff_Res,2,2)+INDEX(pushPol_Res,1),(INDEX(effGoalPol_Res,3)-INDEX(teffSumPol_Res,2,3))/(INDEX(doEff,3)-INDEX(doEff,2)))</f>
        <v>2.3485124351167258E-4</v>
      </c>
      <c r="H72" s="43">
        <f ca="1">(INDEX(teffSumPol_Res,2,4)&lt;INDEX(effGoalPol_Res,4)) * MIN(INDEX(polEff_Res,2,3)+INDEX(pushPol_Res,1),(INDEX(effGoalPol_Res,4)-INDEX(teffSumPol_Res,2,4))/(INDEX(doEff,3)-INDEX(doEff,2)))</f>
        <v>0</v>
      </c>
      <c r="I72" s="43">
        <f ca="1">(INDEX(teffSumPol_Res,2,5)&lt;INDEX(effGoalPol_Res,5)) * MIN(INDEX(polEff_Res,2,4)+INDEX(pushPol_Res,1),(INDEX(effGoalPol_Res,5)-INDEX(teffSumPol_Res,2,5))/(INDEX(doEff,3)-INDEX(doEff,2)))</f>
        <v>0</v>
      </c>
      <c r="J72" s="43">
        <f ca="1">(INDEX(teffSumPol_Res,2,6)&lt;INDEX(effGoalPol_Res,6)) * MIN(INDEX(polEff_Res,2,5)+INDEX(pushPol_Res,1),(INDEX(effGoalPol_Res,6)-INDEX(teffSumPol_Res,2,6))/(INDEX(doEff,3)-INDEX(doEff,2)))</f>
        <v>0</v>
      </c>
      <c r="K72" s="43">
        <f ca="1">(INDEX(teffSumPol_Res,2,7)&lt;INDEX(effGoalPol_Res,7)) * MIN(INDEX(polEff_Res,2,6)+INDEX(pushPol_Res,1),(INDEX(effGoalPol_Res,7)-INDEX(teffSumPol_Res,2,7))/(INDEX(doEff,3)-INDEX(doEff,2)))</f>
        <v>0</v>
      </c>
      <c r="L72" s="43">
        <f ca="1">(INDEX(teffSumPol_Res,2,8)&lt;INDEX(effGoalPol_Res,8)) * MIN(INDEX(polEff_Res,2,7)+INDEX(pushPol_Res,1),(INDEX(effGoalPol_Res,8)-INDEX(teffSumPol_Res,2,8))/(INDEX(doEff,3)-INDEX(doEff,2)))</f>
        <v>0</v>
      </c>
      <c r="M72" s="43">
        <f ca="1">(INDEX(teffSumPol_Res,2,9)&lt;INDEX(effGoalPol_Res,9)) * MIN(INDEX(polEff_Res,2,8)+INDEX(pushPol_Res,1),(INDEX(effGoalPol_Res,9)-INDEX(teffSumPol_Res,2,9))/(INDEX(doEff,3)-INDEX(doEff,2)))</f>
        <v>0</v>
      </c>
      <c r="N72" s="43">
        <f ca="1">(INDEX(teffSumPol_Res,2,10)&lt;INDEX(effGoalPol_Res,10)) * MIN(INDEX(polEff_Res,2,9)+INDEX(pushPol_Res,1),(INDEX(effGoalPol_Res,10)-INDEX(teffSumPol_Res,2,10))/(INDEX(doEff,3)-INDEX(doEff,2)))</f>
        <v>0</v>
      </c>
      <c r="O72" s="43">
        <f ca="1">(INDEX(teffSumPol_Res,2,11)&lt;INDEX(effGoalPol_Res,11)) * MIN(INDEX(polEff_Res,2,10)+INDEX(pushPol_Res,1),(INDEX(effGoalPol_Res,11)-INDEX(teffSumPol_Res,2,11))/(INDEX(doEff,3)-INDEX(doEff,2)))</f>
        <v>0</v>
      </c>
      <c r="P72" s="43">
        <f ca="1">(INDEX(teffSumPol_Res,2,12)&lt;INDEX(effGoalPol_Res,12)) * MIN(INDEX(polEff_Res,2,11)+INDEX(pushPol_Res,1),(INDEX(effGoalPol_Res,12)-INDEX(teffSumPol_Res,2,12))/(INDEX(doEff,3)-INDEX(doEff,2)))</f>
        <v>0</v>
      </c>
      <c r="Q72" s="43">
        <f ca="1">(INDEX(teffSumPol_Res,2,13)&lt;INDEX(effGoalPol_Res,13)) * MIN(INDEX(polEff_Res,2,12)+INDEX(pushPol_Res,1),(INDEX(effGoalPol_Res,13)-INDEX(teffSumPol_Res,2,13))/(INDEX(doEff,3)-INDEX(doEff,2)))</f>
        <v>0</v>
      </c>
      <c r="R72" s="43">
        <f ca="1">(INDEX(teffSumPol_Res,2,14)&lt;INDEX(effGoalPol_Res,14)) * MIN(INDEX(polEff_Res,2,13)+INDEX(pushPol_Res,1),(INDEX(effGoalPol_Res,14)-INDEX(teffSumPol_Res,2,14))/(INDEX(doEff,3)-INDEX(doEff,2)))</f>
        <v>0</v>
      </c>
      <c r="S72" s="43">
        <f ca="1">(INDEX(teffSumPol_Res,2,15)&lt;INDEX(effGoalPol_Res,15)) * MIN(INDEX(polEff_Res,2,14)+INDEX(pushPol_Res,1),(INDEX(effGoalPol_Res,15)-INDEX(teffSumPol_Res,2,15))/(INDEX(doEff,3)-INDEX(doEff,2)))</f>
        <v>0</v>
      </c>
      <c r="T72" s="43">
        <f ca="1">(INDEX(teffSumPol_Res,2,16)&lt;INDEX(effGoalPol_Res,16)) * MIN(INDEX(polEff_Res,2,15)+INDEX(pushPol_Res,1),(INDEX(effGoalPol_Res,16)-INDEX(teffSumPol_Res,2,16))/(INDEX(doEff,3)-INDEX(doEff,2)))</f>
        <v>0</v>
      </c>
      <c r="U72" s="43">
        <f ca="1">(INDEX(teffSumPol_Res,2,17)&lt;INDEX(effGoalPol_Res,17)) * MIN(INDEX(polEff_Res,2,16)+INDEX(pushPol_Res,1),(INDEX(effGoalPol_Res,17)-INDEX(teffSumPol_Res,2,17))/(INDEX(doEff,3)-INDEX(doEff,2)))</f>
        <v>0</v>
      </c>
      <c r="V72" s="43">
        <f ca="1">(INDEX(teffSumPol_Res,2,18)&lt;INDEX(effGoalPol_Res,18)) * MIN(INDEX(polEff_Res,2,17)+INDEX(pushPol_Res,1),(INDEX(effGoalPol_Res,18)-INDEX(teffSumPol_Res,2,18))/(INDEX(doEff,3)-INDEX(doEff,2)))</f>
        <v>0</v>
      </c>
      <c r="W72" s="43">
        <f ca="1">(INDEX(teffSumPol_Res,2,19)&lt;INDEX(effGoalPol_Res,19)) * MIN(INDEX(polEff_Res,2,18)+INDEX(pushPol_Res,1),(INDEX(effGoalPol_Res,19)-INDEX(teffSumPol_Res,2,19))/(INDEX(doEff,3)-INDEX(doEff,2)))</f>
        <v>0</v>
      </c>
      <c r="X72" s="43">
        <f ca="1">(INDEX(teffSumPol_Res,2,20)&lt;INDEX(effGoalPol_Res,20)) * MIN(INDEX(polEff_Res,2,19)+INDEX(pushPol_Res,1),(INDEX(effGoalPol_Res,20)-INDEX(teffSumPol_Res,2,20))/(INDEX(doEff,3)-INDEX(doEff,2)))</f>
        <v>0</v>
      </c>
      <c r="Y72" s="43">
        <f ca="1">(INDEX(teffSumPol_Res,2,21)&lt;INDEX(effGoalPol_Res,21)) * MIN(INDEX(polEff_Res,2,20)+INDEX(pushPol_Res,1),(INDEX(effGoalPol_Res,21)-INDEX(teffSumPol_Res,2,21))/(INDEX(doEff,3)-INDEX(doEff,2)))</f>
        <v>0</v>
      </c>
      <c r="Z72" s="43">
        <f ca="1">(INDEX(teffSumPol_Res,2,22)&lt;INDEX(effGoalPol_Res,22)) * MIN(INDEX(polEff_Res,2,21)+INDEX(pushPol_Res,1),(INDEX(effGoalPol_Res,22)-INDEX(teffSumPol_Res,2,22))/(INDEX(doEff,3)-INDEX(doEff,2)))</f>
        <v>0</v>
      </c>
      <c r="AA72" s="43">
        <f ca="1">(INDEX(teffSumPol_Res,2,23)&lt;INDEX(effGoalPol_Res,23)) * MIN(INDEX(polEff_Res,2,22)+INDEX(pushPol_Res,1),(INDEX(effGoalPol_Res,23)-INDEX(teffSumPol_Res,2,23))/(INDEX(doEff,3)-INDEX(doEff,2)))</f>
        <v>0</v>
      </c>
      <c r="AB72" s="43">
        <f ca="1">(INDEX(teffSumPol_Res,2,24)&lt;INDEX(effGoalPol_Res,24)) * MIN(INDEX(polEff_Res,2,23)+INDEX(pushPol_Res,1),(INDEX(effGoalPol_Res,24)-INDEX(teffSumPol_Res,2,24))/(INDEX(doEff,3)-INDEX(doEff,2)))</f>
        <v>0</v>
      </c>
      <c r="AC72" s="43">
        <f ca="1">(INDEX(teffSumPol_Res,2,25)&lt;INDEX(effGoalPol_Res,25)) * MIN(INDEX(polEff_Res,2,24)+INDEX(pushPol_Res,1),(INDEX(effGoalPol_Res,25)-INDEX(teffSumPol_Res,2,25))/(INDEX(doEff,3)-INDEX(doEff,2)))</f>
        <v>0</v>
      </c>
      <c r="AD72" s="43">
        <f ca="1">(INDEX(teffSumPol_Res,2,26)&lt;INDEX(effGoalPol_Res,26)) * MIN(INDEX(polEff_Res,2,25)+INDEX(pushPol_Res,1),(INDEX(effGoalPol_Res,26)-INDEX(teffSumPol_Res,2,26))/(INDEX(doEff,3)-INDEX(doEff,2)))</f>
        <v>0</v>
      </c>
      <c r="AE72" s="43">
        <f ca="1">(INDEX(teffSumPol_Res,2,27)&lt;INDEX(effGoalPol_Res,27)) * MIN(INDEX(polEff_Res,2,26)+INDEX(pushPol_Res,1),(INDEX(effGoalPol_Res,27)-INDEX(teffSumPol_Res,2,27))/(INDEX(doEff,3)-INDEX(doEff,2)))</f>
        <v>0</v>
      </c>
      <c r="AF72" s="43">
        <f ca="1">(INDEX(teffSumPol_Res,2,28)&lt;INDEX(effGoalPol_Res,28)) * MIN(INDEX(polEff_Res,2,27)+INDEX(pushPol_Res,1),(INDEX(effGoalPol_Res,28)-INDEX(teffSumPol_Res,2,28))/(INDEX(doEff,3)-INDEX(doEff,2)))</f>
        <v>0</v>
      </c>
      <c r="AG72" s="43">
        <f ca="1">(INDEX(teffSumPol_Res,2,29)&lt;INDEX(effGoalPol_Res,29)) * MIN(INDEX(polEff_Res,2,28)+INDEX(pushPol_Res,1),(INDEX(effGoalPol_Res,29)-INDEX(teffSumPol_Res,2,29))/(INDEX(doEff,3)-INDEX(doEff,2)))</f>
        <v>0</v>
      </c>
      <c r="AH72" s="43">
        <f ca="1">(INDEX(teffSumPol_Res,2,30)&lt;INDEX(effGoalPol_Res,30)) * MIN(INDEX(polEff_Res,2,29)+INDEX(pushPol_Res,1),(INDEX(effGoalPol_Res,30)-INDEX(teffSumPol_Res,2,30))/(INDEX(doEff,3)-INDEX(doEff,2)))</f>
        <v>0</v>
      </c>
      <c r="AI72" s="43">
        <f ca="1">(INDEX(teffSumPol_Res,2,31)&lt;INDEX(effGoalPol_Res,31)) * MIN(INDEX(polEff_Res,2,30)+INDEX(pushPol_Res,1),(INDEX(effGoalPol_Res,31)-INDEX(teffSumPol_Res,2,31))/(INDEX(doEff,3)-INDEX(doEff,2)))</f>
        <v>0</v>
      </c>
      <c r="AJ72" s="43">
        <f ca="1">(INDEX(teffSumPol_Res,2,32)&lt;INDEX(effGoalPol_Res,32)) * MIN(INDEX(polEff_Res,2,31)+INDEX(pushPol_Res,1),(INDEX(effGoalPol_Res,32)-INDEX(teffSumPol_Res,2,32))/(INDEX(doEff,3)-INDEX(doEff,2)))</f>
        <v>0</v>
      </c>
      <c r="AK72" s="43">
        <f ca="1">(INDEX(teffSumPol_Res,2,33)&lt;INDEX(effGoalPol_Res,33)) * MIN(INDEX(polEff_Res,2,32)+INDEX(pushPol_Res,1),(INDEX(effGoalPol_Res,33)-INDEX(teffSumPol_Res,2,33))/(INDEX(doEff,3)-INDEX(doEff,2)))</f>
        <v>0</v>
      </c>
      <c r="AL72" s="43">
        <f ca="1">(INDEX(teffSumPol_Res,2,34)&lt;INDEX(effGoalPol_Res,34)) * MIN(INDEX(polEff_Res,2,33)+INDEX(pushPol_Res,1),(INDEX(effGoalPol_Res,34)-INDEX(teffSumPol_Res,2,34))/(INDEX(doEff,3)-INDEX(doEff,2)))</f>
        <v>0</v>
      </c>
      <c r="AM72" s="43">
        <f ca="1">(INDEX(teffSumPol_Res,2,35)&lt;INDEX(effGoalPol_Res,35)) * MIN(INDEX(polEff_Res,2,34)+INDEX(pushPol_Res,1),(INDEX(effGoalPol_Res,35)-INDEX(teffSumPol_Res,2,35))/(INDEX(doEff,3)-INDEX(doEff,2)))</f>
        <v>0</v>
      </c>
      <c r="AN72" s="44">
        <f ca="1">(INDEX(teffSumPol_Res,2,36)&lt;INDEX(effGoalPol_Res,36)) * MIN(INDEX(polEff_Res,2,35)+INDEX(pushPol_Res,1),(INDEX(effGoalPol_Res,36)-INDEX(teffSumPol_Res,2,36))/(INDEX(doEff,3)-INDEX(doEff,2)))</f>
        <v>0</v>
      </c>
      <c r="AO72" s="8"/>
    </row>
    <row r="73" spans="2:41" hidden="1" x14ac:dyDescent="0.35">
      <c r="B73" s="8"/>
      <c r="C73" s="19" t="str">
        <f>"EL 2: " &amp; INDEX(_doName,3,3)</f>
        <v>EL 2: Tier 2</v>
      </c>
      <c r="D73" s="11"/>
      <c r="E73" s="43"/>
      <c r="F73" s="43">
        <f ca="1">(INDEX(teffSumPol_Res,3,2)&lt;INDEX(effGoalPol_Res,2)) * MIN(INDEX(polEff_Res,3,1)+INDEX(pushPol_Res,2),(INDEX(effGoalPol_Res,2)-INDEX(teffSumPol_Res,3,2))/(INDEX(doEff,4)-INDEX(doEff,3)))</f>
        <v>0</v>
      </c>
      <c r="G73" s="43">
        <f ca="1">(INDEX(teffSumPol_Res,3,3)&lt;INDEX(effGoalPol_Res,3)) * MIN(INDEX(polEff_Res,3,2)+INDEX(pushPol_Res,2),(INDEX(effGoalPol_Res,3)-INDEX(teffSumPol_Res,3,3))/(INDEX(doEff,4)-INDEX(doEff,3)))</f>
        <v>0.30586509962111774</v>
      </c>
      <c r="H73" s="43">
        <f ca="1">(INDEX(teffSumPol_Res,3,4)&lt;INDEX(effGoalPol_Res,4)) * MIN(INDEX(polEff_Res,3,3)+INDEX(pushPol_Res,2),(INDEX(effGoalPol_Res,4)-INDEX(teffSumPol_Res,3,4))/(INDEX(doEff,4)-INDEX(doEff,3)))</f>
        <v>0</v>
      </c>
      <c r="I73" s="43">
        <f ca="1">(INDEX(teffSumPol_Res,3,5)&lt;INDEX(effGoalPol_Res,5)) * MIN(INDEX(polEff_Res,3,4)+INDEX(pushPol_Res,2),(INDEX(effGoalPol_Res,5)-INDEX(teffSumPol_Res,3,5))/(INDEX(doEff,4)-INDEX(doEff,3)))</f>
        <v>0</v>
      </c>
      <c r="J73" s="43">
        <f ca="1">(INDEX(teffSumPol_Res,3,6)&lt;INDEX(effGoalPol_Res,6)) * MIN(INDEX(polEff_Res,3,5)+INDEX(pushPol_Res,2),(INDEX(effGoalPol_Res,6)-INDEX(teffSumPol_Res,3,6))/(INDEX(doEff,4)-INDEX(doEff,3)))</f>
        <v>0</v>
      </c>
      <c r="K73" s="43">
        <f ca="1">(INDEX(teffSumPol_Res,3,7)&lt;INDEX(effGoalPol_Res,7)) * MIN(INDEX(polEff_Res,3,6)+INDEX(pushPol_Res,2),(INDEX(effGoalPol_Res,7)-INDEX(teffSumPol_Res,3,7))/(INDEX(doEff,4)-INDEX(doEff,3)))</f>
        <v>0</v>
      </c>
      <c r="L73" s="43">
        <f ca="1">(INDEX(teffSumPol_Res,3,8)&lt;INDEX(effGoalPol_Res,8)) * MIN(INDEX(polEff_Res,3,7)+INDEX(pushPol_Res,2),(INDEX(effGoalPol_Res,8)-INDEX(teffSumPol_Res,3,8))/(INDEX(doEff,4)-INDEX(doEff,3)))</f>
        <v>0</v>
      </c>
      <c r="M73" s="43">
        <f ca="1">(INDEX(teffSumPol_Res,3,9)&lt;INDEX(effGoalPol_Res,9)) * MIN(INDEX(polEff_Res,3,8)+INDEX(pushPol_Res,2),(INDEX(effGoalPol_Res,9)-INDEX(teffSumPol_Res,3,9))/(INDEX(doEff,4)-INDEX(doEff,3)))</f>
        <v>0</v>
      </c>
      <c r="N73" s="43">
        <f ca="1">(INDEX(teffSumPol_Res,3,10)&lt;INDEX(effGoalPol_Res,10)) * MIN(INDEX(polEff_Res,3,9)+INDEX(pushPol_Res,2),(INDEX(effGoalPol_Res,10)-INDEX(teffSumPol_Res,3,10))/(INDEX(doEff,4)-INDEX(doEff,3)))</f>
        <v>0</v>
      </c>
      <c r="O73" s="43">
        <f ca="1">(INDEX(teffSumPol_Res,3,11)&lt;INDEX(effGoalPol_Res,11)) * MIN(INDEX(polEff_Res,3,10)+INDEX(pushPol_Res,2),(INDEX(effGoalPol_Res,11)-INDEX(teffSumPol_Res,3,11))/(INDEX(doEff,4)-INDEX(doEff,3)))</f>
        <v>0</v>
      </c>
      <c r="P73" s="43">
        <f ca="1">(INDEX(teffSumPol_Res,3,12)&lt;INDEX(effGoalPol_Res,12)) * MIN(INDEX(polEff_Res,3,11)+INDEX(pushPol_Res,2),(INDEX(effGoalPol_Res,12)-INDEX(teffSumPol_Res,3,12))/(INDEX(doEff,4)-INDEX(doEff,3)))</f>
        <v>0</v>
      </c>
      <c r="Q73" s="43">
        <f ca="1">(INDEX(teffSumPol_Res,3,13)&lt;INDEX(effGoalPol_Res,13)) * MIN(INDEX(polEff_Res,3,12)+INDEX(pushPol_Res,2),(INDEX(effGoalPol_Res,13)-INDEX(teffSumPol_Res,3,13))/(INDEX(doEff,4)-INDEX(doEff,3)))</f>
        <v>0</v>
      </c>
      <c r="R73" s="43">
        <f ca="1">(INDEX(teffSumPol_Res,3,14)&lt;INDEX(effGoalPol_Res,14)) * MIN(INDEX(polEff_Res,3,13)+INDEX(pushPol_Res,2),(INDEX(effGoalPol_Res,14)-INDEX(teffSumPol_Res,3,14))/(INDEX(doEff,4)-INDEX(doEff,3)))</f>
        <v>0</v>
      </c>
      <c r="S73" s="43">
        <f ca="1">(INDEX(teffSumPol_Res,3,15)&lt;INDEX(effGoalPol_Res,15)) * MIN(INDEX(polEff_Res,3,14)+INDEX(pushPol_Res,2),(INDEX(effGoalPol_Res,15)-INDEX(teffSumPol_Res,3,15))/(INDEX(doEff,4)-INDEX(doEff,3)))</f>
        <v>0</v>
      </c>
      <c r="T73" s="43">
        <f ca="1">(INDEX(teffSumPol_Res,3,16)&lt;INDEX(effGoalPol_Res,16)) * MIN(INDEX(polEff_Res,3,15)+INDEX(pushPol_Res,2),(INDEX(effGoalPol_Res,16)-INDEX(teffSumPol_Res,3,16))/(INDEX(doEff,4)-INDEX(doEff,3)))</f>
        <v>0</v>
      </c>
      <c r="U73" s="43">
        <f ca="1">(INDEX(teffSumPol_Res,3,17)&lt;INDEX(effGoalPol_Res,17)) * MIN(INDEX(polEff_Res,3,16)+INDEX(pushPol_Res,2),(INDEX(effGoalPol_Res,17)-INDEX(teffSumPol_Res,3,17))/(INDEX(doEff,4)-INDEX(doEff,3)))</f>
        <v>0</v>
      </c>
      <c r="V73" s="43">
        <f ca="1">(INDEX(teffSumPol_Res,3,18)&lt;INDEX(effGoalPol_Res,18)) * MIN(INDEX(polEff_Res,3,17)+INDEX(pushPol_Res,2),(INDEX(effGoalPol_Res,18)-INDEX(teffSumPol_Res,3,18))/(INDEX(doEff,4)-INDEX(doEff,3)))</f>
        <v>0</v>
      </c>
      <c r="W73" s="43">
        <f ca="1">(INDEX(teffSumPol_Res,3,19)&lt;INDEX(effGoalPol_Res,19)) * MIN(INDEX(polEff_Res,3,18)+INDEX(pushPol_Res,2),(INDEX(effGoalPol_Res,19)-INDEX(teffSumPol_Res,3,19))/(INDEX(doEff,4)-INDEX(doEff,3)))</f>
        <v>0</v>
      </c>
      <c r="X73" s="43">
        <f ca="1">(INDEX(teffSumPol_Res,3,20)&lt;INDEX(effGoalPol_Res,20)) * MIN(INDEX(polEff_Res,3,19)+INDEX(pushPol_Res,2),(INDEX(effGoalPol_Res,20)-INDEX(teffSumPol_Res,3,20))/(INDEX(doEff,4)-INDEX(doEff,3)))</f>
        <v>0</v>
      </c>
      <c r="Y73" s="43">
        <f ca="1">(INDEX(teffSumPol_Res,3,21)&lt;INDEX(effGoalPol_Res,21)) * MIN(INDEX(polEff_Res,3,20)+INDEX(pushPol_Res,2),(INDEX(effGoalPol_Res,21)-INDEX(teffSumPol_Res,3,21))/(INDEX(doEff,4)-INDEX(doEff,3)))</f>
        <v>0</v>
      </c>
      <c r="Z73" s="43">
        <f ca="1">(INDEX(teffSumPol_Res,3,22)&lt;INDEX(effGoalPol_Res,22)) * MIN(INDEX(polEff_Res,3,21)+INDEX(pushPol_Res,2),(INDEX(effGoalPol_Res,22)-INDEX(teffSumPol_Res,3,22))/(INDEX(doEff,4)-INDEX(doEff,3)))</f>
        <v>0</v>
      </c>
      <c r="AA73" s="43">
        <f ca="1">(INDEX(teffSumPol_Res,3,23)&lt;INDEX(effGoalPol_Res,23)) * MIN(INDEX(polEff_Res,3,22)+INDEX(pushPol_Res,2),(INDEX(effGoalPol_Res,23)-INDEX(teffSumPol_Res,3,23))/(INDEX(doEff,4)-INDEX(doEff,3)))</f>
        <v>0</v>
      </c>
      <c r="AB73" s="43">
        <f ca="1">(INDEX(teffSumPol_Res,3,24)&lt;INDEX(effGoalPol_Res,24)) * MIN(INDEX(polEff_Res,3,23)+INDEX(pushPol_Res,2),(INDEX(effGoalPol_Res,24)-INDEX(teffSumPol_Res,3,24))/(INDEX(doEff,4)-INDEX(doEff,3)))</f>
        <v>0</v>
      </c>
      <c r="AC73" s="43">
        <f ca="1">(INDEX(teffSumPol_Res,3,25)&lt;INDEX(effGoalPol_Res,25)) * MIN(INDEX(polEff_Res,3,24)+INDEX(pushPol_Res,2),(INDEX(effGoalPol_Res,25)-INDEX(teffSumPol_Res,3,25))/(INDEX(doEff,4)-INDEX(doEff,3)))</f>
        <v>0</v>
      </c>
      <c r="AD73" s="43">
        <f ca="1">(INDEX(teffSumPol_Res,3,26)&lt;INDEX(effGoalPol_Res,26)) * MIN(INDEX(polEff_Res,3,25)+INDEX(pushPol_Res,2),(INDEX(effGoalPol_Res,26)-INDEX(teffSumPol_Res,3,26))/(INDEX(doEff,4)-INDEX(doEff,3)))</f>
        <v>0</v>
      </c>
      <c r="AE73" s="43">
        <f ca="1">(INDEX(teffSumPol_Res,3,27)&lt;INDEX(effGoalPol_Res,27)) * MIN(INDEX(polEff_Res,3,26)+INDEX(pushPol_Res,2),(INDEX(effGoalPol_Res,27)-INDEX(teffSumPol_Res,3,27))/(INDEX(doEff,4)-INDEX(doEff,3)))</f>
        <v>0</v>
      </c>
      <c r="AF73" s="43">
        <f ca="1">(INDEX(teffSumPol_Res,3,28)&lt;INDEX(effGoalPol_Res,28)) * MIN(INDEX(polEff_Res,3,27)+INDEX(pushPol_Res,2),(INDEX(effGoalPol_Res,28)-INDEX(teffSumPol_Res,3,28))/(INDEX(doEff,4)-INDEX(doEff,3)))</f>
        <v>0</v>
      </c>
      <c r="AG73" s="43">
        <f ca="1">(INDEX(teffSumPol_Res,3,29)&lt;INDEX(effGoalPol_Res,29)) * MIN(INDEX(polEff_Res,3,28)+INDEX(pushPol_Res,2),(INDEX(effGoalPol_Res,29)-INDEX(teffSumPol_Res,3,29))/(INDEX(doEff,4)-INDEX(doEff,3)))</f>
        <v>0</v>
      </c>
      <c r="AH73" s="43">
        <f ca="1">(INDEX(teffSumPol_Res,3,30)&lt;INDEX(effGoalPol_Res,30)) * MIN(INDEX(polEff_Res,3,29)+INDEX(pushPol_Res,2),(INDEX(effGoalPol_Res,30)-INDEX(teffSumPol_Res,3,30))/(INDEX(doEff,4)-INDEX(doEff,3)))</f>
        <v>0</v>
      </c>
      <c r="AI73" s="43">
        <f ca="1">(INDEX(teffSumPol_Res,3,31)&lt;INDEX(effGoalPol_Res,31)) * MIN(INDEX(polEff_Res,3,30)+INDEX(pushPol_Res,2),(INDEX(effGoalPol_Res,31)-INDEX(teffSumPol_Res,3,31))/(INDEX(doEff,4)-INDEX(doEff,3)))</f>
        <v>0</v>
      </c>
      <c r="AJ73" s="43">
        <f ca="1">(INDEX(teffSumPol_Res,3,32)&lt;INDEX(effGoalPol_Res,32)) * MIN(INDEX(polEff_Res,3,31)+INDEX(pushPol_Res,2),(INDEX(effGoalPol_Res,32)-INDEX(teffSumPol_Res,3,32))/(INDEX(doEff,4)-INDEX(doEff,3)))</f>
        <v>0</v>
      </c>
      <c r="AK73" s="43">
        <f ca="1">(INDEX(teffSumPol_Res,3,33)&lt;INDEX(effGoalPol_Res,33)) * MIN(INDEX(polEff_Res,3,32)+INDEX(pushPol_Res,2),(INDEX(effGoalPol_Res,33)-INDEX(teffSumPol_Res,3,33))/(INDEX(doEff,4)-INDEX(doEff,3)))</f>
        <v>0</v>
      </c>
      <c r="AL73" s="43">
        <f ca="1">(INDEX(teffSumPol_Res,3,34)&lt;INDEX(effGoalPol_Res,34)) * MIN(INDEX(polEff_Res,3,33)+INDEX(pushPol_Res,2),(INDEX(effGoalPol_Res,34)-INDEX(teffSumPol_Res,3,34))/(INDEX(doEff,4)-INDEX(doEff,3)))</f>
        <v>0</v>
      </c>
      <c r="AM73" s="43">
        <f ca="1">(INDEX(teffSumPol_Res,3,35)&lt;INDEX(effGoalPol_Res,35)) * MIN(INDEX(polEff_Res,3,34)+INDEX(pushPol_Res,2),(INDEX(effGoalPol_Res,35)-INDEX(teffSumPol_Res,3,35))/(INDEX(doEff,4)-INDEX(doEff,3)))</f>
        <v>0</v>
      </c>
      <c r="AN73" s="44">
        <f ca="1">(INDEX(teffSumPol_Res,3,36)&lt;INDEX(effGoalPol_Res,36)) * MIN(INDEX(polEff_Res,3,35)+INDEX(pushPol_Res,2),(INDEX(effGoalPol_Res,36)-INDEX(teffSumPol_Res,3,36))/(INDEX(doEff,4)-INDEX(doEff,3)))</f>
        <v>0</v>
      </c>
      <c r="AO73" s="8"/>
    </row>
    <row r="74" spans="2:41" hidden="1" x14ac:dyDescent="0.35">
      <c r="B74" s="8"/>
      <c r="C74" s="19" t="str">
        <f>"EL 3: " &amp; INDEX(_doName,3,4)</f>
        <v>EL 3: EL 3</v>
      </c>
      <c r="D74" s="11"/>
      <c r="E74" s="43"/>
      <c r="F74" s="43">
        <f ca="1">(INDEX(teffSumPol_Res,4,2)&lt;INDEX(effGoalPol_Res,2)) * MIN(INDEX(polEff_Res,4,1)+INDEX(pushPol_Res,3),(INDEX(effGoalPol_Res,2)-INDEX(teffSumPol_Res,4,2))/(INDEX(doEff,5)-INDEX(doEff,4)))</f>
        <v>7.2916441399568417E-5</v>
      </c>
      <c r="G74" s="43">
        <f ca="1">(INDEX(teffSumPol_Res,4,3)&lt;INDEX(effGoalPol_Res,3)) * MIN(INDEX(polEff_Res,4,2)+INDEX(pushPol_Res,3),(INDEX(effGoalPol_Res,3)-INDEX(teffSumPol_Res,4,3))/(INDEX(doEff,5)-INDEX(doEff,4)))</f>
        <v>0</v>
      </c>
      <c r="H74" s="43">
        <f ca="1">(INDEX(teffSumPol_Res,4,4)&lt;INDEX(effGoalPol_Res,4)) * MIN(INDEX(polEff_Res,4,3)+INDEX(pushPol_Res,3),(INDEX(effGoalPol_Res,4)-INDEX(teffSumPol_Res,4,4))/(INDEX(doEff,5)-INDEX(doEff,4)))</f>
        <v>0</v>
      </c>
      <c r="I74" s="43">
        <f ca="1">(INDEX(teffSumPol_Res,4,5)&lt;INDEX(effGoalPol_Res,5)) * MIN(INDEX(polEff_Res,4,4)+INDEX(pushPol_Res,3),(INDEX(effGoalPol_Res,5)-INDEX(teffSumPol_Res,4,5))/(INDEX(doEff,5)-INDEX(doEff,4)))</f>
        <v>0</v>
      </c>
      <c r="J74" s="43">
        <f ca="1">(INDEX(teffSumPol_Res,4,6)&lt;INDEX(effGoalPol_Res,6)) * MIN(INDEX(polEff_Res,4,5)+INDEX(pushPol_Res,3),(INDEX(effGoalPol_Res,6)-INDEX(teffSumPol_Res,4,6))/(INDEX(doEff,5)-INDEX(doEff,4)))</f>
        <v>0</v>
      </c>
      <c r="K74" s="43">
        <f ca="1">(INDEX(teffSumPol_Res,4,7)&lt;INDEX(effGoalPol_Res,7)) * MIN(INDEX(polEff_Res,4,6)+INDEX(pushPol_Res,3),(INDEX(effGoalPol_Res,7)-INDEX(teffSumPol_Res,4,7))/(INDEX(doEff,5)-INDEX(doEff,4)))</f>
        <v>0</v>
      </c>
      <c r="L74" s="43">
        <f ca="1">(INDEX(teffSumPol_Res,4,8)&lt;INDEX(effGoalPol_Res,8)) * MIN(INDEX(polEff_Res,4,7)+INDEX(pushPol_Res,3),(INDEX(effGoalPol_Res,8)-INDEX(teffSumPol_Res,4,8))/(INDEX(doEff,5)-INDEX(doEff,4)))</f>
        <v>0</v>
      </c>
      <c r="M74" s="43">
        <f ca="1">(INDEX(teffSumPol_Res,4,9)&lt;INDEX(effGoalPol_Res,9)) * MIN(INDEX(polEff_Res,4,8)+INDEX(pushPol_Res,3),(INDEX(effGoalPol_Res,9)-INDEX(teffSumPol_Res,4,9))/(INDEX(doEff,5)-INDEX(doEff,4)))</f>
        <v>0</v>
      </c>
      <c r="N74" s="43">
        <f ca="1">(INDEX(teffSumPol_Res,4,10)&lt;INDEX(effGoalPol_Res,10)) * MIN(INDEX(polEff_Res,4,9)+INDEX(pushPol_Res,3),(INDEX(effGoalPol_Res,10)-INDEX(teffSumPol_Res,4,10))/(INDEX(doEff,5)-INDEX(doEff,4)))</f>
        <v>0</v>
      </c>
      <c r="O74" s="43">
        <f ca="1">(INDEX(teffSumPol_Res,4,11)&lt;INDEX(effGoalPol_Res,11)) * MIN(INDEX(polEff_Res,4,10)+INDEX(pushPol_Res,3),(INDEX(effGoalPol_Res,11)-INDEX(teffSumPol_Res,4,11))/(INDEX(doEff,5)-INDEX(doEff,4)))</f>
        <v>0</v>
      </c>
      <c r="P74" s="43">
        <f ca="1">(INDEX(teffSumPol_Res,4,12)&lt;INDEX(effGoalPol_Res,12)) * MIN(INDEX(polEff_Res,4,11)+INDEX(pushPol_Res,3),(INDEX(effGoalPol_Res,12)-INDEX(teffSumPol_Res,4,12))/(INDEX(doEff,5)-INDEX(doEff,4)))</f>
        <v>0</v>
      </c>
      <c r="Q74" s="43">
        <f ca="1">(INDEX(teffSumPol_Res,4,13)&lt;INDEX(effGoalPol_Res,13)) * MIN(INDEX(polEff_Res,4,12)+INDEX(pushPol_Res,3),(INDEX(effGoalPol_Res,13)-INDEX(teffSumPol_Res,4,13))/(INDEX(doEff,5)-INDEX(doEff,4)))</f>
        <v>0</v>
      </c>
      <c r="R74" s="43">
        <f ca="1">(INDEX(teffSumPol_Res,4,14)&lt;INDEX(effGoalPol_Res,14)) * MIN(INDEX(polEff_Res,4,13)+INDEX(pushPol_Res,3),(INDEX(effGoalPol_Res,14)-INDEX(teffSumPol_Res,4,14))/(INDEX(doEff,5)-INDEX(doEff,4)))</f>
        <v>0</v>
      </c>
      <c r="S74" s="43">
        <f ca="1">(INDEX(teffSumPol_Res,4,15)&lt;INDEX(effGoalPol_Res,15)) * MIN(INDEX(polEff_Res,4,14)+INDEX(pushPol_Res,3),(INDEX(effGoalPol_Res,15)-INDEX(teffSumPol_Res,4,15))/(INDEX(doEff,5)-INDEX(doEff,4)))</f>
        <v>0</v>
      </c>
      <c r="T74" s="43">
        <f ca="1">(INDEX(teffSumPol_Res,4,16)&lt;INDEX(effGoalPol_Res,16)) * MIN(INDEX(polEff_Res,4,15)+INDEX(pushPol_Res,3),(INDEX(effGoalPol_Res,16)-INDEX(teffSumPol_Res,4,16))/(INDEX(doEff,5)-INDEX(doEff,4)))</f>
        <v>0</v>
      </c>
      <c r="U74" s="43">
        <f ca="1">(INDEX(teffSumPol_Res,4,17)&lt;INDEX(effGoalPol_Res,17)) * MIN(INDEX(polEff_Res,4,16)+INDEX(pushPol_Res,3),(INDEX(effGoalPol_Res,17)-INDEX(teffSumPol_Res,4,17))/(INDEX(doEff,5)-INDEX(doEff,4)))</f>
        <v>0</v>
      </c>
      <c r="V74" s="43">
        <f ca="1">(INDEX(teffSumPol_Res,4,18)&lt;INDEX(effGoalPol_Res,18)) * MIN(INDEX(polEff_Res,4,17)+INDEX(pushPol_Res,3),(INDEX(effGoalPol_Res,18)-INDEX(teffSumPol_Res,4,18))/(INDEX(doEff,5)-INDEX(doEff,4)))</f>
        <v>0</v>
      </c>
      <c r="W74" s="43">
        <f ca="1">(INDEX(teffSumPol_Res,4,19)&lt;INDEX(effGoalPol_Res,19)) * MIN(INDEX(polEff_Res,4,18)+INDEX(pushPol_Res,3),(INDEX(effGoalPol_Res,19)-INDEX(teffSumPol_Res,4,19))/(INDEX(doEff,5)-INDEX(doEff,4)))</f>
        <v>0</v>
      </c>
      <c r="X74" s="43">
        <f ca="1">(INDEX(teffSumPol_Res,4,20)&lt;INDEX(effGoalPol_Res,20)) * MIN(INDEX(polEff_Res,4,19)+INDEX(pushPol_Res,3),(INDEX(effGoalPol_Res,20)-INDEX(teffSumPol_Res,4,20))/(INDEX(doEff,5)-INDEX(doEff,4)))</f>
        <v>0</v>
      </c>
      <c r="Y74" s="43">
        <f ca="1">(INDEX(teffSumPol_Res,4,21)&lt;INDEX(effGoalPol_Res,21)) * MIN(INDEX(polEff_Res,4,20)+INDEX(pushPol_Res,3),(INDEX(effGoalPol_Res,21)-INDEX(teffSumPol_Res,4,21))/(INDEX(doEff,5)-INDEX(doEff,4)))</f>
        <v>0</v>
      </c>
      <c r="Z74" s="43">
        <f ca="1">(INDEX(teffSumPol_Res,4,22)&lt;INDEX(effGoalPol_Res,22)) * MIN(INDEX(polEff_Res,4,21)+INDEX(pushPol_Res,3),(INDEX(effGoalPol_Res,22)-INDEX(teffSumPol_Res,4,22))/(INDEX(doEff,5)-INDEX(doEff,4)))</f>
        <v>0</v>
      </c>
      <c r="AA74" s="43">
        <f ca="1">(INDEX(teffSumPol_Res,4,23)&lt;INDEX(effGoalPol_Res,23)) * MIN(INDEX(polEff_Res,4,22)+INDEX(pushPol_Res,3),(INDEX(effGoalPol_Res,23)-INDEX(teffSumPol_Res,4,23))/(INDEX(doEff,5)-INDEX(doEff,4)))</f>
        <v>0</v>
      </c>
      <c r="AB74" s="43">
        <f ca="1">(INDEX(teffSumPol_Res,4,24)&lt;INDEX(effGoalPol_Res,24)) * MIN(INDEX(polEff_Res,4,23)+INDEX(pushPol_Res,3),(INDEX(effGoalPol_Res,24)-INDEX(teffSumPol_Res,4,24))/(INDEX(doEff,5)-INDEX(doEff,4)))</f>
        <v>0</v>
      </c>
      <c r="AC74" s="43">
        <f ca="1">(INDEX(teffSumPol_Res,4,25)&lt;INDEX(effGoalPol_Res,25)) * MIN(INDEX(polEff_Res,4,24)+INDEX(pushPol_Res,3),(INDEX(effGoalPol_Res,25)-INDEX(teffSumPol_Res,4,25))/(INDEX(doEff,5)-INDEX(doEff,4)))</f>
        <v>0</v>
      </c>
      <c r="AD74" s="43">
        <f ca="1">(INDEX(teffSumPol_Res,4,26)&lt;INDEX(effGoalPol_Res,26)) * MIN(INDEX(polEff_Res,4,25)+INDEX(pushPol_Res,3),(INDEX(effGoalPol_Res,26)-INDEX(teffSumPol_Res,4,26))/(INDEX(doEff,5)-INDEX(doEff,4)))</f>
        <v>0</v>
      </c>
      <c r="AE74" s="43">
        <f ca="1">(INDEX(teffSumPol_Res,4,27)&lt;INDEX(effGoalPol_Res,27)) * MIN(INDEX(polEff_Res,4,26)+INDEX(pushPol_Res,3),(INDEX(effGoalPol_Res,27)-INDEX(teffSumPol_Res,4,27))/(INDEX(doEff,5)-INDEX(doEff,4)))</f>
        <v>0</v>
      </c>
      <c r="AF74" s="43">
        <f ca="1">(INDEX(teffSumPol_Res,4,28)&lt;INDEX(effGoalPol_Res,28)) * MIN(INDEX(polEff_Res,4,27)+INDEX(pushPol_Res,3),(INDEX(effGoalPol_Res,28)-INDEX(teffSumPol_Res,4,28))/(INDEX(doEff,5)-INDEX(doEff,4)))</f>
        <v>0</v>
      </c>
      <c r="AG74" s="43">
        <f ca="1">(INDEX(teffSumPol_Res,4,29)&lt;INDEX(effGoalPol_Res,29)) * MIN(INDEX(polEff_Res,4,28)+INDEX(pushPol_Res,3),(INDEX(effGoalPol_Res,29)-INDEX(teffSumPol_Res,4,29))/(INDEX(doEff,5)-INDEX(doEff,4)))</f>
        <v>0</v>
      </c>
      <c r="AH74" s="43">
        <f ca="1">(INDEX(teffSumPol_Res,4,30)&lt;INDEX(effGoalPol_Res,30)) * MIN(INDEX(polEff_Res,4,29)+INDEX(pushPol_Res,3),(INDEX(effGoalPol_Res,30)-INDEX(teffSumPol_Res,4,30))/(INDEX(doEff,5)-INDEX(doEff,4)))</f>
        <v>0</v>
      </c>
      <c r="AI74" s="43">
        <f ca="1">(INDEX(teffSumPol_Res,4,31)&lt;INDEX(effGoalPol_Res,31)) * MIN(INDEX(polEff_Res,4,30)+INDEX(pushPol_Res,3),(INDEX(effGoalPol_Res,31)-INDEX(teffSumPol_Res,4,31))/(INDEX(doEff,5)-INDEX(doEff,4)))</f>
        <v>0</v>
      </c>
      <c r="AJ74" s="43">
        <f ca="1">(INDEX(teffSumPol_Res,4,32)&lt;INDEX(effGoalPol_Res,32)) * MIN(INDEX(polEff_Res,4,31)+INDEX(pushPol_Res,3),(INDEX(effGoalPol_Res,32)-INDEX(teffSumPol_Res,4,32))/(INDEX(doEff,5)-INDEX(doEff,4)))</f>
        <v>0</v>
      </c>
      <c r="AK74" s="43">
        <f ca="1">(INDEX(teffSumPol_Res,4,33)&lt;INDEX(effGoalPol_Res,33)) * MIN(INDEX(polEff_Res,4,32)+INDEX(pushPol_Res,3),(INDEX(effGoalPol_Res,33)-INDEX(teffSumPol_Res,4,33))/(INDEX(doEff,5)-INDEX(doEff,4)))</f>
        <v>0</v>
      </c>
      <c r="AL74" s="43">
        <f ca="1">(INDEX(teffSumPol_Res,4,34)&lt;INDEX(effGoalPol_Res,34)) * MIN(INDEX(polEff_Res,4,33)+INDEX(pushPol_Res,3),(INDEX(effGoalPol_Res,34)-INDEX(teffSumPol_Res,4,34))/(INDEX(doEff,5)-INDEX(doEff,4)))</f>
        <v>0</v>
      </c>
      <c r="AM74" s="43">
        <f ca="1">(INDEX(teffSumPol_Res,4,35)&lt;INDEX(effGoalPol_Res,35)) * MIN(INDEX(polEff_Res,4,34)+INDEX(pushPol_Res,3),(INDEX(effGoalPol_Res,35)-INDEX(teffSumPol_Res,4,35))/(INDEX(doEff,5)-INDEX(doEff,4)))</f>
        <v>0</v>
      </c>
      <c r="AN74" s="44">
        <f ca="1">(INDEX(teffSumPol_Res,4,36)&lt;INDEX(effGoalPol_Res,36)) * MIN(INDEX(polEff_Res,4,35)+INDEX(pushPol_Res,3),(INDEX(effGoalPol_Res,36)-INDEX(teffSumPol_Res,4,36))/(INDEX(doEff,5)-INDEX(doEff,4)))</f>
        <v>0</v>
      </c>
      <c r="AO74" s="8"/>
    </row>
    <row r="75" spans="2:41" hidden="1" x14ac:dyDescent="0.35">
      <c r="B75" s="8"/>
      <c r="C75" s="35" t="str">
        <f>"EL 4: " &amp; INDEX(_doName,3,5)</f>
        <v>EL 4: EL 4</v>
      </c>
      <c r="D75" s="15"/>
      <c r="E75" s="45"/>
      <c r="F75" s="45">
        <f>0</f>
        <v>0</v>
      </c>
      <c r="G75" s="45">
        <f>0</f>
        <v>0</v>
      </c>
      <c r="H75" s="45">
        <f>0</f>
        <v>0</v>
      </c>
      <c r="I75" s="45">
        <f>0</f>
        <v>0</v>
      </c>
      <c r="J75" s="45">
        <f>0</f>
        <v>0</v>
      </c>
      <c r="K75" s="45">
        <f>0</f>
        <v>0</v>
      </c>
      <c r="L75" s="45">
        <f>0</f>
        <v>0</v>
      </c>
      <c r="M75" s="45">
        <f>0</f>
        <v>0</v>
      </c>
      <c r="N75" s="45">
        <f>0</f>
        <v>0</v>
      </c>
      <c r="O75" s="45">
        <f>0</f>
        <v>0</v>
      </c>
      <c r="P75" s="45">
        <f>0</f>
        <v>0</v>
      </c>
      <c r="Q75" s="45">
        <f>0</f>
        <v>0</v>
      </c>
      <c r="R75" s="45">
        <f>0</f>
        <v>0</v>
      </c>
      <c r="S75" s="45">
        <f>0</f>
        <v>0</v>
      </c>
      <c r="T75" s="45">
        <f>0</f>
        <v>0</v>
      </c>
      <c r="U75" s="45">
        <f>0</f>
        <v>0</v>
      </c>
      <c r="V75" s="45">
        <f>0</f>
        <v>0</v>
      </c>
      <c r="W75" s="45">
        <f>0</f>
        <v>0</v>
      </c>
      <c r="X75" s="45">
        <f>0</f>
        <v>0</v>
      </c>
      <c r="Y75" s="45">
        <f>0</f>
        <v>0</v>
      </c>
      <c r="Z75" s="45">
        <f>0</f>
        <v>0</v>
      </c>
      <c r="AA75" s="45">
        <f>0</f>
        <v>0</v>
      </c>
      <c r="AB75" s="45">
        <f>0</f>
        <v>0</v>
      </c>
      <c r="AC75" s="45">
        <f>0</f>
        <v>0</v>
      </c>
      <c r="AD75" s="45">
        <f>0</f>
        <v>0</v>
      </c>
      <c r="AE75" s="45">
        <f>0</f>
        <v>0</v>
      </c>
      <c r="AF75" s="45">
        <f>0</f>
        <v>0</v>
      </c>
      <c r="AG75" s="45">
        <f>0</f>
        <v>0</v>
      </c>
      <c r="AH75" s="45">
        <f>0</f>
        <v>0</v>
      </c>
      <c r="AI75" s="45">
        <f>0</f>
        <v>0</v>
      </c>
      <c r="AJ75" s="45">
        <f>0</f>
        <v>0</v>
      </c>
      <c r="AK75" s="45">
        <f>0</f>
        <v>0</v>
      </c>
      <c r="AL75" s="45">
        <f>0</f>
        <v>0</v>
      </c>
      <c r="AM75" s="45">
        <f>0</f>
        <v>0</v>
      </c>
      <c r="AN75" s="46">
        <f>0</f>
        <v>0</v>
      </c>
      <c r="AO75" s="8"/>
    </row>
    <row r="76" spans="2:41" hidden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</row>
    <row r="77" spans="2:41" hidden="1" x14ac:dyDescent="0.35">
      <c r="B77" s="8"/>
      <c r="C77" s="23" t="s">
        <v>101</v>
      </c>
      <c r="D77" s="24"/>
      <c r="E77" s="26">
        <f t="array" ref="E77:AN77">_yS</f>
        <v>2024</v>
      </c>
      <c r="F77" s="26">
        <v>2025</v>
      </c>
      <c r="G77" s="26">
        <v>2026</v>
      </c>
      <c r="H77" s="26">
        <v>2027</v>
      </c>
      <c r="I77" s="26">
        <v>2028</v>
      </c>
      <c r="J77" s="26">
        <v>2029</v>
      </c>
      <c r="K77" s="26">
        <v>2030</v>
      </c>
      <c r="L77" s="26">
        <v>2031</v>
      </c>
      <c r="M77" s="26">
        <v>2032</v>
      </c>
      <c r="N77" s="26">
        <v>2033</v>
      </c>
      <c r="O77" s="26">
        <v>2034</v>
      </c>
      <c r="P77" s="26">
        <v>2035</v>
      </c>
      <c r="Q77" s="26">
        <v>2036</v>
      </c>
      <c r="R77" s="26">
        <v>2037</v>
      </c>
      <c r="S77" s="26">
        <v>2038</v>
      </c>
      <c r="T77" s="26">
        <v>2039</v>
      </c>
      <c r="U77" s="26">
        <v>2040</v>
      </c>
      <c r="V77" s="26">
        <v>2041</v>
      </c>
      <c r="W77" s="26">
        <v>2042</v>
      </c>
      <c r="X77" s="26">
        <v>2043</v>
      </c>
      <c r="Y77" s="26">
        <v>2044</v>
      </c>
      <c r="Z77" s="26">
        <v>2045</v>
      </c>
      <c r="AA77" s="26">
        <v>2046</v>
      </c>
      <c r="AB77" s="26">
        <v>2047</v>
      </c>
      <c r="AC77" s="26">
        <v>2048</v>
      </c>
      <c r="AD77" s="26">
        <v>2049</v>
      </c>
      <c r="AE77" s="26">
        <v>2050</v>
      </c>
      <c r="AF77" s="26">
        <v>2051</v>
      </c>
      <c r="AG77" s="26">
        <v>2052</v>
      </c>
      <c r="AH77" s="26">
        <v>2053</v>
      </c>
      <c r="AI77" s="26">
        <v>2054</v>
      </c>
      <c r="AJ77" s="26">
        <v>2055</v>
      </c>
      <c r="AK77" s="26">
        <v>2056</v>
      </c>
      <c r="AL77" s="26">
        <v>2057</v>
      </c>
      <c r="AM77" s="26">
        <v>2058</v>
      </c>
      <c r="AN77" s="27">
        <v>2059</v>
      </c>
      <c r="AO77" s="8"/>
    </row>
    <row r="78" spans="2:41" hidden="1" x14ac:dyDescent="0.35">
      <c r="B78" s="8"/>
      <c r="C78" s="19" t="str">
        <f>"EL 0: " &amp; INDEX(_doName,3,1)</f>
        <v>EL 0: Baseline</v>
      </c>
      <c r="D78" s="11"/>
      <c r="E78" s="33"/>
      <c r="F78" s="33">
        <f ca="1">0 + INDEX(doEff,1)*(INDEX(eff0Pol_Res,1)+0) + SUMPRODUCT(doEff,INDEX(polEff_Res,,1),N(_el&gt;0))</f>
        <v>2.6925312051229326</v>
      </c>
      <c r="G78" s="33">
        <f ca="1">0 + INDEX(doEff,1)*(INDEX(eff0Pol_Res,1)+0) + SUMPRODUCT(doEff,INDEX(polEff_Res,,2),N(_el&gt;0))</f>
        <v>2.6923198390037726</v>
      </c>
      <c r="H78" s="33">
        <f ca="1">0 + INDEX(doEff,1)*(INDEX(eff0Pol_Res,1)+0) + SUMPRODUCT(doEff,INDEX(polEff_Res,,3),N(_el&gt;0))</f>
        <v>3.1914076025897136</v>
      </c>
      <c r="I78" s="33">
        <f ca="1">0 + INDEX(doEff,1)*(INDEX(eff0Pol_Res,1)+0) + SUMPRODUCT(doEff,INDEX(polEff_Res,,4),N(_el&gt;0))</f>
        <v>3.1913175686782553</v>
      </c>
      <c r="J78" s="33">
        <f ca="1">0 + INDEX(doEff,1)*(INDEX(eff0Pol_Res,1)+0) + SUMPRODUCT(doEff,INDEX(polEff_Res,,5),N(_el&gt;0))</f>
        <v>3.1912283421556129</v>
      </c>
      <c r="K78" s="33">
        <f ca="1">0 + INDEX(doEff,1)*(INDEX(eff0Pol_Res,1)+0) + SUMPRODUCT(doEff,INDEX(polEff_Res,,6),N(_el&gt;0))</f>
        <v>3.191203970503544</v>
      </c>
      <c r="L78" s="33">
        <f ca="1">0 + INDEX(doEff,1)*(INDEX(eff0Pol_Res,1)+0) + SUMPRODUCT(doEff,INDEX(polEff_Res,,7),N(_el&gt;0))</f>
        <v>3.1911798109187544</v>
      </c>
      <c r="M78" s="33">
        <f ca="1">0 + INDEX(doEff,1)*(INDEX(eff0Pol_Res,1)+0) + SUMPRODUCT(doEff,INDEX(polEff_Res,,8),N(_el&gt;0))</f>
        <v>3.1911558560855582</v>
      </c>
      <c r="N78" s="33">
        <f ca="1">0 + INDEX(doEff,1)*(INDEX(eff0Pol_Res,1)+0) + SUMPRODUCT(doEff,INDEX(polEff_Res,,9),N(_el&gt;0))</f>
        <v>3.1911320994330081</v>
      </c>
      <c r="O78" s="33">
        <f ca="1">0 + INDEX(doEff,1)*(INDEX(eff0Pol_Res,1)+0) + SUMPRODUCT(doEff,INDEX(polEff_Res,,10),N(_el&gt;0))</f>
        <v>3.191108534724441</v>
      </c>
      <c r="P78" s="33">
        <f ca="1">0 + INDEX(doEff,1)*(INDEX(eff0Pol_Res,1)+0) + SUMPRODUCT(doEff,INDEX(polEff_Res,,11),N(_el&gt;0))</f>
        <v>3.1911055453468524</v>
      </c>
      <c r="Q78" s="33">
        <f ca="1">0 + INDEX(doEff,1)*(INDEX(eff0Pol_Res,1)+0) + SUMPRODUCT(doEff,INDEX(polEff_Res,,12),N(_el&gt;0))</f>
        <v>3.1911025873037713</v>
      </c>
      <c r="R78" s="33">
        <f ca="1">0 + INDEX(doEff,1)*(INDEX(eff0Pol_Res,1)+0) + SUMPRODUCT(doEff,INDEX(polEff_Res,,13),N(_el&gt;0))</f>
        <v>3.1910996584905025</v>
      </c>
      <c r="S78" s="33">
        <f ca="1">0 + INDEX(doEff,1)*(INDEX(eff0Pol_Res,1)+0) + SUMPRODUCT(doEff,INDEX(polEff_Res,,14),N(_el&gt;0))</f>
        <v>3.1910967569850586</v>
      </c>
      <c r="T78" s="33">
        <f ca="1">0 + INDEX(doEff,1)*(INDEX(eff0Pol_Res,1)+0) + SUMPRODUCT(doEff,INDEX(polEff_Res,,15),N(_el&gt;0))</f>
        <v>3.191093881019365</v>
      </c>
      <c r="U78" s="33">
        <f ca="1">0 + INDEX(doEff,1)*(INDEX(eff0Pol_Res,1)+0) + SUMPRODUCT(doEff,INDEX(polEff_Res,,16),N(_el&gt;0))</f>
        <v>3.1910910292568615</v>
      </c>
      <c r="V78" s="33">
        <f ca="1">0 + INDEX(doEff,1)*(INDEX(eff0Pol_Res,1)+0) + SUMPRODUCT(doEff,INDEX(polEff_Res,,17),N(_el&gt;0))</f>
        <v>3.1910882004470684</v>
      </c>
      <c r="W78" s="33">
        <f ca="1">0 + INDEX(doEff,1)*(INDEX(eff0Pol_Res,1)+0) + SUMPRODUCT(doEff,INDEX(polEff_Res,,18),N(_el&gt;0))</f>
        <v>3.1910853935133927</v>
      </c>
      <c r="X78" s="33">
        <f ca="1">0 + INDEX(doEff,1)*(INDEX(eff0Pol_Res,1)+0) + SUMPRODUCT(doEff,INDEX(polEff_Res,,19),N(_el&gt;0))</f>
        <v>3.1910826075005874</v>
      </c>
      <c r="Y78" s="33">
        <f ca="1">0 + INDEX(doEff,1)*(INDEX(eff0Pol_Res,1)+0) + SUMPRODUCT(doEff,INDEX(polEff_Res,,20),N(_el&gt;0))</f>
        <v>3.1910798415344028</v>
      </c>
      <c r="Z78" s="33">
        <f ca="1">0 + INDEX(doEff,1)*(INDEX(eff0Pol_Res,1)+0) + SUMPRODUCT(doEff,INDEX(polEff_Res,,21),N(_el&gt;0))</f>
        <v>3.1910787361218467</v>
      </c>
      <c r="AA78" s="33">
        <f ca="1">0 + INDEX(doEff,1)*(INDEX(eff0Pol_Res,1)+0) + SUMPRODUCT(doEff,INDEX(polEff_Res,,22),N(_el&gt;0))</f>
        <v>3.1910776381530273</v>
      </c>
      <c r="AB78" s="33">
        <f ca="1">0 + INDEX(doEff,1)*(INDEX(eff0Pol_Res,1)+0) + SUMPRODUCT(doEff,INDEX(polEff_Res,,23),N(_el&gt;0))</f>
        <v>3.1910765470138411</v>
      </c>
      <c r="AC78" s="33">
        <f ca="1">0 + INDEX(doEff,1)*(INDEX(eff0Pol_Res,1)+0) + SUMPRODUCT(doEff,INDEX(polEff_Res,,24),N(_el&gt;0))</f>
        <v>3.1910754621294903</v>
      </c>
      <c r="AD78" s="33">
        <f ca="1">0 + INDEX(doEff,1)*(INDEX(eff0Pol_Res,1)+0) + SUMPRODUCT(doEff,INDEX(polEff_Res,,25),N(_el&gt;0))</f>
        <v>3.1910743829667894</v>
      </c>
      <c r="AE78" s="33">
        <f ca="1">0 + INDEX(doEff,1)*(INDEX(eff0Pol_Res,1)+0) + SUMPRODUCT(doEff,INDEX(polEff_Res,,26),N(_el&gt;0))</f>
        <v>3.1910733090343713</v>
      </c>
      <c r="AF78" s="33">
        <f ca="1">0 + INDEX(doEff,1)*(INDEX(eff0Pol_Res,1)+0) + SUMPRODUCT(doEff,INDEX(polEff_Res,,27),N(_el&gt;0))</f>
        <v>3.1910722398802127</v>
      </c>
      <c r="AG78" s="33">
        <f ca="1">0 + INDEX(doEff,1)*(INDEX(eff0Pol_Res,1)+0) + SUMPRODUCT(doEff,INDEX(polEff_Res,,28),N(_el&gt;0))</f>
        <v>3.1910711750875507</v>
      </c>
      <c r="AH78" s="33">
        <f ca="1">0 + INDEX(doEff,1)*(INDEX(eff0Pol_Res,1)+0) + SUMPRODUCT(doEff,INDEX(polEff_Res,,29),N(_el&gt;0))</f>
        <v>3.191070114270218</v>
      </c>
      <c r="AI78" s="33">
        <f ca="1">0 + INDEX(doEff,1)*(INDEX(eff0Pol_Res,1)+0) + SUMPRODUCT(doEff,INDEX(polEff_Res,,30),N(_el&gt;0))</f>
        <v>3.1910690570682774</v>
      </c>
      <c r="AJ78" s="33">
        <f ca="1">0 + INDEX(doEff,1)*(INDEX(eff0Pol_Res,1)+0) + SUMPRODUCT(doEff,INDEX(polEff_Res,,31),N(_el&gt;0))</f>
        <v>3.1910680031445797</v>
      </c>
      <c r="AK78" s="33">
        <f ca="1">0 + INDEX(doEff,1)*(INDEX(eff0Pol_Res,1)+0) + SUMPRODUCT(doEff,INDEX(polEff_Res,,32),N(_el&gt;0))</f>
        <v>3.1910669521823065</v>
      </c>
      <c r="AL78" s="33">
        <f ca="1">0 + INDEX(doEff,1)*(INDEX(eff0Pol_Res,1)+0) + SUMPRODUCT(doEff,INDEX(polEff_Res,,33),N(_el&gt;0))</f>
        <v>3.1910659038832261</v>
      </c>
      <c r="AM78" s="33">
        <f ca="1">0 + INDEX(doEff,1)*(INDEX(eff0Pol_Res,1)+0) + SUMPRODUCT(doEff,INDEX(polEff_Res,,34),N(_el&gt;0))</f>
        <v>3.1910648579667713</v>
      </c>
      <c r="AN78" s="34">
        <f ca="1">0 + INDEX(doEff,1)*(INDEX(eff0Pol_Res,1)+0) + SUMPRODUCT(doEff,INDEX(polEff_Res,,35),N(_el&gt;0))</f>
        <v>3.1907508532423212</v>
      </c>
      <c r="AO78" s="8"/>
    </row>
    <row r="79" spans="2:41" hidden="1" x14ac:dyDescent="0.35">
      <c r="B79" s="8"/>
      <c r="C79" s="19" t="str">
        <f>"EL 1: " &amp; INDEX(_doName,3,2)</f>
        <v>EL 1: Tier 1</v>
      </c>
      <c r="D79" s="11"/>
      <c r="E79" s="33"/>
      <c r="F79" s="33">
        <f ca="1">SUMPRODUCT(OFFSET(doEff,0,0,1,1),OFFSET(INDEX(polEff_Res,1,2),0,0,1,1)) + INDEX(doEff,2)*(INDEX(eff0Pol_Res,2)+INDEX(pushPol_Res,1)) + SUMPRODUCT(doEff,INDEX(polEff_Res,,1),N(_el&gt;1))</f>
        <v>2.6925312051229326</v>
      </c>
      <c r="G79" s="33">
        <f ca="1">SUMPRODUCT(OFFSET(doEff,0,0,1,1),OFFSET(INDEX(polEff_Res,1,3),0,0,1,1)) + INDEX(doEff,2)*(INDEX(eff0Pol_Res,2)+INDEX(pushPol_Res,1)) + SUMPRODUCT(doEff,INDEX(polEff_Res,,2),N(_el&gt;1))</f>
        <v>2.6923198390037721</v>
      </c>
      <c r="H79" s="33">
        <f ca="1">SUMPRODUCT(OFFSET(doEff,0,0,1,1),OFFSET(INDEX(polEff_Res,1,4),0,0,1,1)) + INDEX(doEff,2)*(INDEX(eff0Pol_Res,2)+INDEX(pushPol_Res,1)) + SUMPRODUCT(doEff,INDEX(polEff_Res,,3),N(_el&gt;1))</f>
        <v>3.1914076025897136</v>
      </c>
      <c r="I79" s="33">
        <f ca="1">SUMPRODUCT(OFFSET(doEff,0,0,1,1),OFFSET(INDEX(polEff_Res,1,5),0,0,1,1)) + INDEX(doEff,2)*(INDEX(eff0Pol_Res,2)+INDEX(pushPol_Res,1)) + SUMPRODUCT(doEff,INDEX(polEff_Res,,4),N(_el&gt;1))</f>
        <v>3.1913175686782553</v>
      </c>
      <c r="J79" s="33">
        <f ca="1">SUMPRODUCT(OFFSET(doEff,0,0,1,1),OFFSET(INDEX(polEff_Res,1,6),0,0,1,1)) + INDEX(doEff,2)*(INDEX(eff0Pol_Res,2)+INDEX(pushPol_Res,1)) + SUMPRODUCT(doEff,INDEX(polEff_Res,,5),N(_el&gt;1))</f>
        <v>3.1912283421556129</v>
      </c>
      <c r="K79" s="33">
        <f ca="1">SUMPRODUCT(OFFSET(doEff,0,0,1,1),OFFSET(INDEX(polEff_Res,1,7),0,0,1,1)) + INDEX(doEff,2)*(INDEX(eff0Pol_Res,2)+INDEX(pushPol_Res,1)) + SUMPRODUCT(doEff,INDEX(polEff_Res,,6),N(_el&gt;1))</f>
        <v>3.191203970503544</v>
      </c>
      <c r="L79" s="33">
        <f ca="1">SUMPRODUCT(OFFSET(doEff,0,0,1,1),OFFSET(INDEX(polEff_Res,1,8),0,0,1,1)) + INDEX(doEff,2)*(INDEX(eff0Pol_Res,2)+INDEX(pushPol_Res,1)) + SUMPRODUCT(doEff,INDEX(polEff_Res,,7),N(_el&gt;1))</f>
        <v>3.1911798109187544</v>
      </c>
      <c r="M79" s="33">
        <f ca="1">SUMPRODUCT(OFFSET(doEff,0,0,1,1),OFFSET(INDEX(polEff_Res,1,9),0,0,1,1)) + INDEX(doEff,2)*(INDEX(eff0Pol_Res,2)+INDEX(pushPol_Res,1)) + SUMPRODUCT(doEff,INDEX(polEff_Res,,8),N(_el&gt;1))</f>
        <v>3.1911558560855582</v>
      </c>
      <c r="N79" s="33">
        <f ca="1">SUMPRODUCT(OFFSET(doEff,0,0,1,1),OFFSET(INDEX(polEff_Res,1,10),0,0,1,1)) + INDEX(doEff,2)*(INDEX(eff0Pol_Res,2)+INDEX(pushPol_Res,1)) + SUMPRODUCT(doEff,INDEX(polEff_Res,,9),N(_el&gt;1))</f>
        <v>3.1911320994330081</v>
      </c>
      <c r="O79" s="33">
        <f ca="1">SUMPRODUCT(OFFSET(doEff,0,0,1,1),OFFSET(INDEX(polEff_Res,1,11),0,0,1,1)) + INDEX(doEff,2)*(INDEX(eff0Pol_Res,2)+INDEX(pushPol_Res,1)) + SUMPRODUCT(doEff,INDEX(polEff_Res,,10),N(_el&gt;1))</f>
        <v>3.191108534724441</v>
      </c>
      <c r="P79" s="33">
        <f ca="1">SUMPRODUCT(OFFSET(doEff,0,0,1,1),OFFSET(INDEX(polEff_Res,1,12),0,0,1,1)) + INDEX(doEff,2)*(INDEX(eff0Pol_Res,2)+INDEX(pushPol_Res,1)) + SUMPRODUCT(doEff,INDEX(polEff_Res,,11),N(_el&gt;1))</f>
        <v>3.1911055453468524</v>
      </c>
      <c r="Q79" s="33">
        <f ca="1">SUMPRODUCT(OFFSET(doEff,0,0,1,1),OFFSET(INDEX(polEff_Res,1,13),0,0,1,1)) + INDEX(doEff,2)*(INDEX(eff0Pol_Res,2)+INDEX(pushPol_Res,1)) + SUMPRODUCT(doEff,INDEX(polEff_Res,,12),N(_el&gt;1))</f>
        <v>3.1911025873037713</v>
      </c>
      <c r="R79" s="33">
        <f ca="1">SUMPRODUCT(OFFSET(doEff,0,0,1,1),OFFSET(INDEX(polEff_Res,1,14),0,0,1,1)) + INDEX(doEff,2)*(INDEX(eff0Pol_Res,2)+INDEX(pushPol_Res,1)) + SUMPRODUCT(doEff,INDEX(polEff_Res,,13),N(_el&gt;1))</f>
        <v>3.1910996584905025</v>
      </c>
      <c r="S79" s="33">
        <f ca="1">SUMPRODUCT(OFFSET(doEff,0,0,1,1),OFFSET(INDEX(polEff_Res,1,15),0,0,1,1)) + INDEX(doEff,2)*(INDEX(eff0Pol_Res,2)+INDEX(pushPol_Res,1)) + SUMPRODUCT(doEff,INDEX(polEff_Res,,14),N(_el&gt;1))</f>
        <v>3.1910967569850586</v>
      </c>
      <c r="T79" s="33">
        <f ca="1">SUMPRODUCT(OFFSET(doEff,0,0,1,1),OFFSET(INDEX(polEff_Res,1,16),0,0,1,1)) + INDEX(doEff,2)*(INDEX(eff0Pol_Res,2)+INDEX(pushPol_Res,1)) + SUMPRODUCT(doEff,INDEX(polEff_Res,,15),N(_el&gt;1))</f>
        <v>3.191093881019365</v>
      </c>
      <c r="U79" s="33">
        <f ca="1">SUMPRODUCT(OFFSET(doEff,0,0,1,1),OFFSET(INDEX(polEff_Res,1,17),0,0,1,1)) + INDEX(doEff,2)*(INDEX(eff0Pol_Res,2)+INDEX(pushPol_Res,1)) + SUMPRODUCT(doEff,INDEX(polEff_Res,,16),N(_el&gt;1))</f>
        <v>3.1910910292568615</v>
      </c>
      <c r="V79" s="33">
        <f ca="1">SUMPRODUCT(OFFSET(doEff,0,0,1,1),OFFSET(INDEX(polEff_Res,1,18),0,0,1,1)) + INDEX(doEff,2)*(INDEX(eff0Pol_Res,2)+INDEX(pushPol_Res,1)) + SUMPRODUCT(doEff,INDEX(polEff_Res,,17),N(_el&gt;1))</f>
        <v>3.1910882004470684</v>
      </c>
      <c r="W79" s="33">
        <f ca="1">SUMPRODUCT(OFFSET(doEff,0,0,1,1),OFFSET(INDEX(polEff_Res,1,19),0,0,1,1)) + INDEX(doEff,2)*(INDEX(eff0Pol_Res,2)+INDEX(pushPol_Res,1)) + SUMPRODUCT(doEff,INDEX(polEff_Res,,18),N(_el&gt;1))</f>
        <v>3.1910853935133927</v>
      </c>
      <c r="X79" s="33">
        <f ca="1">SUMPRODUCT(OFFSET(doEff,0,0,1,1),OFFSET(INDEX(polEff_Res,1,20),0,0,1,1)) + INDEX(doEff,2)*(INDEX(eff0Pol_Res,2)+INDEX(pushPol_Res,1)) + SUMPRODUCT(doEff,INDEX(polEff_Res,,19),N(_el&gt;1))</f>
        <v>3.1910826075005874</v>
      </c>
      <c r="Y79" s="33">
        <f ca="1">SUMPRODUCT(OFFSET(doEff,0,0,1,1),OFFSET(INDEX(polEff_Res,1,21),0,0,1,1)) + INDEX(doEff,2)*(INDEX(eff0Pol_Res,2)+INDEX(pushPol_Res,1)) + SUMPRODUCT(doEff,INDEX(polEff_Res,,20),N(_el&gt;1))</f>
        <v>3.1910798415344028</v>
      </c>
      <c r="Z79" s="33">
        <f ca="1">SUMPRODUCT(OFFSET(doEff,0,0,1,1),OFFSET(INDEX(polEff_Res,1,22),0,0,1,1)) + INDEX(doEff,2)*(INDEX(eff0Pol_Res,2)+INDEX(pushPol_Res,1)) + SUMPRODUCT(doEff,INDEX(polEff_Res,,21),N(_el&gt;1))</f>
        <v>3.1910787361218467</v>
      </c>
      <c r="AA79" s="33">
        <f ca="1">SUMPRODUCT(OFFSET(doEff,0,0,1,1),OFFSET(INDEX(polEff_Res,1,23),0,0,1,1)) + INDEX(doEff,2)*(INDEX(eff0Pol_Res,2)+INDEX(pushPol_Res,1)) + SUMPRODUCT(doEff,INDEX(polEff_Res,,22),N(_el&gt;1))</f>
        <v>3.1910776381530273</v>
      </c>
      <c r="AB79" s="33">
        <f ca="1">SUMPRODUCT(OFFSET(doEff,0,0,1,1),OFFSET(INDEX(polEff_Res,1,24),0,0,1,1)) + INDEX(doEff,2)*(INDEX(eff0Pol_Res,2)+INDEX(pushPol_Res,1)) + SUMPRODUCT(doEff,INDEX(polEff_Res,,23),N(_el&gt;1))</f>
        <v>3.1910765470138411</v>
      </c>
      <c r="AC79" s="33">
        <f ca="1">SUMPRODUCT(OFFSET(doEff,0,0,1,1),OFFSET(INDEX(polEff_Res,1,25),0,0,1,1)) + INDEX(doEff,2)*(INDEX(eff0Pol_Res,2)+INDEX(pushPol_Res,1)) + SUMPRODUCT(doEff,INDEX(polEff_Res,,24),N(_el&gt;1))</f>
        <v>3.1910754621294903</v>
      </c>
      <c r="AD79" s="33">
        <f ca="1">SUMPRODUCT(OFFSET(doEff,0,0,1,1),OFFSET(INDEX(polEff_Res,1,26),0,0,1,1)) + INDEX(doEff,2)*(INDEX(eff0Pol_Res,2)+INDEX(pushPol_Res,1)) + SUMPRODUCT(doEff,INDEX(polEff_Res,,25),N(_el&gt;1))</f>
        <v>3.1910743829667894</v>
      </c>
      <c r="AE79" s="33">
        <f ca="1">SUMPRODUCT(OFFSET(doEff,0,0,1,1),OFFSET(INDEX(polEff_Res,1,27),0,0,1,1)) + INDEX(doEff,2)*(INDEX(eff0Pol_Res,2)+INDEX(pushPol_Res,1)) + SUMPRODUCT(doEff,INDEX(polEff_Res,,26),N(_el&gt;1))</f>
        <v>3.1910733090343713</v>
      </c>
      <c r="AF79" s="33">
        <f ca="1">SUMPRODUCT(OFFSET(doEff,0,0,1,1),OFFSET(INDEX(polEff_Res,1,28),0,0,1,1)) + INDEX(doEff,2)*(INDEX(eff0Pol_Res,2)+INDEX(pushPol_Res,1)) + SUMPRODUCT(doEff,INDEX(polEff_Res,,27),N(_el&gt;1))</f>
        <v>3.1910722398802127</v>
      </c>
      <c r="AG79" s="33">
        <f ca="1">SUMPRODUCT(OFFSET(doEff,0,0,1,1),OFFSET(INDEX(polEff_Res,1,29),0,0,1,1)) + INDEX(doEff,2)*(INDEX(eff0Pol_Res,2)+INDEX(pushPol_Res,1)) + SUMPRODUCT(doEff,INDEX(polEff_Res,,28),N(_el&gt;1))</f>
        <v>3.1910711750875507</v>
      </c>
      <c r="AH79" s="33">
        <f ca="1">SUMPRODUCT(OFFSET(doEff,0,0,1,1),OFFSET(INDEX(polEff_Res,1,30),0,0,1,1)) + INDEX(doEff,2)*(INDEX(eff0Pol_Res,2)+INDEX(pushPol_Res,1)) + SUMPRODUCT(doEff,INDEX(polEff_Res,,29),N(_el&gt;1))</f>
        <v>3.191070114270218</v>
      </c>
      <c r="AI79" s="33">
        <f ca="1">SUMPRODUCT(OFFSET(doEff,0,0,1,1),OFFSET(INDEX(polEff_Res,1,31),0,0,1,1)) + INDEX(doEff,2)*(INDEX(eff0Pol_Res,2)+INDEX(pushPol_Res,1)) + SUMPRODUCT(doEff,INDEX(polEff_Res,,30),N(_el&gt;1))</f>
        <v>3.1910690570682774</v>
      </c>
      <c r="AJ79" s="33">
        <f ca="1">SUMPRODUCT(OFFSET(doEff,0,0,1,1),OFFSET(INDEX(polEff_Res,1,32),0,0,1,1)) + INDEX(doEff,2)*(INDEX(eff0Pol_Res,2)+INDEX(pushPol_Res,1)) + SUMPRODUCT(doEff,INDEX(polEff_Res,,31),N(_el&gt;1))</f>
        <v>3.1910680031445797</v>
      </c>
      <c r="AK79" s="33">
        <f ca="1">SUMPRODUCT(OFFSET(doEff,0,0,1,1),OFFSET(INDEX(polEff_Res,1,33),0,0,1,1)) + INDEX(doEff,2)*(INDEX(eff0Pol_Res,2)+INDEX(pushPol_Res,1)) + SUMPRODUCT(doEff,INDEX(polEff_Res,,32),N(_el&gt;1))</f>
        <v>3.1910669521823065</v>
      </c>
      <c r="AL79" s="33">
        <f ca="1">SUMPRODUCT(OFFSET(doEff,0,0,1,1),OFFSET(INDEX(polEff_Res,1,34),0,0,1,1)) + INDEX(doEff,2)*(INDEX(eff0Pol_Res,2)+INDEX(pushPol_Res,1)) + SUMPRODUCT(doEff,INDEX(polEff_Res,,33),N(_el&gt;1))</f>
        <v>3.1910659038832261</v>
      </c>
      <c r="AM79" s="33">
        <f ca="1">SUMPRODUCT(OFFSET(doEff,0,0,1,1),OFFSET(INDEX(polEff_Res,1,35),0,0,1,1)) + INDEX(doEff,2)*(INDEX(eff0Pol_Res,2)+INDEX(pushPol_Res,1)) + SUMPRODUCT(doEff,INDEX(polEff_Res,,34),N(_el&gt;1))</f>
        <v>3.1910648579667713</v>
      </c>
      <c r="AN79" s="34">
        <f ca="1">SUMPRODUCT(OFFSET(doEff,0,0,1,1),OFFSET(INDEX(polEff_Res,1,36),0,0,1,1)) + INDEX(doEff,2)*(INDEX(eff0Pol_Res,2)+INDEX(pushPol_Res,1)) + SUMPRODUCT(doEff,INDEX(polEff_Res,,35),N(_el&gt;1))</f>
        <v>3.1907508532423212</v>
      </c>
      <c r="AO79" s="8"/>
    </row>
    <row r="80" spans="2:41" hidden="1" x14ac:dyDescent="0.35">
      <c r="B80" s="8"/>
      <c r="C80" s="19" t="str">
        <f>"EL 2: " &amp; INDEX(_doName,3,3)</f>
        <v>EL 2: Tier 2</v>
      </c>
      <c r="D80" s="11"/>
      <c r="E80" s="33"/>
      <c r="F80" s="33">
        <f ca="1">SUMPRODUCT(OFFSET(doEff,0,0,2,1),OFFSET(INDEX(polEff_Res,1,2),0,0,2,1)) + INDEX(doEff,3)*(INDEX(eff0Pol_Res,3)+INDEX(pushPol_Res,2)) + SUMPRODUCT(doEff,INDEX(polEff_Res,,1),N(_el&gt;2))</f>
        <v>2.6928088196133757</v>
      </c>
      <c r="G80" s="33">
        <f ca="1">SUMPRODUCT(OFFSET(doEff,0,0,2,1),OFFSET(INDEX(polEff_Res,1,3),0,0,2,1)) + INDEX(doEff,3)*(INDEX(eff0Pol_Res,3)+INDEX(pushPol_Res,2)) + SUMPRODUCT(doEff,INDEX(polEff_Res,,2),N(_el&gt;2))</f>
        <v>1.5791822425020641</v>
      </c>
      <c r="H80" s="33">
        <f ca="1">SUMPRODUCT(OFFSET(doEff,0,0,2,1),OFFSET(INDEX(polEff_Res,1,4),0,0,2,1)) + INDEX(doEff,3)*(INDEX(eff0Pol_Res,3)+INDEX(pushPol_Res,2)) + SUMPRODUCT(doEff,INDEX(polEff_Res,,3),N(_el&gt;2))</f>
        <v>3.191407602589714</v>
      </c>
      <c r="I80" s="33">
        <f ca="1">SUMPRODUCT(OFFSET(doEff,0,0,2,1),OFFSET(INDEX(polEff_Res,1,5),0,0,2,1)) + INDEX(doEff,3)*(INDEX(eff0Pol_Res,3)+INDEX(pushPol_Res,2)) + SUMPRODUCT(doEff,INDEX(polEff_Res,,4),N(_el&gt;2))</f>
        <v>3.1913175686782553</v>
      </c>
      <c r="J80" s="33">
        <f ca="1">SUMPRODUCT(OFFSET(doEff,0,0,2,1),OFFSET(INDEX(polEff_Res,1,6),0,0,2,1)) + INDEX(doEff,3)*(INDEX(eff0Pol_Res,3)+INDEX(pushPol_Res,2)) + SUMPRODUCT(doEff,INDEX(polEff_Res,,5),N(_el&gt;2))</f>
        <v>3.1912283421556134</v>
      </c>
      <c r="K80" s="33">
        <f ca="1">SUMPRODUCT(OFFSET(doEff,0,0,2,1),OFFSET(INDEX(polEff_Res,1,7),0,0,2,1)) + INDEX(doEff,3)*(INDEX(eff0Pol_Res,3)+INDEX(pushPol_Res,2)) + SUMPRODUCT(doEff,INDEX(polEff_Res,,6),N(_el&gt;2))</f>
        <v>3.191203970503544</v>
      </c>
      <c r="L80" s="33">
        <f ca="1">SUMPRODUCT(OFFSET(doEff,0,0,2,1),OFFSET(INDEX(polEff_Res,1,8),0,0,2,1)) + INDEX(doEff,3)*(INDEX(eff0Pol_Res,3)+INDEX(pushPol_Res,2)) + SUMPRODUCT(doEff,INDEX(polEff_Res,,7),N(_el&gt;2))</f>
        <v>3.1911798109187544</v>
      </c>
      <c r="M80" s="33">
        <f ca="1">SUMPRODUCT(OFFSET(doEff,0,0,2,1),OFFSET(INDEX(polEff_Res,1,9),0,0,2,1)) + INDEX(doEff,3)*(INDEX(eff0Pol_Res,3)+INDEX(pushPol_Res,2)) + SUMPRODUCT(doEff,INDEX(polEff_Res,,8),N(_el&gt;2))</f>
        <v>3.1911558560855586</v>
      </c>
      <c r="N80" s="33">
        <f ca="1">SUMPRODUCT(OFFSET(doEff,0,0,2,1),OFFSET(INDEX(polEff_Res,1,10),0,0,2,1)) + INDEX(doEff,3)*(INDEX(eff0Pol_Res,3)+INDEX(pushPol_Res,2)) + SUMPRODUCT(doEff,INDEX(polEff_Res,,9),N(_el&gt;2))</f>
        <v>3.1911320994330086</v>
      </c>
      <c r="O80" s="33">
        <f ca="1">SUMPRODUCT(OFFSET(doEff,0,0,2,1),OFFSET(INDEX(polEff_Res,1,11),0,0,2,1)) + INDEX(doEff,3)*(INDEX(eff0Pol_Res,3)+INDEX(pushPol_Res,2)) + SUMPRODUCT(doEff,INDEX(polEff_Res,,10),N(_el&gt;2))</f>
        <v>3.1911085347244406</v>
      </c>
      <c r="P80" s="33">
        <f ca="1">SUMPRODUCT(OFFSET(doEff,0,0,2,1),OFFSET(INDEX(polEff_Res,1,12),0,0,2,1)) + INDEX(doEff,3)*(INDEX(eff0Pol_Res,3)+INDEX(pushPol_Res,2)) + SUMPRODUCT(doEff,INDEX(polEff_Res,,11),N(_el&gt;2))</f>
        <v>3.1911055453468524</v>
      </c>
      <c r="Q80" s="33">
        <f ca="1">SUMPRODUCT(OFFSET(doEff,0,0,2,1),OFFSET(INDEX(polEff_Res,1,13),0,0,2,1)) + INDEX(doEff,3)*(INDEX(eff0Pol_Res,3)+INDEX(pushPol_Res,2)) + SUMPRODUCT(doEff,INDEX(polEff_Res,,12),N(_el&gt;2))</f>
        <v>3.1911025873037717</v>
      </c>
      <c r="R80" s="33">
        <f ca="1">SUMPRODUCT(OFFSET(doEff,0,0,2,1),OFFSET(INDEX(polEff_Res,1,14),0,0,2,1)) + INDEX(doEff,3)*(INDEX(eff0Pol_Res,3)+INDEX(pushPol_Res,2)) + SUMPRODUCT(doEff,INDEX(polEff_Res,,13),N(_el&gt;2))</f>
        <v>3.1910996584905025</v>
      </c>
      <c r="S80" s="33">
        <f ca="1">SUMPRODUCT(OFFSET(doEff,0,0,2,1),OFFSET(INDEX(polEff_Res,1,15),0,0,2,1)) + INDEX(doEff,3)*(INDEX(eff0Pol_Res,3)+INDEX(pushPol_Res,2)) + SUMPRODUCT(doEff,INDEX(polEff_Res,,14),N(_el&gt;2))</f>
        <v>3.1910967569850586</v>
      </c>
      <c r="T80" s="33">
        <f ca="1">SUMPRODUCT(OFFSET(doEff,0,0,2,1),OFFSET(INDEX(polEff_Res,1,16),0,0,2,1)) + INDEX(doEff,3)*(INDEX(eff0Pol_Res,3)+INDEX(pushPol_Res,2)) + SUMPRODUCT(doEff,INDEX(polEff_Res,,15),N(_el&gt;2))</f>
        <v>3.191093881019365</v>
      </c>
      <c r="U80" s="33">
        <f ca="1">SUMPRODUCT(OFFSET(doEff,0,0,2,1),OFFSET(INDEX(polEff_Res,1,17),0,0,2,1)) + INDEX(doEff,3)*(INDEX(eff0Pol_Res,3)+INDEX(pushPol_Res,2)) + SUMPRODUCT(doEff,INDEX(polEff_Res,,16),N(_el&gt;2))</f>
        <v>3.1910910292568615</v>
      </c>
      <c r="V80" s="33">
        <f ca="1">SUMPRODUCT(OFFSET(doEff,0,0,2,1),OFFSET(INDEX(polEff_Res,1,18),0,0,2,1)) + INDEX(doEff,3)*(INDEX(eff0Pol_Res,3)+INDEX(pushPol_Res,2)) + SUMPRODUCT(doEff,INDEX(polEff_Res,,17),N(_el&gt;2))</f>
        <v>3.1910882004470684</v>
      </c>
      <c r="W80" s="33">
        <f ca="1">SUMPRODUCT(OFFSET(doEff,0,0,2,1),OFFSET(INDEX(polEff_Res,1,19),0,0,2,1)) + INDEX(doEff,3)*(INDEX(eff0Pol_Res,3)+INDEX(pushPol_Res,2)) + SUMPRODUCT(doEff,INDEX(polEff_Res,,18),N(_el&gt;2))</f>
        <v>3.1910853935133927</v>
      </c>
      <c r="X80" s="33">
        <f ca="1">SUMPRODUCT(OFFSET(doEff,0,0,2,1),OFFSET(INDEX(polEff_Res,1,20),0,0,2,1)) + INDEX(doEff,3)*(INDEX(eff0Pol_Res,3)+INDEX(pushPol_Res,2)) + SUMPRODUCT(doEff,INDEX(polEff_Res,,19),N(_el&gt;2))</f>
        <v>3.1910826075005878</v>
      </c>
      <c r="Y80" s="33">
        <f ca="1">SUMPRODUCT(OFFSET(doEff,0,0,2,1),OFFSET(INDEX(polEff_Res,1,21),0,0,2,1)) + INDEX(doEff,3)*(INDEX(eff0Pol_Res,3)+INDEX(pushPol_Res,2)) + SUMPRODUCT(doEff,INDEX(polEff_Res,,20),N(_el&gt;2))</f>
        <v>3.1910798415344028</v>
      </c>
      <c r="Z80" s="33">
        <f ca="1">SUMPRODUCT(OFFSET(doEff,0,0,2,1),OFFSET(INDEX(polEff_Res,1,22),0,0,2,1)) + INDEX(doEff,3)*(INDEX(eff0Pol_Res,3)+INDEX(pushPol_Res,2)) + SUMPRODUCT(doEff,INDEX(polEff_Res,,21),N(_el&gt;2))</f>
        <v>3.1910787361218462</v>
      </c>
      <c r="AA80" s="33">
        <f ca="1">SUMPRODUCT(OFFSET(doEff,0,0,2,1),OFFSET(INDEX(polEff_Res,1,23),0,0,2,1)) + INDEX(doEff,3)*(INDEX(eff0Pol_Res,3)+INDEX(pushPol_Res,2)) + SUMPRODUCT(doEff,INDEX(polEff_Res,,22),N(_el&gt;2))</f>
        <v>3.1910776381530273</v>
      </c>
      <c r="AB80" s="33">
        <f ca="1">SUMPRODUCT(OFFSET(doEff,0,0,2,1),OFFSET(INDEX(polEff_Res,1,24),0,0,2,1)) + INDEX(doEff,3)*(INDEX(eff0Pol_Res,3)+INDEX(pushPol_Res,2)) + SUMPRODUCT(doEff,INDEX(polEff_Res,,23),N(_el&gt;2))</f>
        <v>3.1910765470138411</v>
      </c>
      <c r="AC80" s="33">
        <f ca="1">SUMPRODUCT(OFFSET(doEff,0,0,2,1),OFFSET(INDEX(polEff_Res,1,25),0,0,2,1)) + INDEX(doEff,3)*(INDEX(eff0Pol_Res,3)+INDEX(pushPol_Res,2)) + SUMPRODUCT(doEff,INDEX(polEff_Res,,24),N(_el&gt;2))</f>
        <v>3.1910754621294903</v>
      </c>
      <c r="AD80" s="33">
        <f ca="1">SUMPRODUCT(OFFSET(doEff,0,0,2,1),OFFSET(INDEX(polEff_Res,1,26),0,0,2,1)) + INDEX(doEff,3)*(INDEX(eff0Pol_Res,3)+INDEX(pushPol_Res,2)) + SUMPRODUCT(doEff,INDEX(polEff_Res,,25),N(_el&gt;2))</f>
        <v>3.1910743829667894</v>
      </c>
      <c r="AE80" s="33">
        <f ca="1">SUMPRODUCT(OFFSET(doEff,0,0,2,1),OFFSET(INDEX(polEff_Res,1,27),0,0,2,1)) + INDEX(doEff,3)*(INDEX(eff0Pol_Res,3)+INDEX(pushPol_Res,2)) + SUMPRODUCT(doEff,INDEX(polEff_Res,,26),N(_el&gt;2))</f>
        <v>3.1910733090343713</v>
      </c>
      <c r="AF80" s="33">
        <f ca="1">SUMPRODUCT(OFFSET(doEff,0,0,2,1),OFFSET(INDEX(polEff_Res,1,28),0,0,2,1)) + INDEX(doEff,3)*(INDEX(eff0Pol_Res,3)+INDEX(pushPol_Res,2)) + SUMPRODUCT(doEff,INDEX(polEff_Res,,27),N(_el&gt;2))</f>
        <v>3.1910722398802132</v>
      </c>
      <c r="AG80" s="33">
        <f ca="1">SUMPRODUCT(OFFSET(doEff,0,0,2,1),OFFSET(INDEX(polEff_Res,1,29),0,0,2,1)) + INDEX(doEff,3)*(INDEX(eff0Pol_Res,3)+INDEX(pushPol_Res,2)) + SUMPRODUCT(doEff,INDEX(polEff_Res,,28),N(_el&gt;2))</f>
        <v>3.1910711750875511</v>
      </c>
      <c r="AH80" s="33">
        <f ca="1">SUMPRODUCT(OFFSET(doEff,0,0,2,1),OFFSET(INDEX(polEff_Res,1,30),0,0,2,1)) + INDEX(doEff,3)*(INDEX(eff0Pol_Res,3)+INDEX(pushPol_Res,2)) + SUMPRODUCT(doEff,INDEX(polEff_Res,,29),N(_el&gt;2))</f>
        <v>3.191070114270218</v>
      </c>
      <c r="AI80" s="33">
        <f ca="1">SUMPRODUCT(OFFSET(doEff,0,0,2,1),OFFSET(INDEX(polEff_Res,1,31),0,0,2,1)) + INDEX(doEff,3)*(INDEX(eff0Pol_Res,3)+INDEX(pushPol_Res,2)) + SUMPRODUCT(doEff,INDEX(polEff_Res,,30),N(_el&gt;2))</f>
        <v>3.1910690570682778</v>
      </c>
      <c r="AJ80" s="33">
        <f ca="1">SUMPRODUCT(OFFSET(doEff,0,0,2,1),OFFSET(INDEX(polEff_Res,1,32),0,0,2,1)) + INDEX(doEff,3)*(INDEX(eff0Pol_Res,3)+INDEX(pushPol_Res,2)) + SUMPRODUCT(doEff,INDEX(polEff_Res,,31),N(_el&gt;2))</f>
        <v>3.1910680031445802</v>
      </c>
      <c r="AK80" s="33">
        <f ca="1">SUMPRODUCT(OFFSET(doEff,0,0,2,1),OFFSET(INDEX(polEff_Res,1,33),0,0,2,1)) + INDEX(doEff,3)*(INDEX(eff0Pol_Res,3)+INDEX(pushPol_Res,2)) + SUMPRODUCT(doEff,INDEX(polEff_Res,,32),N(_el&gt;2))</f>
        <v>3.191066952182307</v>
      </c>
      <c r="AL80" s="33">
        <f ca="1">SUMPRODUCT(OFFSET(doEff,0,0,2,1),OFFSET(INDEX(polEff_Res,1,34),0,0,2,1)) + INDEX(doEff,3)*(INDEX(eff0Pol_Res,3)+INDEX(pushPol_Res,2)) + SUMPRODUCT(doEff,INDEX(polEff_Res,,33),N(_el&gt;2))</f>
        <v>3.1910659038832261</v>
      </c>
      <c r="AM80" s="33">
        <f ca="1">SUMPRODUCT(OFFSET(doEff,0,0,2,1),OFFSET(INDEX(polEff_Res,1,35),0,0,2,1)) + INDEX(doEff,3)*(INDEX(eff0Pol_Res,3)+INDEX(pushPol_Res,2)) + SUMPRODUCT(doEff,INDEX(polEff_Res,,34),N(_el&gt;2))</f>
        <v>3.1910648579667718</v>
      </c>
      <c r="AN80" s="34">
        <f ca="1">SUMPRODUCT(OFFSET(doEff,0,0,2,1),OFFSET(INDEX(polEff_Res,1,36),0,0,2,1)) + INDEX(doEff,3)*(INDEX(eff0Pol_Res,3)+INDEX(pushPol_Res,2)) + SUMPRODUCT(doEff,INDEX(polEff_Res,,35),N(_el&gt;2))</f>
        <v>3.1907508532423212</v>
      </c>
      <c r="AO80" s="8"/>
    </row>
    <row r="81" spans="2:41" hidden="1" x14ac:dyDescent="0.35">
      <c r="B81" s="8"/>
      <c r="C81" s="19" t="str">
        <f>"EL 3: " &amp; INDEX(_doName,3,4)</f>
        <v>EL 3: EL 3</v>
      </c>
      <c r="D81" s="11"/>
      <c r="E81" s="33"/>
      <c r="F81" s="33">
        <f ca="1">SUMPRODUCT(OFFSET(doEff,0,0,3,1),OFFSET(INDEX(polEff_Res,1,2),0,0,3,1)) + INDEX(doEff,4)*(INDEX(eff0Pol_Res,4)+INDEX(pushPol_Res,3)) + SUMPRODUCT(doEff,INDEX(polEff_Res,,1),N(_el&gt;3))</f>
        <v>2.692468496983329</v>
      </c>
      <c r="G81" s="33">
        <f ca="1">SUMPRODUCT(OFFSET(doEff,0,0,3,1),OFFSET(INDEX(polEff_Res,1,3),0,0,3,1)) + INDEX(doEff,4)*(INDEX(eff0Pol_Res,4)+INDEX(pushPol_Res,3)) + SUMPRODUCT(doEff,INDEX(polEff_Res,,2),N(_el&gt;3))</f>
        <v>5.1942059937576905</v>
      </c>
      <c r="H81" s="33">
        <f ca="1">SUMPRODUCT(OFFSET(doEff,0,0,3,1),OFFSET(INDEX(polEff_Res,1,4),0,0,3,1)) + INDEX(doEff,4)*(INDEX(eff0Pol_Res,4)+INDEX(pushPol_Res,3)) + SUMPRODUCT(doEff,INDEX(polEff_Res,,3),N(_el&gt;3))</f>
        <v>3.1914713027313</v>
      </c>
      <c r="I81" s="33">
        <f ca="1">SUMPRODUCT(OFFSET(doEff,0,0,3,1),OFFSET(INDEX(polEff_Res,1,5),0,0,3,1)) + INDEX(doEff,4)*(INDEX(eff0Pol_Res,4)+INDEX(pushPol_Res,3)) + SUMPRODUCT(doEff,INDEX(polEff_Res,,4),N(_el&gt;3))</f>
        <v>3.1913806975819474</v>
      </c>
      <c r="J81" s="33">
        <f ca="1">SUMPRODUCT(OFFSET(doEff,0,0,3,1),OFFSET(INDEX(polEff_Res,1,6),0,0,3,1)) + INDEX(doEff,4)*(INDEX(eff0Pol_Res,4)+INDEX(pushPol_Res,3)) + SUMPRODUCT(doEff,INDEX(polEff_Res,,5),N(_el&gt;3))</f>
        <v>3.1912455854105435</v>
      </c>
      <c r="K81" s="33">
        <f ca="1">SUMPRODUCT(OFFSET(doEff,0,0,3,1),OFFSET(INDEX(polEff_Res,1,7),0,0,3,1)) + INDEX(doEff,4)*(INDEX(eff0Pol_Res,4)+INDEX(pushPol_Res,3)) + SUMPRODUCT(doEff,INDEX(polEff_Res,,6),N(_el&gt;3))</f>
        <v>3.1912210637181651</v>
      </c>
      <c r="L81" s="33">
        <f ca="1">SUMPRODUCT(OFFSET(doEff,0,0,3,1),OFFSET(INDEX(polEff_Res,1,8),0,0,3,1)) + INDEX(doEff,4)*(INDEX(eff0Pol_Res,4)+INDEX(pushPol_Res,3)) + SUMPRODUCT(doEff,INDEX(polEff_Res,,7),N(_el&gt;3))</f>
        <v>3.19119675926901</v>
      </c>
      <c r="M81" s="33">
        <f ca="1">SUMPRODUCT(OFFSET(doEff,0,0,3,1),OFFSET(INDEX(polEff_Res,1,9),0,0,3,1)) + INDEX(doEff,4)*(INDEX(eff0Pol_Res,4)+INDEX(pushPol_Res,3)) + SUMPRODUCT(doEff,INDEX(polEff_Res,,8),N(_el&gt;3))</f>
        <v>3.1911726642204767</v>
      </c>
      <c r="N81" s="33">
        <f ca="1">SUMPRODUCT(OFFSET(doEff,0,0,3,1),OFFSET(INDEX(polEff_Res,1,10),0,0,3,1)) + INDEX(doEff,4)*(INDEX(eff0Pol_Res,4)+INDEX(pushPol_Res,3)) + SUMPRODUCT(doEff,INDEX(polEff_Res,,9),N(_el&gt;3))</f>
        <v>3.1911487717651084</v>
      </c>
      <c r="O81" s="33">
        <f ca="1">SUMPRODUCT(OFFSET(doEff,0,0,3,1),OFFSET(INDEX(polEff_Res,1,11),0,0,3,1)) + INDEX(doEff,4)*(INDEX(eff0Pol_Res,4)+INDEX(pushPol_Res,3)) + SUMPRODUCT(doEff,INDEX(polEff_Res,,10),N(_el&gt;3))</f>
        <v>3.1911106497472432</v>
      </c>
      <c r="P81" s="33">
        <f ca="1">SUMPRODUCT(OFFSET(doEff,0,0,3,1),OFFSET(INDEX(polEff_Res,1,12),0,0,3,1)) + INDEX(doEff,4)*(INDEX(eff0Pol_Res,4)+INDEX(pushPol_Res,3)) + SUMPRODUCT(doEff,INDEX(polEff_Res,,11),N(_el&gt;3))</f>
        <v>3.1911076382000889</v>
      </c>
      <c r="Q81" s="33">
        <f ca="1">SUMPRODUCT(OFFSET(doEff,0,0,3,1),OFFSET(INDEX(polEff_Res,1,13),0,0,3,1)) + INDEX(doEff,4)*(INDEX(eff0Pol_Res,4)+INDEX(pushPol_Res,3)) + SUMPRODUCT(doEff,INDEX(polEff_Res,,12),N(_el&gt;3))</f>
        <v>3.1911046594765446</v>
      </c>
      <c r="R81" s="33">
        <f ca="1">SUMPRODUCT(OFFSET(doEff,0,0,3,1),OFFSET(INDEX(polEff_Res,1,14),0,0,3,1)) + INDEX(doEff,4)*(INDEX(eff0Pol_Res,4)+INDEX(pushPol_Res,3)) + SUMPRODUCT(doEff,INDEX(polEff_Res,,13),N(_el&gt;3))</f>
        <v>3.1911017113426405</v>
      </c>
      <c r="S81" s="33">
        <f ca="1">SUMPRODUCT(OFFSET(doEff,0,0,3,1),OFFSET(INDEX(polEff_Res,1,15),0,0,3,1)) + INDEX(doEff,4)*(INDEX(eff0Pol_Res,4)+INDEX(pushPol_Res,3)) + SUMPRODUCT(doEff,INDEX(polEff_Res,,14),N(_el&gt;3))</f>
        <v>3.1910987917674971</v>
      </c>
      <c r="T81" s="33">
        <f ca="1">SUMPRODUCT(OFFSET(doEff,0,0,3,1),OFFSET(INDEX(polEff_Res,1,16),0,0,3,1)) + INDEX(doEff,4)*(INDEX(eff0Pol_Res,4)+INDEX(pushPol_Res,3)) + SUMPRODUCT(doEff,INDEX(polEff_Res,,15),N(_el&gt;3))</f>
        <v>3.1910958986777365</v>
      </c>
      <c r="U81" s="33">
        <f ca="1">SUMPRODUCT(OFFSET(doEff,0,0,3,1),OFFSET(INDEX(polEff_Res,1,17),0,0,3,1)) + INDEX(doEff,4)*(INDEX(eff0Pol_Res,4)+INDEX(pushPol_Res,3)) + SUMPRODUCT(doEff,INDEX(polEff_Res,,16),N(_el&gt;3))</f>
        <v>3.1910930306758973</v>
      </c>
      <c r="V81" s="33">
        <f ca="1">SUMPRODUCT(OFFSET(doEff,0,0,3,1),OFFSET(INDEX(polEff_Res,1,18),0,0,3,1)) + INDEX(doEff,4)*(INDEX(eff0Pol_Res,4)+INDEX(pushPol_Res,3)) + SUMPRODUCT(doEff,INDEX(polEff_Res,,17),N(_el&gt;3))</f>
        <v>3.1910901863884735</v>
      </c>
      <c r="W81" s="33">
        <f ca="1">SUMPRODUCT(OFFSET(doEff,0,0,3,1),OFFSET(INDEX(polEff_Res,1,19),0,0,3,1)) + INDEX(doEff,4)*(INDEX(eff0Pol_Res,4)+INDEX(pushPol_Res,3)) + SUMPRODUCT(doEff,INDEX(polEff_Res,,18),N(_el&gt;3))</f>
        <v>3.1910873646530145</v>
      </c>
      <c r="X81" s="33">
        <f ca="1">SUMPRODUCT(OFFSET(doEff,0,0,3,1),OFFSET(INDEX(polEff_Res,1,20),0,0,3,1)) + INDEX(doEff,4)*(INDEX(eff0Pol_Res,4)+INDEX(pushPol_Res,3)) + SUMPRODUCT(doEff,INDEX(polEff_Res,,19),N(_el&gt;3))</f>
        <v>3.1910845644569674</v>
      </c>
      <c r="Y81" s="33">
        <f ca="1">SUMPRODUCT(OFFSET(doEff,0,0,3,1),OFFSET(INDEX(polEff_Res,1,21),0,0,3,1)) + INDEX(doEff,4)*(INDEX(eff0Pol_Res,4)+INDEX(pushPol_Res,3)) + SUMPRODUCT(doEff,INDEX(polEff_Res,,20),N(_el&gt;3))</f>
        <v>3.1910806236278981</v>
      </c>
      <c r="Z81" s="33">
        <f ca="1">SUMPRODUCT(OFFSET(doEff,0,0,3,1),OFFSET(INDEX(polEff_Res,1,22),0,0,3,1)) + INDEX(doEff,4)*(INDEX(eff0Pol_Res,4)+INDEX(pushPol_Res,3)) + SUMPRODUCT(doEff,INDEX(polEff_Res,,21),N(_el&gt;3))</f>
        <v>3.191079512948801</v>
      </c>
      <c r="AA81" s="33">
        <f ca="1">SUMPRODUCT(OFFSET(doEff,0,0,3,1),OFFSET(INDEX(polEff_Res,1,23),0,0,3,1)) + INDEX(doEff,4)*(INDEX(eff0Pol_Res,4)+INDEX(pushPol_Res,3)) + SUMPRODUCT(doEff,INDEX(polEff_Res,,22),N(_el&gt;3))</f>
        <v>3.1910784101479295</v>
      </c>
      <c r="AB81" s="33">
        <f ca="1">SUMPRODUCT(OFFSET(doEff,0,0,3,1),OFFSET(INDEX(polEff_Res,1,24),0,0,3,1)) + INDEX(doEff,4)*(INDEX(eff0Pol_Res,4)+INDEX(pushPol_Res,3)) + SUMPRODUCT(doEff,INDEX(polEff_Res,,23),N(_el&gt;3))</f>
        <v>3.1910773145833673</v>
      </c>
      <c r="AC81" s="33">
        <f ca="1">SUMPRODUCT(OFFSET(doEff,0,0,3,1),OFFSET(INDEX(polEff_Res,1,25),0,0,3,1)) + INDEX(doEff,4)*(INDEX(eff0Pol_Res,4)+INDEX(pushPol_Res,3)) + SUMPRODUCT(doEff,INDEX(polEff_Res,,24),N(_el&gt;3))</f>
        <v>3.1910762256508756</v>
      </c>
      <c r="AD81" s="33">
        <f ca="1">SUMPRODUCT(OFFSET(doEff,0,0,3,1),OFFSET(INDEX(polEff_Res,1,26),0,0,3,1)) + INDEX(doEff,4)*(INDEX(eff0Pol_Res,4)+INDEX(pushPol_Res,3)) + SUMPRODUCT(doEff,INDEX(polEff_Res,,25),N(_el&gt;3))</f>
        <v>3.1910751427876822</v>
      </c>
      <c r="AE81" s="33">
        <f ca="1">SUMPRODUCT(OFFSET(doEff,0,0,3,1),OFFSET(INDEX(polEff_Res,1,27),0,0,3,1)) + INDEX(doEff,4)*(INDEX(eff0Pol_Res,4)+INDEX(pushPol_Res,3)) + SUMPRODUCT(doEff,INDEX(polEff_Res,,26),N(_el&gt;3))</f>
        <v>3.1910740654745857</v>
      </c>
      <c r="AF81" s="33">
        <f ca="1">SUMPRODUCT(OFFSET(doEff,0,0,3,1),OFFSET(INDEX(polEff_Res,1,28),0,0,3,1)) + INDEX(doEff,4)*(INDEX(eff0Pol_Res,4)+INDEX(pushPol_Res,3)) + SUMPRODUCT(doEff,INDEX(polEff_Res,,27),N(_el&gt;3))</f>
        <v>3.1910729932346134</v>
      </c>
      <c r="AG81" s="33">
        <f ca="1">SUMPRODUCT(OFFSET(doEff,0,0,3,1),OFFSET(INDEX(polEff_Res,1,29),0,0,3,1)) + INDEX(doEff,4)*(INDEX(eff0Pol_Res,4)+INDEX(pushPol_Res,3)) + SUMPRODUCT(doEff,INDEX(polEff_Res,,28),N(_el&gt;3))</f>
        <v>3.1910719256293536</v>
      </c>
      <c r="AH81" s="33">
        <f ca="1">SUMPRODUCT(OFFSET(doEff,0,0,3,1),OFFSET(INDEX(polEff_Res,1,30),0,0,3,1)) + INDEX(doEff,4)*(INDEX(eff0Pol_Res,4)+INDEX(pushPol_Res,3)) + SUMPRODUCT(doEff,INDEX(polEff_Res,,29),N(_el&gt;3))</f>
        <v>3.1910708622540849</v>
      </c>
      <c r="AI81" s="33">
        <f ca="1">SUMPRODUCT(OFFSET(doEff,0,0,3,1),OFFSET(INDEX(polEff_Res,1,31),0,0,3,1)) + INDEX(doEff,4)*(INDEX(eff0Pol_Res,4)+INDEX(pushPol_Res,3)) + SUMPRODUCT(doEff,INDEX(polEff_Res,,30),N(_el&gt;3))</f>
        <v>3.1910698027327467</v>
      </c>
      <c r="AJ81" s="33">
        <f ca="1">SUMPRODUCT(OFFSET(doEff,0,0,3,1),OFFSET(INDEX(polEff_Res,1,32),0,0,3,1)) + INDEX(doEff,4)*(INDEX(eff0Pol_Res,4)+INDEX(pushPol_Res,3)) + SUMPRODUCT(doEff,INDEX(polEff_Res,,31),N(_el&gt;3))</f>
        <v>3.1910687467138033</v>
      </c>
      <c r="AK81" s="33">
        <f ca="1">SUMPRODUCT(OFFSET(doEff,0,0,3,1),OFFSET(INDEX(polEff_Res,1,33),0,0,3,1)) + INDEX(doEff,4)*(INDEX(eff0Pol_Res,4)+INDEX(pushPol_Res,3)) + SUMPRODUCT(doEff,INDEX(polEff_Res,,32),N(_el&gt;3))</f>
        <v>3.1910676938672871</v>
      </c>
      <c r="AL81" s="33">
        <f ca="1">SUMPRODUCT(OFFSET(doEff,0,0,3,1),OFFSET(INDEX(polEff_Res,1,34),0,0,3,1)) + INDEX(doEff,4)*(INDEX(eff0Pol_Res,4)+INDEX(pushPol_Res,3)) + SUMPRODUCT(doEff,INDEX(polEff_Res,,33),N(_el&gt;3))</f>
        <v>3.1910666438824675</v>
      </c>
      <c r="AM81" s="33">
        <f ca="1">SUMPRODUCT(OFFSET(doEff,0,0,3,1),OFFSET(INDEX(polEff_Res,1,35),0,0,3,1)) + INDEX(doEff,4)*(INDEX(eff0Pol_Res,4)+INDEX(pushPol_Res,3)) + SUMPRODUCT(doEff,INDEX(polEff_Res,,34),N(_el&gt;3))</f>
        <v>3.1912870203174046</v>
      </c>
      <c r="AN81" s="34">
        <f ca="1">SUMPRODUCT(OFFSET(doEff,0,0,3,1),OFFSET(INDEX(polEff_Res,1,36),0,0,3,1)) + INDEX(doEff,4)*(INDEX(eff0Pol_Res,4)+INDEX(pushPol_Res,3)) + SUMPRODUCT(doEff,INDEX(polEff_Res,,35),N(_el&gt;3))</f>
        <v>3.1907508532423212</v>
      </c>
      <c r="AO81" s="8"/>
    </row>
    <row r="82" spans="2:41" hidden="1" x14ac:dyDescent="0.35">
      <c r="B82" s="8"/>
      <c r="C82" s="35" t="str">
        <f>"EL 4: " &amp; INDEX(_doName,3,5)</f>
        <v>EL 4: EL 4</v>
      </c>
      <c r="D82" s="15"/>
      <c r="E82" s="21"/>
      <c r="F82" s="21">
        <f ca="1">SUMPRODUCT(OFFSET(doEff,0,0,4,1),OFFSET(INDEX(polEff_Res,1,2),0,0,4,1)) + INDEX(doEff,5)*(INDEX(eff0Pol_Res,5)+INDEX(pushPol_Res,4)) + 0</f>
        <v>2.6929464171840638</v>
      </c>
      <c r="G82" s="21">
        <f ca="1">SUMPRODUCT(OFFSET(doEff,0,0,4,1),OFFSET(INDEX(polEff_Res,1,3),0,0,4,1)) + INDEX(doEff,5)*(INDEX(eff0Pol_Res,5)+INDEX(pushPol_Res,4)) + 0</f>
        <v>3.1910489659304044</v>
      </c>
      <c r="H82" s="21">
        <f ca="1">SUMPRODUCT(OFFSET(doEff,0,0,4,1),OFFSET(INDEX(polEff_Res,1,4),0,0,4,1)) + INDEX(doEff,5)*(INDEX(eff0Pol_Res,5)+INDEX(pushPol_Res,4)) + 0</f>
        <v>3.1914067817116005</v>
      </c>
      <c r="I82" s="21">
        <f ca="1">SUMPRODUCT(OFFSET(doEff,0,0,4,1),OFFSET(INDEX(polEff_Res,1,5),0,0,4,1)) + INDEX(doEff,5)*(INDEX(eff0Pol_Res,5)+INDEX(pushPol_Res,4)) + 0</f>
        <v>3.1913167551614547</v>
      </c>
      <c r="J82" s="21">
        <f ca="1">SUMPRODUCT(OFFSET(doEff,0,0,4,1),OFFSET(INDEX(polEff_Res,1,6),0,0,4,1)) + INDEX(doEff,5)*(INDEX(eff0Pol_Res,5)+INDEX(pushPol_Res,4)) + 0</f>
        <v>3.1912281199487209</v>
      </c>
      <c r="K82" s="21">
        <f ca="1">SUMPRODUCT(OFFSET(doEff,0,0,4,1),OFFSET(INDEX(polEff_Res,1,7),0,0,4,1)) + INDEX(doEff,5)*(INDEX(eff0Pol_Res,5)+INDEX(pushPol_Res,4)) + 0</f>
        <v>3.1912037502301596</v>
      </c>
      <c r="L82" s="21">
        <f ca="1">SUMPRODUCT(OFFSET(doEff,0,0,4,1),OFFSET(INDEX(polEff_Res,1,8),0,0,4,1)) + INDEX(doEff,5)*(INDEX(eff0Pol_Res,5)+INDEX(pushPol_Res,4)) + 0</f>
        <v>3.1911795925121789</v>
      </c>
      <c r="M82" s="21">
        <f ca="1">SUMPRODUCT(OFFSET(doEff,0,0,4,1),OFFSET(INDEX(polEff_Res,1,9),0,0,4,1)) + INDEX(doEff,5)*(INDEX(eff0Pol_Res,5)+INDEX(pushPol_Res,4)) + 0</f>
        <v>3.1911556394858813</v>
      </c>
      <c r="N82" s="21">
        <f ca="1">SUMPRODUCT(OFFSET(doEff,0,0,4,1),OFFSET(INDEX(polEff_Res,1,10),0,0,4,1)) + INDEX(doEff,5)*(INDEX(eff0Pol_Res,5)+INDEX(pushPol_Res,4)) + 0</f>
        <v>3.1911318845833674</v>
      </c>
      <c r="O82" s="21">
        <f ca="1">SUMPRODUCT(OFFSET(doEff,0,0,4,1),OFFSET(INDEX(polEff_Res,1,11),0,0,4,1)) + INDEX(doEff,5)*(INDEX(eff0Pol_Res,5)+INDEX(pushPol_Res,4)) + 0</f>
        <v>3.1911085074689929</v>
      </c>
      <c r="P82" s="21">
        <f ca="1">SUMPRODUCT(OFFSET(doEff,0,0,4,1),OFFSET(INDEX(polEff_Res,1,12),0,0,4,1)) + INDEX(doEff,5)*(INDEX(eff0Pol_Res,5)+INDEX(pushPol_Res,4)) + 0</f>
        <v>3.1911055183770936</v>
      </c>
      <c r="Q82" s="21">
        <f ca="1">SUMPRODUCT(OFFSET(doEff,0,0,4,1),OFFSET(INDEX(polEff_Res,1,13),0,0,4,1)) + INDEX(doEff,5)*(INDEX(eff0Pol_Res,5)+INDEX(pushPol_Res,4)) + 0</f>
        <v>3.1911025606005148</v>
      </c>
      <c r="R82" s="21">
        <f ca="1">SUMPRODUCT(OFFSET(doEff,0,0,4,1),OFFSET(INDEX(polEff_Res,1,14),0,0,4,1)) + INDEX(doEff,5)*(INDEX(eff0Pol_Res,5)+INDEX(pushPol_Res,4)) + 0</f>
        <v>3.1910996320362228</v>
      </c>
      <c r="S82" s="21">
        <f ca="1">SUMPRODUCT(OFFSET(doEff,0,0,4,1),OFFSET(INDEX(polEff_Res,1,15),0,0,4,1)) + INDEX(doEff,5)*(INDEX(eff0Pol_Res,5)+INDEX(pushPol_Res,4)) + 0</f>
        <v>3.1910967307636353</v>
      </c>
      <c r="T82" s="21">
        <f ca="1">SUMPRODUCT(OFFSET(doEff,0,0,4,1),OFFSET(INDEX(polEff_Res,1,16),0,0,4,1)) + INDEX(doEff,5)*(INDEX(eff0Pol_Res,5)+INDEX(pushPol_Res,4)) + 0</f>
        <v>3.1910938550186123</v>
      </c>
      <c r="U82" s="21">
        <f ca="1">SUMPRODUCT(OFFSET(doEff,0,0,4,1),OFFSET(INDEX(polEff_Res,1,17),0,0,4,1)) + INDEX(doEff,5)*(INDEX(eff0Pol_Res,5)+INDEX(pushPol_Res,4)) + 0</f>
        <v>3.1910910034653788</v>
      </c>
      <c r="V82" s="21">
        <f ca="1">SUMPRODUCT(OFFSET(doEff,0,0,4,1),OFFSET(INDEX(polEff_Res,1,18),0,0,4,1)) + INDEX(doEff,5)*(INDEX(eff0Pol_Res,5)+INDEX(pushPol_Res,4)) + 0</f>
        <v>3.1910881748550404</v>
      </c>
      <c r="W82" s="21">
        <f ca="1">SUMPRODUCT(OFFSET(doEff,0,0,4,1),OFFSET(INDEX(polEff_Res,1,19),0,0,4,1)) + INDEX(doEff,5)*(INDEX(eff0Pol_Res,5)+INDEX(pushPol_Res,4)) + 0</f>
        <v>3.191085368112109</v>
      </c>
      <c r="X82" s="21">
        <f ca="1">SUMPRODUCT(OFFSET(doEff,0,0,4,1),OFFSET(INDEX(polEff_Res,1,20),0,0,4,1)) + INDEX(doEff,5)*(INDEX(eff0Pol_Res,5)+INDEX(pushPol_Res,4)) + 0</f>
        <v>3.1910825822820765</v>
      </c>
      <c r="Y82" s="21">
        <f ca="1">SUMPRODUCT(OFFSET(doEff,0,0,4,1),OFFSET(INDEX(polEff_Res,1,21),0,0,4,1)) + INDEX(doEff,5)*(INDEX(eff0Pol_Res,5)+INDEX(pushPol_Res,4)) + 0</f>
        <v>3.1910798314558795</v>
      </c>
      <c r="Z82" s="21">
        <f ca="1">SUMPRODUCT(OFFSET(doEff,0,0,4,1),OFFSET(INDEX(polEff_Res,1,22),0,0,4,1)) + INDEX(doEff,5)*(INDEX(eff0Pol_Res,5)+INDEX(pushPol_Res,4)) + 0</f>
        <v>3.1910787261111899</v>
      </c>
      <c r="AA82" s="21">
        <f ca="1">SUMPRODUCT(OFFSET(doEff,0,0,4,1),OFFSET(INDEX(polEff_Res,1,23),0,0,4,1)) + INDEX(doEff,5)*(INDEX(eff0Pol_Res,5)+INDEX(pushPol_Res,4)) + 0</f>
        <v>3.1910776282046394</v>
      </c>
      <c r="AB82" s="21">
        <f ca="1">SUMPRODUCT(OFFSET(doEff,0,0,4,1),OFFSET(INDEX(polEff_Res,1,24),0,0,4,1)) + INDEX(doEff,5)*(INDEX(eff0Pol_Res,5)+INDEX(pushPol_Res,4)) + 0</f>
        <v>3.1910765371224814</v>
      </c>
      <c r="AC82" s="21">
        <f ca="1">SUMPRODUCT(OFFSET(doEff,0,0,4,1),OFFSET(INDEX(polEff_Res,1,25),0,0,4,1)) + INDEX(doEff,5)*(INDEX(eff0Pol_Res,5)+INDEX(pushPol_Res,4)) + 0</f>
        <v>3.1910754522902969</v>
      </c>
      <c r="AD82" s="21">
        <f ca="1">SUMPRODUCT(OFFSET(doEff,0,0,4,1),OFFSET(INDEX(polEff_Res,1,26),0,0,4,1)) + INDEX(doEff,5)*(INDEX(eff0Pol_Res,5)+INDEX(pushPol_Res,4)) + 0</f>
        <v>3.1910743731752822</v>
      </c>
      <c r="AE82" s="21">
        <f ca="1">SUMPRODUCT(OFFSET(doEff,0,0,4,1),OFFSET(INDEX(polEff_Res,1,27),0,0,4,1)) + INDEX(doEff,5)*(INDEX(eff0Pol_Res,5)+INDEX(pushPol_Res,4)) + 0</f>
        <v>3.1910732992864306</v>
      </c>
      <c r="AF82" s="21">
        <f ca="1">SUMPRODUCT(OFFSET(doEff,0,0,4,1),OFFSET(INDEX(polEff_Res,1,28),0,0,4,1)) + INDEX(doEff,5)*(INDEX(eff0Pol_Res,5)+INDEX(pushPol_Res,4)) + 0</f>
        <v>3.191072230172038</v>
      </c>
      <c r="AG82" s="21">
        <f ca="1">SUMPRODUCT(OFFSET(doEff,0,0,4,1),OFFSET(INDEX(polEff_Res,1,29),0,0,4,1)) + INDEX(doEff,5)*(INDEX(eff0Pol_Res,5)+INDEX(pushPol_Res,4)) + 0</f>
        <v>3.1910711654156199</v>
      </c>
      <c r="AH82" s="21">
        <f ca="1">SUMPRODUCT(OFFSET(doEff,0,0,4,1),OFFSET(INDEX(polEff_Res,1,30),0,0,4,1)) + INDEX(doEff,5)*(INDEX(eff0Pol_Res,5)+INDEX(pushPol_Res,4)) + 0</f>
        <v>3.1910701046312502</v>
      </c>
      <c r="AI82" s="21">
        <f ca="1">SUMPRODUCT(OFFSET(doEff,0,0,4,1),OFFSET(INDEX(polEff_Res,1,31),0,0,4,1)) + INDEX(doEff,5)*(INDEX(eff0Pol_Res,5)+INDEX(pushPol_Res,4)) + 0</f>
        <v>3.1910690474591994</v>
      </c>
      <c r="AJ82" s="21">
        <f ca="1">SUMPRODUCT(OFFSET(doEff,0,0,4,1),OFFSET(INDEX(polEff_Res,1,32),0,0,4,1)) + INDEX(doEff,5)*(INDEX(eff0Pol_Res,5)+INDEX(pushPol_Res,4)) + 0</f>
        <v>3.1910679935625024</v>
      </c>
      <c r="AK82" s="21">
        <f ca="1">SUMPRODUCT(OFFSET(doEff,0,0,4,1),OFFSET(INDEX(polEff_Res,1,33),0,0,4,1)) + INDEX(doEff,5)*(INDEX(eff0Pol_Res,5)+INDEX(pushPol_Res,4)) + 0</f>
        <v>3.1910669426245106</v>
      </c>
      <c r="AL82" s="21">
        <f ca="1">SUMPRODUCT(OFFSET(doEff,0,0,4,1),OFFSET(INDEX(polEff_Res,1,34),0,0,4,1)) + INDEX(doEff,5)*(INDEX(eff0Pol_Res,5)+INDEX(pushPol_Res,4)) + 0</f>
        <v>3.1910658943471528</v>
      </c>
      <c r="AM82" s="21">
        <f ca="1">SUMPRODUCT(OFFSET(doEff,0,0,4,1),OFFSET(INDEX(polEff_Res,1,35),0,0,4,1)) + INDEX(doEff,5)*(INDEX(eff0Pol_Res,5)+INDEX(pushPol_Res,4)) + 0</f>
        <v>3.1910619950498829</v>
      </c>
      <c r="AN82" s="22">
        <f ca="1">SUMPRODUCT(OFFSET(doEff,0,0,4,1),OFFSET(INDEX(polEff_Res,1,36),0,0,4,1)) + INDEX(doEff,5)*(INDEX(eff0Pol_Res,5)+INDEX(pushPol_Res,4)) + 0</f>
        <v>3.1907508532423212</v>
      </c>
      <c r="AO82" s="8"/>
    </row>
    <row r="83" spans="2:41" hidden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</row>
    <row r="84" spans="2:41" hidden="1" x14ac:dyDescent="0.35">
      <c r="B84" s="8"/>
      <c r="C84" s="23" t="s">
        <v>100</v>
      </c>
      <c r="D84" s="24"/>
      <c r="E84" s="26">
        <f t="array" ref="E84:AN84">_yS</f>
        <v>2024</v>
      </c>
      <c r="F84" s="26">
        <v>2025</v>
      </c>
      <c r="G84" s="26">
        <v>2026</v>
      </c>
      <c r="H84" s="26">
        <v>2027</v>
      </c>
      <c r="I84" s="26">
        <v>2028</v>
      </c>
      <c r="J84" s="26">
        <v>2029</v>
      </c>
      <c r="K84" s="26">
        <v>2030</v>
      </c>
      <c r="L84" s="26">
        <v>2031</v>
      </c>
      <c r="M84" s="26">
        <v>2032</v>
      </c>
      <c r="N84" s="26">
        <v>2033</v>
      </c>
      <c r="O84" s="26">
        <v>2034</v>
      </c>
      <c r="P84" s="26">
        <v>2035</v>
      </c>
      <c r="Q84" s="26">
        <v>2036</v>
      </c>
      <c r="R84" s="26">
        <v>2037</v>
      </c>
      <c r="S84" s="26">
        <v>2038</v>
      </c>
      <c r="T84" s="26">
        <v>2039</v>
      </c>
      <c r="U84" s="26">
        <v>2040</v>
      </c>
      <c r="V84" s="26">
        <v>2041</v>
      </c>
      <c r="W84" s="26">
        <v>2042</v>
      </c>
      <c r="X84" s="26">
        <v>2043</v>
      </c>
      <c r="Y84" s="26">
        <v>2044</v>
      </c>
      <c r="Z84" s="26">
        <v>2045</v>
      </c>
      <c r="AA84" s="26">
        <v>2046</v>
      </c>
      <c r="AB84" s="26">
        <v>2047</v>
      </c>
      <c r="AC84" s="26">
        <v>2048</v>
      </c>
      <c r="AD84" s="26">
        <v>2049</v>
      </c>
      <c r="AE84" s="26">
        <v>2050</v>
      </c>
      <c r="AF84" s="26">
        <v>2051</v>
      </c>
      <c r="AG84" s="26">
        <v>2052</v>
      </c>
      <c r="AH84" s="26">
        <v>2053</v>
      </c>
      <c r="AI84" s="26">
        <v>2054</v>
      </c>
      <c r="AJ84" s="26">
        <v>2055</v>
      </c>
      <c r="AK84" s="26">
        <v>2056</v>
      </c>
      <c r="AL84" s="26">
        <v>2057</v>
      </c>
      <c r="AM84" s="26">
        <v>2058</v>
      </c>
      <c r="AN84" s="27">
        <v>2059</v>
      </c>
      <c r="AO84" s="8"/>
    </row>
    <row r="85" spans="2:41" hidden="1" x14ac:dyDescent="0.35">
      <c r="B85" s="8"/>
      <c r="C85" s="19" t="s">
        <v>89</v>
      </c>
      <c r="D85" s="11"/>
      <c r="E85" s="43">
        <f>0</f>
        <v>0</v>
      </c>
      <c r="F85" s="43">
        <f t="array" ref="F85:AN85">$E$85</f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0</v>
      </c>
      <c r="AA85" s="43">
        <v>0</v>
      </c>
      <c r="AB85" s="43">
        <v>0</v>
      </c>
      <c r="AC85" s="43">
        <v>0</v>
      </c>
      <c r="AD85" s="43">
        <v>0</v>
      </c>
      <c r="AE85" s="43">
        <v>0</v>
      </c>
      <c r="AF85" s="43">
        <v>0</v>
      </c>
      <c r="AG85" s="43">
        <v>0</v>
      </c>
      <c r="AH85" s="43">
        <v>0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4">
        <v>0</v>
      </c>
      <c r="AO85" s="8"/>
    </row>
    <row r="86" spans="2:41" hidden="1" x14ac:dyDescent="0.35">
      <c r="B86" s="8"/>
      <c r="C86" s="19" t="str">
        <f>"EL 0: " &amp; INDEX(_doName,3,1)</f>
        <v>EL 0: Baseline</v>
      </c>
      <c r="D86" s="11"/>
      <c r="E86" s="43"/>
      <c r="F86" s="43">
        <f>(INDEX(teffSumBC_Res,1,2)&lt;INDEX(effGoalBC_Res,2)) * MIN(INDEX(bcEff_Res,1,1),(INDEX(effGoalBC_Res,2)-INDEX(teffSumBC_Res,1,2))/(INDEX(doEff,2)-INDEX(doEff,1)))</f>
        <v>0</v>
      </c>
      <c r="G86" s="43">
        <f ca="1">(INDEX(teffSumBC_Res,1,3)&lt;INDEX(effGoalBC_Res,3)) * MIN(INDEX(bcEff_Res,1,2),(INDEX(effGoalBC_Res,3)-INDEX(teffSumBC_Res,1,3))/(INDEX(doEff,2)-INDEX(doEff,1)))</f>
        <v>0</v>
      </c>
      <c r="H86" s="43">
        <f ca="1">(INDEX(teffSumBC_Res,1,4)&lt;INDEX(effGoalBC_Res,4)) * MIN(INDEX(bcEff_Res,1,3),(INDEX(effGoalBC_Res,4)-INDEX(teffSumBC_Res,1,4))/(INDEX(doEff,2)-INDEX(doEff,1)))</f>
        <v>0</v>
      </c>
      <c r="I86" s="43">
        <f ca="1">(INDEX(teffSumBC_Res,1,5)&lt;INDEX(effGoalBC_Res,5)) * MIN(INDEX(bcEff_Res,1,4),(INDEX(effGoalBC_Res,5)-INDEX(teffSumBC_Res,1,5))/(INDEX(doEff,2)-INDEX(doEff,1)))</f>
        <v>0</v>
      </c>
      <c r="J86" s="43">
        <f ca="1">(INDEX(teffSumBC_Res,1,6)&lt;INDEX(effGoalBC_Res,6)) * MIN(INDEX(bcEff_Res,1,5),(INDEX(effGoalBC_Res,6)-INDEX(teffSumBC_Res,1,6))/(INDEX(doEff,2)-INDEX(doEff,1)))</f>
        <v>0</v>
      </c>
      <c r="K86" s="43">
        <f ca="1">(INDEX(teffSumBC_Res,1,7)&lt;INDEX(effGoalBC_Res,7)) * MIN(INDEX(bcEff_Res,1,6),(INDEX(effGoalBC_Res,7)-INDEX(teffSumBC_Res,1,7))/(INDEX(doEff,2)-INDEX(doEff,1)))</f>
        <v>0</v>
      </c>
      <c r="L86" s="43">
        <f ca="1">(INDEX(teffSumBC_Res,1,8)&lt;INDEX(effGoalBC_Res,8)) * MIN(INDEX(bcEff_Res,1,7),(INDEX(effGoalBC_Res,8)-INDEX(teffSumBC_Res,1,8))/(INDEX(doEff,2)-INDEX(doEff,1)))</f>
        <v>0</v>
      </c>
      <c r="M86" s="43">
        <f ca="1">(INDEX(teffSumBC_Res,1,9)&lt;INDEX(effGoalBC_Res,9)) * MIN(INDEX(bcEff_Res,1,8),(INDEX(effGoalBC_Res,9)-INDEX(teffSumBC_Res,1,9))/(INDEX(doEff,2)-INDEX(doEff,1)))</f>
        <v>0</v>
      </c>
      <c r="N86" s="43">
        <f ca="1">(INDEX(teffSumBC_Res,1,10)&lt;INDEX(effGoalBC_Res,10)) * MIN(INDEX(bcEff_Res,1,9),(INDEX(effGoalBC_Res,10)-INDEX(teffSumBC_Res,1,10))/(INDEX(doEff,2)-INDEX(doEff,1)))</f>
        <v>0</v>
      </c>
      <c r="O86" s="43">
        <f ca="1">(INDEX(teffSumBC_Res,1,11)&lt;INDEX(effGoalBC_Res,11)) * MIN(INDEX(bcEff_Res,1,10),(INDEX(effGoalBC_Res,11)-INDEX(teffSumBC_Res,1,11))/(INDEX(doEff,2)-INDEX(doEff,1)))</f>
        <v>0</v>
      </c>
      <c r="P86" s="43">
        <f ca="1">(INDEX(teffSumBC_Res,1,12)&lt;INDEX(effGoalBC_Res,12)) * MIN(INDEX(bcEff_Res,1,11),(INDEX(effGoalBC_Res,12)-INDEX(teffSumBC_Res,1,12))/(INDEX(doEff,2)-INDEX(doEff,1)))</f>
        <v>0</v>
      </c>
      <c r="Q86" s="43">
        <f ca="1">(INDEX(teffSumBC_Res,1,13)&lt;INDEX(effGoalBC_Res,13)) * MIN(INDEX(bcEff_Res,1,12),(INDEX(effGoalBC_Res,13)-INDEX(teffSumBC_Res,1,13))/(INDEX(doEff,2)-INDEX(doEff,1)))</f>
        <v>0</v>
      </c>
      <c r="R86" s="43">
        <f ca="1">(INDEX(teffSumBC_Res,1,14)&lt;INDEX(effGoalBC_Res,14)) * MIN(INDEX(bcEff_Res,1,13),(INDEX(effGoalBC_Res,14)-INDEX(teffSumBC_Res,1,14))/(INDEX(doEff,2)-INDEX(doEff,1)))</f>
        <v>0</v>
      </c>
      <c r="S86" s="43">
        <f ca="1">(INDEX(teffSumBC_Res,1,15)&lt;INDEX(effGoalBC_Res,15)) * MIN(INDEX(bcEff_Res,1,14),(INDEX(effGoalBC_Res,15)-INDEX(teffSumBC_Res,1,15))/(INDEX(doEff,2)-INDEX(doEff,1)))</f>
        <v>0</v>
      </c>
      <c r="T86" s="43">
        <f ca="1">(INDEX(teffSumBC_Res,1,16)&lt;INDEX(effGoalBC_Res,16)) * MIN(INDEX(bcEff_Res,1,15),(INDEX(effGoalBC_Res,16)-INDEX(teffSumBC_Res,1,16))/(INDEX(doEff,2)-INDEX(doEff,1)))</f>
        <v>0</v>
      </c>
      <c r="U86" s="43">
        <f ca="1">(INDEX(teffSumBC_Res,1,17)&lt;INDEX(effGoalBC_Res,17)) * MIN(INDEX(bcEff_Res,1,16),(INDEX(effGoalBC_Res,17)-INDEX(teffSumBC_Res,1,17))/(INDEX(doEff,2)-INDEX(doEff,1)))</f>
        <v>0</v>
      </c>
      <c r="V86" s="43">
        <f ca="1">(INDEX(teffSumBC_Res,1,18)&lt;INDEX(effGoalBC_Res,18)) * MIN(INDEX(bcEff_Res,1,17),(INDEX(effGoalBC_Res,18)-INDEX(teffSumBC_Res,1,18))/(INDEX(doEff,2)-INDEX(doEff,1)))</f>
        <v>0</v>
      </c>
      <c r="W86" s="43">
        <f ca="1">(INDEX(teffSumBC_Res,1,19)&lt;INDEX(effGoalBC_Res,19)) * MIN(INDEX(bcEff_Res,1,18),(INDEX(effGoalBC_Res,19)-INDEX(teffSumBC_Res,1,19))/(INDEX(doEff,2)-INDEX(doEff,1)))</f>
        <v>0</v>
      </c>
      <c r="X86" s="43">
        <f ca="1">(INDEX(teffSumBC_Res,1,20)&lt;INDEX(effGoalBC_Res,20)) * MIN(INDEX(bcEff_Res,1,19),(INDEX(effGoalBC_Res,20)-INDEX(teffSumBC_Res,1,20))/(INDEX(doEff,2)-INDEX(doEff,1)))</f>
        <v>0</v>
      </c>
      <c r="Y86" s="43">
        <f ca="1">(INDEX(teffSumBC_Res,1,21)&lt;INDEX(effGoalBC_Res,21)) * MIN(INDEX(bcEff_Res,1,20),(INDEX(effGoalBC_Res,21)-INDEX(teffSumBC_Res,1,21))/(INDEX(doEff,2)-INDEX(doEff,1)))</f>
        <v>0</v>
      </c>
      <c r="Z86" s="43">
        <f ca="1">(INDEX(teffSumBC_Res,1,22)&lt;INDEX(effGoalBC_Res,22)) * MIN(INDEX(bcEff_Res,1,21),(INDEX(effGoalBC_Res,22)-INDEX(teffSumBC_Res,1,22))/(INDEX(doEff,2)-INDEX(doEff,1)))</f>
        <v>0</v>
      </c>
      <c r="AA86" s="43">
        <f ca="1">(INDEX(teffSumBC_Res,1,23)&lt;INDEX(effGoalBC_Res,23)) * MIN(INDEX(bcEff_Res,1,22),(INDEX(effGoalBC_Res,23)-INDEX(teffSumBC_Res,1,23))/(INDEX(doEff,2)-INDEX(doEff,1)))</f>
        <v>0</v>
      </c>
      <c r="AB86" s="43">
        <f ca="1">(INDEX(teffSumBC_Res,1,24)&lt;INDEX(effGoalBC_Res,24)) * MIN(INDEX(bcEff_Res,1,23),(INDEX(effGoalBC_Res,24)-INDEX(teffSumBC_Res,1,24))/(INDEX(doEff,2)-INDEX(doEff,1)))</f>
        <v>0</v>
      </c>
      <c r="AC86" s="43">
        <f ca="1">(INDEX(teffSumBC_Res,1,25)&lt;INDEX(effGoalBC_Res,25)) * MIN(INDEX(bcEff_Res,1,24),(INDEX(effGoalBC_Res,25)-INDEX(teffSumBC_Res,1,25))/(INDEX(doEff,2)-INDEX(doEff,1)))</f>
        <v>0</v>
      </c>
      <c r="AD86" s="43">
        <f ca="1">(INDEX(teffSumBC_Res,1,26)&lt;INDEX(effGoalBC_Res,26)) * MIN(INDEX(bcEff_Res,1,25),(INDEX(effGoalBC_Res,26)-INDEX(teffSumBC_Res,1,26))/(INDEX(doEff,2)-INDEX(doEff,1)))</f>
        <v>0</v>
      </c>
      <c r="AE86" s="43">
        <f ca="1">(INDEX(teffSumBC_Res,1,27)&lt;INDEX(effGoalBC_Res,27)) * MIN(INDEX(bcEff_Res,1,26),(INDEX(effGoalBC_Res,27)-INDEX(teffSumBC_Res,1,27))/(INDEX(doEff,2)-INDEX(doEff,1)))</f>
        <v>0</v>
      </c>
      <c r="AF86" s="43">
        <f ca="1">(INDEX(teffSumBC_Res,1,28)&lt;INDEX(effGoalBC_Res,28)) * MIN(INDEX(bcEff_Res,1,27),(INDEX(effGoalBC_Res,28)-INDEX(teffSumBC_Res,1,28))/(INDEX(doEff,2)-INDEX(doEff,1)))</f>
        <v>0</v>
      </c>
      <c r="AG86" s="43">
        <f ca="1">(INDEX(teffSumBC_Res,1,29)&lt;INDEX(effGoalBC_Res,29)) * MIN(INDEX(bcEff_Res,1,28),(INDEX(effGoalBC_Res,29)-INDEX(teffSumBC_Res,1,29))/(INDEX(doEff,2)-INDEX(doEff,1)))</f>
        <v>0</v>
      </c>
      <c r="AH86" s="43">
        <f ca="1">(INDEX(teffSumBC_Res,1,30)&lt;INDEX(effGoalBC_Res,30)) * MIN(INDEX(bcEff_Res,1,29),(INDEX(effGoalBC_Res,30)-INDEX(teffSumBC_Res,1,30))/(INDEX(doEff,2)-INDEX(doEff,1)))</f>
        <v>0</v>
      </c>
      <c r="AI86" s="43">
        <f ca="1">(INDEX(teffSumBC_Res,1,31)&lt;INDEX(effGoalBC_Res,31)) * MIN(INDEX(bcEff_Res,1,30),(INDEX(effGoalBC_Res,31)-INDEX(teffSumBC_Res,1,31))/(INDEX(doEff,2)-INDEX(doEff,1)))</f>
        <v>0</v>
      </c>
      <c r="AJ86" s="43">
        <f ca="1">(INDEX(teffSumBC_Res,1,32)&lt;INDEX(effGoalBC_Res,32)) * MIN(INDEX(bcEff_Res,1,31),(INDEX(effGoalBC_Res,32)-INDEX(teffSumBC_Res,1,32))/(INDEX(doEff,2)-INDEX(doEff,1)))</f>
        <v>0</v>
      </c>
      <c r="AK86" s="43">
        <f ca="1">(INDEX(teffSumBC_Res,1,33)&lt;INDEX(effGoalBC_Res,33)) * MIN(INDEX(bcEff_Res,1,32),(INDEX(effGoalBC_Res,33)-INDEX(teffSumBC_Res,1,33))/(INDEX(doEff,2)-INDEX(doEff,1)))</f>
        <v>0</v>
      </c>
      <c r="AL86" s="43">
        <f ca="1">(INDEX(teffSumBC_Res,1,34)&lt;INDEX(effGoalBC_Res,34)) * MIN(INDEX(bcEff_Res,1,33),(INDEX(effGoalBC_Res,34)-INDEX(teffSumBC_Res,1,34))/(INDEX(doEff,2)-INDEX(doEff,1)))</f>
        <v>0</v>
      </c>
      <c r="AM86" s="43">
        <f ca="1">(INDEX(teffSumBC_Res,1,35)&lt;INDEX(effGoalBC_Res,35)) * MIN(INDEX(bcEff_Res,1,34),(INDEX(effGoalBC_Res,35)-INDEX(teffSumBC_Res,1,35))/(INDEX(doEff,2)-INDEX(doEff,1)))</f>
        <v>0</v>
      </c>
      <c r="AN86" s="44">
        <f ca="1">(INDEX(teffSumBC_Res,1,36)&lt;INDEX(effGoalBC_Res,36)) * MIN(INDEX(bcEff_Res,1,35),(INDEX(effGoalBC_Res,36)-INDEX(teffSumBC_Res,1,36))/(INDEX(doEff,2)-INDEX(doEff,1)))</f>
        <v>0</v>
      </c>
      <c r="AO86" s="8"/>
    </row>
    <row r="87" spans="2:41" hidden="1" x14ac:dyDescent="0.35">
      <c r="B87" s="8"/>
      <c r="C87" s="19" t="str">
        <f>"EL 1: " &amp; INDEX(_doName,3,2)</f>
        <v>EL 1: Tier 1</v>
      </c>
      <c r="D87" s="11"/>
      <c r="E87" s="43"/>
      <c r="F87" s="43">
        <f ca="1">(INDEX(teffSumBC_Res,2,2)&lt;INDEX(effGoalBC_Res,2)) * MIN(INDEX(bcEff_Res,2,1)+INDEX(pushBC_Res,1),(INDEX(effGoalBC_Res,2)-INDEX(teffSumBC_Res,2,2))/(INDEX(doEff,3)-INDEX(doEff,2)))</f>
        <v>0</v>
      </c>
      <c r="G87" s="43">
        <f ca="1">(INDEX(teffSumBC_Res,2,3)&lt;INDEX(effGoalBC_Res,3)) * MIN(INDEX(bcEff_Res,2,2)+INDEX(pushBC_Res,1),(INDEX(effGoalBC_Res,3)-INDEX(teffSumBC_Res,2,3))/(INDEX(doEff,3)-INDEX(doEff,2)))</f>
        <v>0</v>
      </c>
      <c r="H87" s="43">
        <f ca="1">(INDEX(teffSumBC_Res,2,4)&lt;INDEX(effGoalBC_Res,4)) * MIN(INDEX(bcEff_Res,2,3)+INDEX(pushBC_Res,1),(INDEX(effGoalBC_Res,4)-INDEX(teffSumBC_Res,2,4))/(INDEX(doEff,3)-INDEX(doEff,2)))</f>
        <v>0</v>
      </c>
      <c r="I87" s="43">
        <f ca="1">(INDEX(teffSumBC_Res,2,5)&lt;INDEX(effGoalBC_Res,5)) * MIN(INDEX(bcEff_Res,2,4)+INDEX(pushBC_Res,1),(INDEX(effGoalBC_Res,5)-INDEX(teffSumBC_Res,2,5))/(INDEX(doEff,3)-INDEX(doEff,2)))</f>
        <v>0</v>
      </c>
      <c r="J87" s="43">
        <f ca="1">(INDEX(teffSumBC_Res,2,6)&lt;INDEX(effGoalBC_Res,6)) * MIN(INDEX(bcEff_Res,2,5)+INDEX(pushBC_Res,1),(INDEX(effGoalBC_Res,6)-INDEX(teffSumBC_Res,2,6))/(INDEX(doEff,3)-INDEX(doEff,2)))</f>
        <v>0</v>
      </c>
      <c r="K87" s="43">
        <f ca="1">(INDEX(teffSumBC_Res,2,7)&lt;INDEX(effGoalBC_Res,7)) * MIN(INDEX(bcEff_Res,2,6)+INDEX(pushBC_Res,1),(INDEX(effGoalBC_Res,7)-INDEX(teffSumBC_Res,2,7))/(INDEX(doEff,3)-INDEX(doEff,2)))</f>
        <v>0</v>
      </c>
      <c r="L87" s="43">
        <f ca="1">(INDEX(teffSumBC_Res,2,8)&lt;INDEX(effGoalBC_Res,8)) * MIN(INDEX(bcEff_Res,2,7)+INDEX(pushBC_Res,1),(INDEX(effGoalBC_Res,8)-INDEX(teffSumBC_Res,2,8))/(INDEX(doEff,3)-INDEX(doEff,2)))</f>
        <v>0</v>
      </c>
      <c r="M87" s="43">
        <f ca="1">(INDEX(teffSumBC_Res,2,9)&lt;INDEX(effGoalBC_Res,9)) * MIN(INDEX(bcEff_Res,2,8)+INDEX(pushBC_Res,1),(INDEX(effGoalBC_Res,9)-INDEX(teffSumBC_Res,2,9))/(INDEX(doEff,3)-INDEX(doEff,2)))</f>
        <v>0</v>
      </c>
      <c r="N87" s="43">
        <f ca="1">(INDEX(teffSumBC_Res,2,10)&lt;INDEX(effGoalBC_Res,10)) * MIN(INDEX(bcEff_Res,2,9)+INDEX(pushBC_Res,1),(INDEX(effGoalBC_Res,10)-INDEX(teffSumBC_Res,2,10))/(INDEX(doEff,3)-INDEX(doEff,2)))</f>
        <v>0</v>
      </c>
      <c r="O87" s="43">
        <f ca="1">(INDEX(teffSumBC_Res,2,11)&lt;INDEX(effGoalBC_Res,11)) * MIN(INDEX(bcEff_Res,2,10)+INDEX(pushBC_Res,1),(INDEX(effGoalBC_Res,11)-INDEX(teffSumBC_Res,2,11))/(INDEX(doEff,3)-INDEX(doEff,2)))</f>
        <v>0</v>
      </c>
      <c r="P87" s="43">
        <f ca="1">(INDEX(teffSumBC_Res,2,12)&lt;INDEX(effGoalBC_Res,12)) * MIN(INDEX(bcEff_Res,2,11)+INDEX(pushBC_Res,1),(INDEX(effGoalBC_Res,12)-INDEX(teffSumBC_Res,2,12))/(INDEX(doEff,3)-INDEX(doEff,2)))</f>
        <v>0</v>
      </c>
      <c r="Q87" s="43">
        <f ca="1">(INDEX(teffSumBC_Res,2,13)&lt;INDEX(effGoalBC_Res,13)) * MIN(INDEX(bcEff_Res,2,12)+INDEX(pushBC_Res,1),(INDEX(effGoalBC_Res,13)-INDEX(teffSumBC_Res,2,13))/(INDEX(doEff,3)-INDEX(doEff,2)))</f>
        <v>0</v>
      </c>
      <c r="R87" s="43">
        <f ca="1">(INDEX(teffSumBC_Res,2,14)&lt;INDEX(effGoalBC_Res,14)) * MIN(INDEX(bcEff_Res,2,13)+INDEX(pushBC_Res,1),(INDEX(effGoalBC_Res,14)-INDEX(teffSumBC_Res,2,14))/(INDEX(doEff,3)-INDEX(doEff,2)))</f>
        <v>0</v>
      </c>
      <c r="S87" s="43">
        <f ca="1">(INDEX(teffSumBC_Res,2,15)&lt;INDEX(effGoalBC_Res,15)) * MIN(INDEX(bcEff_Res,2,14)+INDEX(pushBC_Res,1),(INDEX(effGoalBC_Res,15)-INDEX(teffSumBC_Res,2,15))/(INDEX(doEff,3)-INDEX(doEff,2)))</f>
        <v>0</v>
      </c>
      <c r="T87" s="43">
        <f ca="1">(INDEX(teffSumBC_Res,2,16)&lt;INDEX(effGoalBC_Res,16)) * MIN(INDEX(bcEff_Res,2,15)+INDEX(pushBC_Res,1),(INDEX(effGoalBC_Res,16)-INDEX(teffSumBC_Res,2,16))/(INDEX(doEff,3)-INDEX(doEff,2)))</f>
        <v>0</v>
      </c>
      <c r="U87" s="43">
        <f ca="1">(INDEX(teffSumBC_Res,2,17)&lt;INDEX(effGoalBC_Res,17)) * MIN(INDEX(bcEff_Res,2,16)+INDEX(pushBC_Res,1),(INDEX(effGoalBC_Res,17)-INDEX(teffSumBC_Res,2,17))/(INDEX(doEff,3)-INDEX(doEff,2)))</f>
        <v>0</v>
      </c>
      <c r="V87" s="43">
        <f ca="1">(INDEX(teffSumBC_Res,2,18)&lt;INDEX(effGoalBC_Res,18)) * MIN(INDEX(bcEff_Res,2,17)+INDEX(pushBC_Res,1),(INDEX(effGoalBC_Res,18)-INDEX(teffSumBC_Res,2,18))/(INDEX(doEff,3)-INDEX(doEff,2)))</f>
        <v>0</v>
      </c>
      <c r="W87" s="43">
        <f ca="1">(INDEX(teffSumBC_Res,2,19)&lt;INDEX(effGoalBC_Res,19)) * MIN(INDEX(bcEff_Res,2,18)+INDEX(pushBC_Res,1),(INDEX(effGoalBC_Res,19)-INDEX(teffSumBC_Res,2,19))/(INDEX(doEff,3)-INDEX(doEff,2)))</f>
        <v>0</v>
      </c>
      <c r="X87" s="43">
        <f ca="1">(INDEX(teffSumBC_Res,2,20)&lt;INDEX(effGoalBC_Res,20)) * MIN(INDEX(bcEff_Res,2,19)+INDEX(pushBC_Res,1),(INDEX(effGoalBC_Res,20)-INDEX(teffSumBC_Res,2,20))/(INDEX(doEff,3)-INDEX(doEff,2)))</f>
        <v>0</v>
      </c>
      <c r="Y87" s="43">
        <f ca="1">(INDEX(teffSumBC_Res,2,21)&lt;INDEX(effGoalBC_Res,21)) * MIN(INDEX(bcEff_Res,2,20)+INDEX(pushBC_Res,1),(INDEX(effGoalBC_Res,21)-INDEX(teffSumBC_Res,2,21))/(INDEX(doEff,3)-INDEX(doEff,2)))</f>
        <v>0</v>
      </c>
      <c r="Z87" s="43">
        <f ca="1">(INDEX(teffSumBC_Res,2,22)&lt;INDEX(effGoalBC_Res,22)) * MIN(INDEX(bcEff_Res,2,21)+INDEX(pushBC_Res,1),(INDEX(effGoalBC_Res,22)-INDEX(teffSumBC_Res,2,22))/(INDEX(doEff,3)-INDEX(doEff,2)))</f>
        <v>0</v>
      </c>
      <c r="AA87" s="43">
        <f ca="1">(INDEX(teffSumBC_Res,2,23)&lt;INDEX(effGoalBC_Res,23)) * MIN(INDEX(bcEff_Res,2,22)+INDEX(pushBC_Res,1),(INDEX(effGoalBC_Res,23)-INDEX(teffSumBC_Res,2,23))/(INDEX(doEff,3)-INDEX(doEff,2)))</f>
        <v>0</v>
      </c>
      <c r="AB87" s="43">
        <f ca="1">(INDEX(teffSumBC_Res,2,24)&lt;INDEX(effGoalBC_Res,24)) * MIN(INDEX(bcEff_Res,2,23)+INDEX(pushBC_Res,1),(INDEX(effGoalBC_Res,24)-INDEX(teffSumBC_Res,2,24))/(INDEX(doEff,3)-INDEX(doEff,2)))</f>
        <v>0</v>
      </c>
      <c r="AC87" s="43">
        <f ca="1">(INDEX(teffSumBC_Res,2,25)&lt;INDEX(effGoalBC_Res,25)) * MIN(INDEX(bcEff_Res,2,24)+INDEX(pushBC_Res,1),(INDEX(effGoalBC_Res,25)-INDEX(teffSumBC_Res,2,25))/(INDEX(doEff,3)-INDEX(doEff,2)))</f>
        <v>0</v>
      </c>
      <c r="AD87" s="43">
        <f ca="1">(INDEX(teffSumBC_Res,2,26)&lt;INDEX(effGoalBC_Res,26)) * MIN(INDEX(bcEff_Res,2,25)+INDEX(pushBC_Res,1),(INDEX(effGoalBC_Res,26)-INDEX(teffSumBC_Res,2,26))/(INDEX(doEff,3)-INDEX(doEff,2)))</f>
        <v>0</v>
      </c>
      <c r="AE87" s="43">
        <f ca="1">(INDEX(teffSumBC_Res,2,27)&lt;INDEX(effGoalBC_Res,27)) * MIN(INDEX(bcEff_Res,2,26)+INDEX(pushBC_Res,1),(INDEX(effGoalBC_Res,27)-INDEX(teffSumBC_Res,2,27))/(INDEX(doEff,3)-INDEX(doEff,2)))</f>
        <v>0</v>
      </c>
      <c r="AF87" s="43">
        <f ca="1">(INDEX(teffSumBC_Res,2,28)&lt;INDEX(effGoalBC_Res,28)) * MIN(INDEX(bcEff_Res,2,27)+INDEX(pushBC_Res,1),(INDEX(effGoalBC_Res,28)-INDEX(teffSumBC_Res,2,28))/(INDEX(doEff,3)-INDEX(doEff,2)))</f>
        <v>0</v>
      </c>
      <c r="AG87" s="43">
        <f ca="1">(INDEX(teffSumBC_Res,2,29)&lt;INDEX(effGoalBC_Res,29)) * MIN(INDEX(bcEff_Res,2,28)+INDEX(pushBC_Res,1),(INDEX(effGoalBC_Res,29)-INDEX(teffSumBC_Res,2,29))/(INDEX(doEff,3)-INDEX(doEff,2)))</f>
        <v>0</v>
      </c>
      <c r="AH87" s="43">
        <f ca="1">(INDEX(teffSumBC_Res,2,30)&lt;INDEX(effGoalBC_Res,30)) * MIN(INDEX(bcEff_Res,2,29)+INDEX(pushBC_Res,1),(INDEX(effGoalBC_Res,30)-INDEX(teffSumBC_Res,2,30))/(INDEX(doEff,3)-INDEX(doEff,2)))</f>
        <v>0</v>
      </c>
      <c r="AI87" s="43">
        <f ca="1">(INDEX(teffSumBC_Res,2,31)&lt;INDEX(effGoalBC_Res,31)) * MIN(INDEX(bcEff_Res,2,30)+INDEX(pushBC_Res,1),(INDEX(effGoalBC_Res,31)-INDEX(teffSumBC_Res,2,31))/(INDEX(doEff,3)-INDEX(doEff,2)))</f>
        <v>0</v>
      </c>
      <c r="AJ87" s="43">
        <f ca="1">(INDEX(teffSumBC_Res,2,32)&lt;INDEX(effGoalBC_Res,32)) * MIN(INDEX(bcEff_Res,2,31)+INDEX(pushBC_Res,1),(INDEX(effGoalBC_Res,32)-INDEX(teffSumBC_Res,2,32))/(INDEX(doEff,3)-INDEX(doEff,2)))</f>
        <v>0</v>
      </c>
      <c r="AK87" s="43">
        <f ca="1">(INDEX(teffSumBC_Res,2,33)&lt;INDEX(effGoalBC_Res,33)) * MIN(INDEX(bcEff_Res,2,32)+INDEX(pushBC_Res,1),(INDEX(effGoalBC_Res,33)-INDEX(teffSumBC_Res,2,33))/(INDEX(doEff,3)-INDEX(doEff,2)))</f>
        <v>0</v>
      </c>
      <c r="AL87" s="43">
        <f ca="1">(INDEX(teffSumBC_Res,2,34)&lt;INDEX(effGoalBC_Res,34)) * MIN(INDEX(bcEff_Res,2,33)+INDEX(pushBC_Res,1),(INDEX(effGoalBC_Res,34)-INDEX(teffSumBC_Res,2,34))/(INDEX(doEff,3)-INDEX(doEff,2)))</f>
        <v>0</v>
      </c>
      <c r="AM87" s="43">
        <f ca="1">(INDEX(teffSumBC_Res,2,35)&lt;INDEX(effGoalBC_Res,35)) * MIN(INDEX(bcEff_Res,2,34)+INDEX(pushBC_Res,1),(INDEX(effGoalBC_Res,35)-INDEX(teffSumBC_Res,2,35))/(INDEX(doEff,3)-INDEX(doEff,2)))</f>
        <v>0</v>
      </c>
      <c r="AN87" s="44">
        <f ca="1">(INDEX(teffSumBC_Res,2,36)&lt;INDEX(effGoalBC_Res,36)) * MIN(INDEX(bcEff_Res,2,35)+INDEX(pushBC_Res,1),(INDEX(effGoalBC_Res,36)-INDEX(teffSumBC_Res,2,36))/(INDEX(doEff,3)-INDEX(doEff,2)))</f>
        <v>0</v>
      </c>
      <c r="AO87" s="8"/>
    </row>
    <row r="88" spans="2:41" hidden="1" x14ac:dyDescent="0.35">
      <c r="B88" s="8"/>
      <c r="C88" s="19" t="str">
        <f>"EL 2: " &amp; INDEX(_doName,3,3)</f>
        <v>EL 2: Tier 2</v>
      </c>
      <c r="D88" s="11"/>
      <c r="E88" s="43"/>
      <c r="F88" s="43">
        <f ca="1">(INDEX(teffSumBC_Res,3,2)&lt;INDEX(effGoalBC_Res,2)) * MIN(INDEX(bcEff_Res,3,1)+INDEX(pushBC_Res,2),(INDEX(effGoalBC_Res,2)-INDEX(teffSumBC_Res,3,2))/(INDEX(doEff,4)-INDEX(doEff,3)))</f>
        <v>0</v>
      </c>
      <c r="G88" s="43">
        <f ca="1">(INDEX(teffSumBC_Res,3,3)&lt;INDEX(effGoalBC_Res,3)) * MIN(INDEX(bcEff_Res,3,2)+INDEX(pushBC_Res,2),(INDEX(effGoalBC_Res,3)-INDEX(teffSumBC_Res,3,3))/(INDEX(doEff,4)-INDEX(doEff,3)))</f>
        <v>0</v>
      </c>
      <c r="H88" s="43">
        <f ca="1">(INDEX(teffSumBC_Res,3,4)&lt;INDEX(effGoalBC_Res,4)) * MIN(INDEX(bcEff_Res,3,3)+INDEX(pushBC_Res,2),(INDEX(effGoalBC_Res,4)-INDEX(teffSumBC_Res,3,4))/(INDEX(doEff,4)-INDEX(doEff,3)))</f>
        <v>0</v>
      </c>
      <c r="I88" s="43">
        <f ca="1">(INDEX(teffSumBC_Res,3,5)&lt;INDEX(effGoalBC_Res,5)) * MIN(INDEX(bcEff_Res,3,4)+INDEX(pushBC_Res,2),(INDEX(effGoalBC_Res,5)-INDEX(teffSumBC_Res,3,5))/(INDEX(doEff,4)-INDEX(doEff,3)))</f>
        <v>0</v>
      </c>
      <c r="J88" s="43">
        <f ca="1">(INDEX(teffSumBC_Res,3,6)&lt;INDEX(effGoalBC_Res,6)) * MIN(INDEX(bcEff_Res,3,5)+INDEX(pushBC_Res,2),(INDEX(effGoalBC_Res,6)-INDEX(teffSumBC_Res,3,6))/(INDEX(doEff,4)-INDEX(doEff,3)))</f>
        <v>0</v>
      </c>
      <c r="K88" s="43">
        <f ca="1">(INDEX(teffSumBC_Res,3,7)&lt;INDEX(effGoalBC_Res,7)) * MIN(INDEX(bcEff_Res,3,6)+INDEX(pushBC_Res,2),(INDEX(effGoalBC_Res,7)-INDEX(teffSumBC_Res,3,7))/(INDEX(doEff,4)-INDEX(doEff,3)))</f>
        <v>0</v>
      </c>
      <c r="L88" s="43">
        <f ca="1">(INDEX(teffSumBC_Res,3,8)&lt;INDEX(effGoalBC_Res,8)) * MIN(INDEX(bcEff_Res,3,7)+INDEX(pushBC_Res,2),(INDEX(effGoalBC_Res,8)-INDEX(teffSumBC_Res,3,8))/(INDEX(doEff,4)-INDEX(doEff,3)))</f>
        <v>0</v>
      </c>
      <c r="M88" s="43">
        <f ca="1">(INDEX(teffSumBC_Res,3,9)&lt;INDEX(effGoalBC_Res,9)) * MIN(INDEX(bcEff_Res,3,8)+INDEX(pushBC_Res,2),(INDEX(effGoalBC_Res,9)-INDEX(teffSumBC_Res,3,9))/(INDEX(doEff,4)-INDEX(doEff,3)))</f>
        <v>0</v>
      </c>
      <c r="N88" s="43">
        <f ca="1">(INDEX(teffSumBC_Res,3,10)&lt;INDEX(effGoalBC_Res,10)) * MIN(INDEX(bcEff_Res,3,9)+INDEX(pushBC_Res,2),(INDEX(effGoalBC_Res,10)-INDEX(teffSumBC_Res,3,10))/(INDEX(doEff,4)-INDEX(doEff,3)))</f>
        <v>0</v>
      </c>
      <c r="O88" s="43">
        <f ca="1">(INDEX(teffSumBC_Res,3,11)&lt;INDEX(effGoalBC_Res,11)) * MIN(INDEX(bcEff_Res,3,10)+INDEX(pushBC_Res,2),(INDEX(effGoalBC_Res,11)-INDEX(teffSumBC_Res,3,11))/(INDEX(doEff,4)-INDEX(doEff,3)))</f>
        <v>0</v>
      </c>
      <c r="P88" s="43">
        <f ca="1">(INDEX(teffSumBC_Res,3,12)&lt;INDEX(effGoalBC_Res,12)) * MIN(INDEX(bcEff_Res,3,11)+INDEX(pushBC_Res,2),(INDEX(effGoalBC_Res,12)-INDEX(teffSumBC_Res,3,12))/(INDEX(doEff,4)-INDEX(doEff,3)))</f>
        <v>0</v>
      </c>
      <c r="Q88" s="43">
        <f ca="1">(INDEX(teffSumBC_Res,3,13)&lt;INDEX(effGoalBC_Res,13)) * MIN(INDEX(bcEff_Res,3,12)+INDEX(pushBC_Res,2),(INDEX(effGoalBC_Res,13)-INDEX(teffSumBC_Res,3,13))/(INDEX(doEff,4)-INDEX(doEff,3)))</f>
        <v>0</v>
      </c>
      <c r="R88" s="43">
        <f ca="1">(INDEX(teffSumBC_Res,3,14)&lt;INDEX(effGoalBC_Res,14)) * MIN(INDEX(bcEff_Res,3,13)+INDEX(pushBC_Res,2),(INDEX(effGoalBC_Res,14)-INDEX(teffSumBC_Res,3,14))/(INDEX(doEff,4)-INDEX(doEff,3)))</f>
        <v>0</v>
      </c>
      <c r="S88" s="43">
        <f ca="1">(INDEX(teffSumBC_Res,3,15)&lt;INDEX(effGoalBC_Res,15)) * MIN(INDEX(bcEff_Res,3,14)+INDEX(pushBC_Res,2),(INDEX(effGoalBC_Res,15)-INDEX(teffSumBC_Res,3,15))/(INDEX(doEff,4)-INDEX(doEff,3)))</f>
        <v>0</v>
      </c>
      <c r="T88" s="43">
        <f ca="1">(INDEX(teffSumBC_Res,3,16)&lt;INDEX(effGoalBC_Res,16)) * MIN(INDEX(bcEff_Res,3,15)+INDEX(pushBC_Res,2),(INDEX(effGoalBC_Res,16)-INDEX(teffSumBC_Res,3,16))/(INDEX(doEff,4)-INDEX(doEff,3)))</f>
        <v>0</v>
      </c>
      <c r="U88" s="43">
        <f ca="1">(INDEX(teffSumBC_Res,3,17)&lt;INDEX(effGoalBC_Res,17)) * MIN(INDEX(bcEff_Res,3,16)+INDEX(pushBC_Res,2),(INDEX(effGoalBC_Res,17)-INDEX(teffSumBC_Res,3,17))/(INDEX(doEff,4)-INDEX(doEff,3)))</f>
        <v>0</v>
      </c>
      <c r="V88" s="43">
        <f ca="1">(INDEX(teffSumBC_Res,3,18)&lt;INDEX(effGoalBC_Res,18)) * MIN(INDEX(bcEff_Res,3,17)+INDEX(pushBC_Res,2),(INDEX(effGoalBC_Res,18)-INDEX(teffSumBC_Res,3,18))/(INDEX(doEff,4)-INDEX(doEff,3)))</f>
        <v>0</v>
      </c>
      <c r="W88" s="43">
        <f ca="1">(INDEX(teffSumBC_Res,3,19)&lt;INDEX(effGoalBC_Res,19)) * MIN(INDEX(bcEff_Res,3,18)+INDEX(pushBC_Res,2),(INDEX(effGoalBC_Res,19)-INDEX(teffSumBC_Res,3,19))/(INDEX(doEff,4)-INDEX(doEff,3)))</f>
        <v>0</v>
      </c>
      <c r="X88" s="43">
        <f ca="1">(INDEX(teffSumBC_Res,3,20)&lt;INDEX(effGoalBC_Res,20)) * MIN(INDEX(bcEff_Res,3,19)+INDEX(pushBC_Res,2),(INDEX(effGoalBC_Res,20)-INDEX(teffSumBC_Res,3,20))/(INDEX(doEff,4)-INDEX(doEff,3)))</f>
        <v>0</v>
      </c>
      <c r="Y88" s="43">
        <f ca="1">(INDEX(teffSumBC_Res,3,21)&lt;INDEX(effGoalBC_Res,21)) * MIN(INDEX(bcEff_Res,3,20)+INDEX(pushBC_Res,2),(INDEX(effGoalBC_Res,21)-INDEX(teffSumBC_Res,3,21))/(INDEX(doEff,4)-INDEX(doEff,3)))</f>
        <v>0</v>
      </c>
      <c r="Z88" s="43">
        <f ca="1">(INDEX(teffSumBC_Res,3,22)&lt;INDEX(effGoalBC_Res,22)) * MIN(INDEX(bcEff_Res,3,21)+INDEX(pushBC_Res,2),(INDEX(effGoalBC_Res,22)-INDEX(teffSumBC_Res,3,22))/(INDEX(doEff,4)-INDEX(doEff,3)))</f>
        <v>0</v>
      </c>
      <c r="AA88" s="43">
        <f ca="1">(INDEX(teffSumBC_Res,3,23)&lt;INDEX(effGoalBC_Res,23)) * MIN(INDEX(bcEff_Res,3,22)+INDEX(pushBC_Res,2),(INDEX(effGoalBC_Res,23)-INDEX(teffSumBC_Res,3,23))/(INDEX(doEff,4)-INDEX(doEff,3)))</f>
        <v>0</v>
      </c>
      <c r="AB88" s="43">
        <f ca="1">(INDEX(teffSumBC_Res,3,24)&lt;INDEX(effGoalBC_Res,24)) * MIN(INDEX(bcEff_Res,3,23)+INDEX(pushBC_Res,2),(INDEX(effGoalBC_Res,24)-INDEX(teffSumBC_Res,3,24))/(INDEX(doEff,4)-INDEX(doEff,3)))</f>
        <v>0</v>
      </c>
      <c r="AC88" s="43">
        <f ca="1">(INDEX(teffSumBC_Res,3,25)&lt;INDEX(effGoalBC_Res,25)) * MIN(INDEX(bcEff_Res,3,24)+INDEX(pushBC_Res,2),(INDEX(effGoalBC_Res,25)-INDEX(teffSumBC_Res,3,25))/(INDEX(doEff,4)-INDEX(doEff,3)))</f>
        <v>0</v>
      </c>
      <c r="AD88" s="43">
        <f ca="1">(INDEX(teffSumBC_Res,3,26)&lt;INDEX(effGoalBC_Res,26)) * MIN(INDEX(bcEff_Res,3,25)+INDEX(pushBC_Res,2),(INDEX(effGoalBC_Res,26)-INDEX(teffSumBC_Res,3,26))/(INDEX(doEff,4)-INDEX(doEff,3)))</f>
        <v>0</v>
      </c>
      <c r="AE88" s="43">
        <f ca="1">(INDEX(teffSumBC_Res,3,27)&lt;INDEX(effGoalBC_Res,27)) * MIN(INDEX(bcEff_Res,3,26)+INDEX(pushBC_Res,2),(INDEX(effGoalBC_Res,27)-INDEX(teffSumBC_Res,3,27))/(INDEX(doEff,4)-INDEX(doEff,3)))</f>
        <v>0</v>
      </c>
      <c r="AF88" s="43">
        <f ca="1">(INDEX(teffSumBC_Res,3,28)&lt;INDEX(effGoalBC_Res,28)) * MIN(INDEX(bcEff_Res,3,27)+INDEX(pushBC_Res,2),(INDEX(effGoalBC_Res,28)-INDEX(teffSumBC_Res,3,28))/(INDEX(doEff,4)-INDEX(doEff,3)))</f>
        <v>0</v>
      </c>
      <c r="AG88" s="43">
        <f ca="1">(INDEX(teffSumBC_Res,3,29)&lt;INDEX(effGoalBC_Res,29)) * MIN(INDEX(bcEff_Res,3,28)+INDEX(pushBC_Res,2),(INDEX(effGoalBC_Res,29)-INDEX(teffSumBC_Res,3,29))/(INDEX(doEff,4)-INDEX(doEff,3)))</f>
        <v>0</v>
      </c>
      <c r="AH88" s="43">
        <f ca="1">(INDEX(teffSumBC_Res,3,30)&lt;INDEX(effGoalBC_Res,30)) * MIN(INDEX(bcEff_Res,3,29)+INDEX(pushBC_Res,2),(INDEX(effGoalBC_Res,30)-INDEX(teffSumBC_Res,3,30))/(INDEX(doEff,4)-INDEX(doEff,3)))</f>
        <v>0</v>
      </c>
      <c r="AI88" s="43">
        <f ca="1">(INDEX(teffSumBC_Res,3,31)&lt;INDEX(effGoalBC_Res,31)) * MIN(INDEX(bcEff_Res,3,30)+INDEX(pushBC_Res,2),(INDEX(effGoalBC_Res,31)-INDEX(teffSumBC_Res,3,31))/(INDEX(doEff,4)-INDEX(doEff,3)))</f>
        <v>0</v>
      </c>
      <c r="AJ88" s="43">
        <f ca="1">(INDEX(teffSumBC_Res,3,32)&lt;INDEX(effGoalBC_Res,32)) * MIN(INDEX(bcEff_Res,3,31)+INDEX(pushBC_Res,2),(INDEX(effGoalBC_Res,32)-INDEX(teffSumBC_Res,3,32))/(INDEX(doEff,4)-INDEX(doEff,3)))</f>
        <v>0</v>
      </c>
      <c r="AK88" s="43">
        <f ca="1">(INDEX(teffSumBC_Res,3,33)&lt;INDEX(effGoalBC_Res,33)) * MIN(INDEX(bcEff_Res,3,32)+INDEX(pushBC_Res,2),(INDEX(effGoalBC_Res,33)-INDEX(teffSumBC_Res,3,33))/(INDEX(doEff,4)-INDEX(doEff,3)))</f>
        <v>0</v>
      </c>
      <c r="AL88" s="43">
        <f ca="1">(INDEX(teffSumBC_Res,3,34)&lt;INDEX(effGoalBC_Res,34)) * MIN(INDEX(bcEff_Res,3,33)+INDEX(pushBC_Res,2),(INDEX(effGoalBC_Res,34)-INDEX(teffSumBC_Res,3,34))/(INDEX(doEff,4)-INDEX(doEff,3)))</f>
        <v>0</v>
      </c>
      <c r="AM88" s="43">
        <f ca="1">(INDEX(teffSumBC_Res,3,35)&lt;INDEX(effGoalBC_Res,35)) * MIN(INDEX(bcEff_Res,3,34)+INDEX(pushBC_Res,2),(INDEX(effGoalBC_Res,35)-INDEX(teffSumBC_Res,3,35))/(INDEX(doEff,4)-INDEX(doEff,3)))</f>
        <v>0</v>
      </c>
      <c r="AN88" s="44">
        <f ca="1">(INDEX(teffSumBC_Res,3,36)&lt;INDEX(effGoalBC_Res,36)) * MIN(INDEX(bcEff_Res,3,35)+INDEX(pushBC_Res,2),(INDEX(effGoalBC_Res,36)-INDEX(teffSumBC_Res,3,36))/(INDEX(doEff,4)-INDEX(doEff,3)))</f>
        <v>0</v>
      </c>
      <c r="AO88" s="8"/>
    </row>
    <row r="89" spans="2:41" hidden="1" x14ac:dyDescent="0.35">
      <c r="B89" s="8"/>
      <c r="C89" s="19" t="str">
        <f>"EL 3: " &amp; INDEX(_doName,3,4)</f>
        <v>EL 3: EL 3</v>
      </c>
      <c r="D89" s="11"/>
      <c r="E89" s="43"/>
      <c r="F89" s="43">
        <f ca="1">(INDEX(teffSumBC_Res,4,2)&lt;INDEX(effGoalBC_Res,2)) * MIN(INDEX(bcEff_Res,4,1)+INDEX(pushBC_Res,3),(INDEX(effGoalBC_Res,2)-INDEX(teffSumBC_Res,4,2))/(INDEX(doEff,5)-INDEX(doEff,4)))</f>
        <v>0</v>
      </c>
      <c r="G89" s="43">
        <f ca="1">(INDEX(teffSumBC_Res,4,3)&lt;INDEX(effGoalBC_Res,3)) * MIN(INDEX(bcEff_Res,4,2)+INDEX(pushBC_Res,3),(INDEX(effGoalBC_Res,3)-INDEX(teffSumBC_Res,4,3))/(INDEX(doEff,5)-INDEX(doEff,4)))</f>
        <v>0</v>
      </c>
      <c r="H89" s="43">
        <f ca="1">(INDEX(teffSumBC_Res,4,4)&lt;INDEX(effGoalBC_Res,4)) * MIN(INDEX(bcEff_Res,4,3)+INDEX(pushBC_Res,3),(INDEX(effGoalBC_Res,4)-INDEX(teffSumBC_Res,4,4))/(INDEX(doEff,5)-INDEX(doEff,4)))</f>
        <v>0</v>
      </c>
      <c r="I89" s="43">
        <f ca="1">(INDEX(teffSumBC_Res,4,5)&lt;INDEX(effGoalBC_Res,5)) * MIN(INDEX(bcEff_Res,4,4)+INDEX(pushBC_Res,3),(INDEX(effGoalBC_Res,5)-INDEX(teffSumBC_Res,4,5))/(INDEX(doEff,5)-INDEX(doEff,4)))</f>
        <v>0</v>
      </c>
      <c r="J89" s="43">
        <f ca="1">(INDEX(teffSumBC_Res,4,6)&lt;INDEX(effGoalBC_Res,6)) * MIN(INDEX(bcEff_Res,4,5)+INDEX(pushBC_Res,3),(INDEX(effGoalBC_Res,6)-INDEX(teffSumBC_Res,4,6))/(INDEX(doEff,5)-INDEX(doEff,4)))</f>
        <v>0</v>
      </c>
      <c r="K89" s="43">
        <f ca="1">(INDEX(teffSumBC_Res,4,7)&lt;INDEX(effGoalBC_Res,7)) * MIN(INDEX(bcEff_Res,4,6)+INDEX(pushBC_Res,3),(INDEX(effGoalBC_Res,7)-INDEX(teffSumBC_Res,4,7))/(INDEX(doEff,5)-INDEX(doEff,4)))</f>
        <v>0</v>
      </c>
      <c r="L89" s="43">
        <f ca="1">(INDEX(teffSumBC_Res,4,8)&lt;INDEX(effGoalBC_Res,8)) * MIN(INDEX(bcEff_Res,4,7)+INDEX(pushBC_Res,3),(INDEX(effGoalBC_Res,8)-INDEX(teffSumBC_Res,4,8))/(INDEX(doEff,5)-INDEX(doEff,4)))</f>
        <v>0</v>
      </c>
      <c r="M89" s="43">
        <f ca="1">(INDEX(teffSumBC_Res,4,9)&lt;INDEX(effGoalBC_Res,9)) * MIN(INDEX(bcEff_Res,4,8)+INDEX(pushBC_Res,3),(INDEX(effGoalBC_Res,9)-INDEX(teffSumBC_Res,4,9))/(INDEX(doEff,5)-INDEX(doEff,4)))</f>
        <v>0</v>
      </c>
      <c r="N89" s="43">
        <f ca="1">(INDEX(teffSumBC_Res,4,10)&lt;INDEX(effGoalBC_Res,10)) * MIN(INDEX(bcEff_Res,4,9)+INDEX(pushBC_Res,3),(INDEX(effGoalBC_Res,10)-INDEX(teffSumBC_Res,4,10))/(INDEX(doEff,5)-INDEX(doEff,4)))</f>
        <v>0</v>
      </c>
      <c r="O89" s="43">
        <f ca="1">(INDEX(teffSumBC_Res,4,11)&lt;INDEX(effGoalBC_Res,11)) * MIN(INDEX(bcEff_Res,4,10)+INDEX(pushBC_Res,3),(INDEX(effGoalBC_Res,11)-INDEX(teffSumBC_Res,4,11))/(INDEX(doEff,5)-INDEX(doEff,4)))</f>
        <v>0</v>
      </c>
      <c r="P89" s="43">
        <f ca="1">(INDEX(teffSumBC_Res,4,12)&lt;INDEX(effGoalBC_Res,12)) * MIN(INDEX(bcEff_Res,4,11)+INDEX(pushBC_Res,3),(INDEX(effGoalBC_Res,12)-INDEX(teffSumBC_Res,4,12))/(INDEX(doEff,5)-INDEX(doEff,4)))</f>
        <v>0</v>
      </c>
      <c r="Q89" s="43">
        <f ca="1">(INDEX(teffSumBC_Res,4,13)&lt;INDEX(effGoalBC_Res,13)) * MIN(INDEX(bcEff_Res,4,12)+INDEX(pushBC_Res,3),(INDEX(effGoalBC_Res,13)-INDEX(teffSumBC_Res,4,13))/(INDEX(doEff,5)-INDEX(doEff,4)))</f>
        <v>0</v>
      </c>
      <c r="R89" s="43">
        <f ca="1">(INDEX(teffSumBC_Res,4,14)&lt;INDEX(effGoalBC_Res,14)) * MIN(INDEX(bcEff_Res,4,13)+INDEX(pushBC_Res,3),(INDEX(effGoalBC_Res,14)-INDEX(teffSumBC_Res,4,14))/(INDEX(doEff,5)-INDEX(doEff,4)))</f>
        <v>0</v>
      </c>
      <c r="S89" s="43">
        <f ca="1">(INDEX(teffSumBC_Res,4,15)&lt;INDEX(effGoalBC_Res,15)) * MIN(INDEX(bcEff_Res,4,14)+INDEX(pushBC_Res,3),(INDEX(effGoalBC_Res,15)-INDEX(teffSumBC_Res,4,15))/(INDEX(doEff,5)-INDEX(doEff,4)))</f>
        <v>0</v>
      </c>
      <c r="T89" s="43">
        <f ca="1">(INDEX(teffSumBC_Res,4,16)&lt;INDEX(effGoalBC_Res,16)) * MIN(INDEX(bcEff_Res,4,15)+INDEX(pushBC_Res,3),(INDEX(effGoalBC_Res,16)-INDEX(teffSumBC_Res,4,16))/(INDEX(doEff,5)-INDEX(doEff,4)))</f>
        <v>0</v>
      </c>
      <c r="U89" s="43">
        <f ca="1">(INDEX(teffSumBC_Res,4,17)&lt;INDEX(effGoalBC_Res,17)) * MIN(INDEX(bcEff_Res,4,16)+INDEX(pushBC_Res,3),(INDEX(effGoalBC_Res,17)-INDEX(teffSumBC_Res,4,17))/(INDEX(doEff,5)-INDEX(doEff,4)))</f>
        <v>0</v>
      </c>
      <c r="V89" s="43">
        <f ca="1">(INDEX(teffSumBC_Res,4,18)&lt;INDEX(effGoalBC_Res,18)) * MIN(INDEX(bcEff_Res,4,17)+INDEX(pushBC_Res,3),(INDEX(effGoalBC_Res,18)-INDEX(teffSumBC_Res,4,18))/(INDEX(doEff,5)-INDEX(doEff,4)))</f>
        <v>0</v>
      </c>
      <c r="W89" s="43">
        <f ca="1">(INDEX(teffSumBC_Res,4,19)&lt;INDEX(effGoalBC_Res,19)) * MIN(INDEX(bcEff_Res,4,18)+INDEX(pushBC_Res,3),(INDEX(effGoalBC_Res,19)-INDEX(teffSumBC_Res,4,19))/(INDEX(doEff,5)-INDEX(doEff,4)))</f>
        <v>0</v>
      </c>
      <c r="X89" s="43">
        <f ca="1">(INDEX(teffSumBC_Res,4,20)&lt;INDEX(effGoalBC_Res,20)) * MIN(INDEX(bcEff_Res,4,19)+INDEX(pushBC_Res,3),(INDEX(effGoalBC_Res,20)-INDEX(teffSumBC_Res,4,20))/(INDEX(doEff,5)-INDEX(doEff,4)))</f>
        <v>0</v>
      </c>
      <c r="Y89" s="43">
        <f ca="1">(INDEX(teffSumBC_Res,4,21)&lt;INDEX(effGoalBC_Res,21)) * MIN(INDEX(bcEff_Res,4,20)+INDEX(pushBC_Res,3),(INDEX(effGoalBC_Res,21)-INDEX(teffSumBC_Res,4,21))/(INDEX(doEff,5)-INDEX(doEff,4)))</f>
        <v>0</v>
      </c>
      <c r="Z89" s="43">
        <f ca="1">(INDEX(teffSumBC_Res,4,22)&lt;INDEX(effGoalBC_Res,22)) * MIN(INDEX(bcEff_Res,4,21)+INDEX(pushBC_Res,3),(INDEX(effGoalBC_Res,22)-INDEX(teffSumBC_Res,4,22))/(INDEX(doEff,5)-INDEX(doEff,4)))</f>
        <v>0</v>
      </c>
      <c r="AA89" s="43">
        <f ca="1">(INDEX(teffSumBC_Res,4,23)&lt;INDEX(effGoalBC_Res,23)) * MIN(INDEX(bcEff_Res,4,22)+INDEX(pushBC_Res,3),(INDEX(effGoalBC_Res,23)-INDEX(teffSumBC_Res,4,23))/(INDEX(doEff,5)-INDEX(doEff,4)))</f>
        <v>0</v>
      </c>
      <c r="AB89" s="43">
        <f ca="1">(INDEX(teffSumBC_Res,4,24)&lt;INDEX(effGoalBC_Res,24)) * MIN(INDEX(bcEff_Res,4,23)+INDEX(pushBC_Res,3),(INDEX(effGoalBC_Res,24)-INDEX(teffSumBC_Res,4,24))/(INDEX(doEff,5)-INDEX(doEff,4)))</f>
        <v>0</v>
      </c>
      <c r="AC89" s="43">
        <f ca="1">(INDEX(teffSumBC_Res,4,25)&lt;INDEX(effGoalBC_Res,25)) * MIN(INDEX(bcEff_Res,4,24)+INDEX(pushBC_Res,3),(INDEX(effGoalBC_Res,25)-INDEX(teffSumBC_Res,4,25))/(INDEX(doEff,5)-INDEX(doEff,4)))</f>
        <v>0</v>
      </c>
      <c r="AD89" s="43">
        <f ca="1">(INDEX(teffSumBC_Res,4,26)&lt;INDEX(effGoalBC_Res,26)) * MIN(INDEX(bcEff_Res,4,25)+INDEX(pushBC_Res,3),(INDEX(effGoalBC_Res,26)-INDEX(teffSumBC_Res,4,26))/(INDEX(doEff,5)-INDEX(doEff,4)))</f>
        <v>0</v>
      </c>
      <c r="AE89" s="43">
        <f ca="1">(INDEX(teffSumBC_Res,4,27)&lt;INDEX(effGoalBC_Res,27)) * MIN(INDEX(bcEff_Res,4,26)+INDEX(pushBC_Res,3),(INDEX(effGoalBC_Res,27)-INDEX(teffSumBC_Res,4,27))/(INDEX(doEff,5)-INDEX(doEff,4)))</f>
        <v>0</v>
      </c>
      <c r="AF89" s="43">
        <f ca="1">(INDEX(teffSumBC_Res,4,28)&lt;INDEX(effGoalBC_Res,28)) * MIN(INDEX(bcEff_Res,4,27)+INDEX(pushBC_Res,3),(INDEX(effGoalBC_Res,28)-INDEX(teffSumBC_Res,4,28))/(INDEX(doEff,5)-INDEX(doEff,4)))</f>
        <v>0</v>
      </c>
      <c r="AG89" s="43">
        <f ca="1">(INDEX(teffSumBC_Res,4,29)&lt;INDEX(effGoalBC_Res,29)) * MIN(INDEX(bcEff_Res,4,28)+INDEX(pushBC_Res,3),(INDEX(effGoalBC_Res,29)-INDEX(teffSumBC_Res,4,29))/(INDEX(doEff,5)-INDEX(doEff,4)))</f>
        <v>0</v>
      </c>
      <c r="AH89" s="43">
        <f ca="1">(INDEX(teffSumBC_Res,4,30)&lt;INDEX(effGoalBC_Res,30)) * MIN(INDEX(bcEff_Res,4,29)+INDEX(pushBC_Res,3),(INDEX(effGoalBC_Res,30)-INDEX(teffSumBC_Res,4,30))/(INDEX(doEff,5)-INDEX(doEff,4)))</f>
        <v>0</v>
      </c>
      <c r="AI89" s="43">
        <f ca="1">(INDEX(teffSumBC_Res,4,31)&lt;INDEX(effGoalBC_Res,31)) * MIN(INDEX(bcEff_Res,4,30)+INDEX(pushBC_Res,3),(INDEX(effGoalBC_Res,31)-INDEX(teffSumBC_Res,4,31))/(INDEX(doEff,5)-INDEX(doEff,4)))</f>
        <v>0</v>
      </c>
      <c r="AJ89" s="43">
        <f ca="1">(INDEX(teffSumBC_Res,4,32)&lt;INDEX(effGoalBC_Res,32)) * MIN(INDEX(bcEff_Res,4,31)+INDEX(pushBC_Res,3),(INDEX(effGoalBC_Res,32)-INDEX(teffSumBC_Res,4,32))/(INDEX(doEff,5)-INDEX(doEff,4)))</f>
        <v>0</v>
      </c>
      <c r="AK89" s="43">
        <f ca="1">(INDEX(teffSumBC_Res,4,33)&lt;INDEX(effGoalBC_Res,33)) * MIN(INDEX(bcEff_Res,4,32)+INDEX(pushBC_Res,3),(INDEX(effGoalBC_Res,33)-INDEX(teffSumBC_Res,4,33))/(INDEX(doEff,5)-INDEX(doEff,4)))</f>
        <v>0</v>
      </c>
      <c r="AL89" s="43">
        <f ca="1">(INDEX(teffSumBC_Res,4,34)&lt;INDEX(effGoalBC_Res,34)) * MIN(INDEX(bcEff_Res,4,33)+INDEX(pushBC_Res,3),(INDEX(effGoalBC_Res,34)-INDEX(teffSumBC_Res,4,34))/(INDEX(doEff,5)-INDEX(doEff,4)))</f>
        <v>0</v>
      </c>
      <c r="AM89" s="43">
        <f ca="1">(INDEX(teffSumBC_Res,4,35)&lt;INDEX(effGoalBC_Res,35)) * MIN(INDEX(bcEff_Res,4,34)+INDEX(pushBC_Res,3),(INDEX(effGoalBC_Res,35)-INDEX(teffSumBC_Res,4,35))/(INDEX(doEff,5)-INDEX(doEff,4)))</f>
        <v>0</v>
      </c>
      <c r="AN89" s="44">
        <f ca="1">(INDEX(teffSumBC_Res,4,36)&lt;INDEX(effGoalBC_Res,36)) * MIN(INDEX(bcEff_Res,4,35)+INDEX(pushBC_Res,3),(INDEX(effGoalBC_Res,36)-INDEX(teffSumBC_Res,4,36))/(INDEX(doEff,5)-INDEX(doEff,4)))</f>
        <v>0</v>
      </c>
      <c r="AO89" s="8"/>
    </row>
    <row r="90" spans="2:41" hidden="1" x14ac:dyDescent="0.35">
      <c r="B90" s="8"/>
      <c r="C90" s="35" t="str">
        <f>"EL 4: " &amp; INDEX(_doName,3,5)</f>
        <v>EL 4: EL 4</v>
      </c>
      <c r="D90" s="15"/>
      <c r="E90" s="45"/>
      <c r="F90" s="45">
        <f>0</f>
        <v>0</v>
      </c>
      <c r="G90" s="45">
        <f>0</f>
        <v>0</v>
      </c>
      <c r="H90" s="45">
        <f>0</f>
        <v>0</v>
      </c>
      <c r="I90" s="45">
        <f>0</f>
        <v>0</v>
      </c>
      <c r="J90" s="45">
        <f>0</f>
        <v>0</v>
      </c>
      <c r="K90" s="45">
        <f>0</f>
        <v>0</v>
      </c>
      <c r="L90" s="45">
        <f>0</f>
        <v>0</v>
      </c>
      <c r="M90" s="45">
        <f>0</f>
        <v>0</v>
      </c>
      <c r="N90" s="45">
        <f>0</f>
        <v>0</v>
      </c>
      <c r="O90" s="45">
        <f>0</f>
        <v>0</v>
      </c>
      <c r="P90" s="45">
        <f>0</f>
        <v>0</v>
      </c>
      <c r="Q90" s="45">
        <f>0</f>
        <v>0</v>
      </c>
      <c r="R90" s="45">
        <f>0</f>
        <v>0</v>
      </c>
      <c r="S90" s="45">
        <f>0</f>
        <v>0</v>
      </c>
      <c r="T90" s="45">
        <f>0</f>
        <v>0</v>
      </c>
      <c r="U90" s="45">
        <f>0</f>
        <v>0</v>
      </c>
      <c r="V90" s="45">
        <f>0</f>
        <v>0</v>
      </c>
      <c r="W90" s="45">
        <f>0</f>
        <v>0</v>
      </c>
      <c r="X90" s="45">
        <f>0</f>
        <v>0</v>
      </c>
      <c r="Y90" s="45">
        <f>0</f>
        <v>0</v>
      </c>
      <c r="Z90" s="45">
        <f>0</f>
        <v>0</v>
      </c>
      <c r="AA90" s="45">
        <f>0</f>
        <v>0</v>
      </c>
      <c r="AB90" s="45">
        <f>0</f>
        <v>0</v>
      </c>
      <c r="AC90" s="45">
        <f>0</f>
        <v>0</v>
      </c>
      <c r="AD90" s="45">
        <f>0</f>
        <v>0</v>
      </c>
      <c r="AE90" s="45">
        <f>0</f>
        <v>0</v>
      </c>
      <c r="AF90" s="45">
        <f>0</f>
        <v>0</v>
      </c>
      <c r="AG90" s="45">
        <f>0</f>
        <v>0</v>
      </c>
      <c r="AH90" s="45">
        <f>0</f>
        <v>0</v>
      </c>
      <c r="AI90" s="45">
        <f>0</f>
        <v>0</v>
      </c>
      <c r="AJ90" s="45">
        <f>0</f>
        <v>0</v>
      </c>
      <c r="AK90" s="45">
        <f>0</f>
        <v>0</v>
      </c>
      <c r="AL90" s="45">
        <f>0</f>
        <v>0</v>
      </c>
      <c r="AM90" s="45">
        <f>0</f>
        <v>0</v>
      </c>
      <c r="AN90" s="46">
        <f>0</f>
        <v>0</v>
      </c>
      <c r="AO90" s="8"/>
    </row>
    <row r="91" spans="2:41" hidden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</row>
    <row r="92" spans="2:41" hidden="1" x14ac:dyDescent="0.35">
      <c r="B92" s="8"/>
      <c r="C92" s="23" t="s">
        <v>99</v>
      </c>
      <c r="D92" s="24"/>
      <c r="E92" s="26">
        <f t="array" ref="E92:AN92">_yS</f>
        <v>2024</v>
      </c>
      <c r="F92" s="26">
        <v>2025</v>
      </c>
      <c r="G92" s="26">
        <v>2026</v>
      </c>
      <c r="H92" s="26">
        <v>2027</v>
      </c>
      <c r="I92" s="26">
        <v>2028</v>
      </c>
      <c r="J92" s="26">
        <v>2029</v>
      </c>
      <c r="K92" s="26">
        <v>2030</v>
      </c>
      <c r="L92" s="26">
        <v>2031</v>
      </c>
      <c r="M92" s="26">
        <v>2032</v>
      </c>
      <c r="N92" s="26">
        <v>2033</v>
      </c>
      <c r="O92" s="26">
        <v>2034</v>
      </c>
      <c r="P92" s="26">
        <v>2035</v>
      </c>
      <c r="Q92" s="26">
        <v>2036</v>
      </c>
      <c r="R92" s="26">
        <v>2037</v>
      </c>
      <c r="S92" s="26">
        <v>2038</v>
      </c>
      <c r="T92" s="26">
        <v>2039</v>
      </c>
      <c r="U92" s="26">
        <v>2040</v>
      </c>
      <c r="V92" s="26">
        <v>2041</v>
      </c>
      <c r="W92" s="26">
        <v>2042</v>
      </c>
      <c r="X92" s="26">
        <v>2043</v>
      </c>
      <c r="Y92" s="26">
        <v>2044</v>
      </c>
      <c r="Z92" s="26">
        <v>2045</v>
      </c>
      <c r="AA92" s="26">
        <v>2046</v>
      </c>
      <c r="AB92" s="26">
        <v>2047</v>
      </c>
      <c r="AC92" s="26">
        <v>2048</v>
      </c>
      <c r="AD92" s="26">
        <v>2049</v>
      </c>
      <c r="AE92" s="26">
        <v>2050</v>
      </c>
      <c r="AF92" s="26">
        <v>2051</v>
      </c>
      <c r="AG92" s="26">
        <v>2052</v>
      </c>
      <c r="AH92" s="26">
        <v>2053</v>
      </c>
      <c r="AI92" s="26">
        <v>2054</v>
      </c>
      <c r="AJ92" s="26">
        <v>2055</v>
      </c>
      <c r="AK92" s="26">
        <v>2056</v>
      </c>
      <c r="AL92" s="26">
        <v>2057</v>
      </c>
      <c r="AM92" s="26">
        <v>2058</v>
      </c>
      <c r="AN92" s="27">
        <v>2059</v>
      </c>
      <c r="AO92" s="8"/>
    </row>
    <row r="93" spans="2:41" hidden="1" x14ac:dyDescent="0.35">
      <c r="B93" s="8"/>
      <c r="C93" s="19" t="str">
        <f>"EL 0: " &amp; INDEX(_doName,3,1)</f>
        <v>EL 0: Baseline</v>
      </c>
      <c r="D93" s="11"/>
      <c r="E93" s="33"/>
      <c r="F93" s="33">
        <f>0 + INDEX(doEff,1)*(INDEX(eff0BC_Res,1)+0) + SUMPRODUCT(doEff,INDEX(bcEff_Res,,1),N(_el&gt;0))</f>
        <v>2.5119112627986349</v>
      </c>
      <c r="G93" s="33">
        <f ca="1">0 + INDEX(doEff,1)*(INDEX(eff0BC_Res,1)+0) + SUMPRODUCT(doEff,INDEX(bcEff_Res,,2),N(_el&gt;0))</f>
        <v>2.5119112627986349</v>
      </c>
      <c r="H93" s="33">
        <f ca="1">0 + INDEX(doEff,1)*(INDEX(eff0BC_Res,1)+0) + SUMPRODUCT(doEff,INDEX(bcEff_Res,,3),N(_el&gt;0))</f>
        <v>2.5119112627986349</v>
      </c>
      <c r="I93" s="33">
        <f ca="1">0 + INDEX(doEff,1)*(INDEX(eff0BC_Res,1)+0) + SUMPRODUCT(doEff,INDEX(bcEff_Res,,4),N(_el&gt;0))</f>
        <v>2.5119112627986349</v>
      </c>
      <c r="J93" s="33">
        <f ca="1">0 + INDEX(doEff,1)*(INDEX(eff0BC_Res,1)+0) + SUMPRODUCT(doEff,INDEX(bcEff_Res,,5),N(_el&gt;0))</f>
        <v>2.5119112627986349</v>
      </c>
      <c r="K93" s="33">
        <f ca="1">0 + INDEX(doEff,1)*(INDEX(eff0BC_Res,1)+0) + SUMPRODUCT(doEff,INDEX(bcEff_Res,,6),N(_el&gt;0))</f>
        <v>2.5119112627986349</v>
      </c>
      <c r="L93" s="33">
        <f ca="1">0 + INDEX(doEff,1)*(INDEX(eff0BC_Res,1)+0) + SUMPRODUCT(doEff,INDEX(bcEff_Res,,7),N(_el&gt;0))</f>
        <v>2.5119112627986349</v>
      </c>
      <c r="M93" s="33">
        <f ca="1">0 + INDEX(doEff,1)*(INDEX(eff0BC_Res,1)+0) + SUMPRODUCT(doEff,INDEX(bcEff_Res,,8),N(_el&gt;0))</f>
        <v>2.5119112627986349</v>
      </c>
      <c r="N93" s="33">
        <f ca="1">0 + INDEX(doEff,1)*(INDEX(eff0BC_Res,1)+0) + SUMPRODUCT(doEff,INDEX(bcEff_Res,,9),N(_el&gt;0))</f>
        <v>2.5119112627986349</v>
      </c>
      <c r="O93" s="33">
        <f ca="1">0 + INDEX(doEff,1)*(INDEX(eff0BC_Res,1)+0) + SUMPRODUCT(doEff,INDEX(bcEff_Res,,10),N(_el&gt;0))</f>
        <v>2.5119112627986349</v>
      </c>
      <c r="P93" s="33">
        <f ca="1">0 + INDEX(doEff,1)*(INDEX(eff0BC_Res,1)+0) + SUMPRODUCT(doEff,INDEX(bcEff_Res,,11),N(_el&gt;0))</f>
        <v>2.5119112627986349</v>
      </c>
      <c r="Q93" s="33">
        <f ca="1">0 + INDEX(doEff,1)*(INDEX(eff0BC_Res,1)+0) + SUMPRODUCT(doEff,INDEX(bcEff_Res,,12),N(_el&gt;0))</f>
        <v>2.5119112627986349</v>
      </c>
      <c r="R93" s="33">
        <f ca="1">0 + INDEX(doEff,1)*(INDEX(eff0BC_Res,1)+0) + SUMPRODUCT(doEff,INDEX(bcEff_Res,,13),N(_el&gt;0))</f>
        <v>2.5119112627986349</v>
      </c>
      <c r="S93" s="33">
        <f ca="1">0 + INDEX(doEff,1)*(INDEX(eff0BC_Res,1)+0) + SUMPRODUCT(doEff,INDEX(bcEff_Res,,14),N(_el&gt;0))</f>
        <v>2.5119112627986349</v>
      </c>
      <c r="T93" s="33">
        <f ca="1">0 + INDEX(doEff,1)*(INDEX(eff0BC_Res,1)+0) + SUMPRODUCT(doEff,INDEX(bcEff_Res,,15),N(_el&gt;0))</f>
        <v>2.5119112627986349</v>
      </c>
      <c r="U93" s="33">
        <f ca="1">0 + INDEX(doEff,1)*(INDEX(eff0BC_Res,1)+0) + SUMPRODUCT(doEff,INDEX(bcEff_Res,,16),N(_el&gt;0))</f>
        <v>2.5119112627986349</v>
      </c>
      <c r="V93" s="33">
        <f ca="1">0 + INDEX(doEff,1)*(INDEX(eff0BC_Res,1)+0) + SUMPRODUCT(doEff,INDEX(bcEff_Res,,17),N(_el&gt;0))</f>
        <v>2.5119112627986349</v>
      </c>
      <c r="W93" s="33">
        <f ca="1">0 + INDEX(doEff,1)*(INDEX(eff0BC_Res,1)+0) + SUMPRODUCT(doEff,INDEX(bcEff_Res,,18),N(_el&gt;0))</f>
        <v>2.5119112627986349</v>
      </c>
      <c r="X93" s="33">
        <f ca="1">0 + INDEX(doEff,1)*(INDEX(eff0BC_Res,1)+0) + SUMPRODUCT(doEff,INDEX(bcEff_Res,,19),N(_el&gt;0))</f>
        <v>2.5119112627986349</v>
      </c>
      <c r="Y93" s="33">
        <f ca="1">0 + INDEX(doEff,1)*(INDEX(eff0BC_Res,1)+0) + SUMPRODUCT(doEff,INDEX(bcEff_Res,,20),N(_el&gt;0))</f>
        <v>2.5119112627986349</v>
      </c>
      <c r="Z93" s="33">
        <f ca="1">0 + INDEX(doEff,1)*(INDEX(eff0BC_Res,1)+0) + SUMPRODUCT(doEff,INDEX(bcEff_Res,,21),N(_el&gt;0))</f>
        <v>2.5119112627986349</v>
      </c>
      <c r="AA93" s="33">
        <f ca="1">0 + INDEX(doEff,1)*(INDEX(eff0BC_Res,1)+0) + SUMPRODUCT(doEff,INDEX(bcEff_Res,,22),N(_el&gt;0))</f>
        <v>2.5119112627986349</v>
      </c>
      <c r="AB93" s="33">
        <f ca="1">0 + INDEX(doEff,1)*(INDEX(eff0BC_Res,1)+0) + SUMPRODUCT(doEff,INDEX(bcEff_Res,,23),N(_el&gt;0))</f>
        <v>2.5119112627986349</v>
      </c>
      <c r="AC93" s="33">
        <f ca="1">0 + INDEX(doEff,1)*(INDEX(eff0BC_Res,1)+0) + SUMPRODUCT(doEff,INDEX(bcEff_Res,,24),N(_el&gt;0))</f>
        <v>2.5119112627986349</v>
      </c>
      <c r="AD93" s="33">
        <f ca="1">0 + INDEX(doEff,1)*(INDEX(eff0BC_Res,1)+0) + SUMPRODUCT(doEff,INDEX(bcEff_Res,,25),N(_el&gt;0))</f>
        <v>2.5119112627986349</v>
      </c>
      <c r="AE93" s="33">
        <f ca="1">0 + INDEX(doEff,1)*(INDEX(eff0BC_Res,1)+0) + SUMPRODUCT(doEff,INDEX(bcEff_Res,,26),N(_el&gt;0))</f>
        <v>2.5119112627986349</v>
      </c>
      <c r="AF93" s="33">
        <f ca="1">0 + INDEX(doEff,1)*(INDEX(eff0BC_Res,1)+0) + SUMPRODUCT(doEff,INDEX(bcEff_Res,,27),N(_el&gt;0))</f>
        <v>2.5119112627986349</v>
      </c>
      <c r="AG93" s="33">
        <f ca="1">0 + INDEX(doEff,1)*(INDEX(eff0BC_Res,1)+0) + SUMPRODUCT(doEff,INDEX(bcEff_Res,,28),N(_el&gt;0))</f>
        <v>2.5119112627986349</v>
      </c>
      <c r="AH93" s="33">
        <f ca="1">0 + INDEX(doEff,1)*(INDEX(eff0BC_Res,1)+0) + SUMPRODUCT(doEff,INDEX(bcEff_Res,,29),N(_el&gt;0))</f>
        <v>2.5119112627986349</v>
      </c>
      <c r="AI93" s="33">
        <f ca="1">0 + INDEX(doEff,1)*(INDEX(eff0BC_Res,1)+0) + SUMPRODUCT(doEff,INDEX(bcEff_Res,,30),N(_el&gt;0))</f>
        <v>2.5119112627986349</v>
      </c>
      <c r="AJ93" s="33">
        <f ca="1">0 + INDEX(doEff,1)*(INDEX(eff0BC_Res,1)+0) + SUMPRODUCT(doEff,INDEX(bcEff_Res,,31),N(_el&gt;0))</f>
        <v>2.5119112627986349</v>
      </c>
      <c r="AK93" s="33">
        <f ca="1">0 + INDEX(doEff,1)*(INDEX(eff0BC_Res,1)+0) + SUMPRODUCT(doEff,INDEX(bcEff_Res,,32),N(_el&gt;0))</f>
        <v>2.5119112627986349</v>
      </c>
      <c r="AL93" s="33">
        <f ca="1">0 + INDEX(doEff,1)*(INDEX(eff0BC_Res,1)+0) + SUMPRODUCT(doEff,INDEX(bcEff_Res,,33),N(_el&gt;0))</f>
        <v>2.5119112627986349</v>
      </c>
      <c r="AM93" s="33">
        <f ca="1">0 + INDEX(doEff,1)*(INDEX(eff0BC_Res,1)+0) + SUMPRODUCT(doEff,INDEX(bcEff_Res,,34),N(_el&gt;0))</f>
        <v>2.5119112627986349</v>
      </c>
      <c r="AN93" s="34">
        <f ca="1">0 + INDEX(doEff,1)*(INDEX(eff0BC_Res,1)+0) + SUMPRODUCT(doEff,INDEX(bcEff_Res,,35),N(_el&gt;0))</f>
        <v>2.5119112627986349</v>
      </c>
      <c r="AO93" s="8"/>
    </row>
    <row r="94" spans="2:41" hidden="1" x14ac:dyDescent="0.35">
      <c r="B94" s="8"/>
      <c r="C94" s="19" t="str">
        <f>"EL 1: " &amp; INDEX(_doName,3,2)</f>
        <v>EL 1: Tier 1</v>
      </c>
      <c r="D94" s="11"/>
      <c r="E94" s="33"/>
      <c r="F94" s="33">
        <f ca="1">SUMPRODUCT(OFFSET(doEff,0,0,1,1),OFFSET(INDEX(bcEff_Res,1,2),0,0,1,1)) + INDEX(doEff,2)*(INDEX(eff0BC_Res,2)+INDEX(pushBC_Res,1)) + SUMPRODUCT(doEff,INDEX(bcEff_Res,,1),N(_el&gt;1))</f>
        <v>2.5119112627986349</v>
      </c>
      <c r="G94" s="33">
        <f ca="1">SUMPRODUCT(OFFSET(doEff,0,0,1,1),OFFSET(INDEX(bcEff_Res,1,3),0,0,1,1)) + INDEX(doEff,2)*(INDEX(eff0BC_Res,2)+INDEX(pushBC_Res,1)) + SUMPRODUCT(doEff,INDEX(bcEff_Res,,2),N(_el&gt;1))</f>
        <v>2.5119112627986349</v>
      </c>
      <c r="H94" s="33">
        <f ca="1">SUMPRODUCT(OFFSET(doEff,0,0,1,1),OFFSET(INDEX(bcEff_Res,1,4),0,0,1,1)) + INDEX(doEff,2)*(INDEX(eff0BC_Res,2)+INDEX(pushBC_Res,1)) + SUMPRODUCT(doEff,INDEX(bcEff_Res,,3),N(_el&gt;1))</f>
        <v>2.5119112627986349</v>
      </c>
      <c r="I94" s="33">
        <f ca="1">SUMPRODUCT(OFFSET(doEff,0,0,1,1),OFFSET(INDEX(bcEff_Res,1,5),0,0,1,1)) + INDEX(doEff,2)*(INDEX(eff0BC_Res,2)+INDEX(pushBC_Res,1)) + SUMPRODUCT(doEff,INDEX(bcEff_Res,,4),N(_el&gt;1))</f>
        <v>2.5119112627986349</v>
      </c>
      <c r="J94" s="33">
        <f ca="1">SUMPRODUCT(OFFSET(doEff,0,0,1,1),OFFSET(INDEX(bcEff_Res,1,6),0,0,1,1)) + INDEX(doEff,2)*(INDEX(eff0BC_Res,2)+INDEX(pushBC_Res,1)) + SUMPRODUCT(doEff,INDEX(bcEff_Res,,5),N(_el&gt;1))</f>
        <v>2.5119112627986349</v>
      </c>
      <c r="K94" s="33">
        <f ca="1">SUMPRODUCT(OFFSET(doEff,0,0,1,1),OFFSET(INDEX(bcEff_Res,1,7),0,0,1,1)) + INDEX(doEff,2)*(INDEX(eff0BC_Res,2)+INDEX(pushBC_Res,1)) + SUMPRODUCT(doEff,INDEX(bcEff_Res,,6),N(_el&gt;1))</f>
        <v>2.5119112627986349</v>
      </c>
      <c r="L94" s="33">
        <f ca="1">SUMPRODUCT(OFFSET(doEff,0,0,1,1),OFFSET(INDEX(bcEff_Res,1,8),0,0,1,1)) + INDEX(doEff,2)*(INDEX(eff0BC_Res,2)+INDEX(pushBC_Res,1)) + SUMPRODUCT(doEff,INDEX(bcEff_Res,,7),N(_el&gt;1))</f>
        <v>2.5119112627986349</v>
      </c>
      <c r="M94" s="33">
        <f ca="1">SUMPRODUCT(OFFSET(doEff,0,0,1,1),OFFSET(INDEX(bcEff_Res,1,9),0,0,1,1)) + INDEX(doEff,2)*(INDEX(eff0BC_Res,2)+INDEX(pushBC_Res,1)) + SUMPRODUCT(doEff,INDEX(bcEff_Res,,8),N(_el&gt;1))</f>
        <v>2.5119112627986349</v>
      </c>
      <c r="N94" s="33">
        <f ca="1">SUMPRODUCT(OFFSET(doEff,0,0,1,1),OFFSET(INDEX(bcEff_Res,1,10),0,0,1,1)) + INDEX(doEff,2)*(INDEX(eff0BC_Res,2)+INDEX(pushBC_Res,1)) + SUMPRODUCT(doEff,INDEX(bcEff_Res,,9),N(_el&gt;1))</f>
        <v>2.5119112627986349</v>
      </c>
      <c r="O94" s="33">
        <f ca="1">SUMPRODUCT(OFFSET(doEff,0,0,1,1),OFFSET(INDEX(bcEff_Res,1,11),0,0,1,1)) + INDEX(doEff,2)*(INDEX(eff0BC_Res,2)+INDEX(pushBC_Res,1)) + SUMPRODUCT(doEff,INDEX(bcEff_Res,,10),N(_el&gt;1))</f>
        <v>2.5119112627986349</v>
      </c>
      <c r="P94" s="33">
        <f ca="1">SUMPRODUCT(OFFSET(doEff,0,0,1,1),OFFSET(INDEX(bcEff_Res,1,12),0,0,1,1)) + INDEX(doEff,2)*(INDEX(eff0BC_Res,2)+INDEX(pushBC_Res,1)) + SUMPRODUCT(doEff,INDEX(bcEff_Res,,11),N(_el&gt;1))</f>
        <v>2.5119112627986349</v>
      </c>
      <c r="Q94" s="33">
        <f ca="1">SUMPRODUCT(OFFSET(doEff,0,0,1,1),OFFSET(INDEX(bcEff_Res,1,13),0,0,1,1)) + INDEX(doEff,2)*(INDEX(eff0BC_Res,2)+INDEX(pushBC_Res,1)) + SUMPRODUCT(doEff,INDEX(bcEff_Res,,12),N(_el&gt;1))</f>
        <v>2.5119112627986349</v>
      </c>
      <c r="R94" s="33">
        <f ca="1">SUMPRODUCT(OFFSET(doEff,0,0,1,1),OFFSET(INDEX(bcEff_Res,1,14),0,0,1,1)) + INDEX(doEff,2)*(INDEX(eff0BC_Res,2)+INDEX(pushBC_Res,1)) + SUMPRODUCT(doEff,INDEX(bcEff_Res,,13),N(_el&gt;1))</f>
        <v>2.5119112627986349</v>
      </c>
      <c r="S94" s="33">
        <f ca="1">SUMPRODUCT(OFFSET(doEff,0,0,1,1),OFFSET(INDEX(bcEff_Res,1,15),0,0,1,1)) + INDEX(doEff,2)*(INDEX(eff0BC_Res,2)+INDEX(pushBC_Res,1)) + SUMPRODUCT(doEff,INDEX(bcEff_Res,,14),N(_el&gt;1))</f>
        <v>2.5119112627986349</v>
      </c>
      <c r="T94" s="33">
        <f ca="1">SUMPRODUCT(OFFSET(doEff,0,0,1,1),OFFSET(INDEX(bcEff_Res,1,16),0,0,1,1)) + INDEX(doEff,2)*(INDEX(eff0BC_Res,2)+INDEX(pushBC_Res,1)) + SUMPRODUCT(doEff,INDEX(bcEff_Res,,15),N(_el&gt;1))</f>
        <v>2.5119112627986349</v>
      </c>
      <c r="U94" s="33">
        <f ca="1">SUMPRODUCT(OFFSET(doEff,0,0,1,1),OFFSET(INDEX(bcEff_Res,1,17),0,0,1,1)) + INDEX(doEff,2)*(INDEX(eff0BC_Res,2)+INDEX(pushBC_Res,1)) + SUMPRODUCT(doEff,INDEX(bcEff_Res,,16),N(_el&gt;1))</f>
        <v>2.5119112627986349</v>
      </c>
      <c r="V94" s="33">
        <f ca="1">SUMPRODUCT(OFFSET(doEff,0,0,1,1),OFFSET(INDEX(bcEff_Res,1,18),0,0,1,1)) + INDEX(doEff,2)*(INDEX(eff0BC_Res,2)+INDEX(pushBC_Res,1)) + SUMPRODUCT(doEff,INDEX(bcEff_Res,,17),N(_el&gt;1))</f>
        <v>2.5119112627986349</v>
      </c>
      <c r="W94" s="33">
        <f ca="1">SUMPRODUCT(OFFSET(doEff,0,0,1,1),OFFSET(INDEX(bcEff_Res,1,19),0,0,1,1)) + INDEX(doEff,2)*(INDEX(eff0BC_Res,2)+INDEX(pushBC_Res,1)) + SUMPRODUCT(doEff,INDEX(bcEff_Res,,18),N(_el&gt;1))</f>
        <v>2.5119112627986349</v>
      </c>
      <c r="X94" s="33">
        <f ca="1">SUMPRODUCT(OFFSET(doEff,0,0,1,1),OFFSET(INDEX(bcEff_Res,1,20),0,0,1,1)) + INDEX(doEff,2)*(INDEX(eff0BC_Res,2)+INDEX(pushBC_Res,1)) + SUMPRODUCT(doEff,INDEX(bcEff_Res,,19),N(_el&gt;1))</f>
        <v>2.5119112627986349</v>
      </c>
      <c r="Y94" s="33">
        <f ca="1">SUMPRODUCT(OFFSET(doEff,0,0,1,1),OFFSET(INDEX(bcEff_Res,1,21),0,0,1,1)) + INDEX(doEff,2)*(INDEX(eff0BC_Res,2)+INDEX(pushBC_Res,1)) + SUMPRODUCT(doEff,INDEX(bcEff_Res,,20),N(_el&gt;1))</f>
        <v>2.5119112627986349</v>
      </c>
      <c r="Z94" s="33">
        <f ca="1">SUMPRODUCT(OFFSET(doEff,0,0,1,1),OFFSET(INDEX(bcEff_Res,1,22),0,0,1,1)) + INDEX(doEff,2)*(INDEX(eff0BC_Res,2)+INDEX(pushBC_Res,1)) + SUMPRODUCT(doEff,INDEX(bcEff_Res,,21),N(_el&gt;1))</f>
        <v>2.5119112627986349</v>
      </c>
      <c r="AA94" s="33">
        <f ca="1">SUMPRODUCT(OFFSET(doEff,0,0,1,1),OFFSET(INDEX(bcEff_Res,1,23),0,0,1,1)) + INDEX(doEff,2)*(INDEX(eff0BC_Res,2)+INDEX(pushBC_Res,1)) + SUMPRODUCT(doEff,INDEX(bcEff_Res,,22),N(_el&gt;1))</f>
        <v>2.5119112627986349</v>
      </c>
      <c r="AB94" s="33">
        <f ca="1">SUMPRODUCT(OFFSET(doEff,0,0,1,1),OFFSET(INDEX(bcEff_Res,1,24),0,0,1,1)) + INDEX(doEff,2)*(INDEX(eff0BC_Res,2)+INDEX(pushBC_Res,1)) + SUMPRODUCT(doEff,INDEX(bcEff_Res,,23),N(_el&gt;1))</f>
        <v>2.5119112627986349</v>
      </c>
      <c r="AC94" s="33">
        <f ca="1">SUMPRODUCT(OFFSET(doEff,0,0,1,1),OFFSET(INDEX(bcEff_Res,1,25),0,0,1,1)) + INDEX(doEff,2)*(INDEX(eff0BC_Res,2)+INDEX(pushBC_Res,1)) + SUMPRODUCT(doEff,INDEX(bcEff_Res,,24),N(_el&gt;1))</f>
        <v>2.5119112627986349</v>
      </c>
      <c r="AD94" s="33">
        <f ca="1">SUMPRODUCT(OFFSET(doEff,0,0,1,1),OFFSET(INDEX(bcEff_Res,1,26),0,0,1,1)) + INDEX(doEff,2)*(INDEX(eff0BC_Res,2)+INDEX(pushBC_Res,1)) + SUMPRODUCT(doEff,INDEX(bcEff_Res,,25),N(_el&gt;1))</f>
        <v>2.5119112627986349</v>
      </c>
      <c r="AE94" s="33">
        <f ca="1">SUMPRODUCT(OFFSET(doEff,0,0,1,1),OFFSET(INDEX(bcEff_Res,1,27),0,0,1,1)) + INDEX(doEff,2)*(INDEX(eff0BC_Res,2)+INDEX(pushBC_Res,1)) + SUMPRODUCT(doEff,INDEX(bcEff_Res,,26),N(_el&gt;1))</f>
        <v>2.5119112627986349</v>
      </c>
      <c r="AF94" s="33">
        <f ca="1">SUMPRODUCT(OFFSET(doEff,0,0,1,1),OFFSET(INDEX(bcEff_Res,1,28),0,0,1,1)) + INDEX(doEff,2)*(INDEX(eff0BC_Res,2)+INDEX(pushBC_Res,1)) + SUMPRODUCT(doEff,INDEX(bcEff_Res,,27),N(_el&gt;1))</f>
        <v>2.5119112627986349</v>
      </c>
      <c r="AG94" s="33">
        <f ca="1">SUMPRODUCT(OFFSET(doEff,0,0,1,1),OFFSET(INDEX(bcEff_Res,1,29),0,0,1,1)) + INDEX(doEff,2)*(INDEX(eff0BC_Res,2)+INDEX(pushBC_Res,1)) + SUMPRODUCT(doEff,INDEX(bcEff_Res,,28),N(_el&gt;1))</f>
        <v>2.5119112627986349</v>
      </c>
      <c r="AH94" s="33">
        <f ca="1">SUMPRODUCT(OFFSET(doEff,0,0,1,1),OFFSET(INDEX(bcEff_Res,1,30),0,0,1,1)) + INDEX(doEff,2)*(INDEX(eff0BC_Res,2)+INDEX(pushBC_Res,1)) + SUMPRODUCT(doEff,INDEX(bcEff_Res,,29),N(_el&gt;1))</f>
        <v>2.5119112627986349</v>
      </c>
      <c r="AI94" s="33">
        <f ca="1">SUMPRODUCT(OFFSET(doEff,0,0,1,1),OFFSET(INDEX(bcEff_Res,1,31),0,0,1,1)) + INDEX(doEff,2)*(INDEX(eff0BC_Res,2)+INDEX(pushBC_Res,1)) + SUMPRODUCT(doEff,INDEX(bcEff_Res,,30),N(_el&gt;1))</f>
        <v>2.5119112627986349</v>
      </c>
      <c r="AJ94" s="33">
        <f ca="1">SUMPRODUCT(OFFSET(doEff,0,0,1,1),OFFSET(INDEX(bcEff_Res,1,32),0,0,1,1)) + INDEX(doEff,2)*(INDEX(eff0BC_Res,2)+INDEX(pushBC_Res,1)) + SUMPRODUCT(doEff,INDEX(bcEff_Res,,31),N(_el&gt;1))</f>
        <v>2.5119112627986349</v>
      </c>
      <c r="AK94" s="33">
        <f ca="1">SUMPRODUCT(OFFSET(doEff,0,0,1,1),OFFSET(INDEX(bcEff_Res,1,33),0,0,1,1)) + INDEX(doEff,2)*(INDEX(eff0BC_Res,2)+INDEX(pushBC_Res,1)) + SUMPRODUCT(doEff,INDEX(bcEff_Res,,32),N(_el&gt;1))</f>
        <v>2.5119112627986349</v>
      </c>
      <c r="AL94" s="33">
        <f ca="1">SUMPRODUCT(OFFSET(doEff,0,0,1,1),OFFSET(INDEX(bcEff_Res,1,34),0,0,1,1)) + INDEX(doEff,2)*(INDEX(eff0BC_Res,2)+INDEX(pushBC_Res,1)) + SUMPRODUCT(doEff,INDEX(bcEff_Res,,33),N(_el&gt;1))</f>
        <v>2.5119112627986349</v>
      </c>
      <c r="AM94" s="33">
        <f ca="1">SUMPRODUCT(OFFSET(doEff,0,0,1,1),OFFSET(INDEX(bcEff_Res,1,35),0,0,1,1)) + INDEX(doEff,2)*(INDEX(eff0BC_Res,2)+INDEX(pushBC_Res,1)) + SUMPRODUCT(doEff,INDEX(bcEff_Res,,34),N(_el&gt;1))</f>
        <v>2.5119112627986349</v>
      </c>
      <c r="AN94" s="34">
        <f ca="1">SUMPRODUCT(OFFSET(doEff,0,0,1,1),OFFSET(INDEX(bcEff_Res,1,36),0,0,1,1)) + INDEX(doEff,2)*(INDEX(eff0BC_Res,2)+INDEX(pushBC_Res,1)) + SUMPRODUCT(doEff,INDEX(bcEff_Res,,35),N(_el&gt;1))</f>
        <v>2.5119112627986349</v>
      </c>
      <c r="AO94" s="8"/>
    </row>
    <row r="95" spans="2:41" hidden="1" x14ac:dyDescent="0.35">
      <c r="B95" s="8"/>
      <c r="C95" s="19" t="str">
        <f>"EL 2: " &amp; INDEX(_doName,3,3)</f>
        <v>EL 2: Tier 2</v>
      </c>
      <c r="D95" s="11"/>
      <c r="E95" s="33"/>
      <c r="F95" s="33">
        <f ca="1">SUMPRODUCT(OFFSET(doEff,0,0,2,1),OFFSET(INDEX(bcEff_Res,1,2),0,0,2,1)) + INDEX(doEff,3)*(INDEX(eff0BC_Res,3)+INDEX(pushBC_Res,2)) + SUMPRODUCT(doEff,INDEX(bcEff_Res,,1),N(_el&gt;2))</f>
        <v>2.5119112627986349</v>
      </c>
      <c r="G95" s="33">
        <f ca="1">SUMPRODUCT(OFFSET(doEff,0,0,2,1),OFFSET(INDEX(bcEff_Res,1,3),0,0,2,1)) + INDEX(doEff,3)*(INDEX(eff0BC_Res,3)+INDEX(pushBC_Res,2)) + SUMPRODUCT(doEff,INDEX(bcEff_Res,,2),N(_el&gt;2))</f>
        <v>2.5119112627986349</v>
      </c>
      <c r="H95" s="33">
        <f ca="1">SUMPRODUCT(OFFSET(doEff,0,0,2,1),OFFSET(INDEX(bcEff_Res,1,4),0,0,2,1)) + INDEX(doEff,3)*(INDEX(eff0BC_Res,3)+INDEX(pushBC_Res,2)) + SUMPRODUCT(doEff,INDEX(bcEff_Res,,3),N(_el&gt;2))</f>
        <v>2.5119112627986349</v>
      </c>
      <c r="I95" s="33">
        <f ca="1">SUMPRODUCT(OFFSET(doEff,0,0,2,1),OFFSET(INDEX(bcEff_Res,1,5),0,0,2,1)) + INDEX(doEff,3)*(INDEX(eff0BC_Res,3)+INDEX(pushBC_Res,2)) + SUMPRODUCT(doEff,INDEX(bcEff_Res,,4),N(_el&gt;2))</f>
        <v>2.5119112627986349</v>
      </c>
      <c r="J95" s="33">
        <f ca="1">SUMPRODUCT(OFFSET(doEff,0,0,2,1),OFFSET(INDEX(bcEff_Res,1,6),0,0,2,1)) + INDEX(doEff,3)*(INDEX(eff0BC_Res,3)+INDEX(pushBC_Res,2)) + SUMPRODUCT(doEff,INDEX(bcEff_Res,,5),N(_el&gt;2))</f>
        <v>2.5119112627986349</v>
      </c>
      <c r="K95" s="33">
        <f ca="1">SUMPRODUCT(OFFSET(doEff,0,0,2,1),OFFSET(INDEX(bcEff_Res,1,7),0,0,2,1)) + INDEX(doEff,3)*(INDEX(eff0BC_Res,3)+INDEX(pushBC_Res,2)) + SUMPRODUCT(doEff,INDEX(bcEff_Res,,6),N(_el&gt;2))</f>
        <v>2.5119112627986349</v>
      </c>
      <c r="L95" s="33">
        <f ca="1">SUMPRODUCT(OFFSET(doEff,0,0,2,1),OFFSET(INDEX(bcEff_Res,1,8),0,0,2,1)) + INDEX(doEff,3)*(INDEX(eff0BC_Res,3)+INDEX(pushBC_Res,2)) + SUMPRODUCT(doEff,INDEX(bcEff_Res,,7),N(_el&gt;2))</f>
        <v>2.5119112627986349</v>
      </c>
      <c r="M95" s="33">
        <f ca="1">SUMPRODUCT(OFFSET(doEff,0,0,2,1),OFFSET(INDEX(bcEff_Res,1,9),0,0,2,1)) + INDEX(doEff,3)*(INDEX(eff0BC_Res,3)+INDEX(pushBC_Res,2)) + SUMPRODUCT(doEff,INDEX(bcEff_Res,,8),N(_el&gt;2))</f>
        <v>2.5119112627986349</v>
      </c>
      <c r="N95" s="33">
        <f ca="1">SUMPRODUCT(OFFSET(doEff,0,0,2,1),OFFSET(INDEX(bcEff_Res,1,10),0,0,2,1)) + INDEX(doEff,3)*(INDEX(eff0BC_Res,3)+INDEX(pushBC_Res,2)) + SUMPRODUCT(doEff,INDEX(bcEff_Res,,9),N(_el&gt;2))</f>
        <v>2.5119112627986349</v>
      </c>
      <c r="O95" s="33">
        <f ca="1">SUMPRODUCT(OFFSET(doEff,0,0,2,1),OFFSET(INDEX(bcEff_Res,1,11),0,0,2,1)) + INDEX(doEff,3)*(INDEX(eff0BC_Res,3)+INDEX(pushBC_Res,2)) + SUMPRODUCT(doEff,INDEX(bcEff_Res,,10),N(_el&gt;2))</f>
        <v>2.5119112627986349</v>
      </c>
      <c r="P95" s="33">
        <f ca="1">SUMPRODUCT(OFFSET(doEff,0,0,2,1),OFFSET(INDEX(bcEff_Res,1,12),0,0,2,1)) + INDEX(doEff,3)*(INDEX(eff0BC_Res,3)+INDEX(pushBC_Res,2)) + SUMPRODUCT(doEff,INDEX(bcEff_Res,,11),N(_el&gt;2))</f>
        <v>2.5119112627986349</v>
      </c>
      <c r="Q95" s="33">
        <f ca="1">SUMPRODUCT(OFFSET(doEff,0,0,2,1),OFFSET(INDEX(bcEff_Res,1,13),0,0,2,1)) + INDEX(doEff,3)*(INDEX(eff0BC_Res,3)+INDEX(pushBC_Res,2)) + SUMPRODUCT(doEff,INDEX(bcEff_Res,,12),N(_el&gt;2))</f>
        <v>2.5119112627986349</v>
      </c>
      <c r="R95" s="33">
        <f ca="1">SUMPRODUCT(OFFSET(doEff,0,0,2,1),OFFSET(INDEX(bcEff_Res,1,14),0,0,2,1)) + INDEX(doEff,3)*(INDEX(eff0BC_Res,3)+INDEX(pushBC_Res,2)) + SUMPRODUCT(doEff,INDEX(bcEff_Res,,13),N(_el&gt;2))</f>
        <v>2.5119112627986349</v>
      </c>
      <c r="S95" s="33">
        <f ca="1">SUMPRODUCT(OFFSET(doEff,0,0,2,1),OFFSET(INDEX(bcEff_Res,1,15),0,0,2,1)) + INDEX(doEff,3)*(INDEX(eff0BC_Res,3)+INDEX(pushBC_Res,2)) + SUMPRODUCT(doEff,INDEX(bcEff_Res,,14),N(_el&gt;2))</f>
        <v>2.5119112627986349</v>
      </c>
      <c r="T95" s="33">
        <f ca="1">SUMPRODUCT(OFFSET(doEff,0,0,2,1),OFFSET(INDEX(bcEff_Res,1,16),0,0,2,1)) + INDEX(doEff,3)*(INDEX(eff0BC_Res,3)+INDEX(pushBC_Res,2)) + SUMPRODUCT(doEff,INDEX(bcEff_Res,,15),N(_el&gt;2))</f>
        <v>2.5119112627986349</v>
      </c>
      <c r="U95" s="33">
        <f ca="1">SUMPRODUCT(OFFSET(doEff,0,0,2,1),OFFSET(INDEX(bcEff_Res,1,17),0,0,2,1)) + INDEX(doEff,3)*(INDEX(eff0BC_Res,3)+INDEX(pushBC_Res,2)) + SUMPRODUCT(doEff,INDEX(bcEff_Res,,16),N(_el&gt;2))</f>
        <v>2.5119112627986349</v>
      </c>
      <c r="V95" s="33">
        <f ca="1">SUMPRODUCT(OFFSET(doEff,0,0,2,1),OFFSET(INDEX(bcEff_Res,1,18),0,0,2,1)) + INDEX(doEff,3)*(INDEX(eff0BC_Res,3)+INDEX(pushBC_Res,2)) + SUMPRODUCT(doEff,INDEX(bcEff_Res,,17),N(_el&gt;2))</f>
        <v>2.5119112627986349</v>
      </c>
      <c r="W95" s="33">
        <f ca="1">SUMPRODUCT(OFFSET(doEff,0,0,2,1),OFFSET(INDEX(bcEff_Res,1,19),0,0,2,1)) + INDEX(doEff,3)*(INDEX(eff0BC_Res,3)+INDEX(pushBC_Res,2)) + SUMPRODUCT(doEff,INDEX(bcEff_Res,,18),N(_el&gt;2))</f>
        <v>2.5119112627986349</v>
      </c>
      <c r="X95" s="33">
        <f ca="1">SUMPRODUCT(OFFSET(doEff,0,0,2,1),OFFSET(INDEX(bcEff_Res,1,20),0,0,2,1)) + INDEX(doEff,3)*(INDEX(eff0BC_Res,3)+INDEX(pushBC_Res,2)) + SUMPRODUCT(doEff,INDEX(bcEff_Res,,19),N(_el&gt;2))</f>
        <v>2.5119112627986349</v>
      </c>
      <c r="Y95" s="33">
        <f ca="1">SUMPRODUCT(OFFSET(doEff,0,0,2,1),OFFSET(INDEX(bcEff_Res,1,21),0,0,2,1)) + INDEX(doEff,3)*(INDEX(eff0BC_Res,3)+INDEX(pushBC_Res,2)) + SUMPRODUCT(doEff,INDEX(bcEff_Res,,20),N(_el&gt;2))</f>
        <v>2.5119112627986349</v>
      </c>
      <c r="Z95" s="33">
        <f ca="1">SUMPRODUCT(OFFSET(doEff,0,0,2,1),OFFSET(INDEX(bcEff_Res,1,22),0,0,2,1)) + INDEX(doEff,3)*(INDEX(eff0BC_Res,3)+INDEX(pushBC_Res,2)) + SUMPRODUCT(doEff,INDEX(bcEff_Res,,21),N(_el&gt;2))</f>
        <v>2.5119112627986349</v>
      </c>
      <c r="AA95" s="33">
        <f ca="1">SUMPRODUCT(OFFSET(doEff,0,0,2,1),OFFSET(INDEX(bcEff_Res,1,23),0,0,2,1)) + INDEX(doEff,3)*(INDEX(eff0BC_Res,3)+INDEX(pushBC_Res,2)) + SUMPRODUCT(doEff,INDEX(bcEff_Res,,22),N(_el&gt;2))</f>
        <v>2.5119112627986349</v>
      </c>
      <c r="AB95" s="33">
        <f ca="1">SUMPRODUCT(OFFSET(doEff,0,0,2,1),OFFSET(INDEX(bcEff_Res,1,24),0,0,2,1)) + INDEX(doEff,3)*(INDEX(eff0BC_Res,3)+INDEX(pushBC_Res,2)) + SUMPRODUCT(doEff,INDEX(bcEff_Res,,23),N(_el&gt;2))</f>
        <v>2.5119112627986349</v>
      </c>
      <c r="AC95" s="33">
        <f ca="1">SUMPRODUCT(OFFSET(doEff,0,0,2,1),OFFSET(INDEX(bcEff_Res,1,25),0,0,2,1)) + INDEX(doEff,3)*(INDEX(eff0BC_Res,3)+INDEX(pushBC_Res,2)) + SUMPRODUCT(doEff,INDEX(bcEff_Res,,24),N(_el&gt;2))</f>
        <v>2.5119112627986349</v>
      </c>
      <c r="AD95" s="33">
        <f ca="1">SUMPRODUCT(OFFSET(doEff,0,0,2,1),OFFSET(INDEX(bcEff_Res,1,26),0,0,2,1)) + INDEX(doEff,3)*(INDEX(eff0BC_Res,3)+INDEX(pushBC_Res,2)) + SUMPRODUCT(doEff,INDEX(bcEff_Res,,25),N(_el&gt;2))</f>
        <v>2.5119112627986349</v>
      </c>
      <c r="AE95" s="33">
        <f ca="1">SUMPRODUCT(OFFSET(doEff,0,0,2,1),OFFSET(INDEX(bcEff_Res,1,27),0,0,2,1)) + INDEX(doEff,3)*(INDEX(eff0BC_Res,3)+INDEX(pushBC_Res,2)) + SUMPRODUCT(doEff,INDEX(bcEff_Res,,26),N(_el&gt;2))</f>
        <v>2.5119112627986349</v>
      </c>
      <c r="AF95" s="33">
        <f ca="1">SUMPRODUCT(OFFSET(doEff,0,0,2,1),OFFSET(INDEX(bcEff_Res,1,28),0,0,2,1)) + INDEX(doEff,3)*(INDEX(eff0BC_Res,3)+INDEX(pushBC_Res,2)) + SUMPRODUCT(doEff,INDEX(bcEff_Res,,27),N(_el&gt;2))</f>
        <v>2.5119112627986349</v>
      </c>
      <c r="AG95" s="33">
        <f ca="1">SUMPRODUCT(OFFSET(doEff,0,0,2,1),OFFSET(INDEX(bcEff_Res,1,29),0,0,2,1)) + INDEX(doEff,3)*(INDEX(eff0BC_Res,3)+INDEX(pushBC_Res,2)) + SUMPRODUCT(doEff,INDEX(bcEff_Res,,28),N(_el&gt;2))</f>
        <v>2.5119112627986349</v>
      </c>
      <c r="AH95" s="33">
        <f ca="1">SUMPRODUCT(OFFSET(doEff,0,0,2,1),OFFSET(INDEX(bcEff_Res,1,30),0,0,2,1)) + INDEX(doEff,3)*(INDEX(eff0BC_Res,3)+INDEX(pushBC_Res,2)) + SUMPRODUCT(doEff,INDEX(bcEff_Res,,29),N(_el&gt;2))</f>
        <v>2.5119112627986349</v>
      </c>
      <c r="AI95" s="33">
        <f ca="1">SUMPRODUCT(OFFSET(doEff,0,0,2,1),OFFSET(INDEX(bcEff_Res,1,31),0,0,2,1)) + INDEX(doEff,3)*(INDEX(eff0BC_Res,3)+INDEX(pushBC_Res,2)) + SUMPRODUCT(doEff,INDEX(bcEff_Res,,30),N(_el&gt;2))</f>
        <v>2.5119112627986349</v>
      </c>
      <c r="AJ95" s="33">
        <f ca="1">SUMPRODUCT(OFFSET(doEff,0,0,2,1),OFFSET(INDEX(bcEff_Res,1,32),0,0,2,1)) + INDEX(doEff,3)*(INDEX(eff0BC_Res,3)+INDEX(pushBC_Res,2)) + SUMPRODUCT(doEff,INDEX(bcEff_Res,,31),N(_el&gt;2))</f>
        <v>2.5119112627986349</v>
      </c>
      <c r="AK95" s="33">
        <f ca="1">SUMPRODUCT(OFFSET(doEff,0,0,2,1),OFFSET(INDEX(bcEff_Res,1,33),0,0,2,1)) + INDEX(doEff,3)*(INDEX(eff0BC_Res,3)+INDEX(pushBC_Res,2)) + SUMPRODUCT(doEff,INDEX(bcEff_Res,,32),N(_el&gt;2))</f>
        <v>2.5119112627986349</v>
      </c>
      <c r="AL95" s="33">
        <f ca="1">SUMPRODUCT(OFFSET(doEff,0,0,2,1),OFFSET(INDEX(bcEff_Res,1,34),0,0,2,1)) + INDEX(doEff,3)*(INDEX(eff0BC_Res,3)+INDEX(pushBC_Res,2)) + SUMPRODUCT(doEff,INDEX(bcEff_Res,,33),N(_el&gt;2))</f>
        <v>2.5119112627986349</v>
      </c>
      <c r="AM95" s="33">
        <f ca="1">SUMPRODUCT(OFFSET(doEff,0,0,2,1),OFFSET(INDEX(bcEff_Res,1,35),0,0,2,1)) + INDEX(doEff,3)*(INDEX(eff0BC_Res,3)+INDEX(pushBC_Res,2)) + SUMPRODUCT(doEff,INDEX(bcEff_Res,,34),N(_el&gt;2))</f>
        <v>2.5119112627986349</v>
      </c>
      <c r="AN95" s="34">
        <f ca="1">SUMPRODUCT(OFFSET(doEff,0,0,2,1),OFFSET(INDEX(bcEff_Res,1,36),0,0,2,1)) + INDEX(doEff,3)*(INDEX(eff0BC_Res,3)+INDEX(pushBC_Res,2)) + SUMPRODUCT(doEff,INDEX(bcEff_Res,,35),N(_el&gt;2))</f>
        <v>2.5119112627986349</v>
      </c>
      <c r="AO95" s="8"/>
    </row>
    <row r="96" spans="2:41" hidden="1" x14ac:dyDescent="0.35">
      <c r="B96" s="8"/>
      <c r="C96" s="19" t="str">
        <f>"EL 3: " &amp; INDEX(_doName,3,4)</f>
        <v>EL 3: EL 3</v>
      </c>
      <c r="D96" s="11"/>
      <c r="E96" s="33"/>
      <c r="F96" s="33">
        <f ca="1">SUMPRODUCT(OFFSET(doEff,0,0,3,1),OFFSET(INDEX(bcEff_Res,1,2),0,0,3,1)) + INDEX(doEff,4)*(INDEX(eff0BC_Res,4)+INDEX(pushBC_Res,3)) + SUMPRODUCT(doEff,INDEX(bcEff_Res,,1),N(_el&gt;3))</f>
        <v>2.5119112627986349</v>
      </c>
      <c r="G96" s="33">
        <f ca="1">SUMPRODUCT(OFFSET(doEff,0,0,3,1),OFFSET(INDEX(bcEff_Res,1,3),0,0,3,1)) + INDEX(doEff,4)*(INDEX(eff0BC_Res,4)+INDEX(pushBC_Res,3)) + SUMPRODUCT(doEff,INDEX(bcEff_Res,,2),N(_el&gt;3))</f>
        <v>2.5119112627986349</v>
      </c>
      <c r="H96" s="33">
        <f ca="1">SUMPRODUCT(OFFSET(doEff,0,0,3,1),OFFSET(INDEX(bcEff_Res,1,4),0,0,3,1)) + INDEX(doEff,4)*(INDEX(eff0BC_Res,4)+INDEX(pushBC_Res,3)) + SUMPRODUCT(doEff,INDEX(bcEff_Res,,3),N(_el&gt;3))</f>
        <v>2.5119112627986349</v>
      </c>
      <c r="I96" s="33">
        <f ca="1">SUMPRODUCT(OFFSET(doEff,0,0,3,1),OFFSET(INDEX(bcEff_Res,1,5),0,0,3,1)) + INDEX(doEff,4)*(INDEX(eff0BC_Res,4)+INDEX(pushBC_Res,3)) + SUMPRODUCT(doEff,INDEX(bcEff_Res,,4),N(_el&gt;3))</f>
        <v>2.5119112627986349</v>
      </c>
      <c r="J96" s="33">
        <f ca="1">SUMPRODUCT(OFFSET(doEff,0,0,3,1),OFFSET(INDEX(bcEff_Res,1,6),0,0,3,1)) + INDEX(doEff,4)*(INDEX(eff0BC_Res,4)+INDEX(pushBC_Res,3)) + SUMPRODUCT(doEff,INDEX(bcEff_Res,,5),N(_el&gt;3))</f>
        <v>2.5119112627986349</v>
      </c>
      <c r="K96" s="33">
        <f ca="1">SUMPRODUCT(OFFSET(doEff,0,0,3,1),OFFSET(INDEX(bcEff_Res,1,7),0,0,3,1)) + INDEX(doEff,4)*(INDEX(eff0BC_Res,4)+INDEX(pushBC_Res,3)) + SUMPRODUCT(doEff,INDEX(bcEff_Res,,6),N(_el&gt;3))</f>
        <v>2.5119112627986349</v>
      </c>
      <c r="L96" s="33">
        <f ca="1">SUMPRODUCT(OFFSET(doEff,0,0,3,1),OFFSET(INDEX(bcEff_Res,1,8),0,0,3,1)) + INDEX(doEff,4)*(INDEX(eff0BC_Res,4)+INDEX(pushBC_Res,3)) + SUMPRODUCT(doEff,INDEX(bcEff_Res,,7),N(_el&gt;3))</f>
        <v>2.5119112627986349</v>
      </c>
      <c r="M96" s="33">
        <f ca="1">SUMPRODUCT(OFFSET(doEff,0,0,3,1),OFFSET(INDEX(bcEff_Res,1,9),0,0,3,1)) + INDEX(doEff,4)*(INDEX(eff0BC_Res,4)+INDEX(pushBC_Res,3)) + SUMPRODUCT(doEff,INDEX(bcEff_Res,,8),N(_el&gt;3))</f>
        <v>2.5119112627986349</v>
      </c>
      <c r="N96" s="33">
        <f ca="1">SUMPRODUCT(OFFSET(doEff,0,0,3,1),OFFSET(INDEX(bcEff_Res,1,10),0,0,3,1)) + INDEX(doEff,4)*(INDEX(eff0BC_Res,4)+INDEX(pushBC_Res,3)) + SUMPRODUCT(doEff,INDEX(bcEff_Res,,9),N(_el&gt;3))</f>
        <v>2.5119112627986349</v>
      </c>
      <c r="O96" s="33">
        <f ca="1">SUMPRODUCT(OFFSET(doEff,0,0,3,1),OFFSET(INDEX(bcEff_Res,1,11),0,0,3,1)) + INDEX(doEff,4)*(INDEX(eff0BC_Res,4)+INDEX(pushBC_Res,3)) + SUMPRODUCT(doEff,INDEX(bcEff_Res,,10),N(_el&gt;3))</f>
        <v>2.5119112627986349</v>
      </c>
      <c r="P96" s="33">
        <f ca="1">SUMPRODUCT(OFFSET(doEff,0,0,3,1),OFFSET(INDEX(bcEff_Res,1,12),0,0,3,1)) + INDEX(doEff,4)*(INDEX(eff0BC_Res,4)+INDEX(pushBC_Res,3)) + SUMPRODUCT(doEff,INDEX(bcEff_Res,,11),N(_el&gt;3))</f>
        <v>2.5119112627986349</v>
      </c>
      <c r="Q96" s="33">
        <f ca="1">SUMPRODUCT(OFFSET(doEff,0,0,3,1),OFFSET(INDEX(bcEff_Res,1,13),0,0,3,1)) + INDEX(doEff,4)*(INDEX(eff0BC_Res,4)+INDEX(pushBC_Res,3)) + SUMPRODUCT(doEff,INDEX(bcEff_Res,,12),N(_el&gt;3))</f>
        <v>2.5119112627986349</v>
      </c>
      <c r="R96" s="33">
        <f ca="1">SUMPRODUCT(OFFSET(doEff,0,0,3,1),OFFSET(INDEX(bcEff_Res,1,14),0,0,3,1)) + INDEX(doEff,4)*(INDEX(eff0BC_Res,4)+INDEX(pushBC_Res,3)) + SUMPRODUCT(doEff,INDEX(bcEff_Res,,13),N(_el&gt;3))</f>
        <v>2.5119112627986349</v>
      </c>
      <c r="S96" s="33">
        <f ca="1">SUMPRODUCT(OFFSET(doEff,0,0,3,1),OFFSET(INDEX(bcEff_Res,1,15),0,0,3,1)) + INDEX(doEff,4)*(INDEX(eff0BC_Res,4)+INDEX(pushBC_Res,3)) + SUMPRODUCT(doEff,INDEX(bcEff_Res,,14),N(_el&gt;3))</f>
        <v>2.5119112627986349</v>
      </c>
      <c r="T96" s="33">
        <f ca="1">SUMPRODUCT(OFFSET(doEff,0,0,3,1),OFFSET(INDEX(bcEff_Res,1,16),0,0,3,1)) + INDEX(doEff,4)*(INDEX(eff0BC_Res,4)+INDEX(pushBC_Res,3)) + SUMPRODUCT(doEff,INDEX(bcEff_Res,,15),N(_el&gt;3))</f>
        <v>2.5119112627986349</v>
      </c>
      <c r="U96" s="33">
        <f ca="1">SUMPRODUCT(OFFSET(doEff,0,0,3,1),OFFSET(INDEX(bcEff_Res,1,17),0,0,3,1)) + INDEX(doEff,4)*(INDEX(eff0BC_Res,4)+INDEX(pushBC_Res,3)) + SUMPRODUCT(doEff,INDEX(bcEff_Res,,16),N(_el&gt;3))</f>
        <v>2.5119112627986349</v>
      </c>
      <c r="V96" s="33">
        <f ca="1">SUMPRODUCT(OFFSET(doEff,0,0,3,1),OFFSET(INDEX(bcEff_Res,1,18),0,0,3,1)) + INDEX(doEff,4)*(INDEX(eff0BC_Res,4)+INDEX(pushBC_Res,3)) + SUMPRODUCT(doEff,INDEX(bcEff_Res,,17),N(_el&gt;3))</f>
        <v>2.5119112627986349</v>
      </c>
      <c r="W96" s="33">
        <f ca="1">SUMPRODUCT(OFFSET(doEff,0,0,3,1),OFFSET(INDEX(bcEff_Res,1,19),0,0,3,1)) + INDEX(doEff,4)*(INDEX(eff0BC_Res,4)+INDEX(pushBC_Res,3)) + SUMPRODUCT(doEff,INDEX(bcEff_Res,,18),N(_el&gt;3))</f>
        <v>2.5119112627986349</v>
      </c>
      <c r="X96" s="33">
        <f ca="1">SUMPRODUCT(OFFSET(doEff,0,0,3,1),OFFSET(INDEX(bcEff_Res,1,20),0,0,3,1)) + INDEX(doEff,4)*(INDEX(eff0BC_Res,4)+INDEX(pushBC_Res,3)) + SUMPRODUCT(doEff,INDEX(bcEff_Res,,19),N(_el&gt;3))</f>
        <v>2.5119112627986349</v>
      </c>
      <c r="Y96" s="33">
        <f ca="1">SUMPRODUCT(OFFSET(doEff,0,0,3,1),OFFSET(INDEX(bcEff_Res,1,21),0,0,3,1)) + INDEX(doEff,4)*(INDEX(eff0BC_Res,4)+INDEX(pushBC_Res,3)) + SUMPRODUCT(doEff,INDEX(bcEff_Res,,20),N(_el&gt;3))</f>
        <v>2.5119112627986349</v>
      </c>
      <c r="Z96" s="33">
        <f ca="1">SUMPRODUCT(OFFSET(doEff,0,0,3,1),OFFSET(INDEX(bcEff_Res,1,22),0,0,3,1)) + INDEX(doEff,4)*(INDEX(eff0BC_Res,4)+INDEX(pushBC_Res,3)) + SUMPRODUCT(doEff,INDEX(bcEff_Res,,21),N(_el&gt;3))</f>
        <v>2.5119112627986349</v>
      </c>
      <c r="AA96" s="33">
        <f ca="1">SUMPRODUCT(OFFSET(doEff,0,0,3,1),OFFSET(INDEX(bcEff_Res,1,23),0,0,3,1)) + INDEX(doEff,4)*(INDEX(eff0BC_Res,4)+INDEX(pushBC_Res,3)) + SUMPRODUCT(doEff,INDEX(bcEff_Res,,22),N(_el&gt;3))</f>
        <v>2.5119112627986349</v>
      </c>
      <c r="AB96" s="33">
        <f ca="1">SUMPRODUCT(OFFSET(doEff,0,0,3,1),OFFSET(INDEX(bcEff_Res,1,24),0,0,3,1)) + INDEX(doEff,4)*(INDEX(eff0BC_Res,4)+INDEX(pushBC_Res,3)) + SUMPRODUCT(doEff,INDEX(bcEff_Res,,23),N(_el&gt;3))</f>
        <v>2.5119112627986349</v>
      </c>
      <c r="AC96" s="33">
        <f ca="1">SUMPRODUCT(OFFSET(doEff,0,0,3,1),OFFSET(INDEX(bcEff_Res,1,25),0,0,3,1)) + INDEX(doEff,4)*(INDEX(eff0BC_Res,4)+INDEX(pushBC_Res,3)) + SUMPRODUCT(doEff,INDEX(bcEff_Res,,24),N(_el&gt;3))</f>
        <v>2.5119112627986349</v>
      </c>
      <c r="AD96" s="33">
        <f ca="1">SUMPRODUCT(OFFSET(doEff,0,0,3,1),OFFSET(INDEX(bcEff_Res,1,26),0,0,3,1)) + INDEX(doEff,4)*(INDEX(eff0BC_Res,4)+INDEX(pushBC_Res,3)) + SUMPRODUCT(doEff,INDEX(bcEff_Res,,25),N(_el&gt;3))</f>
        <v>2.5119112627986349</v>
      </c>
      <c r="AE96" s="33">
        <f ca="1">SUMPRODUCT(OFFSET(doEff,0,0,3,1),OFFSET(INDEX(bcEff_Res,1,27),0,0,3,1)) + INDEX(doEff,4)*(INDEX(eff0BC_Res,4)+INDEX(pushBC_Res,3)) + SUMPRODUCT(doEff,INDEX(bcEff_Res,,26),N(_el&gt;3))</f>
        <v>2.5119112627986349</v>
      </c>
      <c r="AF96" s="33">
        <f ca="1">SUMPRODUCT(OFFSET(doEff,0,0,3,1),OFFSET(INDEX(bcEff_Res,1,28),0,0,3,1)) + INDEX(doEff,4)*(INDEX(eff0BC_Res,4)+INDEX(pushBC_Res,3)) + SUMPRODUCT(doEff,INDEX(bcEff_Res,,27),N(_el&gt;3))</f>
        <v>2.5119112627986349</v>
      </c>
      <c r="AG96" s="33">
        <f ca="1">SUMPRODUCT(OFFSET(doEff,0,0,3,1),OFFSET(INDEX(bcEff_Res,1,29),0,0,3,1)) + INDEX(doEff,4)*(INDEX(eff0BC_Res,4)+INDEX(pushBC_Res,3)) + SUMPRODUCT(doEff,INDEX(bcEff_Res,,28),N(_el&gt;3))</f>
        <v>2.5119112627986349</v>
      </c>
      <c r="AH96" s="33">
        <f ca="1">SUMPRODUCT(OFFSET(doEff,0,0,3,1),OFFSET(INDEX(bcEff_Res,1,30),0,0,3,1)) + INDEX(doEff,4)*(INDEX(eff0BC_Res,4)+INDEX(pushBC_Res,3)) + SUMPRODUCT(doEff,INDEX(bcEff_Res,,29),N(_el&gt;3))</f>
        <v>2.5119112627986349</v>
      </c>
      <c r="AI96" s="33">
        <f ca="1">SUMPRODUCT(OFFSET(doEff,0,0,3,1),OFFSET(INDEX(bcEff_Res,1,31),0,0,3,1)) + INDEX(doEff,4)*(INDEX(eff0BC_Res,4)+INDEX(pushBC_Res,3)) + SUMPRODUCT(doEff,INDEX(bcEff_Res,,30),N(_el&gt;3))</f>
        <v>2.5119112627986349</v>
      </c>
      <c r="AJ96" s="33">
        <f ca="1">SUMPRODUCT(OFFSET(doEff,0,0,3,1),OFFSET(INDEX(bcEff_Res,1,32),0,0,3,1)) + INDEX(doEff,4)*(INDEX(eff0BC_Res,4)+INDEX(pushBC_Res,3)) + SUMPRODUCT(doEff,INDEX(bcEff_Res,,31),N(_el&gt;3))</f>
        <v>2.5119112627986349</v>
      </c>
      <c r="AK96" s="33">
        <f ca="1">SUMPRODUCT(OFFSET(doEff,0,0,3,1),OFFSET(INDEX(bcEff_Res,1,33),0,0,3,1)) + INDEX(doEff,4)*(INDEX(eff0BC_Res,4)+INDEX(pushBC_Res,3)) + SUMPRODUCT(doEff,INDEX(bcEff_Res,,32),N(_el&gt;3))</f>
        <v>2.5119112627986349</v>
      </c>
      <c r="AL96" s="33">
        <f ca="1">SUMPRODUCT(OFFSET(doEff,0,0,3,1),OFFSET(INDEX(bcEff_Res,1,34),0,0,3,1)) + INDEX(doEff,4)*(INDEX(eff0BC_Res,4)+INDEX(pushBC_Res,3)) + SUMPRODUCT(doEff,INDEX(bcEff_Res,,33),N(_el&gt;3))</f>
        <v>2.5119112627986349</v>
      </c>
      <c r="AM96" s="33">
        <f ca="1">SUMPRODUCT(OFFSET(doEff,0,0,3,1),OFFSET(INDEX(bcEff_Res,1,35),0,0,3,1)) + INDEX(doEff,4)*(INDEX(eff0BC_Res,4)+INDEX(pushBC_Res,3)) + SUMPRODUCT(doEff,INDEX(bcEff_Res,,34),N(_el&gt;3))</f>
        <v>2.5119112627986349</v>
      </c>
      <c r="AN96" s="34">
        <f ca="1">SUMPRODUCT(OFFSET(doEff,0,0,3,1),OFFSET(INDEX(bcEff_Res,1,36),0,0,3,1)) + INDEX(doEff,4)*(INDEX(eff0BC_Res,4)+INDEX(pushBC_Res,3)) + SUMPRODUCT(doEff,INDEX(bcEff_Res,,35),N(_el&gt;3))</f>
        <v>2.5119112627986349</v>
      </c>
      <c r="AO96" s="8"/>
    </row>
    <row r="97" spans="2:41" hidden="1" x14ac:dyDescent="0.35">
      <c r="B97" s="8"/>
      <c r="C97" s="35" t="str">
        <f>"EL 4: " &amp; INDEX(_doName,3,5)</f>
        <v>EL 4: EL 4</v>
      </c>
      <c r="D97" s="15"/>
      <c r="E97" s="21"/>
      <c r="F97" s="21">
        <f ca="1">SUMPRODUCT(OFFSET(doEff,0,0,4,1),OFFSET(INDEX(bcEff_Res,1,2),0,0,4,1)) + INDEX(doEff,5)*(INDEX(eff0BC_Res,5)+INDEX(pushBC_Res,4)) + 0</f>
        <v>2.5119112627986349</v>
      </c>
      <c r="G97" s="21">
        <f ca="1">SUMPRODUCT(OFFSET(doEff,0,0,4,1),OFFSET(INDEX(bcEff_Res,1,3),0,0,4,1)) + INDEX(doEff,5)*(INDEX(eff0BC_Res,5)+INDEX(pushBC_Res,4)) + 0</f>
        <v>2.5119112627986349</v>
      </c>
      <c r="H97" s="21">
        <f ca="1">SUMPRODUCT(OFFSET(doEff,0,0,4,1),OFFSET(INDEX(bcEff_Res,1,4),0,0,4,1)) + INDEX(doEff,5)*(INDEX(eff0BC_Res,5)+INDEX(pushBC_Res,4)) + 0</f>
        <v>2.5119112627986349</v>
      </c>
      <c r="I97" s="21">
        <f ca="1">SUMPRODUCT(OFFSET(doEff,0,0,4,1),OFFSET(INDEX(bcEff_Res,1,5),0,0,4,1)) + INDEX(doEff,5)*(INDEX(eff0BC_Res,5)+INDEX(pushBC_Res,4)) + 0</f>
        <v>2.5119112627986349</v>
      </c>
      <c r="J97" s="21">
        <f ca="1">SUMPRODUCT(OFFSET(doEff,0,0,4,1),OFFSET(INDEX(bcEff_Res,1,6),0,0,4,1)) + INDEX(doEff,5)*(INDEX(eff0BC_Res,5)+INDEX(pushBC_Res,4)) + 0</f>
        <v>2.5119112627986349</v>
      </c>
      <c r="K97" s="21">
        <f ca="1">SUMPRODUCT(OFFSET(doEff,0,0,4,1),OFFSET(INDEX(bcEff_Res,1,7),0,0,4,1)) + INDEX(doEff,5)*(INDEX(eff0BC_Res,5)+INDEX(pushBC_Res,4)) + 0</f>
        <v>2.5119112627986349</v>
      </c>
      <c r="L97" s="21">
        <f ca="1">SUMPRODUCT(OFFSET(doEff,0,0,4,1),OFFSET(INDEX(bcEff_Res,1,8),0,0,4,1)) + INDEX(doEff,5)*(INDEX(eff0BC_Res,5)+INDEX(pushBC_Res,4)) + 0</f>
        <v>2.5119112627986349</v>
      </c>
      <c r="M97" s="21">
        <f ca="1">SUMPRODUCT(OFFSET(doEff,0,0,4,1),OFFSET(INDEX(bcEff_Res,1,9),0,0,4,1)) + INDEX(doEff,5)*(INDEX(eff0BC_Res,5)+INDEX(pushBC_Res,4)) + 0</f>
        <v>2.5119112627986349</v>
      </c>
      <c r="N97" s="21">
        <f ca="1">SUMPRODUCT(OFFSET(doEff,0,0,4,1),OFFSET(INDEX(bcEff_Res,1,10),0,0,4,1)) + INDEX(doEff,5)*(INDEX(eff0BC_Res,5)+INDEX(pushBC_Res,4)) + 0</f>
        <v>2.5119112627986349</v>
      </c>
      <c r="O97" s="21">
        <f ca="1">SUMPRODUCT(OFFSET(doEff,0,0,4,1),OFFSET(INDEX(bcEff_Res,1,11),0,0,4,1)) + INDEX(doEff,5)*(INDEX(eff0BC_Res,5)+INDEX(pushBC_Res,4)) + 0</f>
        <v>2.5119112627986349</v>
      </c>
      <c r="P97" s="21">
        <f ca="1">SUMPRODUCT(OFFSET(doEff,0,0,4,1),OFFSET(INDEX(bcEff_Res,1,12),0,0,4,1)) + INDEX(doEff,5)*(INDEX(eff0BC_Res,5)+INDEX(pushBC_Res,4)) + 0</f>
        <v>2.5119112627986349</v>
      </c>
      <c r="Q97" s="21">
        <f ca="1">SUMPRODUCT(OFFSET(doEff,0,0,4,1),OFFSET(INDEX(bcEff_Res,1,13),0,0,4,1)) + INDEX(doEff,5)*(INDEX(eff0BC_Res,5)+INDEX(pushBC_Res,4)) + 0</f>
        <v>2.5119112627986349</v>
      </c>
      <c r="R97" s="21">
        <f ca="1">SUMPRODUCT(OFFSET(doEff,0,0,4,1),OFFSET(INDEX(bcEff_Res,1,14),0,0,4,1)) + INDEX(doEff,5)*(INDEX(eff0BC_Res,5)+INDEX(pushBC_Res,4)) + 0</f>
        <v>2.5119112627986349</v>
      </c>
      <c r="S97" s="21">
        <f ca="1">SUMPRODUCT(OFFSET(doEff,0,0,4,1),OFFSET(INDEX(bcEff_Res,1,15),0,0,4,1)) + INDEX(doEff,5)*(INDEX(eff0BC_Res,5)+INDEX(pushBC_Res,4)) + 0</f>
        <v>2.5119112627986349</v>
      </c>
      <c r="T97" s="21">
        <f ca="1">SUMPRODUCT(OFFSET(doEff,0,0,4,1),OFFSET(INDEX(bcEff_Res,1,16),0,0,4,1)) + INDEX(doEff,5)*(INDEX(eff0BC_Res,5)+INDEX(pushBC_Res,4)) + 0</f>
        <v>2.5119112627986349</v>
      </c>
      <c r="U97" s="21">
        <f ca="1">SUMPRODUCT(OFFSET(doEff,0,0,4,1),OFFSET(INDEX(bcEff_Res,1,17),0,0,4,1)) + INDEX(doEff,5)*(INDEX(eff0BC_Res,5)+INDEX(pushBC_Res,4)) + 0</f>
        <v>2.5119112627986349</v>
      </c>
      <c r="V97" s="21">
        <f ca="1">SUMPRODUCT(OFFSET(doEff,0,0,4,1),OFFSET(INDEX(bcEff_Res,1,18),0,0,4,1)) + INDEX(doEff,5)*(INDEX(eff0BC_Res,5)+INDEX(pushBC_Res,4)) + 0</f>
        <v>2.5119112627986349</v>
      </c>
      <c r="W97" s="21">
        <f ca="1">SUMPRODUCT(OFFSET(doEff,0,0,4,1),OFFSET(INDEX(bcEff_Res,1,19),0,0,4,1)) + INDEX(doEff,5)*(INDEX(eff0BC_Res,5)+INDEX(pushBC_Res,4)) + 0</f>
        <v>2.5119112627986349</v>
      </c>
      <c r="X97" s="21">
        <f ca="1">SUMPRODUCT(OFFSET(doEff,0,0,4,1),OFFSET(INDEX(bcEff_Res,1,20),0,0,4,1)) + INDEX(doEff,5)*(INDEX(eff0BC_Res,5)+INDEX(pushBC_Res,4)) + 0</f>
        <v>2.5119112627986349</v>
      </c>
      <c r="Y97" s="21">
        <f ca="1">SUMPRODUCT(OFFSET(doEff,0,0,4,1),OFFSET(INDEX(bcEff_Res,1,21),0,0,4,1)) + INDEX(doEff,5)*(INDEX(eff0BC_Res,5)+INDEX(pushBC_Res,4)) + 0</f>
        <v>2.5119112627986349</v>
      </c>
      <c r="Z97" s="21">
        <f ca="1">SUMPRODUCT(OFFSET(doEff,0,0,4,1),OFFSET(INDEX(bcEff_Res,1,22),0,0,4,1)) + INDEX(doEff,5)*(INDEX(eff0BC_Res,5)+INDEX(pushBC_Res,4)) + 0</f>
        <v>2.5119112627986349</v>
      </c>
      <c r="AA97" s="21">
        <f ca="1">SUMPRODUCT(OFFSET(doEff,0,0,4,1),OFFSET(INDEX(bcEff_Res,1,23),0,0,4,1)) + INDEX(doEff,5)*(INDEX(eff0BC_Res,5)+INDEX(pushBC_Res,4)) + 0</f>
        <v>2.5119112627986349</v>
      </c>
      <c r="AB97" s="21">
        <f ca="1">SUMPRODUCT(OFFSET(doEff,0,0,4,1),OFFSET(INDEX(bcEff_Res,1,24),0,0,4,1)) + INDEX(doEff,5)*(INDEX(eff0BC_Res,5)+INDEX(pushBC_Res,4)) + 0</f>
        <v>2.5119112627986349</v>
      </c>
      <c r="AC97" s="21">
        <f ca="1">SUMPRODUCT(OFFSET(doEff,0,0,4,1),OFFSET(INDEX(bcEff_Res,1,25),0,0,4,1)) + INDEX(doEff,5)*(INDEX(eff0BC_Res,5)+INDEX(pushBC_Res,4)) + 0</f>
        <v>2.5119112627986349</v>
      </c>
      <c r="AD97" s="21">
        <f ca="1">SUMPRODUCT(OFFSET(doEff,0,0,4,1),OFFSET(INDEX(bcEff_Res,1,26),0,0,4,1)) + INDEX(doEff,5)*(INDEX(eff0BC_Res,5)+INDEX(pushBC_Res,4)) + 0</f>
        <v>2.5119112627986349</v>
      </c>
      <c r="AE97" s="21">
        <f ca="1">SUMPRODUCT(OFFSET(doEff,0,0,4,1),OFFSET(INDEX(bcEff_Res,1,27),0,0,4,1)) + INDEX(doEff,5)*(INDEX(eff0BC_Res,5)+INDEX(pushBC_Res,4)) + 0</f>
        <v>2.5119112627986349</v>
      </c>
      <c r="AF97" s="21">
        <f ca="1">SUMPRODUCT(OFFSET(doEff,0,0,4,1),OFFSET(INDEX(bcEff_Res,1,28),0,0,4,1)) + INDEX(doEff,5)*(INDEX(eff0BC_Res,5)+INDEX(pushBC_Res,4)) + 0</f>
        <v>2.5119112627986349</v>
      </c>
      <c r="AG97" s="21">
        <f ca="1">SUMPRODUCT(OFFSET(doEff,0,0,4,1),OFFSET(INDEX(bcEff_Res,1,29),0,0,4,1)) + INDEX(doEff,5)*(INDEX(eff0BC_Res,5)+INDEX(pushBC_Res,4)) + 0</f>
        <v>2.5119112627986349</v>
      </c>
      <c r="AH97" s="21">
        <f ca="1">SUMPRODUCT(OFFSET(doEff,0,0,4,1),OFFSET(INDEX(bcEff_Res,1,30),0,0,4,1)) + INDEX(doEff,5)*(INDEX(eff0BC_Res,5)+INDEX(pushBC_Res,4)) + 0</f>
        <v>2.5119112627986349</v>
      </c>
      <c r="AI97" s="21">
        <f ca="1">SUMPRODUCT(OFFSET(doEff,0,0,4,1),OFFSET(INDEX(bcEff_Res,1,31),0,0,4,1)) + INDEX(doEff,5)*(INDEX(eff0BC_Res,5)+INDEX(pushBC_Res,4)) + 0</f>
        <v>2.5119112627986349</v>
      </c>
      <c r="AJ97" s="21">
        <f ca="1">SUMPRODUCT(OFFSET(doEff,0,0,4,1),OFFSET(INDEX(bcEff_Res,1,32),0,0,4,1)) + INDEX(doEff,5)*(INDEX(eff0BC_Res,5)+INDEX(pushBC_Res,4)) + 0</f>
        <v>2.5119112627986349</v>
      </c>
      <c r="AK97" s="21">
        <f ca="1">SUMPRODUCT(OFFSET(doEff,0,0,4,1),OFFSET(INDEX(bcEff_Res,1,33),0,0,4,1)) + INDEX(doEff,5)*(INDEX(eff0BC_Res,5)+INDEX(pushBC_Res,4)) + 0</f>
        <v>2.5119112627986349</v>
      </c>
      <c r="AL97" s="21">
        <f ca="1">SUMPRODUCT(OFFSET(doEff,0,0,4,1),OFFSET(INDEX(bcEff_Res,1,34),0,0,4,1)) + INDEX(doEff,5)*(INDEX(eff0BC_Res,5)+INDEX(pushBC_Res,4)) + 0</f>
        <v>2.5119112627986349</v>
      </c>
      <c r="AM97" s="21">
        <f ca="1">SUMPRODUCT(OFFSET(doEff,0,0,4,1),OFFSET(INDEX(bcEff_Res,1,35),0,0,4,1)) + INDEX(doEff,5)*(INDEX(eff0BC_Res,5)+INDEX(pushBC_Res,4)) + 0</f>
        <v>2.5119112627986349</v>
      </c>
      <c r="AN97" s="22">
        <f ca="1">SUMPRODUCT(OFFSET(doEff,0,0,4,1),OFFSET(INDEX(bcEff_Res,1,36),0,0,4,1)) + INDEX(doEff,5)*(INDEX(eff0BC_Res,5)+INDEX(pushBC_Res,4)) + 0</f>
        <v>2.5119112627986349</v>
      </c>
      <c r="AO97" s="8"/>
    </row>
    <row r="98" spans="2:41" hidden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</row>
    <row r="99" spans="2:41" x14ac:dyDescent="0.35">
      <c r="B99" s="8"/>
      <c r="C99" s="132" t="s">
        <v>15</v>
      </c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4"/>
      <c r="AO99" s="8"/>
    </row>
    <row r="100" spans="2:41" x14ac:dyDescent="0.35">
      <c r="B100" s="8"/>
      <c r="C100" s="23" t="s">
        <v>98</v>
      </c>
      <c r="D100" s="24"/>
      <c r="E100" s="26">
        <f t="array" ref="E100:AN100">_yS</f>
        <v>2024</v>
      </c>
      <c r="F100" s="26">
        <v>2025</v>
      </c>
      <c r="G100" s="26">
        <v>2026</v>
      </c>
      <c r="H100" s="26">
        <v>2027</v>
      </c>
      <c r="I100" s="26">
        <v>2028</v>
      </c>
      <c r="J100" s="26">
        <v>2029</v>
      </c>
      <c r="K100" s="26">
        <v>2030</v>
      </c>
      <c r="L100" s="26">
        <v>2031</v>
      </c>
      <c r="M100" s="26">
        <v>2032</v>
      </c>
      <c r="N100" s="26">
        <v>2033</v>
      </c>
      <c r="O100" s="26">
        <v>2034</v>
      </c>
      <c r="P100" s="26">
        <v>2035</v>
      </c>
      <c r="Q100" s="26">
        <v>2036</v>
      </c>
      <c r="R100" s="26">
        <v>2037</v>
      </c>
      <c r="S100" s="26">
        <v>2038</v>
      </c>
      <c r="T100" s="26">
        <v>2039</v>
      </c>
      <c r="U100" s="26">
        <v>2040</v>
      </c>
      <c r="V100" s="26">
        <v>2041</v>
      </c>
      <c r="W100" s="26">
        <v>2042</v>
      </c>
      <c r="X100" s="26">
        <v>2043</v>
      </c>
      <c r="Y100" s="26">
        <v>2044</v>
      </c>
      <c r="Z100" s="26">
        <v>2045</v>
      </c>
      <c r="AA100" s="26">
        <v>2046</v>
      </c>
      <c r="AB100" s="26">
        <v>2047</v>
      </c>
      <c r="AC100" s="26">
        <v>2048</v>
      </c>
      <c r="AD100" s="26">
        <v>2049</v>
      </c>
      <c r="AE100" s="26">
        <v>2050</v>
      </c>
      <c r="AF100" s="26">
        <v>2051</v>
      </c>
      <c r="AG100" s="26">
        <v>2052</v>
      </c>
      <c r="AH100" s="26">
        <v>2053</v>
      </c>
      <c r="AI100" s="26">
        <v>2054</v>
      </c>
      <c r="AJ100" s="26">
        <v>2055</v>
      </c>
      <c r="AK100" s="26">
        <v>2056</v>
      </c>
      <c r="AL100" s="26">
        <v>2057</v>
      </c>
      <c r="AM100" s="26">
        <v>2058</v>
      </c>
      <c r="AN100" s="27">
        <v>2059</v>
      </c>
      <c r="AO100" s="8"/>
    </row>
    <row r="101" spans="2:41" x14ac:dyDescent="0.35">
      <c r="B101" s="8"/>
      <c r="C101" s="19" t="str">
        <f>"EL 0: " &amp; INDEX(_doName,3,1)</f>
        <v>EL 0: Baseline</v>
      </c>
      <c r="D101" s="11" t="s">
        <v>63</v>
      </c>
      <c r="E101" s="43">
        <f t="array" aca="1" ref="E101:AN105" ca="1">IF(_yS&lt;yearC,bcEff_Com,IF(_yS&lt;year2nd,MMULT(mRoll1_Com,refEff_Com),MMULT(mRoll2_Com,refEff_Com)))</f>
        <v>0</v>
      </c>
      <c r="F101" s="43">
        <f ca="1"/>
        <v>0</v>
      </c>
      <c r="G101" s="43">
        <f ca="1"/>
        <v>0</v>
      </c>
      <c r="H101" s="43">
        <f ca="1"/>
        <v>0</v>
      </c>
      <c r="I101" s="43">
        <f ca="1"/>
        <v>0</v>
      </c>
      <c r="J101" s="43">
        <f ca="1"/>
        <v>0</v>
      </c>
      <c r="K101" s="43">
        <f ca="1"/>
        <v>0</v>
      </c>
      <c r="L101" s="43">
        <f ca="1"/>
        <v>0</v>
      </c>
      <c r="M101" s="43">
        <f ca="1"/>
        <v>0</v>
      </c>
      <c r="N101" s="43">
        <f ca="1"/>
        <v>0</v>
      </c>
      <c r="O101" s="43">
        <f ca="1"/>
        <v>0</v>
      </c>
      <c r="P101" s="43">
        <f ca="1"/>
        <v>0</v>
      </c>
      <c r="Q101" s="43">
        <f ca="1"/>
        <v>0</v>
      </c>
      <c r="R101" s="43">
        <f ca="1"/>
        <v>0</v>
      </c>
      <c r="S101" s="43">
        <f ca="1"/>
        <v>0</v>
      </c>
      <c r="T101" s="43">
        <f ca="1"/>
        <v>0</v>
      </c>
      <c r="U101" s="43">
        <f ca="1"/>
        <v>0</v>
      </c>
      <c r="V101" s="43">
        <f ca="1"/>
        <v>0</v>
      </c>
      <c r="W101" s="43">
        <f ca="1"/>
        <v>0</v>
      </c>
      <c r="X101" s="43">
        <f ca="1"/>
        <v>0</v>
      </c>
      <c r="Y101" s="43">
        <f ca="1"/>
        <v>0</v>
      </c>
      <c r="Z101" s="43">
        <f ca="1"/>
        <v>0</v>
      </c>
      <c r="AA101" s="43">
        <f ca="1"/>
        <v>0</v>
      </c>
      <c r="AB101" s="43">
        <f ca="1"/>
        <v>0</v>
      </c>
      <c r="AC101" s="43">
        <f ca="1"/>
        <v>0</v>
      </c>
      <c r="AD101" s="43">
        <f ca="1"/>
        <v>0</v>
      </c>
      <c r="AE101" s="43">
        <f ca="1"/>
        <v>0</v>
      </c>
      <c r="AF101" s="43">
        <f ca="1"/>
        <v>0</v>
      </c>
      <c r="AG101" s="43">
        <f ca="1"/>
        <v>0</v>
      </c>
      <c r="AH101" s="43">
        <f ca="1"/>
        <v>0</v>
      </c>
      <c r="AI101" s="43">
        <f ca="1"/>
        <v>0</v>
      </c>
      <c r="AJ101" s="43">
        <f ca="1"/>
        <v>0</v>
      </c>
      <c r="AK101" s="43">
        <f ca="1"/>
        <v>0</v>
      </c>
      <c r="AL101" s="43">
        <f ca="1"/>
        <v>0</v>
      </c>
      <c r="AM101" s="43">
        <f ca="1"/>
        <v>0</v>
      </c>
      <c r="AN101" s="44">
        <f ca="1"/>
        <v>0</v>
      </c>
      <c r="AO101" s="8"/>
    </row>
    <row r="102" spans="2:41" x14ac:dyDescent="0.35">
      <c r="B102" s="8"/>
      <c r="C102" s="19" t="str">
        <f>"EL 1: " &amp; INDEX(_doName,3,2)</f>
        <v>EL 1: Tier 1</v>
      </c>
      <c r="D102" s="11" t="s">
        <v>63</v>
      </c>
      <c r="E102" s="43">
        <f ca="1"/>
        <v>0.55398580069243564</v>
      </c>
      <c r="F102" s="43">
        <f ca="1"/>
        <v>0.55412750100836095</v>
      </c>
      <c r="G102" s="43">
        <f ca="1"/>
        <v>0</v>
      </c>
      <c r="H102" s="43">
        <f ca="1"/>
        <v>0</v>
      </c>
      <c r="I102" s="43">
        <f ca="1"/>
        <v>0</v>
      </c>
      <c r="J102" s="43">
        <f ca="1"/>
        <v>0</v>
      </c>
      <c r="K102" s="43">
        <f ca="1"/>
        <v>0</v>
      </c>
      <c r="L102" s="43">
        <f ca="1"/>
        <v>0</v>
      </c>
      <c r="M102" s="43">
        <f ca="1"/>
        <v>0</v>
      </c>
      <c r="N102" s="43">
        <f ca="1"/>
        <v>0</v>
      </c>
      <c r="O102" s="43">
        <f ca="1"/>
        <v>0</v>
      </c>
      <c r="P102" s="43">
        <f ca="1"/>
        <v>0</v>
      </c>
      <c r="Q102" s="43">
        <f ca="1"/>
        <v>0</v>
      </c>
      <c r="R102" s="43">
        <f ca="1"/>
        <v>0</v>
      </c>
      <c r="S102" s="43">
        <f ca="1"/>
        <v>0</v>
      </c>
      <c r="T102" s="43">
        <f ca="1"/>
        <v>0</v>
      </c>
      <c r="U102" s="43">
        <f ca="1"/>
        <v>0</v>
      </c>
      <c r="V102" s="43">
        <f ca="1"/>
        <v>0</v>
      </c>
      <c r="W102" s="43">
        <f ca="1"/>
        <v>0</v>
      </c>
      <c r="X102" s="43">
        <f ca="1"/>
        <v>0</v>
      </c>
      <c r="Y102" s="43">
        <f ca="1"/>
        <v>0</v>
      </c>
      <c r="Z102" s="43">
        <f ca="1"/>
        <v>0</v>
      </c>
      <c r="AA102" s="43">
        <f ca="1"/>
        <v>0</v>
      </c>
      <c r="AB102" s="43">
        <f ca="1"/>
        <v>0</v>
      </c>
      <c r="AC102" s="43">
        <f ca="1"/>
        <v>0</v>
      </c>
      <c r="AD102" s="43">
        <f ca="1"/>
        <v>0</v>
      </c>
      <c r="AE102" s="43">
        <f ca="1"/>
        <v>0</v>
      </c>
      <c r="AF102" s="43">
        <f ca="1"/>
        <v>0</v>
      </c>
      <c r="AG102" s="43">
        <f ca="1"/>
        <v>0</v>
      </c>
      <c r="AH102" s="43">
        <f ca="1"/>
        <v>0</v>
      </c>
      <c r="AI102" s="43">
        <f ca="1"/>
        <v>0</v>
      </c>
      <c r="AJ102" s="43">
        <f ca="1"/>
        <v>0</v>
      </c>
      <c r="AK102" s="43">
        <f ca="1"/>
        <v>0</v>
      </c>
      <c r="AL102" s="43">
        <f ca="1"/>
        <v>0</v>
      </c>
      <c r="AM102" s="43">
        <f ca="1"/>
        <v>0</v>
      </c>
      <c r="AN102" s="44">
        <f ca="1"/>
        <v>0</v>
      </c>
      <c r="AO102" s="8"/>
    </row>
    <row r="103" spans="2:41" x14ac:dyDescent="0.35">
      <c r="B103" s="8"/>
      <c r="C103" s="19" t="str">
        <f>"EL 2: " &amp; INDEX(_doName,3,3)</f>
        <v>EL 2: Tier 2</v>
      </c>
      <c r="D103" s="11" t="s">
        <v>63</v>
      </c>
      <c r="E103" s="43">
        <f ca="1"/>
        <v>0.37765953274701802</v>
      </c>
      <c r="F103" s="43">
        <f ca="1"/>
        <v>0.37753954895460629</v>
      </c>
      <c r="G103" s="43">
        <f ca="1"/>
        <v>0.93157674354376996</v>
      </c>
      <c r="H103" s="43">
        <f ca="1"/>
        <v>0.9315991954747842</v>
      </c>
      <c r="I103" s="43">
        <f ca="1"/>
        <v>0.93162145027864662</v>
      </c>
      <c r="J103" s="43">
        <f ca="1"/>
        <v>0.93162752169769925</v>
      </c>
      <c r="K103" s="43">
        <f ca="1"/>
        <v>0.93163354147849964</v>
      </c>
      <c r="L103" s="43">
        <f ca="1"/>
        <v>0.9316395114013265</v>
      </c>
      <c r="M103" s="43">
        <f ca="1"/>
        <v>0.93164543306526348</v>
      </c>
      <c r="N103" s="43">
        <f ca="1"/>
        <v>0.93165130798804907</v>
      </c>
      <c r="O103" s="43">
        <f ca="1"/>
        <v>0.93165204614623098</v>
      </c>
      <c r="P103" s="43">
        <f ca="1"/>
        <v>0.93165277668157898</v>
      </c>
      <c r="Q103" s="43">
        <f ca="1"/>
        <v>0.93165350010608372</v>
      </c>
      <c r="R103" s="43">
        <f ca="1"/>
        <v>0.93165421688728967</v>
      </c>
      <c r="S103" s="43">
        <f ca="1"/>
        <v>0.93165492745530043</v>
      </c>
      <c r="T103" s="43">
        <f ca="1"/>
        <v>0.93165563213525004</v>
      </c>
      <c r="U103" s="43">
        <f ca="1"/>
        <v>0.93165633123133285</v>
      </c>
      <c r="V103" s="43">
        <f ca="1"/>
        <v>0.93165702500544323</v>
      </c>
      <c r="W103" s="43">
        <f ca="1"/>
        <v>0.93165771368995698</v>
      </c>
      <c r="X103" s="43">
        <f ca="1"/>
        <v>0.93165839749754575</v>
      </c>
      <c r="Y103" s="43">
        <f ca="1"/>
        <v>0.93165866639671391</v>
      </c>
      <c r="Z103" s="43">
        <f ca="1"/>
        <v>0.93165893348513906</v>
      </c>
      <c r="AA103" s="43">
        <f ca="1"/>
        <v>0.9316591989122065</v>
      </c>
      <c r="AB103" s="43">
        <f ca="1"/>
        <v>0.93165946281774026</v>
      </c>
      <c r="AC103" s="43">
        <f ca="1"/>
        <v>0.93165972533144081</v>
      </c>
      <c r="AD103" s="43">
        <f ca="1"/>
        <v>0.93165998657283655</v>
      </c>
      <c r="AE103" s="43">
        <f ca="1"/>
        <v>0.93166024665188596</v>
      </c>
      <c r="AF103" s="43">
        <f ca="1"/>
        <v>0.93166050566996939</v>
      </c>
      <c r="AG103" s="43">
        <f ca="1"/>
        <v>0.93166076372102391</v>
      </c>
      <c r="AH103" s="43">
        <f ca="1"/>
        <v>0.93166102089260727</v>
      </c>
      <c r="AI103" s="43">
        <f ca="1"/>
        <v>0.93166127726673342</v>
      </c>
      <c r="AJ103" s="43">
        <f ca="1"/>
        <v>0.93166153292047049</v>
      </c>
      <c r="AK103" s="43">
        <f ca="1"/>
        <v>0.93166178792636545</v>
      </c>
      <c r="AL103" s="43">
        <f ca="1"/>
        <v>0.93166204235266781</v>
      </c>
      <c r="AM103" s="43">
        <f ca="1"/>
        <v>0.93174061433447108</v>
      </c>
      <c r="AN103" s="44">
        <f ca="1"/>
        <v>0.93174061433447108</v>
      </c>
      <c r="AO103" s="8"/>
    </row>
    <row r="104" spans="2:41" x14ac:dyDescent="0.35">
      <c r="B104" s="8"/>
      <c r="C104" s="19" t="str">
        <f>"EL 3: " &amp; INDEX(_doName,3,4)</f>
        <v>EL 3: EL 3</v>
      </c>
      <c r="D104" s="11" t="s">
        <v>63</v>
      </c>
      <c r="E104" s="43">
        <f ca="1"/>
        <v>3.0759599952245812E-2</v>
      </c>
      <c r="F104" s="43">
        <f ca="1"/>
        <v>3.0749827516664763E-2</v>
      </c>
      <c r="G104" s="43">
        <f ca="1"/>
        <v>3.0790465405303544E-2</v>
      </c>
      <c r="H104" s="43">
        <f ca="1"/>
        <v>3.0780362036347157E-2</v>
      </c>
      <c r="I104" s="43">
        <f ca="1"/>
        <v>3.0770347374609056E-2</v>
      </c>
      <c r="J104" s="43">
        <f ca="1"/>
        <v>3.076761523603538E-2</v>
      </c>
      <c r="K104" s="43">
        <f ca="1"/>
        <v>3.0764906334675164E-2</v>
      </c>
      <c r="L104" s="43">
        <f ca="1"/>
        <v>3.0762219869403043E-2</v>
      </c>
      <c r="M104" s="43">
        <f ca="1"/>
        <v>3.075955512063145E-2</v>
      </c>
      <c r="N104" s="43">
        <f ca="1"/>
        <v>3.075691140537791E-2</v>
      </c>
      <c r="O104" s="43">
        <f ca="1"/>
        <v>3.0756579234196037E-2</v>
      </c>
      <c r="P104" s="43">
        <f ca="1"/>
        <v>3.0756250493289495E-2</v>
      </c>
      <c r="Q104" s="43">
        <f ca="1"/>
        <v>3.0755924952262346E-2</v>
      </c>
      <c r="R104" s="43">
        <f ca="1"/>
        <v>3.0755602400719697E-2</v>
      </c>
      <c r="S104" s="43">
        <f ca="1"/>
        <v>3.0755282645114825E-2</v>
      </c>
      <c r="T104" s="43">
        <f ca="1"/>
        <v>3.0754965539137463E-2</v>
      </c>
      <c r="U104" s="43">
        <f ca="1"/>
        <v>3.0754650945900214E-2</v>
      </c>
      <c r="V104" s="43">
        <f ca="1"/>
        <v>3.0754338747550541E-2</v>
      </c>
      <c r="W104" s="43">
        <f ca="1"/>
        <v>3.0754028839519439E-2</v>
      </c>
      <c r="X104" s="43">
        <f ca="1"/>
        <v>3.0753721126104389E-2</v>
      </c>
      <c r="Y104" s="43">
        <f ca="1"/>
        <v>3.0753600121478777E-2</v>
      </c>
      <c r="Z104" s="43">
        <f ca="1"/>
        <v>3.0753479931687477E-2</v>
      </c>
      <c r="AA104" s="43">
        <f ca="1"/>
        <v>3.0753360489507053E-2</v>
      </c>
      <c r="AB104" s="43">
        <f ca="1"/>
        <v>3.0753241732016903E-2</v>
      </c>
      <c r="AC104" s="43">
        <f ca="1"/>
        <v>3.0753123600851667E-2</v>
      </c>
      <c r="AD104" s="43">
        <f ca="1"/>
        <v>3.0753006042223485E-2</v>
      </c>
      <c r="AE104" s="43">
        <f ca="1"/>
        <v>3.0752889006651268E-2</v>
      </c>
      <c r="AF104" s="43">
        <f ca="1"/>
        <v>3.0752772448513814E-2</v>
      </c>
      <c r="AG104" s="43">
        <f ca="1"/>
        <v>3.0752656325539224E-2</v>
      </c>
      <c r="AH104" s="43">
        <f ca="1"/>
        <v>3.0752540598326734E-2</v>
      </c>
      <c r="AI104" s="43">
        <f ca="1"/>
        <v>3.0752425229969942E-2</v>
      </c>
      <c r="AJ104" s="43">
        <f ca="1"/>
        <v>3.0752310185788258E-2</v>
      </c>
      <c r="AK104" s="43">
        <f ca="1"/>
        <v>3.0752195433135548E-2</v>
      </c>
      <c r="AL104" s="43">
        <f ca="1"/>
        <v>3.0752080941299446E-2</v>
      </c>
      <c r="AM104" s="43">
        <f ca="1"/>
        <v>3.0716723549488054E-2</v>
      </c>
      <c r="AN104" s="44">
        <f ca="1"/>
        <v>3.0716723549488054E-2</v>
      </c>
      <c r="AO104" s="8"/>
    </row>
    <row r="105" spans="2:41" x14ac:dyDescent="0.35">
      <c r="B105" s="8"/>
      <c r="C105" s="35" t="str">
        <f>"EL 4: " &amp; INDEX(_doName,3,5)</f>
        <v>EL 4: EL 4</v>
      </c>
      <c r="D105" s="15" t="s">
        <v>63</v>
      </c>
      <c r="E105" s="45">
        <f ca="1"/>
        <v>3.7595066608300441E-2</v>
      </c>
      <c r="F105" s="45">
        <f ca="1"/>
        <v>3.7583122520368051E-2</v>
      </c>
      <c r="G105" s="45">
        <f ca="1"/>
        <v>3.763279105092656E-2</v>
      </c>
      <c r="H105" s="45">
        <f ca="1"/>
        <v>3.7620442488868748E-2</v>
      </c>
      <c r="I105" s="45">
        <f ca="1"/>
        <v>3.7608202346744404E-2</v>
      </c>
      <c r="J105" s="45">
        <f ca="1"/>
        <v>3.7604863066265468E-2</v>
      </c>
      <c r="K105" s="45">
        <f ca="1"/>
        <v>3.7601552186825205E-2</v>
      </c>
      <c r="L105" s="45">
        <f ca="1"/>
        <v>3.7598268729270391E-2</v>
      </c>
      <c r="M105" s="45">
        <f ca="1"/>
        <v>3.7595011814105107E-2</v>
      </c>
      <c r="N105" s="45">
        <f ca="1"/>
        <v>3.7591780606573005E-2</v>
      </c>
      <c r="O105" s="45">
        <f ca="1"/>
        <v>3.7591374619572938E-2</v>
      </c>
      <c r="P105" s="45">
        <f ca="1"/>
        <v>3.7590972825131609E-2</v>
      </c>
      <c r="Q105" s="45">
        <f ca="1"/>
        <v>3.7590574941653979E-2</v>
      </c>
      <c r="R105" s="45">
        <f ca="1"/>
        <v>3.7590180711990745E-2</v>
      </c>
      <c r="S105" s="45">
        <f ca="1"/>
        <v>3.7589789899584794E-2</v>
      </c>
      <c r="T105" s="45">
        <f ca="1"/>
        <v>3.7589402325612468E-2</v>
      </c>
      <c r="U105" s="45">
        <f ca="1"/>
        <v>3.7589017822766933E-2</v>
      </c>
      <c r="V105" s="45">
        <f ca="1"/>
        <v>3.7588636247006223E-2</v>
      </c>
      <c r="W105" s="45">
        <f ca="1"/>
        <v>3.7588257470523766E-2</v>
      </c>
      <c r="X105" s="45">
        <f ca="1"/>
        <v>3.7587881376349816E-2</v>
      </c>
      <c r="Y105" s="45">
        <f ca="1"/>
        <v>3.7587733481807398E-2</v>
      </c>
      <c r="Z105" s="45">
        <f ca="1"/>
        <v>3.7587586583173585E-2</v>
      </c>
      <c r="AA105" s="45">
        <f ca="1"/>
        <v>3.7587440598286399E-2</v>
      </c>
      <c r="AB105" s="45">
        <f ca="1"/>
        <v>3.7587295450242884E-2</v>
      </c>
      <c r="AC105" s="45">
        <f ca="1"/>
        <v>3.7587151067707596E-2</v>
      </c>
      <c r="AD105" s="45">
        <f ca="1"/>
        <v>3.7587007384939822E-2</v>
      </c>
      <c r="AE105" s="45">
        <f ca="1"/>
        <v>3.7586864341462668E-2</v>
      </c>
      <c r="AF105" s="45">
        <f ca="1"/>
        <v>3.7586721881516891E-2</v>
      </c>
      <c r="AG105" s="45">
        <f ca="1"/>
        <v>3.7586579953436831E-2</v>
      </c>
      <c r="AH105" s="45">
        <f ca="1"/>
        <v>3.7586438509066011E-2</v>
      </c>
      <c r="AI105" s="45">
        <f ca="1"/>
        <v>3.7586297503296603E-2</v>
      </c>
      <c r="AJ105" s="45">
        <f ca="1"/>
        <v>3.7586156893741209E-2</v>
      </c>
      <c r="AK105" s="45">
        <f ca="1"/>
        <v>3.7586016640499008E-2</v>
      </c>
      <c r="AL105" s="45">
        <f ca="1"/>
        <v>3.758587670603266E-2</v>
      </c>
      <c r="AM105" s="45">
        <f ca="1"/>
        <v>3.7542662116040959E-2</v>
      </c>
      <c r="AN105" s="46">
        <f ca="1"/>
        <v>3.7542662116040959E-2</v>
      </c>
      <c r="AO105" s="8"/>
    </row>
    <row r="106" spans="2:41" x14ac:dyDescent="0.35">
      <c r="B106" s="8"/>
      <c r="C106" s="23" t="s">
        <v>97</v>
      </c>
      <c r="D106" s="24"/>
      <c r="E106" s="26">
        <f t="array" ref="E106:AN106">_yS</f>
        <v>2024</v>
      </c>
      <c r="F106" s="26">
        <v>2025</v>
      </c>
      <c r="G106" s="26">
        <v>2026</v>
      </c>
      <c r="H106" s="26">
        <v>2027</v>
      </c>
      <c r="I106" s="26">
        <v>2028</v>
      </c>
      <c r="J106" s="26">
        <v>2029</v>
      </c>
      <c r="K106" s="26">
        <v>2030</v>
      </c>
      <c r="L106" s="26">
        <v>2031</v>
      </c>
      <c r="M106" s="26">
        <v>2032</v>
      </c>
      <c r="N106" s="26">
        <v>2033</v>
      </c>
      <c r="O106" s="26">
        <v>2034</v>
      </c>
      <c r="P106" s="26">
        <v>2035</v>
      </c>
      <c r="Q106" s="26">
        <v>2036</v>
      </c>
      <c r="R106" s="26">
        <v>2037</v>
      </c>
      <c r="S106" s="26">
        <v>2038</v>
      </c>
      <c r="T106" s="26">
        <v>2039</v>
      </c>
      <c r="U106" s="26">
        <v>2040</v>
      </c>
      <c r="V106" s="26">
        <v>2041</v>
      </c>
      <c r="W106" s="26">
        <v>2042</v>
      </c>
      <c r="X106" s="26">
        <v>2043</v>
      </c>
      <c r="Y106" s="26">
        <v>2044</v>
      </c>
      <c r="Z106" s="26">
        <v>2045</v>
      </c>
      <c r="AA106" s="26">
        <v>2046</v>
      </c>
      <c r="AB106" s="26">
        <v>2047</v>
      </c>
      <c r="AC106" s="26">
        <v>2048</v>
      </c>
      <c r="AD106" s="26">
        <v>2049</v>
      </c>
      <c r="AE106" s="26">
        <v>2050</v>
      </c>
      <c r="AF106" s="26">
        <v>2051</v>
      </c>
      <c r="AG106" s="26">
        <v>2052</v>
      </c>
      <c r="AH106" s="26">
        <v>2053</v>
      </c>
      <c r="AI106" s="26">
        <v>2054</v>
      </c>
      <c r="AJ106" s="26">
        <v>2055</v>
      </c>
      <c r="AK106" s="26">
        <v>2056</v>
      </c>
      <c r="AL106" s="26">
        <v>2057</v>
      </c>
      <c r="AM106" s="26">
        <v>2058</v>
      </c>
      <c r="AN106" s="27">
        <v>2059</v>
      </c>
      <c r="AO106" s="8"/>
    </row>
    <row r="107" spans="2:41" x14ac:dyDescent="0.35">
      <c r="B107" s="8"/>
      <c r="C107" s="19" t="str">
        <f>"EL 0: " &amp; INDEX(_doName,3,1)</f>
        <v>EL 0: Baseline</v>
      </c>
      <c r="D107" s="11" t="s">
        <v>63</v>
      </c>
      <c r="E107" s="43">
        <f t="array" aca="1" ref="E107:AN111" ca="1">IF(_yS&lt;yearC,'CADR 150+'!bcEff_Com,IF(OR(bElast,bRepair),IF(tShplrgStd_Com&gt;0,elShpStd_Com/tShplrgStd_Com,'CADR 150+'!bcEff_Com),'CADR 150+'!bcEff_Com))</f>
        <v>0.2207568012097727</v>
      </c>
      <c r="F107" s="43">
        <f ca="1"/>
        <v>0.22100436957782596</v>
      </c>
      <c r="G107" s="43">
        <f ca="1"/>
        <v>0.22088980951883597</v>
      </c>
      <c r="H107" s="43">
        <f ca="1"/>
        <v>0.22102013149554994</v>
      </c>
      <c r="I107" s="43">
        <f ca="1"/>
        <v>0.22114939697220243</v>
      </c>
      <c r="J107" s="43">
        <f ca="1"/>
        <v>0.22118452250146678</v>
      </c>
      <c r="K107" s="43">
        <f ca="1"/>
        <v>0.22121937258953139</v>
      </c>
      <c r="L107" s="43">
        <f ca="1"/>
        <v>0.22125395674268369</v>
      </c>
      <c r="M107" s="43">
        <f ca="1"/>
        <v>0.22128828350058588</v>
      </c>
      <c r="N107" s="43">
        <f ca="1"/>
        <v>0.22132236096789662</v>
      </c>
      <c r="O107" s="43">
        <f ca="1"/>
        <v>0.22132650522342923</v>
      </c>
      <c r="P107" s="43">
        <f ca="1"/>
        <v>0.22133060883282593</v>
      </c>
      <c r="Q107" s="43">
        <f ca="1"/>
        <v>0.22133467452487671</v>
      </c>
      <c r="R107" s="43">
        <f ca="1"/>
        <v>0.22133870479132725</v>
      </c>
      <c r="S107" s="43">
        <f ca="1"/>
        <v>0.22134270192422387</v>
      </c>
      <c r="T107" s="43">
        <f ca="1"/>
        <v>0.22134666765678768</v>
      </c>
      <c r="U107" s="43">
        <f ca="1"/>
        <v>0.22135060361049708</v>
      </c>
      <c r="V107" s="43">
        <f ca="1"/>
        <v>0.22135451118152083</v>
      </c>
      <c r="W107" s="43">
        <f ca="1"/>
        <v>0.22135839160874948</v>
      </c>
      <c r="X107" s="43">
        <f ca="1"/>
        <v>0.22136224602603777</v>
      </c>
      <c r="Y107" s="43">
        <f ca="1"/>
        <v>0.22136367598708273</v>
      </c>
      <c r="Z107" s="43">
        <f ca="1"/>
        <v>0.22136509625240355</v>
      </c>
      <c r="AA107" s="43">
        <f ca="1"/>
        <v>0.22136650761766039</v>
      </c>
      <c r="AB107" s="43">
        <f ca="1"/>
        <v>0.22136791082751808</v>
      </c>
      <c r="AC107" s="43">
        <f ca="1"/>
        <v>0.22136930657267725</v>
      </c>
      <c r="AD107" s="43">
        <f ca="1"/>
        <v>0.22137069548962585</v>
      </c>
      <c r="AE107" s="43">
        <f ca="1"/>
        <v>0.22137207816385174</v>
      </c>
      <c r="AF107" s="43">
        <f ca="1"/>
        <v>0.22137345513513418</v>
      </c>
      <c r="AG107" s="43">
        <f ca="1"/>
        <v>0.22137482690358684</v>
      </c>
      <c r="AH107" s="43">
        <f ca="1"/>
        <v>0.2213761939353161</v>
      </c>
      <c r="AI107" s="43">
        <f ca="1"/>
        <v>0.22137755666687939</v>
      </c>
      <c r="AJ107" s="43">
        <f ca="1"/>
        <v>0.22137891550846492</v>
      </c>
      <c r="AK107" s="43">
        <f ca="1"/>
        <v>0.22138027084615752</v>
      </c>
      <c r="AL107" s="43">
        <f ca="1"/>
        <v>0.22138162304313394</v>
      </c>
      <c r="AM107" s="43">
        <f ca="1"/>
        <v>0.22184300341296928</v>
      </c>
      <c r="AN107" s="44">
        <f ca="1"/>
        <v>0.22184300341296928</v>
      </c>
      <c r="AO107" s="8"/>
    </row>
    <row r="108" spans="2:41" x14ac:dyDescent="0.35">
      <c r="B108" s="8"/>
      <c r="C108" s="19" t="str">
        <f>"EL 1: " &amp; INDEX(_doName,3,2)</f>
        <v>EL 1: Tier 1</v>
      </c>
      <c r="D108" s="11" t="s">
        <v>63</v>
      </c>
      <c r="E108" s="43">
        <f ca="1"/>
        <v>0.33322899948266294</v>
      </c>
      <c r="F108" s="43">
        <f ca="1"/>
        <v>0.33312313143053501</v>
      </c>
      <c r="G108" s="43">
        <f ca="1"/>
        <v>0.3326484421042627</v>
      </c>
      <c r="H108" s="43">
        <f ca="1"/>
        <v>0.33266461897741628</v>
      </c>
      <c r="I108" s="43">
        <f ca="1"/>
        <v>0.33268056609596636</v>
      </c>
      <c r="J108" s="43">
        <f ca="1"/>
        <v>0.33268505657602027</v>
      </c>
      <c r="K108" s="43">
        <f ca="1"/>
        <v>0.33268948555767874</v>
      </c>
      <c r="L108" s="43">
        <f ca="1"/>
        <v>0.33269385515097216</v>
      </c>
      <c r="M108" s="43">
        <f ca="1"/>
        <v>0.33269816725025808</v>
      </c>
      <c r="N108" s="43">
        <f ca="1"/>
        <v>0.33270242365412367</v>
      </c>
      <c r="O108" s="43">
        <f ca="1"/>
        <v>0.33270309588072816</v>
      </c>
      <c r="P108" s="43">
        <f ca="1"/>
        <v>0.33270375901447652</v>
      </c>
      <c r="Q108" s="43">
        <f ca="1"/>
        <v>0.33270441366731934</v>
      </c>
      <c r="R108" s="43">
        <f ca="1"/>
        <v>0.33270506039823716</v>
      </c>
      <c r="S108" s="43">
        <f ca="1"/>
        <v>0.33270569972161113</v>
      </c>
      <c r="T108" s="43">
        <f ca="1"/>
        <v>0.33270633202571914</v>
      </c>
      <c r="U108" s="43">
        <f ca="1"/>
        <v>0.33270695767394981</v>
      </c>
      <c r="V108" s="43">
        <f ca="1"/>
        <v>0.33270757697899639</v>
      </c>
      <c r="W108" s="43">
        <f ca="1"/>
        <v>0.33270819021821874</v>
      </c>
      <c r="X108" s="43">
        <f ca="1"/>
        <v>0.33270879764544853</v>
      </c>
      <c r="Y108" s="43">
        <f ca="1"/>
        <v>0.33270912225147509</v>
      </c>
      <c r="Z108" s="43">
        <f ca="1"/>
        <v>0.33270944473812808</v>
      </c>
      <c r="AA108" s="43">
        <f ca="1"/>
        <v>0.3327097652844872</v>
      </c>
      <c r="AB108" s="43">
        <f ca="1"/>
        <v>0.33271008405823682</v>
      </c>
      <c r="AC108" s="43">
        <f ca="1"/>
        <v>0.33271040121497364</v>
      </c>
      <c r="AD108" s="43">
        <f ca="1"/>
        <v>0.33271071689813353</v>
      </c>
      <c r="AE108" s="43">
        <f ca="1"/>
        <v>0.33271103123970486</v>
      </c>
      <c r="AF108" s="43">
        <f ca="1"/>
        <v>0.33271134436141553</v>
      </c>
      <c r="AG108" s="43">
        <f ca="1"/>
        <v>0.3327116563760944</v>
      </c>
      <c r="AH108" s="43">
        <f ca="1"/>
        <v>0.33271196738894626</v>
      </c>
      <c r="AI108" s="43">
        <f ca="1"/>
        <v>0.33271227749855636</v>
      </c>
      <c r="AJ108" s="43">
        <f ca="1"/>
        <v>0.33271258679760535</v>
      </c>
      <c r="AK108" s="43">
        <f ca="1"/>
        <v>0.332712895373377</v>
      </c>
      <c r="AL108" s="43">
        <f ca="1"/>
        <v>0.33271320330802401</v>
      </c>
      <c r="AM108" s="43">
        <f ca="1"/>
        <v>0.33276450511945393</v>
      </c>
      <c r="AN108" s="44">
        <f ca="1"/>
        <v>0.33276450511945393</v>
      </c>
      <c r="AO108" s="8"/>
    </row>
    <row r="109" spans="2:41" x14ac:dyDescent="0.35">
      <c r="B109" s="8"/>
      <c r="C109" s="19" t="str">
        <f>"EL 2: " &amp; INDEX(_doName,3,3)</f>
        <v>EL 2: Tier 2</v>
      </c>
      <c r="D109" s="11" t="s">
        <v>63</v>
      </c>
      <c r="E109" s="43">
        <f ca="1"/>
        <v>0.37765953274701802</v>
      </c>
      <c r="F109" s="43">
        <f ca="1"/>
        <v>0.37753954895460629</v>
      </c>
      <c r="G109" s="43">
        <f ca="1"/>
        <v>0.37803849192067129</v>
      </c>
      <c r="H109" s="43">
        <f ca="1"/>
        <v>0.37791444500181787</v>
      </c>
      <c r="I109" s="43">
        <f ca="1"/>
        <v>0.37779148721047784</v>
      </c>
      <c r="J109" s="43">
        <f ca="1"/>
        <v>0.37775794262021217</v>
      </c>
      <c r="K109" s="43">
        <f ca="1"/>
        <v>0.3777246833312895</v>
      </c>
      <c r="L109" s="43">
        <f ca="1"/>
        <v>0.37769169950767073</v>
      </c>
      <c r="M109" s="43">
        <f ca="1"/>
        <v>0.37765898231441947</v>
      </c>
      <c r="N109" s="43">
        <f ca="1"/>
        <v>0.37762652336602881</v>
      </c>
      <c r="O109" s="43">
        <f ca="1"/>
        <v>0.37762244504207354</v>
      </c>
      <c r="P109" s="43">
        <f ca="1"/>
        <v>0.37761840883427661</v>
      </c>
      <c r="Q109" s="43">
        <f ca="1"/>
        <v>0.37761441191388767</v>
      </c>
      <c r="R109" s="43">
        <f ca="1"/>
        <v>0.37761045169772522</v>
      </c>
      <c r="S109" s="43">
        <f ca="1"/>
        <v>0.37760652580946541</v>
      </c>
      <c r="T109" s="43">
        <f ca="1"/>
        <v>0.37760263245274328</v>
      </c>
      <c r="U109" s="43">
        <f ca="1"/>
        <v>0.37759876994688596</v>
      </c>
      <c r="V109" s="43">
        <f ca="1"/>
        <v>0.37759493684492607</v>
      </c>
      <c r="W109" s="43">
        <f ca="1"/>
        <v>0.37759113186298876</v>
      </c>
      <c r="X109" s="43">
        <f ca="1"/>
        <v>0.37758735382605946</v>
      </c>
      <c r="Y109" s="43">
        <f ca="1"/>
        <v>0.37758586815815615</v>
      </c>
      <c r="Z109" s="43">
        <f ca="1"/>
        <v>0.37758439249460735</v>
      </c>
      <c r="AA109" s="43">
        <f ca="1"/>
        <v>0.37758292601005888</v>
      </c>
      <c r="AB109" s="43">
        <f ca="1"/>
        <v>0.37758146793198533</v>
      </c>
      <c r="AC109" s="43">
        <f ca="1"/>
        <v>0.37758001754378989</v>
      </c>
      <c r="AD109" s="43">
        <f ca="1"/>
        <v>0.37757857418507729</v>
      </c>
      <c r="AE109" s="43">
        <f ca="1"/>
        <v>0.37757713724832948</v>
      </c>
      <c r="AF109" s="43">
        <f ca="1"/>
        <v>0.37757570617341968</v>
      </c>
      <c r="AG109" s="43">
        <f ca="1"/>
        <v>0.37757428044134267</v>
      </c>
      <c r="AH109" s="43">
        <f ca="1"/>
        <v>0.37757285956834491</v>
      </c>
      <c r="AI109" s="43">
        <f ca="1"/>
        <v>0.37757144310129764</v>
      </c>
      <c r="AJ109" s="43">
        <f ca="1"/>
        <v>0.37757003061440025</v>
      </c>
      <c r="AK109" s="43">
        <f ca="1"/>
        <v>0.37756862170683092</v>
      </c>
      <c r="AL109" s="43">
        <f ca="1"/>
        <v>0.37756721600150983</v>
      </c>
      <c r="AM109" s="43">
        <f ca="1"/>
        <v>0.37713310580204779</v>
      </c>
      <c r="AN109" s="44">
        <f ca="1"/>
        <v>0.37713310580204779</v>
      </c>
      <c r="AO109" s="8"/>
    </row>
    <row r="110" spans="2:41" x14ac:dyDescent="0.35">
      <c r="B110" s="8"/>
      <c r="C110" s="19" t="str">
        <f>"EL 3: " &amp; INDEX(_doName,3,4)</f>
        <v>EL 3: EL 3</v>
      </c>
      <c r="D110" s="11" t="s">
        <v>63</v>
      </c>
      <c r="E110" s="43">
        <f ca="1"/>
        <v>3.0759599952245812E-2</v>
      </c>
      <c r="F110" s="43">
        <f ca="1"/>
        <v>3.0749827516664763E-2</v>
      </c>
      <c r="G110" s="43">
        <f ca="1"/>
        <v>3.0790465405303544E-2</v>
      </c>
      <c r="H110" s="43">
        <f ca="1"/>
        <v>3.0780362036347157E-2</v>
      </c>
      <c r="I110" s="43">
        <f ca="1"/>
        <v>3.0770347374609056E-2</v>
      </c>
      <c r="J110" s="43">
        <f ca="1"/>
        <v>3.076761523603538E-2</v>
      </c>
      <c r="K110" s="43">
        <f ca="1"/>
        <v>3.0764906334675164E-2</v>
      </c>
      <c r="L110" s="43">
        <f ca="1"/>
        <v>3.0762219869403043E-2</v>
      </c>
      <c r="M110" s="43">
        <f ca="1"/>
        <v>3.075955512063145E-2</v>
      </c>
      <c r="N110" s="43">
        <f ca="1"/>
        <v>3.075691140537791E-2</v>
      </c>
      <c r="O110" s="43">
        <f ca="1"/>
        <v>3.0756579234196037E-2</v>
      </c>
      <c r="P110" s="43">
        <f ca="1"/>
        <v>3.0756250493289495E-2</v>
      </c>
      <c r="Q110" s="43">
        <f ca="1"/>
        <v>3.0755924952262346E-2</v>
      </c>
      <c r="R110" s="43">
        <f ca="1"/>
        <v>3.0755602400719697E-2</v>
      </c>
      <c r="S110" s="43">
        <f ca="1"/>
        <v>3.0755282645114825E-2</v>
      </c>
      <c r="T110" s="43">
        <f ca="1"/>
        <v>3.0754965539137463E-2</v>
      </c>
      <c r="U110" s="43">
        <f ca="1"/>
        <v>3.0754650945900214E-2</v>
      </c>
      <c r="V110" s="43">
        <f ca="1"/>
        <v>3.0754338747550541E-2</v>
      </c>
      <c r="W110" s="43">
        <f ca="1"/>
        <v>3.0754028839519439E-2</v>
      </c>
      <c r="X110" s="43">
        <f ca="1"/>
        <v>3.0753721126104389E-2</v>
      </c>
      <c r="Y110" s="43">
        <f ca="1"/>
        <v>3.0753600121478777E-2</v>
      </c>
      <c r="Z110" s="43">
        <f ca="1"/>
        <v>3.0753479931687477E-2</v>
      </c>
      <c r="AA110" s="43">
        <f ca="1"/>
        <v>3.0753360489507053E-2</v>
      </c>
      <c r="AB110" s="43">
        <f ca="1"/>
        <v>3.0753241732016903E-2</v>
      </c>
      <c r="AC110" s="43">
        <f ca="1"/>
        <v>3.0753123600851667E-2</v>
      </c>
      <c r="AD110" s="43">
        <f ca="1"/>
        <v>3.0753006042223485E-2</v>
      </c>
      <c r="AE110" s="43">
        <f ca="1"/>
        <v>3.0752889006651268E-2</v>
      </c>
      <c r="AF110" s="43">
        <f ca="1"/>
        <v>3.0752772448513814E-2</v>
      </c>
      <c r="AG110" s="43">
        <f ca="1"/>
        <v>3.0752656325539224E-2</v>
      </c>
      <c r="AH110" s="43">
        <f ca="1"/>
        <v>3.0752540598326734E-2</v>
      </c>
      <c r="AI110" s="43">
        <f ca="1"/>
        <v>3.0752425229969942E-2</v>
      </c>
      <c r="AJ110" s="43">
        <f ca="1"/>
        <v>3.0752310185788258E-2</v>
      </c>
      <c r="AK110" s="43">
        <f ca="1"/>
        <v>3.0752195433135548E-2</v>
      </c>
      <c r="AL110" s="43">
        <f ca="1"/>
        <v>3.0752080941299446E-2</v>
      </c>
      <c r="AM110" s="43">
        <f ca="1"/>
        <v>3.0716723549488054E-2</v>
      </c>
      <c r="AN110" s="44">
        <f ca="1"/>
        <v>3.0716723549488054E-2</v>
      </c>
      <c r="AO110" s="8"/>
    </row>
    <row r="111" spans="2:41" x14ac:dyDescent="0.35">
      <c r="B111" s="8"/>
      <c r="C111" s="35" t="str">
        <f>"EL 4: " &amp; INDEX(_doName,3,5)</f>
        <v>EL 4: EL 4</v>
      </c>
      <c r="D111" s="15" t="s">
        <v>63</v>
      </c>
      <c r="E111" s="45">
        <f ca="1"/>
        <v>3.7595066608300441E-2</v>
      </c>
      <c r="F111" s="45">
        <f ca="1"/>
        <v>3.7583122520368051E-2</v>
      </c>
      <c r="G111" s="45">
        <f ca="1"/>
        <v>3.763279105092656E-2</v>
      </c>
      <c r="H111" s="45">
        <f ca="1"/>
        <v>3.7620442488868748E-2</v>
      </c>
      <c r="I111" s="45">
        <f ca="1"/>
        <v>3.7608202346744404E-2</v>
      </c>
      <c r="J111" s="45">
        <f ca="1"/>
        <v>3.7604863066265468E-2</v>
      </c>
      <c r="K111" s="45">
        <f ca="1"/>
        <v>3.7601552186825205E-2</v>
      </c>
      <c r="L111" s="45">
        <f ca="1"/>
        <v>3.7598268729270391E-2</v>
      </c>
      <c r="M111" s="45">
        <f ca="1"/>
        <v>3.7595011814105107E-2</v>
      </c>
      <c r="N111" s="45">
        <f ca="1"/>
        <v>3.7591780606573005E-2</v>
      </c>
      <c r="O111" s="45">
        <f ca="1"/>
        <v>3.7591374619572938E-2</v>
      </c>
      <c r="P111" s="45">
        <f ca="1"/>
        <v>3.7590972825131609E-2</v>
      </c>
      <c r="Q111" s="45">
        <f ca="1"/>
        <v>3.7590574941653979E-2</v>
      </c>
      <c r="R111" s="45">
        <f ca="1"/>
        <v>3.7590180711990745E-2</v>
      </c>
      <c r="S111" s="45">
        <f ca="1"/>
        <v>3.7589789899584794E-2</v>
      </c>
      <c r="T111" s="45">
        <f ca="1"/>
        <v>3.7589402325612468E-2</v>
      </c>
      <c r="U111" s="45">
        <f ca="1"/>
        <v>3.7589017822766933E-2</v>
      </c>
      <c r="V111" s="45">
        <f ca="1"/>
        <v>3.7588636247006223E-2</v>
      </c>
      <c r="W111" s="45">
        <f ca="1"/>
        <v>3.7588257470523766E-2</v>
      </c>
      <c r="X111" s="45">
        <f ca="1"/>
        <v>3.7587881376349816E-2</v>
      </c>
      <c r="Y111" s="45">
        <f ca="1"/>
        <v>3.7587733481807398E-2</v>
      </c>
      <c r="Z111" s="45">
        <f ca="1"/>
        <v>3.7587586583173585E-2</v>
      </c>
      <c r="AA111" s="45">
        <f ca="1"/>
        <v>3.7587440598286399E-2</v>
      </c>
      <c r="AB111" s="45">
        <f ca="1"/>
        <v>3.7587295450242884E-2</v>
      </c>
      <c r="AC111" s="45">
        <f ca="1"/>
        <v>3.7587151067707596E-2</v>
      </c>
      <c r="AD111" s="45">
        <f ca="1"/>
        <v>3.7587007384939822E-2</v>
      </c>
      <c r="AE111" s="45">
        <f ca="1"/>
        <v>3.7586864341462668E-2</v>
      </c>
      <c r="AF111" s="45">
        <f ca="1"/>
        <v>3.7586721881516891E-2</v>
      </c>
      <c r="AG111" s="45">
        <f ca="1"/>
        <v>3.7586579953436831E-2</v>
      </c>
      <c r="AH111" s="45">
        <f ca="1"/>
        <v>3.7586438509066011E-2</v>
      </c>
      <c r="AI111" s="45">
        <f ca="1"/>
        <v>3.7586297503296603E-2</v>
      </c>
      <c r="AJ111" s="45">
        <f ca="1"/>
        <v>3.7586156893741209E-2</v>
      </c>
      <c r="AK111" s="45">
        <f ca="1"/>
        <v>3.7586016640499008E-2</v>
      </c>
      <c r="AL111" s="45">
        <f ca="1"/>
        <v>3.758587670603266E-2</v>
      </c>
      <c r="AM111" s="45">
        <f ca="1"/>
        <v>3.7542662116040959E-2</v>
      </c>
      <c r="AN111" s="46">
        <f ca="1"/>
        <v>3.7542662116040959E-2</v>
      </c>
      <c r="AO111" s="8"/>
    </row>
    <row r="112" spans="2:41" x14ac:dyDescent="0.35">
      <c r="B112" s="8"/>
      <c r="C112" s="23" t="s">
        <v>96</v>
      </c>
      <c r="D112" s="24"/>
      <c r="E112" s="26">
        <f t="array" ref="E112:AN112">_yS</f>
        <v>2024</v>
      </c>
      <c r="F112" s="26">
        <v>2025</v>
      </c>
      <c r="G112" s="26">
        <v>2026</v>
      </c>
      <c r="H112" s="26">
        <v>2027</v>
      </c>
      <c r="I112" s="26">
        <v>2028</v>
      </c>
      <c r="J112" s="26">
        <v>2029</v>
      </c>
      <c r="K112" s="26">
        <v>2030</v>
      </c>
      <c r="L112" s="26">
        <v>2031</v>
      </c>
      <c r="M112" s="26">
        <v>2032</v>
      </c>
      <c r="N112" s="26">
        <v>2033</v>
      </c>
      <c r="O112" s="26">
        <v>2034</v>
      </c>
      <c r="P112" s="26">
        <v>2035</v>
      </c>
      <c r="Q112" s="26">
        <v>2036</v>
      </c>
      <c r="R112" s="26">
        <v>2037</v>
      </c>
      <c r="S112" s="26">
        <v>2038</v>
      </c>
      <c r="T112" s="26">
        <v>2039</v>
      </c>
      <c r="U112" s="26">
        <v>2040</v>
      </c>
      <c r="V112" s="26">
        <v>2041</v>
      </c>
      <c r="W112" s="26">
        <v>2042</v>
      </c>
      <c r="X112" s="26">
        <v>2043</v>
      </c>
      <c r="Y112" s="26">
        <v>2044</v>
      </c>
      <c r="Z112" s="26">
        <v>2045</v>
      </c>
      <c r="AA112" s="26">
        <v>2046</v>
      </c>
      <c r="AB112" s="26">
        <v>2047</v>
      </c>
      <c r="AC112" s="26">
        <v>2048</v>
      </c>
      <c r="AD112" s="26">
        <v>2049</v>
      </c>
      <c r="AE112" s="26">
        <v>2050</v>
      </c>
      <c r="AF112" s="26">
        <v>2051</v>
      </c>
      <c r="AG112" s="26">
        <v>2052</v>
      </c>
      <c r="AH112" s="26">
        <v>2053</v>
      </c>
      <c r="AI112" s="26">
        <v>2054</v>
      </c>
      <c r="AJ112" s="26">
        <v>2055</v>
      </c>
      <c r="AK112" s="26">
        <v>2056</v>
      </c>
      <c r="AL112" s="26">
        <v>2057</v>
      </c>
      <c r="AM112" s="26">
        <v>2058</v>
      </c>
      <c r="AN112" s="27">
        <v>2059</v>
      </c>
      <c r="AO112" s="8"/>
    </row>
    <row r="113" spans="2:41" x14ac:dyDescent="0.35">
      <c r="B113" s="8"/>
      <c r="C113" s="19" t="str">
        <f>"EL 0: " &amp; INDEX(_doName,3,1)</f>
        <v>EL 0: Baseline</v>
      </c>
      <c r="D113" s="11" t="s">
        <v>63</v>
      </c>
      <c r="E113" s="43">
        <f t="array" ref="E113:E117">TRANSPOSE(bclrg_Com)</f>
        <v>0.22184300341296928</v>
      </c>
      <c r="F113" s="43">
        <f t="array" ref="F113:F117" ca="1">eff0BC_Com+IF(_el=0,0,pullBC_Com)-pushBC_Com</f>
        <v>0.22184300341296928</v>
      </c>
      <c r="G113" s="43">
        <f t="array" ref="G113:G117" ca="1">eff0BC_Com+IF(_el=0,0,pullBC_Com)-pushBC_Com</f>
        <v>0.22184300341296928</v>
      </c>
      <c r="H113" s="43">
        <f t="array" ref="H113:H117" ca="1">eff0BC_Com+IF(_el=0,0,pullBC_Com)-pushBC_Com</f>
        <v>0.22184300341296928</v>
      </c>
      <c r="I113" s="43">
        <f t="array" ref="I113:I117" ca="1">eff0BC_Com+IF(_el=0,0,pullBC_Com)-pushBC_Com</f>
        <v>0.22184300341296928</v>
      </c>
      <c r="J113" s="43">
        <f t="array" ref="J113:J117" ca="1">eff0BC_Com+IF(_el=0,0,pullBC_Com)-pushBC_Com</f>
        <v>0.22184300341296928</v>
      </c>
      <c r="K113" s="43">
        <f t="array" ref="K113:K117" ca="1">eff0BC_Com+IF(_el=0,0,pullBC_Com)-pushBC_Com</f>
        <v>0.22184300341296928</v>
      </c>
      <c r="L113" s="43">
        <f t="array" ref="L113:L117" ca="1">eff0BC_Com+IF(_el=0,0,pullBC_Com)-pushBC_Com</f>
        <v>0.22184300341296928</v>
      </c>
      <c r="M113" s="43">
        <f t="array" ref="M113:M117" ca="1">eff0BC_Com+IF(_el=0,0,pullBC_Com)-pushBC_Com</f>
        <v>0.22184300341296928</v>
      </c>
      <c r="N113" s="43">
        <f t="array" ref="N113:N117" ca="1">eff0BC_Com+IF(_el=0,0,pullBC_Com)-pushBC_Com</f>
        <v>0.22184300341296928</v>
      </c>
      <c r="O113" s="43">
        <f t="array" ref="O113:O117" ca="1">eff0BC_Com+IF(_el=0,0,pullBC_Com)-pushBC_Com</f>
        <v>0.22184300341296928</v>
      </c>
      <c r="P113" s="43">
        <f t="array" ref="P113:P117" ca="1">eff0BC_Com+IF(_el=0,0,pullBC_Com)-pushBC_Com</f>
        <v>0.22184300341296928</v>
      </c>
      <c r="Q113" s="43">
        <f t="array" ref="Q113:Q117" ca="1">eff0BC_Com+IF(_el=0,0,pullBC_Com)-pushBC_Com</f>
        <v>0.22184300341296928</v>
      </c>
      <c r="R113" s="43">
        <f t="array" ref="R113:R117" ca="1">eff0BC_Com+IF(_el=0,0,pullBC_Com)-pushBC_Com</f>
        <v>0.22184300341296928</v>
      </c>
      <c r="S113" s="43">
        <f t="array" ref="S113:S117" ca="1">eff0BC_Com+IF(_el=0,0,pullBC_Com)-pushBC_Com</f>
        <v>0.22184300341296928</v>
      </c>
      <c r="T113" s="43">
        <f t="array" ref="T113:T117" ca="1">eff0BC_Com+IF(_el=0,0,pullBC_Com)-pushBC_Com</f>
        <v>0.22184300341296928</v>
      </c>
      <c r="U113" s="43">
        <f t="array" ref="U113:U117" ca="1">eff0BC_Com+IF(_el=0,0,pullBC_Com)-pushBC_Com</f>
        <v>0.22184300341296928</v>
      </c>
      <c r="V113" s="43">
        <f t="array" ref="V113:V117" ca="1">eff0BC_Com+IF(_el=0,0,pullBC_Com)-pushBC_Com</f>
        <v>0.22184300341296928</v>
      </c>
      <c r="W113" s="43">
        <f t="array" ref="W113:W117" ca="1">eff0BC_Com+IF(_el=0,0,pullBC_Com)-pushBC_Com</f>
        <v>0.22184300341296928</v>
      </c>
      <c r="X113" s="43">
        <f t="array" ref="X113:X117" ca="1">eff0BC_Com+IF(_el=0,0,pullBC_Com)-pushBC_Com</f>
        <v>0.22184300341296928</v>
      </c>
      <c r="Y113" s="43">
        <f t="array" ref="Y113:Y117" ca="1">eff0BC_Com+IF(_el=0,0,pullBC_Com)-pushBC_Com</f>
        <v>0.22184300341296928</v>
      </c>
      <c r="Z113" s="43">
        <f t="array" ref="Z113:Z117" ca="1">eff0BC_Com+IF(_el=0,0,pullBC_Com)-pushBC_Com</f>
        <v>0.22184300341296928</v>
      </c>
      <c r="AA113" s="43">
        <f t="array" ref="AA113:AA117" ca="1">eff0BC_Com+IF(_el=0,0,pullBC_Com)-pushBC_Com</f>
        <v>0.22184300341296928</v>
      </c>
      <c r="AB113" s="43">
        <f t="array" ref="AB113:AB117" ca="1">eff0BC_Com+IF(_el=0,0,pullBC_Com)-pushBC_Com</f>
        <v>0.22184300341296928</v>
      </c>
      <c r="AC113" s="43">
        <f t="array" ref="AC113:AC117" ca="1">eff0BC_Com+IF(_el=0,0,pullBC_Com)-pushBC_Com</f>
        <v>0.22184300341296928</v>
      </c>
      <c r="AD113" s="43">
        <f t="array" ref="AD113:AD117" ca="1">eff0BC_Com+IF(_el=0,0,pullBC_Com)-pushBC_Com</f>
        <v>0.22184300341296928</v>
      </c>
      <c r="AE113" s="43">
        <f t="array" ref="AE113:AE117" ca="1">eff0BC_Com+IF(_el=0,0,pullBC_Com)-pushBC_Com</f>
        <v>0.22184300341296928</v>
      </c>
      <c r="AF113" s="43">
        <f t="array" ref="AF113:AF117" ca="1">eff0BC_Com+IF(_el=0,0,pullBC_Com)-pushBC_Com</f>
        <v>0.22184300341296928</v>
      </c>
      <c r="AG113" s="43">
        <f t="array" ref="AG113:AG117" ca="1">eff0BC_Com+IF(_el=0,0,pullBC_Com)-pushBC_Com</f>
        <v>0.22184300341296928</v>
      </c>
      <c r="AH113" s="43">
        <f t="array" ref="AH113:AH117" ca="1">eff0BC_Com+IF(_el=0,0,pullBC_Com)-pushBC_Com</f>
        <v>0.22184300341296928</v>
      </c>
      <c r="AI113" s="43">
        <f t="array" ref="AI113:AI117" ca="1">eff0BC_Com+IF(_el=0,0,pullBC_Com)-pushBC_Com</f>
        <v>0.22184300341296928</v>
      </c>
      <c r="AJ113" s="43">
        <f t="array" ref="AJ113:AJ117" ca="1">eff0BC_Com+IF(_el=0,0,pullBC_Com)-pushBC_Com</f>
        <v>0.22184300341296928</v>
      </c>
      <c r="AK113" s="43">
        <f t="array" ref="AK113:AK117" ca="1">eff0BC_Com+IF(_el=0,0,pullBC_Com)-pushBC_Com</f>
        <v>0.22184300341296928</v>
      </c>
      <c r="AL113" s="43">
        <f t="array" ref="AL113:AL117" ca="1">eff0BC_Com+IF(_el=0,0,pullBC_Com)-pushBC_Com</f>
        <v>0.22184300341296928</v>
      </c>
      <c r="AM113" s="43">
        <f t="array" ref="AM113:AM117" ca="1">eff0BC_Com+IF(_el=0,0,pullBC_Com)-pushBC_Com</f>
        <v>0.22184300341296928</v>
      </c>
      <c r="AN113" s="44">
        <f t="array" ref="AN113:AN117" ca="1">eff0BC_Com+IF(_el=0,0,pullBC_Com)-pushBC_Com</f>
        <v>0.22184300341296928</v>
      </c>
      <c r="AO113" s="8"/>
    </row>
    <row r="114" spans="2:41" x14ac:dyDescent="0.35">
      <c r="B114" s="8"/>
      <c r="C114" s="19" t="str">
        <f>"EL 1: " &amp; INDEX(_doName,3,2)</f>
        <v>EL 1: Tier 1</v>
      </c>
      <c r="D114" s="11" t="s">
        <v>63</v>
      </c>
      <c r="E114" s="43">
        <v>0.33276450511945393</v>
      </c>
      <c r="F114" s="43">
        <f ca="1"/>
        <v>0.33276450511945393</v>
      </c>
      <c r="G114" s="43">
        <f ca="1"/>
        <v>0.33276450511945393</v>
      </c>
      <c r="H114" s="43">
        <f ca="1"/>
        <v>0.33276450511945393</v>
      </c>
      <c r="I114" s="43">
        <f ca="1"/>
        <v>0.33276450511945393</v>
      </c>
      <c r="J114" s="43">
        <f ca="1"/>
        <v>0.33276450511945393</v>
      </c>
      <c r="K114" s="43">
        <f ca="1"/>
        <v>0.33276450511945393</v>
      </c>
      <c r="L114" s="43">
        <f ca="1"/>
        <v>0.33276450511945393</v>
      </c>
      <c r="M114" s="43">
        <f ca="1"/>
        <v>0.33276450511945393</v>
      </c>
      <c r="N114" s="43">
        <f ca="1"/>
        <v>0.33276450511945393</v>
      </c>
      <c r="O114" s="43">
        <f ca="1"/>
        <v>0.33276450511945393</v>
      </c>
      <c r="P114" s="43">
        <f ca="1"/>
        <v>0.33276450511945393</v>
      </c>
      <c r="Q114" s="43">
        <f ca="1"/>
        <v>0.33276450511945393</v>
      </c>
      <c r="R114" s="43">
        <f ca="1"/>
        <v>0.33276450511945393</v>
      </c>
      <c r="S114" s="43">
        <f ca="1"/>
        <v>0.33276450511945393</v>
      </c>
      <c r="T114" s="43">
        <f ca="1"/>
        <v>0.33276450511945393</v>
      </c>
      <c r="U114" s="43">
        <f ca="1"/>
        <v>0.33276450511945393</v>
      </c>
      <c r="V114" s="43">
        <f ca="1"/>
        <v>0.33276450511945393</v>
      </c>
      <c r="W114" s="43">
        <f ca="1"/>
        <v>0.33276450511945393</v>
      </c>
      <c r="X114" s="43">
        <f ca="1"/>
        <v>0.33276450511945393</v>
      </c>
      <c r="Y114" s="43">
        <f ca="1"/>
        <v>0.33276450511945393</v>
      </c>
      <c r="Z114" s="43">
        <f ca="1"/>
        <v>0.33276450511945393</v>
      </c>
      <c r="AA114" s="43">
        <f ca="1"/>
        <v>0.33276450511945393</v>
      </c>
      <c r="AB114" s="43">
        <f ca="1"/>
        <v>0.33276450511945393</v>
      </c>
      <c r="AC114" s="43">
        <f ca="1"/>
        <v>0.33276450511945393</v>
      </c>
      <c r="AD114" s="43">
        <f ca="1"/>
        <v>0.33276450511945393</v>
      </c>
      <c r="AE114" s="43">
        <f ca="1"/>
        <v>0.33276450511945393</v>
      </c>
      <c r="AF114" s="43">
        <f ca="1"/>
        <v>0.33276450511945393</v>
      </c>
      <c r="AG114" s="43">
        <f ca="1"/>
        <v>0.33276450511945393</v>
      </c>
      <c r="AH114" s="43">
        <f ca="1"/>
        <v>0.33276450511945393</v>
      </c>
      <c r="AI114" s="43">
        <f ca="1"/>
        <v>0.33276450511945393</v>
      </c>
      <c r="AJ114" s="43">
        <f ca="1"/>
        <v>0.33276450511945393</v>
      </c>
      <c r="AK114" s="43">
        <f ca="1"/>
        <v>0.33276450511945393</v>
      </c>
      <c r="AL114" s="43">
        <f ca="1"/>
        <v>0.33276450511945393</v>
      </c>
      <c r="AM114" s="43">
        <f ca="1"/>
        <v>0.33276450511945393</v>
      </c>
      <c r="AN114" s="44">
        <f ca="1"/>
        <v>0.33276450511945393</v>
      </c>
      <c r="AO114" s="8"/>
    </row>
    <row r="115" spans="2:41" x14ac:dyDescent="0.35">
      <c r="B115" s="8"/>
      <c r="C115" s="19" t="str">
        <f>"EL 2: " &amp; INDEX(_doName,3,3)</f>
        <v>EL 2: Tier 2</v>
      </c>
      <c r="D115" s="11" t="s">
        <v>63</v>
      </c>
      <c r="E115" s="43">
        <v>0.37713310580204779</v>
      </c>
      <c r="F115" s="43">
        <f ca="1"/>
        <v>0.37713310580204779</v>
      </c>
      <c r="G115" s="43">
        <f ca="1"/>
        <v>0.37713310580204779</v>
      </c>
      <c r="H115" s="43">
        <f ca="1"/>
        <v>0.37713310580204779</v>
      </c>
      <c r="I115" s="43">
        <f ca="1"/>
        <v>0.37713310580204779</v>
      </c>
      <c r="J115" s="43">
        <f ca="1"/>
        <v>0.37713310580204779</v>
      </c>
      <c r="K115" s="43">
        <f ca="1"/>
        <v>0.37713310580204779</v>
      </c>
      <c r="L115" s="43">
        <f ca="1"/>
        <v>0.37713310580204779</v>
      </c>
      <c r="M115" s="43">
        <f ca="1"/>
        <v>0.37713310580204779</v>
      </c>
      <c r="N115" s="43">
        <f ca="1"/>
        <v>0.37713310580204779</v>
      </c>
      <c r="O115" s="43">
        <f ca="1"/>
        <v>0.37713310580204779</v>
      </c>
      <c r="P115" s="43">
        <f ca="1"/>
        <v>0.37713310580204779</v>
      </c>
      <c r="Q115" s="43">
        <f ca="1"/>
        <v>0.37713310580204779</v>
      </c>
      <c r="R115" s="43">
        <f ca="1"/>
        <v>0.37713310580204779</v>
      </c>
      <c r="S115" s="43">
        <f ca="1"/>
        <v>0.37713310580204779</v>
      </c>
      <c r="T115" s="43">
        <f ca="1"/>
        <v>0.37713310580204779</v>
      </c>
      <c r="U115" s="43">
        <f ca="1"/>
        <v>0.37713310580204779</v>
      </c>
      <c r="V115" s="43">
        <f ca="1"/>
        <v>0.37713310580204779</v>
      </c>
      <c r="W115" s="43">
        <f ca="1"/>
        <v>0.37713310580204779</v>
      </c>
      <c r="X115" s="43">
        <f ca="1"/>
        <v>0.37713310580204779</v>
      </c>
      <c r="Y115" s="43">
        <f ca="1"/>
        <v>0.37713310580204779</v>
      </c>
      <c r="Z115" s="43">
        <f ca="1"/>
        <v>0.37713310580204779</v>
      </c>
      <c r="AA115" s="43">
        <f ca="1"/>
        <v>0.37713310580204779</v>
      </c>
      <c r="AB115" s="43">
        <f ca="1"/>
        <v>0.37713310580204779</v>
      </c>
      <c r="AC115" s="43">
        <f ca="1"/>
        <v>0.37713310580204779</v>
      </c>
      <c r="AD115" s="43">
        <f ca="1"/>
        <v>0.37713310580204779</v>
      </c>
      <c r="AE115" s="43">
        <f ca="1"/>
        <v>0.37713310580204779</v>
      </c>
      <c r="AF115" s="43">
        <f ca="1"/>
        <v>0.37713310580204779</v>
      </c>
      <c r="AG115" s="43">
        <f ca="1"/>
        <v>0.37713310580204779</v>
      </c>
      <c r="AH115" s="43">
        <f ca="1"/>
        <v>0.37713310580204779</v>
      </c>
      <c r="AI115" s="43">
        <f ca="1"/>
        <v>0.37713310580204779</v>
      </c>
      <c r="AJ115" s="43">
        <f ca="1"/>
        <v>0.37713310580204779</v>
      </c>
      <c r="AK115" s="43">
        <f ca="1"/>
        <v>0.37713310580204779</v>
      </c>
      <c r="AL115" s="43">
        <f ca="1"/>
        <v>0.37713310580204779</v>
      </c>
      <c r="AM115" s="43">
        <f ca="1"/>
        <v>0.37713310580204779</v>
      </c>
      <c r="AN115" s="44">
        <f ca="1"/>
        <v>0.37713310580204779</v>
      </c>
      <c r="AO115" s="8"/>
    </row>
    <row r="116" spans="2:41" x14ac:dyDescent="0.35">
      <c r="B116" s="8"/>
      <c r="C116" s="19" t="str">
        <f>"EL 3: " &amp; INDEX(_doName,3,4)</f>
        <v>EL 3: EL 3</v>
      </c>
      <c r="D116" s="11" t="s">
        <v>63</v>
      </c>
      <c r="E116" s="43">
        <v>3.0716723549488054E-2</v>
      </c>
      <c r="F116" s="43">
        <f ca="1"/>
        <v>3.0716723549488054E-2</v>
      </c>
      <c r="G116" s="43">
        <f ca="1"/>
        <v>3.0716723549488054E-2</v>
      </c>
      <c r="H116" s="43">
        <f ca="1"/>
        <v>3.0716723549488054E-2</v>
      </c>
      <c r="I116" s="43">
        <f ca="1"/>
        <v>3.0716723549488054E-2</v>
      </c>
      <c r="J116" s="43">
        <f ca="1"/>
        <v>3.0716723549488054E-2</v>
      </c>
      <c r="K116" s="43">
        <f ca="1"/>
        <v>3.0716723549488054E-2</v>
      </c>
      <c r="L116" s="43">
        <f ca="1"/>
        <v>3.0716723549488054E-2</v>
      </c>
      <c r="M116" s="43">
        <f ca="1"/>
        <v>3.0716723549488054E-2</v>
      </c>
      <c r="N116" s="43">
        <f ca="1"/>
        <v>3.0716723549488054E-2</v>
      </c>
      <c r="O116" s="43">
        <f ca="1"/>
        <v>3.0716723549488054E-2</v>
      </c>
      <c r="P116" s="43">
        <f ca="1"/>
        <v>3.0716723549488054E-2</v>
      </c>
      <c r="Q116" s="43">
        <f ca="1"/>
        <v>3.0716723549488054E-2</v>
      </c>
      <c r="R116" s="43">
        <f ca="1"/>
        <v>3.0716723549488054E-2</v>
      </c>
      <c r="S116" s="43">
        <f ca="1"/>
        <v>3.0716723549488054E-2</v>
      </c>
      <c r="T116" s="43">
        <f ca="1"/>
        <v>3.0716723549488054E-2</v>
      </c>
      <c r="U116" s="43">
        <f ca="1"/>
        <v>3.0716723549488054E-2</v>
      </c>
      <c r="V116" s="43">
        <f ca="1"/>
        <v>3.0716723549488054E-2</v>
      </c>
      <c r="W116" s="43">
        <f ca="1"/>
        <v>3.0716723549488054E-2</v>
      </c>
      <c r="X116" s="43">
        <f ca="1"/>
        <v>3.0716723549488054E-2</v>
      </c>
      <c r="Y116" s="43">
        <f ca="1"/>
        <v>3.0716723549488054E-2</v>
      </c>
      <c r="Z116" s="43">
        <f ca="1"/>
        <v>3.0716723549488054E-2</v>
      </c>
      <c r="AA116" s="43">
        <f ca="1"/>
        <v>3.0716723549488054E-2</v>
      </c>
      <c r="AB116" s="43">
        <f ca="1"/>
        <v>3.0716723549488054E-2</v>
      </c>
      <c r="AC116" s="43">
        <f ca="1"/>
        <v>3.0716723549488054E-2</v>
      </c>
      <c r="AD116" s="43">
        <f ca="1"/>
        <v>3.0716723549488054E-2</v>
      </c>
      <c r="AE116" s="43">
        <f ca="1"/>
        <v>3.0716723549488054E-2</v>
      </c>
      <c r="AF116" s="43">
        <f ca="1"/>
        <v>3.0716723549488054E-2</v>
      </c>
      <c r="AG116" s="43">
        <f ca="1"/>
        <v>3.0716723549488054E-2</v>
      </c>
      <c r="AH116" s="43">
        <f ca="1"/>
        <v>3.0716723549488054E-2</v>
      </c>
      <c r="AI116" s="43">
        <f ca="1"/>
        <v>3.0716723549488054E-2</v>
      </c>
      <c r="AJ116" s="43">
        <f ca="1"/>
        <v>3.0716723549488054E-2</v>
      </c>
      <c r="AK116" s="43">
        <f ca="1"/>
        <v>3.0716723549488054E-2</v>
      </c>
      <c r="AL116" s="43">
        <f ca="1"/>
        <v>3.0716723549488054E-2</v>
      </c>
      <c r="AM116" s="43">
        <f ca="1"/>
        <v>3.0716723549488054E-2</v>
      </c>
      <c r="AN116" s="44">
        <f ca="1"/>
        <v>3.0716723549488054E-2</v>
      </c>
      <c r="AO116" s="8"/>
    </row>
    <row r="117" spans="2:41" x14ac:dyDescent="0.35">
      <c r="B117" s="8"/>
      <c r="C117" s="35" t="str">
        <f>"EL 4: " &amp; INDEX(_doName,3,5)</f>
        <v>EL 4: EL 4</v>
      </c>
      <c r="D117" s="15" t="s">
        <v>63</v>
      </c>
      <c r="E117" s="45">
        <v>3.7542662116040959E-2</v>
      </c>
      <c r="F117" s="45">
        <f ca="1"/>
        <v>3.7542662116040959E-2</v>
      </c>
      <c r="G117" s="45">
        <f ca="1"/>
        <v>3.7542662116040959E-2</v>
      </c>
      <c r="H117" s="45">
        <f ca="1"/>
        <v>3.7542662116040959E-2</v>
      </c>
      <c r="I117" s="45">
        <f ca="1"/>
        <v>3.7542662116040959E-2</v>
      </c>
      <c r="J117" s="45">
        <f ca="1"/>
        <v>3.7542662116040959E-2</v>
      </c>
      <c r="K117" s="45">
        <f ca="1"/>
        <v>3.7542662116040959E-2</v>
      </c>
      <c r="L117" s="45">
        <f ca="1"/>
        <v>3.7542662116040959E-2</v>
      </c>
      <c r="M117" s="45">
        <f ca="1"/>
        <v>3.7542662116040959E-2</v>
      </c>
      <c r="N117" s="45">
        <f ca="1"/>
        <v>3.7542662116040959E-2</v>
      </c>
      <c r="O117" s="45">
        <f ca="1"/>
        <v>3.7542662116040959E-2</v>
      </c>
      <c r="P117" s="45">
        <f ca="1"/>
        <v>3.7542662116040959E-2</v>
      </c>
      <c r="Q117" s="45">
        <f ca="1"/>
        <v>3.7542662116040959E-2</v>
      </c>
      <c r="R117" s="45">
        <f ca="1"/>
        <v>3.7542662116040959E-2</v>
      </c>
      <c r="S117" s="45">
        <f ca="1"/>
        <v>3.7542662116040959E-2</v>
      </c>
      <c r="T117" s="45">
        <f ca="1"/>
        <v>3.7542662116040959E-2</v>
      </c>
      <c r="U117" s="45">
        <f ca="1"/>
        <v>3.7542662116040959E-2</v>
      </c>
      <c r="V117" s="45">
        <f ca="1"/>
        <v>3.7542662116040959E-2</v>
      </c>
      <c r="W117" s="45">
        <f ca="1"/>
        <v>3.7542662116040959E-2</v>
      </c>
      <c r="X117" s="45">
        <f ca="1"/>
        <v>3.7542662116040959E-2</v>
      </c>
      <c r="Y117" s="45">
        <f ca="1"/>
        <v>3.7542662116040959E-2</v>
      </c>
      <c r="Z117" s="45">
        <f ca="1"/>
        <v>3.7542662116040959E-2</v>
      </c>
      <c r="AA117" s="45">
        <f ca="1"/>
        <v>3.7542662116040959E-2</v>
      </c>
      <c r="AB117" s="45">
        <f ca="1"/>
        <v>3.7542662116040959E-2</v>
      </c>
      <c r="AC117" s="45">
        <f ca="1"/>
        <v>3.7542662116040959E-2</v>
      </c>
      <c r="AD117" s="45">
        <f ca="1"/>
        <v>3.7542662116040959E-2</v>
      </c>
      <c r="AE117" s="45">
        <f ca="1"/>
        <v>3.7542662116040959E-2</v>
      </c>
      <c r="AF117" s="45">
        <f ca="1"/>
        <v>3.7542662116040959E-2</v>
      </c>
      <c r="AG117" s="45">
        <f ca="1"/>
        <v>3.7542662116040959E-2</v>
      </c>
      <c r="AH117" s="45">
        <f ca="1"/>
        <v>3.7542662116040959E-2</v>
      </c>
      <c r="AI117" s="45">
        <f ca="1"/>
        <v>3.7542662116040959E-2</v>
      </c>
      <c r="AJ117" s="45">
        <f ca="1"/>
        <v>3.7542662116040959E-2</v>
      </c>
      <c r="AK117" s="45">
        <f ca="1"/>
        <v>3.7542662116040959E-2</v>
      </c>
      <c r="AL117" s="45">
        <f ca="1"/>
        <v>3.7542662116040959E-2</v>
      </c>
      <c r="AM117" s="45">
        <f ca="1"/>
        <v>3.7542662116040959E-2</v>
      </c>
      <c r="AN117" s="46">
        <f ca="1"/>
        <v>3.7542662116040959E-2</v>
      </c>
      <c r="AO117" s="8"/>
    </row>
    <row r="118" spans="2:41" x14ac:dyDescent="0.35">
      <c r="B118" s="8"/>
      <c r="C118" s="23" t="s">
        <v>92</v>
      </c>
      <c r="D118" s="24"/>
      <c r="E118" s="26">
        <f t="array" ref="E118:AN118">_yS</f>
        <v>2024</v>
      </c>
      <c r="F118" s="26">
        <v>2025</v>
      </c>
      <c r="G118" s="26">
        <v>2026</v>
      </c>
      <c r="H118" s="26">
        <v>2027</v>
      </c>
      <c r="I118" s="26">
        <v>2028</v>
      </c>
      <c r="J118" s="26">
        <v>2029</v>
      </c>
      <c r="K118" s="26">
        <v>2030</v>
      </c>
      <c r="L118" s="26">
        <v>2031</v>
      </c>
      <c r="M118" s="26">
        <v>2032</v>
      </c>
      <c r="N118" s="26">
        <v>2033</v>
      </c>
      <c r="O118" s="26">
        <v>2034</v>
      </c>
      <c r="P118" s="26">
        <v>2035</v>
      </c>
      <c r="Q118" s="26">
        <v>2036</v>
      </c>
      <c r="R118" s="26">
        <v>2037</v>
      </c>
      <c r="S118" s="26">
        <v>2038</v>
      </c>
      <c r="T118" s="26">
        <v>2039</v>
      </c>
      <c r="U118" s="26">
        <v>2040</v>
      </c>
      <c r="V118" s="26">
        <v>2041</v>
      </c>
      <c r="W118" s="26">
        <v>2042</v>
      </c>
      <c r="X118" s="26">
        <v>2043</v>
      </c>
      <c r="Y118" s="26">
        <v>2044</v>
      </c>
      <c r="Z118" s="26">
        <v>2045</v>
      </c>
      <c r="AA118" s="26">
        <v>2046</v>
      </c>
      <c r="AB118" s="26">
        <v>2047</v>
      </c>
      <c r="AC118" s="26">
        <v>2048</v>
      </c>
      <c r="AD118" s="26">
        <v>2049</v>
      </c>
      <c r="AE118" s="26">
        <v>2050</v>
      </c>
      <c r="AF118" s="26">
        <v>2051</v>
      </c>
      <c r="AG118" s="26">
        <v>2052</v>
      </c>
      <c r="AH118" s="26">
        <v>2053</v>
      </c>
      <c r="AI118" s="26">
        <v>2054</v>
      </c>
      <c r="AJ118" s="26">
        <v>2055</v>
      </c>
      <c r="AK118" s="26">
        <v>2056</v>
      </c>
      <c r="AL118" s="26">
        <v>2057</v>
      </c>
      <c r="AM118" s="26">
        <v>2058</v>
      </c>
      <c r="AN118" s="27">
        <v>2059</v>
      </c>
      <c r="AO118" s="8"/>
    </row>
    <row r="119" spans="2:41" x14ac:dyDescent="0.35">
      <c r="B119" s="8"/>
      <c r="C119" s="19" t="s">
        <v>65</v>
      </c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18"/>
      <c r="AO119" s="8"/>
    </row>
    <row r="120" spans="2:41" x14ac:dyDescent="0.35">
      <c r="B120" s="8"/>
      <c r="C120" s="10" t="s">
        <v>93</v>
      </c>
      <c r="D120" s="11" t="str">
        <f>CHOOSE(MATCH(LEFT(effTrend,1),{"L","G"},0),"CADR/watt","%")</f>
        <v>CADR/watt</v>
      </c>
      <c r="E120" s="8">
        <v>0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18"/>
      <c r="AO120" s="8"/>
    </row>
    <row r="121" spans="2:41" x14ac:dyDescent="0.35">
      <c r="B121" s="8"/>
      <c r="C121" s="10" t="s">
        <v>94</v>
      </c>
      <c r="D121" s="11" t="s">
        <v>74</v>
      </c>
      <c r="E121" s="33">
        <f>SUMPRODUCT(doEff,INDEX(bcEff_Com,,1))</f>
        <v>2.5119112627986349</v>
      </c>
      <c r="F121" s="33">
        <f>MIN(maxEff,(1+effTrendG*trendGrowthBC_Com)*E$121+effTrendL*trendGrowthBC_Com)</f>
        <v>2.5119112627986349</v>
      </c>
      <c r="G121" s="33">
        <f>MIN(maxEff,(1+effTrendG*trendGrowthBC_Com)*F$121+effTrendL*trendGrowthBC_Com)</f>
        <v>2.5119112627986349</v>
      </c>
      <c r="H121" s="33">
        <f>MIN(maxEff,(1+effTrendG*trendGrowthBC_Com)*G$121+effTrendL*trendGrowthBC_Com)</f>
        <v>2.5119112627986349</v>
      </c>
      <c r="I121" s="33">
        <f>MIN(maxEff,(1+effTrendG*trendGrowthBC_Com)*H$121+effTrendL*trendGrowthBC_Com)</f>
        <v>2.5119112627986349</v>
      </c>
      <c r="J121" s="33">
        <f>MIN(maxEff,(1+effTrendG*trendGrowthBC_Com)*I$121+effTrendL*trendGrowthBC_Com)</f>
        <v>2.5119112627986349</v>
      </c>
      <c r="K121" s="33">
        <f>MIN(maxEff,(1+effTrendG*trendGrowthBC_Com)*J$121+effTrendL*trendGrowthBC_Com)</f>
        <v>2.5119112627986349</v>
      </c>
      <c r="L121" s="33">
        <f>MIN(maxEff,(1+effTrendG*trendGrowthBC_Com)*K$121+effTrendL*trendGrowthBC_Com)</f>
        <v>2.5119112627986349</v>
      </c>
      <c r="M121" s="33">
        <f>MIN(maxEff,(1+effTrendG*trendGrowthBC_Com)*L$121+effTrendL*trendGrowthBC_Com)</f>
        <v>2.5119112627986349</v>
      </c>
      <c r="N121" s="33">
        <f>MIN(maxEff,(1+effTrendG*trendGrowthBC_Com)*M$121+effTrendL*trendGrowthBC_Com)</f>
        <v>2.5119112627986349</v>
      </c>
      <c r="O121" s="33">
        <f>MIN(maxEff,(1+effTrendG*trendGrowthBC_Com)*N$121+effTrendL*trendGrowthBC_Com)</f>
        <v>2.5119112627986349</v>
      </c>
      <c r="P121" s="33">
        <f>MIN(maxEff,(1+effTrendG*trendGrowthBC_Com)*O$121+effTrendL*trendGrowthBC_Com)</f>
        <v>2.5119112627986349</v>
      </c>
      <c r="Q121" s="33">
        <f>MIN(maxEff,(1+effTrendG*trendGrowthBC_Com)*P$121+effTrendL*trendGrowthBC_Com)</f>
        <v>2.5119112627986349</v>
      </c>
      <c r="R121" s="33">
        <f>MIN(maxEff,(1+effTrendG*trendGrowthBC_Com)*Q$121+effTrendL*trendGrowthBC_Com)</f>
        <v>2.5119112627986349</v>
      </c>
      <c r="S121" s="33">
        <f>MIN(maxEff,(1+effTrendG*trendGrowthBC_Com)*R$121+effTrendL*trendGrowthBC_Com)</f>
        <v>2.5119112627986349</v>
      </c>
      <c r="T121" s="33">
        <f>MIN(maxEff,(1+effTrendG*trendGrowthBC_Com)*S$121+effTrendL*trendGrowthBC_Com)</f>
        <v>2.5119112627986349</v>
      </c>
      <c r="U121" s="33">
        <f>MIN(maxEff,(1+effTrendG*trendGrowthBC_Com)*T$121+effTrendL*trendGrowthBC_Com)</f>
        <v>2.5119112627986349</v>
      </c>
      <c r="V121" s="33">
        <f>MIN(maxEff,(1+effTrendG*trendGrowthBC_Com)*U$121+effTrendL*trendGrowthBC_Com)</f>
        <v>2.5119112627986349</v>
      </c>
      <c r="W121" s="33">
        <f>MIN(maxEff,(1+effTrendG*trendGrowthBC_Com)*V$121+effTrendL*trendGrowthBC_Com)</f>
        <v>2.5119112627986349</v>
      </c>
      <c r="X121" s="33">
        <f>MIN(maxEff,(1+effTrendG*trendGrowthBC_Com)*W$121+effTrendL*trendGrowthBC_Com)</f>
        <v>2.5119112627986349</v>
      </c>
      <c r="Y121" s="33">
        <f>MIN(maxEff,(1+effTrendG*trendGrowthBC_Com)*X$121+effTrendL*trendGrowthBC_Com)</f>
        <v>2.5119112627986349</v>
      </c>
      <c r="Z121" s="33">
        <f>MIN(maxEff,(1+effTrendG*trendGrowthBC_Com)*Y$121+effTrendL*trendGrowthBC_Com)</f>
        <v>2.5119112627986349</v>
      </c>
      <c r="AA121" s="33">
        <f>MIN(maxEff,(1+effTrendG*trendGrowthBC_Com)*Z$121+effTrendL*trendGrowthBC_Com)</f>
        <v>2.5119112627986349</v>
      </c>
      <c r="AB121" s="33">
        <f>MIN(maxEff,(1+effTrendG*trendGrowthBC_Com)*AA$121+effTrendL*trendGrowthBC_Com)</f>
        <v>2.5119112627986349</v>
      </c>
      <c r="AC121" s="33">
        <f>MIN(maxEff,(1+effTrendG*trendGrowthBC_Com)*AB$121+effTrendL*trendGrowthBC_Com)</f>
        <v>2.5119112627986349</v>
      </c>
      <c r="AD121" s="33">
        <f>MIN(maxEff,(1+effTrendG*trendGrowthBC_Com)*AC$121+effTrendL*trendGrowthBC_Com)</f>
        <v>2.5119112627986349</v>
      </c>
      <c r="AE121" s="33">
        <f>MIN(maxEff,(1+effTrendG*trendGrowthBC_Com)*AD$121+effTrendL*trendGrowthBC_Com)</f>
        <v>2.5119112627986349</v>
      </c>
      <c r="AF121" s="33">
        <f>MIN(maxEff,(1+effTrendG*trendGrowthBC_Com)*AE$121+effTrendL*trendGrowthBC_Com)</f>
        <v>2.5119112627986349</v>
      </c>
      <c r="AG121" s="33">
        <f>MIN(maxEff,(1+effTrendG*trendGrowthBC_Com)*AF$121+effTrendL*trendGrowthBC_Com)</f>
        <v>2.5119112627986349</v>
      </c>
      <c r="AH121" s="33">
        <f>MIN(maxEff,(1+effTrendG*trendGrowthBC_Com)*AG$121+effTrendL*trendGrowthBC_Com)</f>
        <v>2.5119112627986349</v>
      </c>
      <c r="AI121" s="33">
        <f>MIN(maxEff,(1+effTrendG*trendGrowthBC_Com)*AH$121+effTrendL*trendGrowthBC_Com)</f>
        <v>2.5119112627986349</v>
      </c>
      <c r="AJ121" s="33">
        <f>MIN(maxEff,(1+effTrendG*trendGrowthBC_Com)*AI$121+effTrendL*trendGrowthBC_Com)</f>
        <v>2.5119112627986349</v>
      </c>
      <c r="AK121" s="33">
        <f>MIN(maxEff,(1+effTrendG*trendGrowthBC_Com)*AJ$121+effTrendL*trendGrowthBC_Com)</f>
        <v>2.5119112627986349</v>
      </c>
      <c r="AL121" s="33">
        <f>MIN(maxEff,(1+effTrendG*trendGrowthBC_Com)*AK$121+effTrendL*trendGrowthBC_Com)</f>
        <v>2.5119112627986349</v>
      </c>
      <c r="AM121" s="33">
        <f>MIN(maxEff,(1+effTrendG*trendGrowthBC_Com)*AL$121+effTrendL*trendGrowthBC_Com)</f>
        <v>2.5119112627986349</v>
      </c>
      <c r="AN121" s="34">
        <f>MIN(maxEff,(1+effTrendG*trendGrowthBC_Com)*AM$121+effTrendL*trendGrowthBC_Com)</f>
        <v>2.5119112627986349</v>
      </c>
      <c r="AO121" s="8"/>
    </row>
    <row r="122" spans="2:41" x14ac:dyDescent="0.35">
      <c r="B122" s="8"/>
      <c r="C122" s="19" t="s">
        <v>95</v>
      </c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18"/>
      <c r="AO122" s="8"/>
    </row>
    <row r="123" spans="2:41" x14ac:dyDescent="0.35">
      <c r="B123" s="8"/>
      <c r="C123" s="14" t="s">
        <v>94</v>
      </c>
      <c r="D123" s="15" t="s">
        <v>74</v>
      </c>
      <c r="E123" s="21">
        <f ca="1">IF(E$118&lt;yearC,E$121,IF(E$118=yearC,SUMPRODUCT(doEff,INDEX(polEff_Com,,1)),MIN(maxEff,MAX(0,E$121))))</f>
        <v>2.6925555229403346</v>
      </c>
      <c r="F123" s="21">
        <f ca="1">IF(F$118&lt;yearC,F$121,IF(F$118=yearC,SUMPRODUCT(doEff,INDEX(polEff_Com,,2)),MIN(maxEff,MAX(INDEX(trendEffPol_Com,1),F$121))))</f>
        <v>2.6925555229403346</v>
      </c>
      <c r="G123" s="21">
        <f ca="1">IF(G$118&lt;yearC,G$121,IF(G$118=yearC,SUMPRODUCT(doEff,INDEX(polEff_Com,,3)),MIN(maxEff,MAX(INDEX(trendEffPol_Com,2),G$121))))</f>
        <v>2.6925555229403346</v>
      </c>
      <c r="H123" s="21">
        <f ca="1">IF(H$118&lt;yearC,H$121,IF(H$118=yearC,SUMPRODUCT(doEff,INDEX(polEff_Com,,4)),MIN(maxEff,MAX(INDEX(trendEffPol_Com,3),H$121))))</f>
        <v>2.6925555229403346</v>
      </c>
      <c r="I123" s="21">
        <f ca="1">IF(I$118&lt;yearC,I$121,IF(I$118=yearC,SUMPRODUCT(doEff,INDEX(polEff_Com,,5)),MIN(maxEff,MAX(INDEX(trendEffPol_Com,4),I$121))))</f>
        <v>2.6925555229403346</v>
      </c>
      <c r="J123" s="21">
        <f ca="1">IF(J$118&lt;yearC,J$121,IF(J$118=yearC,SUMPRODUCT(doEff,INDEX(polEff_Com,,6)),MIN(maxEff,MAX(INDEX(trendEffPol_Com,5),J$121))))</f>
        <v>2.6925555229403346</v>
      </c>
      <c r="K123" s="21">
        <f ca="1">IF(K$118&lt;yearC,K$121,IF(K$118=yearC,SUMPRODUCT(doEff,INDEX(polEff_Com,,7)),MIN(maxEff,MAX(INDEX(trendEffPol_Com,6),K$121))))</f>
        <v>2.6925555229403346</v>
      </c>
      <c r="L123" s="21">
        <f ca="1">MIN(maxEff,MAX(INDEX(trendEffPol_Com,7),L$121))</f>
        <v>2.6925555229403346</v>
      </c>
      <c r="M123" s="21">
        <f ca="1">MIN(maxEff,MAX(INDEX(trendEffPol_Com,7),M$121))</f>
        <v>2.6925555229403346</v>
      </c>
      <c r="N123" s="21">
        <f ca="1">MIN(maxEff,MAX(INDEX(trendEffPol_Com,7),N$121))</f>
        <v>2.6925555229403346</v>
      </c>
      <c r="O123" s="21">
        <f ca="1">MIN(maxEff,MAX(INDEX(trendEffPol_Com,7),O$121))</f>
        <v>2.6925555229403346</v>
      </c>
      <c r="P123" s="21">
        <f ca="1">MIN(maxEff,MAX(INDEX(trendEffPol_Com,7),P$121))</f>
        <v>2.6925555229403346</v>
      </c>
      <c r="Q123" s="21">
        <f ca="1">MIN(maxEff,MAX(INDEX(trendEffPol_Com,7),Q$121))</f>
        <v>2.6925555229403346</v>
      </c>
      <c r="R123" s="21">
        <f ca="1">MIN(maxEff,MAX(INDEX(trendEffPol_Com,7),R$121))</f>
        <v>2.6925555229403346</v>
      </c>
      <c r="S123" s="21">
        <f ca="1">MIN(maxEff,MAX(INDEX(trendEffPol_Com,7),S$121))</f>
        <v>2.6925555229403346</v>
      </c>
      <c r="T123" s="21">
        <f ca="1">MIN(maxEff,MAX(INDEX(trendEffPol_Com,7),T$121))</f>
        <v>2.6925555229403346</v>
      </c>
      <c r="U123" s="21">
        <f ca="1">MIN(maxEff,MAX(INDEX(trendEffPol_Com,7),U$121))</f>
        <v>2.6925555229403346</v>
      </c>
      <c r="V123" s="21">
        <f ca="1">MIN(maxEff,MAX(INDEX(trendEffPol_Com,7),V$121))</f>
        <v>2.6925555229403346</v>
      </c>
      <c r="W123" s="21">
        <f ca="1">MIN(maxEff,MAX(INDEX(trendEffPol_Com,7),W$121))</f>
        <v>2.6925555229403346</v>
      </c>
      <c r="X123" s="21">
        <f ca="1">MIN(maxEff,MAX(INDEX(trendEffPol_Com,7),X$121))</f>
        <v>2.6925555229403346</v>
      </c>
      <c r="Y123" s="21">
        <f ca="1">MIN(maxEff,MAX(INDEX(trendEffPol_Com,7),Y$121))</f>
        <v>2.6925555229403346</v>
      </c>
      <c r="Z123" s="21">
        <f ca="1">MIN(maxEff,MAX(INDEX(trendEffPol_Com,7),Z$121))</f>
        <v>2.6925555229403346</v>
      </c>
      <c r="AA123" s="21">
        <f ca="1">MIN(maxEff,MAX(INDEX(trendEffPol_Com,7),AA$121))</f>
        <v>2.6925555229403346</v>
      </c>
      <c r="AB123" s="21">
        <f ca="1">MIN(maxEff,MAX(INDEX(trendEffPol_Com,7),AB$121))</f>
        <v>2.6925555229403346</v>
      </c>
      <c r="AC123" s="21">
        <f ca="1">MIN(maxEff,MAX(INDEX(trendEffPol_Com,7),AC$121))</f>
        <v>2.6925555229403346</v>
      </c>
      <c r="AD123" s="21">
        <f ca="1">MIN(maxEff,MAX(INDEX(trendEffPol_Com,7),AD$121))</f>
        <v>2.6925555229403346</v>
      </c>
      <c r="AE123" s="21">
        <f ca="1">MIN(maxEff,MAX(INDEX(trendEffPol_Com,7),AE$121))</f>
        <v>2.6925555229403346</v>
      </c>
      <c r="AF123" s="21">
        <f ca="1">MIN(maxEff,MAX(INDEX(trendEffPol_Com,7),AF$121))</f>
        <v>2.6925555229403346</v>
      </c>
      <c r="AG123" s="21">
        <f ca="1">MIN(maxEff,MAX(INDEX(trendEffPol_Com,7),AG$121))</f>
        <v>2.6925555229403346</v>
      </c>
      <c r="AH123" s="21">
        <f ca="1">MIN(maxEff,MAX(INDEX(trendEffPol_Com,7),AH$121))</f>
        <v>2.6925555229403346</v>
      </c>
      <c r="AI123" s="21">
        <f ca="1">MIN(maxEff,MAX(INDEX(trendEffPol_Com,7),AI$121))</f>
        <v>2.6925555229403346</v>
      </c>
      <c r="AJ123" s="21">
        <f ca="1">MIN(maxEff,MAX(INDEX(trendEffPol_Com,7),AJ$121))</f>
        <v>2.6925555229403346</v>
      </c>
      <c r="AK123" s="21">
        <f ca="1">MIN(maxEff,MAX(INDEX(trendEffPol_Com,7),AK$121))</f>
        <v>2.6925555229403346</v>
      </c>
      <c r="AL123" s="21">
        <f ca="1">MIN(maxEff,MAX(INDEX(trendEffPol_Com,7),AL$121))</f>
        <v>2.6925555229403346</v>
      </c>
      <c r="AM123" s="21">
        <f ca="1">MIN(maxEff,MAX(INDEX(trendEffPol_Com,7),AM$121))</f>
        <v>2.6925555229403346</v>
      </c>
      <c r="AN123" s="22">
        <f ca="1">MIN(maxEff,MAX(INDEX(trendEffPol_Com,7),AN$121))</f>
        <v>2.6925555229403346</v>
      </c>
      <c r="AO123" s="8"/>
    </row>
    <row r="124" spans="2:4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</row>
    <row r="125" spans="2:41" hidden="1" x14ac:dyDescent="0.35">
      <c r="B125" s="8"/>
      <c r="C125" s="23" t="s">
        <v>91</v>
      </c>
      <c r="D125" s="24"/>
      <c r="E125" s="26">
        <f t="array" ref="E125:AN125">_yS</f>
        <v>2024</v>
      </c>
      <c r="F125" s="26">
        <v>2025</v>
      </c>
      <c r="G125" s="26">
        <v>2026</v>
      </c>
      <c r="H125" s="26">
        <v>2027</v>
      </c>
      <c r="I125" s="26">
        <v>2028</v>
      </c>
      <c r="J125" s="26">
        <v>2029</v>
      </c>
      <c r="K125" s="26">
        <v>2030</v>
      </c>
      <c r="L125" s="26">
        <v>2031</v>
      </c>
      <c r="M125" s="26">
        <v>2032</v>
      </c>
      <c r="N125" s="26">
        <v>2033</v>
      </c>
      <c r="O125" s="26">
        <v>2034</v>
      </c>
      <c r="P125" s="26">
        <v>2035</v>
      </c>
      <c r="Q125" s="26">
        <v>2036</v>
      </c>
      <c r="R125" s="26">
        <v>2037</v>
      </c>
      <c r="S125" s="26">
        <v>2038</v>
      </c>
      <c r="T125" s="26">
        <v>2039</v>
      </c>
      <c r="U125" s="26">
        <v>2040</v>
      </c>
      <c r="V125" s="26">
        <v>2041</v>
      </c>
      <c r="W125" s="26">
        <v>2042</v>
      </c>
      <c r="X125" s="26">
        <v>2043</v>
      </c>
      <c r="Y125" s="26">
        <v>2044</v>
      </c>
      <c r="Z125" s="26">
        <v>2045</v>
      </c>
      <c r="AA125" s="26">
        <v>2046</v>
      </c>
      <c r="AB125" s="26">
        <v>2047</v>
      </c>
      <c r="AC125" s="26">
        <v>2048</v>
      </c>
      <c r="AD125" s="26">
        <v>2049</v>
      </c>
      <c r="AE125" s="26">
        <v>2050</v>
      </c>
      <c r="AF125" s="26">
        <v>2051</v>
      </c>
      <c r="AG125" s="26">
        <v>2052</v>
      </c>
      <c r="AH125" s="26">
        <v>2053</v>
      </c>
      <c r="AI125" s="26">
        <v>2054</v>
      </c>
      <c r="AJ125" s="26">
        <v>2055</v>
      </c>
      <c r="AK125" s="26">
        <v>2056</v>
      </c>
      <c r="AL125" s="26">
        <v>2057</v>
      </c>
      <c r="AM125" s="26">
        <v>2058</v>
      </c>
      <c r="AN125" s="27">
        <v>2059</v>
      </c>
      <c r="AO125" s="8"/>
    </row>
    <row r="126" spans="2:41" hidden="1" x14ac:dyDescent="0.35">
      <c r="B126" s="8"/>
      <c r="C126" s="19" t="s">
        <v>89</v>
      </c>
      <c r="D126" s="11"/>
      <c r="E126" s="43">
        <f>0</f>
        <v>0</v>
      </c>
      <c r="F126" s="43">
        <f t="array" ref="F126:AN126">$E$126</f>
        <v>0</v>
      </c>
      <c r="G126" s="43">
        <v>0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0</v>
      </c>
      <c r="W126" s="43">
        <v>0</v>
      </c>
      <c r="X126" s="43">
        <v>0</v>
      </c>
      <c r="Y126" s="43">
        <v>0</v>
      </c>
      <c r="Z126" s="43">
        <v>0</v>
      </c>
      <c r="AA126" s="43">
        <v>0</v>
      </c>
      <c r="AB126" s="43">
        <v>0</v>
      </c>
      <c r="AC126" s="43">
        <v>0</v>
      </c>
      <c r="AD126" s="43">
        <v>0</v>
      </c>
      <c r="AE126" s="43">
        <v>0</v>
      </c>
      <c r="AF126" s="43">
        <v>0</v>
      </c>
      <c r="AG126" s="43">
        <v>0</v>
      </c>
      <c r="AH126" s="43">
        <v>0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4">
        <v>0</v>
      </c>
      <c r="AO126" s="8"/>
    </row>
    <row r="127" spans="2:41" hidden="1" x14ac:dyDescent="0.35">
      <c r="B127" s="8"/>
      <c r="C127" s="19" t="str">
        <f>"EL 0: " &amp; INDEX(_doName,3,1)</f>
        <v>EL 0: Baseline</v>
      </c>
      <c r="D127" s="11"/>
      <c r="E127" s="43"/>
      <c r="F127" s="43">
        <f ca="1">(INDEX(teffSumPol_Com,1,2)&lt;INDEX(effGoalPol_Com,2)) * MIN(INDEX(polEff_Com,1,1),(INDEX(effGoalPol_Com,2)-INDEX(teffSumPol_Com,1,2))/(INDEX(doEff,2)-INDEX(doEff,1)))</f>
        <v>0</v>
      </c>
      <c r="G127" s="43">
        <f ca="1">(INDEX(teffSumPol_Com,1,3)&lt;INDEX(effGoalPol_Com,3)) * MIN(INDEX(polEff_Com,1,2),(INDEX(effGoalPol_Com,3)-INDEX(teffSumPol_Com,1,3))/(INDEX(doEff,2)-INDEX(doEff,1)))</f>
        <v>0</v>
      </c>
      <c r="H127" s="43">
        <f ca="1">(INDEX(teffSumPol_Com,1,4)&lt;INDEX(effGoalPol_Com,4)) * MIN(INDEX(polEff_Com,1,3),(INDEX(effGoalPol_Com,4)-INDEX(teffSumPol_Com,1,4))/(INDEX(doEff,2)-INDEX(doEff,1)))</f>
        <v>0</v>
      </c>
      <c r="I127" s="43">
        <f ca="1">(INDEX(teffSumPol_Com,1,5)&lt;INDEX(effGoalPol_Com,5)) * MIN(INDEX(polEff_Com,1,4),(INDEX(effGoalPol_Com,5)-INDEX(teffSumPol_Com,1,5))/(INDEX(doEff,2)-INDEX(doEff,1)))</f>
        <v>0</v>
      </c>
      <c r="J127" s="43">
        <f ca="1">(INDEX(teffSumPol_Com,1,6)&lt;INDEX(effGoalPol_Com,6)) * MIN(INDEX(polEff_Com,1,5),(INDEX(effGoalPol_Com,6)-INDEX(teffSumPol_Com,1,6))/(INDEX(doEff,2)-INDEX(doEff,1)))</f>
        <v>0</v>
      </c>
      <c r="K127" s="43">
        <f ca="1">(INDEX(teffSumPol_Com,1,7)&lt;INDEX(effGoalPol_Com,7)) * MIN(INDEX(polEff_Com,1,6),(INDEX(effGoalPol_Com,7)-INDEX(teffSumPol_Com,1,7))/(INDEX(doEff,2)-INDEX(doEff,1)))</f>
        <v>0</v>
      </c>
      <c r="L127" s="43">
        <f ca="1">(INDEX(teffSumPol_Com,1,8)&lt;INDEX(effGoalPol_Com,8)) * MIN(INDEX(polEff_Com,1,7),(INDEX(effGoalPol_Com,8)-INDEX(teffSumPol_Com,1,8))/(INDEX(doEff,2)-INDEX(doEff,1)))</f>
        <v>0</v>
      </c>
      <c r="M127" s="43">
        <f ca="1">(INDEX(teffSumPol_Com,1,9)&lt;INDEX(effGoalPol_Com,9)) * MIN(INDEX(polEff_Com,1,8),(INDEX(effGoalPol_Com,9)-INDEX(teffSumPol_Com,1,9))/(INDEX(doEff,2)-INDEX(doEff,1)))</f>
        <v>0</v>
      </c>
      <c r="N127" s="43">
        <f ca="1">(INDEX(teffSumPol_Com,1,10)&lt;INDEX(effGoalPol_Com,10)) * MIN(INDEX(polEff_Com,1,9),(INDEX(effGoalPol_Com,10)-INDEX(teffSumPol_Com,1,10))/(INDEX(doEff,2)-INDEX(doEff,1)))</f>
        <v>0</v>
      </c>
      <c r="O127" s="43">
        <f ca="1">(INDEX(teffSumPol_Com,1,11)&lt;INDEX(effGoalPol_Com,11)) * MIN(INDEX(polEff_Com,1,10),(INDEX(effGoalPol_Com,11)-INDEX(teffSumPol_Com,1,11))/(INDEX(doEff,2)-INDEX(doEff,1)))</f>
        <v>0</v>
      </c>
      <c r="P127" s="43">
        <f ca="1">(INDEX(teffSumPol_Com,1,12)&lt;INDEX(effGoalPol_Com,12)) * MIN(INDEX(polEff_Com,1,11),(INDEX(effGoalPol_Com,12)-INDEX(teffSumPol_Com,1,12))/(INDEX(doEff,2)-INDEX(doEff,1)))</f>
        <v>0</v>
      </c>
      <c r="Q127" s="43">
        <f ca="1">(INDEX(teffSumPol_Com,1,13)&lt;INDEX(effGoalPol_Com,13)) * MIN(INDEX(polEff_Com,1,12),(INDEX(effGoalPol_Com,13)-INDEX(teffSumPol_Com,1,13))/(INDEX(doEff,2)-INDEX(doEff,1)))</f>
        <v>0</v>
      </c>
      <c r="R127" s="43">
        <f ca="1">(INDEX(teffSumPol_Com,1,14)&lt;INDEX(effGoalPol_Com,14)) * MIN(INDEX(polEff_Com,1,13),(INDEX(effGoalPol_Com,14)-INDEX(teffSumPol_Com,1,14))/(INDEX(doEff,2)-INDEX(doEff,1)))</f>
        <v>0</v>
      </c>
      <c r="S127" s="43">
        <f ca="1">(INDEX(teffSumPol_Com,1,15)&lt;INDEX(effGoalPol_Com,15)) * MIN(INDEX(polEff_Com,1,14),(INDEX(effGoalPol_Com,15)-INDEX(teffSumPol_Com,1,15))/(INDEX(doEff,2)-INDEX(doEff,1)))</f>
        <v>0</v>
      </c>
      <c r="T127" s="43">
        <f ca="1">(INDEX(teffSumPol_Com,1,16)&lt;INDEX(effGoalPol_Com,16)) * MIN(INDEX(polEff_Com,1,15),(INDEX(effGoalPol_Com,16)-INDEX(teffSumPol_Com,1,16))/(INDEX(doEff,2)-INDEX(doEff,1)))</f>
        <v>0</v>
      </c>
      <c r="U127" s="43">
        <f ca="1">(INDEX(teffSumPol_Com,1,17)&lt;INDEX(effGoalPol_Com,17)) * MIN(INDEX(polEff_Com,1,16),(INDEX(effGoalPol_Com,17)-INDEX(teffSumPol_Com,1,17))/(INDEX(doEff,2)-INDEX(doEff,1)))</f>
        <v>0</v>
      </c>
      <c r="V127" s="43">
        <f ca="1">(INDEX(teffSumPol_Com,1,18)&lt;INDEX(effGoalPol_Com,18)) * MIN(INDEX(polEff_Com,1,17),(INDEX(effGoalPol_Com,18)-INDEX(teffSumPol_Com,1,18))/(INDEX(doEff,2)-INDEX(doEff,1)))</f>
        <v>0</v>
      </c>
      <c r="W127" s="43">
        <f ca="1">(INDEX(teffSumPol_Com,1,19)&lt;INDEX(effGoalPol_Com,19)) * MIN(INDEX(polEff_Com,1,18),(INDEX(effGoalPol_Com,19)-INDEX(teffSumPol_Com,1,19))/(INDEX(doEff,2)-INDEX(doEff,1)))</f>
        <v>0</v>
      </c>
      <c r="X127" s="43">
        <f ca="1">(INDEX(teffSumPol_Com,1,20)&lt;INDEX(effGoalPol_Com,20)) * MIN(INDEX(polEff_Com,1,19),(INDEX(effGoalPol_Com,20)-INDEX(teffSumPol_Com,1,20))/(INDEX(doEff,2)-INDEX(doEff,1)))</f>
        <v>0</v>
      </c>
      <c r="Y127" s="43">
        <f ca="1">(INDEX(teffSumPol_Com,1,21)&lt;INDEX(effGoalPol_Com,21)) * MIN(INDEX(polEff_Com,1,20),(INDEX(effGoalPol_Com,21)-INDEX(teffSumPol_Com,1,21))/(INDEX(doEff,2)-INDEX(doEff,1)))</f>
        <v>0</v>
      </c>
      <c r="Z127" s="43">
        <f ca="1">(INDEX(teffSumPol_Com,1,22)&lt;INDEX(effGoalPol_Com,22)) * MIN(INDEX(polEff_Com,1,21),(INDEX(effGoalPol_Com,22)-INDEX(teffSumPol_Com,1,22))/(INDEX(doEff,2)-INDEX(doEff,1)))</f>
        <v>0</v>
      </c>
      <c r="AA127" s="43">
        <f ca="1">(INDEX(teffSumPol_Com,1,23)&lt;INDEX(effGoalPol_Com,23)) * MIN(INDEX(polEff_Com,1,22),(INDEX(effGoalPol_Com,23)-INDEX(teffSumPol_Com,1,23))/(INDEX(doEff,2)-INDEX(doEff,1)))</f>
        <v>0</v>
      </c>
      <c r="AB127" s="43">
        <f ca="1">(INDEX(teffSumPol_Com,1,24)&lt;INDEX(effGoalPol_Com,24)) * MIN(INDEX(polEff_Com,1,23),(INDEX(effGoalPol_Com,24)-INDEX(teffSumPol_Com,1,24))/(INDEX(doEff,2)-INDEX(doEff,1)))</f>
        <v>0</v>
      </c>
      <c r="AC127" s="43">
        <f ca="1">(INDEX(teffSumPol_Com,1,25)&lt;INDEX(effGoalPol_Com,25)) * MIN(INDEX(polEff_Com,1,24),(INDEX(effGoalPol_Com,25)-INDEX(teffSumPol_Com,1,25))/(INDEX(doEff,2)-INDEX(doEff,1)))</f>
        <v>0</v>
      </c>
      <c r="AD127" s="43">
        <f ca="1">(INDEX(teffSumPol_Com,1,26)&lt;INDEX(effGoalPol_Com,26)) * MIN(INDEX(polEff_Com,1,25),(INDEX(effGoalPol_Com,26)-INDEX(teffSumPol_Com,1,26))/(INDEX(doEff,2)-INDEX(doEff,1)))</f>
        <v>0</v>
      </c>
      <c r="AE127" s="43">
        <f ca="1">(INDEX(teffSumPol_Com,1,27)&lt;INDEX(effGoalPol_Com,27)) * MIN(INDEX(polEff_Com,1,26),(INDEX(effGoalPol_Com,27)-INDEX(teffSumPol_Com,1,27))/(INDEX(doEff,2)-INDEX(doEff,1)))</f>
        <v>0</v>
      </c>
      <c r="AF127" s="43">
        <f ca="1">(INDEX(teffSumPol_Com,1,28)&lt;INDEX(effGoalPol_Com,28)) * MIN(INDEX(polEff_Com,1,27),(INDEX(effGoalPol_Com,28)-INDEX(teffSumPol_Com,1,28))/(INDEX(doEff,2)-INDEX(doEff,1)))</f>
        <v>0</v>
      </c>
      <c r="AG127" s="43">
        <f ca="1">(INDEX(teffSumPol_Com,1,29)&lt;INDEX(effGoalPol_Com,29)) * MIN(INDEX(polEff_Com,1,28),(INDEX(effGoalPol_Com,29)-INDEX(teffSumPol_Com,1,29))/(INDEX(doEff,2)-INDEX(doEff,1)))</f>
        <v>0</v>
      </c>
      <c r="AH127" s="43">
        <f ca="1">(INDEX(teffSumPol_Com,1,30)&lt;INDEX(effGoalPol_Com,30)) * MIN(INDEX(polEff_Com,1,29),(INDEX(effGoalPol_Com,30)-INDEX(teffSumPol_Com,1,30))/(INDEX(doEff,2)-INDEX(doEff,1)))</f>
        <v>0</v>
      </c>
      <c r="AI127" s="43">
        <f ca="1">(INDEX(teffSumPol_Com,1,31)&lt;INDEX(effGoalPol_Com,31)) * MIN(INDEX(polEff_Com,1,30),(INDEX(effGoalPol_Com,31)-INDEX(teffSumPol_Com,1,31))/(INDEX(doEff,2)-INDEX(doEff,1)))</f>
        <v>0</v>
      </c>
      <c r="AJ127" s="43">
        <f ca="1">(INDEX(teffSumPol_Com,1,32)&lt;INDEX(effGoalPol_Com,32)) * MIN(INDEX(polEff_Com,1,31),(INDEX(effGoalPol_Com,32)-INDEX(teffSumPol_Com,1,32))/(INDEX(doEff,2)-INDEX(doEff,1)))</f>
        <v>0</v>
      </c>
      <c r="AK127" s="43">
        <f ca="1">(INDEX(teffSumPol_Com,1,33)&lt;INDEX(effGoalPol_Com,33)) * MIN(INDEX(polEff_Com,1,32),(INDEX(effGoalPol_Com,33)-INDEX(teffSumPol_Com,1,33))/(INDEX(doEff,2)-INDEX(doEff,1)))</f>
        <v>0</v>
      </c>
      <c r="AL127" s="43">
        <f ca="1">(INDEX(teffSumPol_Com,1,34)&lt;INDEX(effGoalPol_Com,34)) * MIN(INDEX(polEff_Com,1,33),(INDEX(effGoalPol_Com,34)-INDEX(teffSumPol_Com,1,34))/(INDEX(doEff,2)-INDEX(doEff,1)))</f>
        <v>0</v>
      </c>
      <c r="AM127" s="43">
        <f ca="1">(INDEX(teffSumPol_Com,1,35)&lt;INDEX(effGoalPol_Com,35)) * MIN(INDEX(polEff_Com,1,34),(INDEX(effGoalPol_Com,35)-INDEX(teffSumPol_Com,1,35))/(INDEX(doEff,2)-INDEX(doEff,1)))</f>
        <v>0</v>
      </c>
      <c r="AN127" s="44">
        <f ca="1">(INDEX(teffSumPol_Com,1,36)&lt;INDEX(effGoalPol_Com,36)) * MIN(INDEX(polEff_Com,1,35),(INDEX(effGoalPol_Com,36)-INDEX(teffSumPol_Com,1,36))/(INDEX(doEff,2)-INDEX(doEff,1)))</f>
        <v>0</v>
      </c>
      <c r="AO127" s="8"/>
    </row>
    <row r="128" spans="2:41" hidden="1" x14ac:dyDescent="0.35">
      <c r="B128" s="8"/>
      <c r="C128" s="19" t="str">
        <f>"EL 1: " &amp; INDEX(_doName,3,2)</f>
        <v>EL 1: Tier 1</v>
      </c>
      <c r="D128" s="11"/>
      <c r="E128" s="43"/>
      <c r="F128" s="43">
        <f ca="1">(INDEX(teffSumPol_Com,2,2)&lt;INDEX(effGoalPol_Com,2)) * MIN(INDEX(polEff_Com,2,1)+INDEX(pushPol_Com,1),(INDEX(effGoalPol_Com,2)-INDEX(teffSumPol_Com,2,2))/(INDEX(doEff,3)-INDEX(doEff,2)))</f>
        <v>0</v>
      </c>
      <c r="G128" s="43">
        <f ca="1">(INDEX(teffSumPol_Com,2,3)&lt;INDEX(effGoalPol_Com,3)) * MIN(INDEX(polEff_Com,2,2)+INDEX(pushPol_Com,1),(INDEX(effGoalPol_Com,3)-INDEX(teffSumPol_Com,2,3))/(INDEX(doEff,3)-INDEX(doEff,2)))</f>
        <v>2.4094482838194538E-4</v>
      </c>
      <c r="H128" s="43">
        <f ca="1">(INDEX(teffSumPol_Com,2,4)&lt;INDEX(effGoalPol_Com,4)) * MIN(INDEX(polEff_Com,2,3)+INDEX(pushPol_Com,1),(INDEX(effGoalPol_Com,4)-INDEX(teffSumPol_Com,2,4))/(INDEX(doEff,3)-INDEX(doEff,2)))</f>
        <v>0</v>
      </c>
      <c r="I128" s="43">
        <f ca="1">(INDEX(teffSumPol_Com,2,5)&lt;INDEX(effGoalPol_Com,5)) * MIN(INDEX(polEff_Com,2,4)+INDEX(pushPol_Com,1),(INDEX(effGoalPol_Com,5)-INDEX(teffSumPol_Com,2,5))/(INDEX(doEff,3)-INDEX(doEff,2)))</f>
        <v>0</v>
      </c>
      <c r="J128" s="43">
        <f ca="1">(INDEX(teffSumPol_Com,2,6)&lt;INDEX(effGoalPol_Com,6)) * MIN(INDEX(polEff_Com,2,5)+INDEX(pushPol_Com,1),(INDEX(effGoalPol_Com,6)-INDEX(teffSumPol_Com,2,6))/(INDEX(doEff,3)-INDEX(doEff,2)))</f>
        <v>0</v>
      </c>
      <c r="K128" s="43">
        <f ca="1">(INDEX(teffSumPol_Com,2,7)&lt;INDEX(effGoalPol_Com,7)) * MIN(INDEX(polEff_Com,2,6)+INDEX(pushPol_Com,1),(INDEX(effGoalPol_Com,7)-INDEX(teffSumPol_Com,2,7))/(INDEX(doEff,3)-INDEX(doEff,2)))</f>
        <v>0</v>
      </c>
      <c r="L128" s="43">
        <f ca="1">(INDEX(teffSumPol_Com,2,8)&lt;INDEX(effGoalPol_Com,8)) * MIN(INDEX(polEff_Com,2,7)+INDEX(pushPol_Com,1),(INDEX(effGoalPol_Com,8)-INDEX(teffSumPol_Com,2,8))/(INDEX(doEff,3)-INDEX(doEff,2)))</f>
        <v>0</v>
      </c>
      <c r="M128" s="43">
        <f ca="1">(INDEX(teffSumPol_Com,2,9)&lt;INDEX(effGoalPol_Com,9)) * MIN(INDEX(polEff_Com,2,8)+INDEX(pushPol_Com,1),(INDEX(effGoalPol_Com,9)-INDEX(teffSumPol_Com,2,9))/(INDEX(doEff,3)-INDEX(doEff,2)))</f>
        <v>0</v>
      </c>
      <c r="N128" s="43">
        <f ca="1">(INDEX(teffSumPol_Com,2,10)&lt;INDEX(effGoalPol_Com,10)) * MIN(INDEX(polEff_Com,2,9)+INDEX(pushPol_Com,1),(INDEX(effGoalPol_Com,10)-INDEX(teffSumPol_Com,2,10))/(INDEX(doEff,3)-INDEX(doEff,2)))</f>
        <v>0</v>
      </c>
      <c r="O128" s="43">
        <f ca="1">(INDEX(teffSumPol_Com,2,11)&lt;INDEX(effGoalPol_Com,11)) * MIN(INDEX(polEff_Com,2,10)+INDEX(pushPol_Com,1),(INDEX(effGoalPol_Com,11)-INDEX(teffSumPol_Com,2,11))/(INDEX(doEff,3)-INDEX(doEff,2)))</f>
        <v>0</v>
      </c>
      <c r="P128" s="43">
        <f ca="1">(INDEX(teffSumPol_Com,2,12)&lt;INDEX(effGoalPol_Com,12)) * MIN(INDEX(polEff_Com,2,11)+INDEX(pushPol_Com,1),(INDEX(effGoalPol_Com,12)-INDEX(teffSumPol_Com,2,12))/(INDEX(doEff,3)-INDEX(doEff,2)))</f>
        <v>0</v>
      </c>
      <c r="Q128" s="43">
        <f ca="1">(INDEX(teffSumPol_Com,2,13)&lt;INDEX(effGoalPol_Com,13)) * MIN(INDEX(polEff_Com,2,12)+INDEX(pushPol_Com,1),(INDEX(effGoalPol_Com,13)-INDEX(teffSumPol_Com,2,13))/(INDEX(doEff,3)-INDEX(doEff,2)))</f>
        <v>0</v>
      </c>
      <c r="R128" s="43">
        <f ca="1">(INDEX(teffSumPol_Com,2,14)&lt;INDEX(effGoalPol_Com,14)) * MIN(INDEX(polEff_Com,2,13)+INDEX(pushPol_Com,1),(INDEX(effGoalPol_Com,14)-INDEX(teffSumPol_Com,2,14))/(INDEX(doEff,3)-INDEX(doEff,2)))</f>
        <v>0</v>
      </c>
      <c r="S128" s="43">
        <f ca="1">(INDEX(teffSumPol_Com,2,15)&lt;INDEX(effGoalPol_Com,15)) * MIN(INDEX(polEff_Com,2,14)+INDEX(pushPol_Com,1),(INDEX(effGoalPol_Com,15)-INDEX(teffSumPol_Com,2,15))/(INDEX(doEff,3)-INDEX(doEff,2)))</f>
        <v>0</v>
      </c>
      <c r="T128" s="43">
        <f ca="1">(INDEX(teffSumPol_Com,2,16)&lt;INDEX(effGoalPol_Com,16)) * MIN(INDEX(polEff_Com,2,15)+INDEX(pushPol_Com,1),(INDEX(effGoalPol_Com,16)-INDEX(teffSumPol_Com,2,16))/(INDEX(doEff,3)-INDEX(doEff,2)))</f>
        <v>0</v>
      </c>
      <c r="U128" s="43">
        <f ca="1">(INDEX(teffSumPol_Com,2,17)&lt;INDEX(effGoalPol_Com,17)) * MIN(INDEX(polEff_Com,2,16)+INDEX(pushPol_Com,1),(INDEX(effGoalPol_Com,17)-INDEX(teffSumPol_Com,2,17))/(INDEX(doEff,3)-INDEX(doEff,2)))</f>
        <v>0</v>
      </c>
      <c r="V128" s="43">
        <f ca="1">(INDEX(teffSumPol_Com,2,18)&lt;INDEX(effGoalPol_Com,18)) * MIN(INDEX(polEff_Com,2,17)+INDEX(pushPol_Com,1),(INDEX(effGoalPol_Com,18)-INDEX(teffSumPol_Com,2,18))/(INDEX(doEff,3)-INDEX(doEff,2)))</f>
        <v>0</v>
      </c>
      <c r="W128" s="43">
        <f ca="1">(INDEX(teffSumPol_Com,2,19)&lt;INDEX(effGoalPol_Com,19)) * MIN(INDEX(polEff_Com,2,18)+INDEX(pushPol_Com,1),(INDEX(effGoalPol_Com,19)-INDEX(teffSumPol_Com,2,19))/(INDEX(doEff,3)-INDEX(doEff,2)))</f>
        <v>0</v>
      </c>
      <c r="X128" s="43">
        <f ca="1">(INDEX(teffSumPol_Com,2,20)&lt;INDEX(effGoalPol_Com,20)) * MIN(INDEX(polEff_Com,2,19)+INDEX(pushPol_Com,1),(INDEX(effGoalPol_Com,20)-INDEX(teffSumPol_Com,2,20))/(INDEX(doEff,3)-INDEX(doEff,2)))</f>
        <v>0</v>
      </c>
      <c r="Y128" s="43">
        <f ca="1">(INDEX(teffSumPol_Com,2,21)&lt;INDEX(effGoalPol_Com,21)) * MIN(INDEX(polEff_Com,2,20)+INDEX(pushPol_Com,1),(INDEX(effGoalPol_Com,21)-INDEX(teffSumPol_Com,2,21))/(INDEX(doEff,3)-INDEX(doEff,2)))</f>
        <v>0</v>
      </c>
      <c r="Z128" s="43">
        <f ca="1">(INDEX(teffSumPol_Com,2,22)&lt;INDEX(effGoalPol_Com,22)) * MIN(INDEX(polEff_Com,2,21)+INDEX(pushPol_Com,1),(INDEX(effGoalPol_Com,22)-INDEX(teffSumPol_Com,2,22))/(INDEX(doEff,3)-INDEX(doEff,2)))</f>
        <v>0</v>
      </c>
      <c r="AA128" s="43">
        <f ca="1">(INDEX(teffSumPol_Com,2,23)&lt;INDEX(effGoalPol_Com,23)) * MIN(INDEX(polEff_Com,2,22)+INDEX(pushPol_Com,1),(INDEX(effGoalPol_Com,23)-INDEX(teffSumPol_Com,2,23))/(INDEX(doEff,3)-INDEX(doEff,2)))</f>
        <v>0</v>
      </c>
      <c r="AB128" s="43">
        <f ca="1">(INDEX(teffSumPol_Com,2,24)&lt;INDEX(effGoalPol_Com,24)) * MIN(INDEX(polEff_Com,2,23)+INDEX(pushPol_Com,1),(INDEX(effGoalPol_Com,24)-INDEX(teffSumPol_Com,2,24))/(INDEX(doEff,3)-INDEX(doEff,2)))</f>
        <v>0</v>
      </c>
      <c r="AC128" s="43">
        <f ca="1">(INDEX(teffSumPol_Com,2,25)&lt;INDEX(effGoalPol_Com,25)) * MIN(INDEX(polEff_Com,2,24)+INDEX(pushPol_Com,1),(INDEX(effGoalPol_Com,25)-INDEX(teffSumPol_Com,2,25))/(INDEX(doEff,3)-INDEX(doEff,2)))</f>
        <v>0</v>
      </c>
      <c r="AD128" s="43">
        <f ca="1">(INDEX(teffSumPol_Com,2,26)&lt;INDEX(effGoalPol_Com,26)) * MIN(INDEX(polEff_Com,2,25)+INDEX(pushPol_Com,1),(INDEX(effGoalPol_Com,26)-INDEX(teffSumPol_Com,2,26))/(INDEX(doEff,3)-INDEX(doEff,2)))</f>
        <v>0</v>
      </c>
      <c r="AE128" s="43">
        <f ca="1">(INDEX(teffSumPol_Com,2,27)&lt;INDEX(effGoalPol_Com,27)) * MIN(INDEX(polEff_Com,2,26)+INDEX(pushPol_Com,1),(INDEX(effGoalPol_Com,27)-INDEX(teffSumPol_Com,2,27))/(INDEX(doEff,3)-INDEX(doEff,2)))</f>
        <v>0</v>
      </c>
      <c r="AF128" s="43">
        <f ca="1">(INDEX(teffSumPol_Com,2,28)&lt;INDEX(effGoalPol_Com,28)) * MIN(INDEX(polEff_Com,2,27)+INDEX(pushPol_Com,1),(INDEX(effGoalPol_Com,28)-INDEX(teffSumPol_Com,2,28))/(INDEX(doEff,3)-INDEX(doEff,2)))</f>
        <v>0</v>
      </c>
      <c r="AG128" s="43">
        <f ca="1">(INDEX(teffSumPol_Com,2,29)&lt;INDEX(effGoalPol_Com,29)) * MIN(INDEX(polEff_Com,2,28)+INDEX(pushPol_Com,1),(INDEX(effGoalPol_Com,29)-INDEX(teffSumPol_Com,2,29))/(INDEX(doEff,3)-INDEX(doEff,2)))</f>
        <v>0</v>
      </c>
      <c r="AH128" s="43">
        <f ca="1">(INDEX(teffSumPol_Com,2,30)&lt;INDEX(effGoalPol_Com,30)) * MIN(INDEX(polEff_Com,2,29)+INDEX(pushPol_Com,1),(INDEX(effGoalPol_Com,30)-INDEX(teffSumPol_Com,2,30))/(INDEX(doEff,3)-INDEX(doEff,2)))</f>
        <v>0</v>
      </c>
      <c r="AI128" s="43">
        <f ca="1">(INDEX(teffSumPol_Com,2,31)&lt;INDEX(effGoalPol_Com,31)) * MIN(INDEX(polEff_Com,2,30)+INDEX(pushPol_Com,1),(INDEX(effGoalPol_Com,31)-INDEX(teffSumPol_Com,2,31))/(INDEX(doEff,3)-INDEX(doEff,2)))</f>
        <v>0</v>
      </c>
      <c r="AJ128" s="43">
        <f ca="1">(INDEX(teffSumPol_Com,2,32)&lt;INDEX(effGoalPol_Com,32)) * MIN(INDEX(polEff_Com,2,31)+INDEX(pushPol_Com,1),(INDEX(effGoalPol_Com,32)-INDEX(teffSumPol_Com,2,32))/(INDEX(doEff,3)-INDEX(doEff,2)))</f>
        <v>0</v>
      </c>
      <c r="AK128" s="43">
        <f ca="1">(INDEX(teffSumPol_Com,2,33)&lt;INDEX(effGoalPol_Com,33)) * MIN(INDEX(polEff_Com,2,32)+INDEX(pushPol_Com,1),(INDEX(effGoalPol_Com,33)-INDEX(teffSumPol_Com,2,33))/(INDEX(doEff,3)-INDEX(doEff,2)))</f>
        <v>0</v>
      </c>
      <c r="AL128" s="43">
        <f ca="1">(INDEX(teffSumPol_Com,2,34)&lt;INDEX(effGoalPol_Com,34)) * MIN(INDEX(polEff_Com,2,33)+INDEX(pushPol_Com,1),(INDEX(effGoalPol_Com,34)-INDEX(teffSumPol_Com,2,34))/(INDEX(doEff,3)-INDEX(doEff,2)))</f>
        <v>0</v>
      </c>
      <c r="AM128" s="43">
        <f ca="1">(INDEX(teffSumPol_Com,2,35)&lt;INDEX(effGoalPol_Com,35)) * MIN(INDEX(polEff_Com,2,34)+INDEX(pushPol_Com,1),(INDEX(effGoalPol_Com,35)-INDEX(teffSumPol_Com,2,35))/(INDEX(doEff,3)-INDEX(doEff,2)))</f>
        <v>0</v>
      </c>
      <c r="AN128" s="44">
        <f ca="1">(INDEX(teffSumPol_Com,2,36)&lt;INDEX(effGoalPol_Com,36)) * MIN(INDEX(polEff_Com,2,35)+INDEX(pushPol_Com,1),(INDEX(effGoalPol_Com,36)-INDEX(teffSumPol_Com,2,36))/(INDEX(doEff,3)-INDEX(doEff,2)))</f>
        <v>0</v>
      </c>
      <c r="AO128" s="8"/>
    </row>
    <row r="129" spans="2:41" hidden="1" x14ac:dyDescent="0.35">
      <c r="B129" s="8"/>
      <c r="C129" s="19" t="str">
        <f>"EL 2: " &amp; INDEX(_doName,3,3)</f>
        <v>EL 2: Tier 2</v>
      </c>
      <c r="D129" s="11"/>
      <c r="E129" s="43"/>
      <c r="F129" s="43">
        <f ca="1">(INDEX(teffSumPol_Com,3,2)&lt;INDEX(effGoalPol_Com,2)) * MIN(INDEX(polEff_Com,3,1)+INDEX(pushPol_Com,2),(INDEX(effGoalPol_Com,2)-INDEX(teffSumPol_Com,3,2))/(INDEX(doEff,4)-INDEX(doEff,3)))</f>
        <v>0</v>
      </c>
      <c r="G129" s="43">
        <f ca="1">(INDEX(teffSumPol_Com,3,3)&lt;INDEX(effGoalPol_Com,3)) * MIN(INDEX(polEff_Com,3,2)+INDEX(pushPol_Com,2),(INDEX(effGoalPol_Com,3)-INDEX(teffSumPol_Com,3,3))/(INDEX(doEff,4)-INDEX(doEff,3)))</f>
        <v>0.30585493898949379</v>
      </c>
      <c r="H129" s="43">
        <f ca="1">(INDEX(teffSumPol_Com,3,4)&lt;INDEX(effGoalPol_Com,4)) * MIN(INDEX(polEff_Com,3,3)+INDEX(pushPol_Com,2),(INDEX(effGoalPol_Com,4)-INDEX(teffSumPol_Com,3,4))/(INDEX(doEff,4)-INDEX(doEff,3)))</f>
        <v>0</v>
      </c>
      <c r="I129" s="43">
        <f ca="1">(INDEX(teffSumPol_Com,3,5)&lt;INDEX(effGoalPol_Com,5)) * MIN(INDEX(polEff_Com,3,4)+INDEX(pushPol_Com,2),(INDEX(effGoalPol_Com,5)-INDEX(teffSumPol_Com,3,5))/(INDEX(doEff,4)-INDEX(doEff,3)))</f>
        <v>0</v>
      </c>
      <c r="J129" s="43">
        <f ca="1">(INDEX(teffSumPol_Com,3,6)&lt;INDEX(effGoalPol_Com,6)) * MIN(INDEX(polEff_Com,3,5)+INDEX(pushPol_Com,2),(INDEX(effGoalPol_Com,6)-INDEX(teffSumPol_Com,3,6))/(INDEX(doEff,4)-INDEX(doEff,3)))</f>
        <v>0</v>
      </c>
      <c r="K129" s="43">
        <f ca="1">(INDEX(teffSumPol_Com,3,7)&lt;INDEX(effGoalPol_Com,7)) * MIN(INDEX(polEff_Com,3,6)+INDEX(pushPol_Com,2),(INDEX(effGoalPol_Com,7)-INDEX(teffSumPol_Com,3,7))/(INDEX(doEff,4)-INDEX(doEff,3)))</f>
        <v>0</v>
      </c>
      <c r="L129" s="43">
        <f ca="1">(INDEX(teffSumPol_Com,3,8)&lt;INDEX(effGoalPol_Com,8)) * MIN(INDEX(polEff_Com,3,7)+INDEX(pushPol_Com,2),(INDEX(effGoalPol_Com,8)-INDEX(teffSumPol_Com,3,8))/(INDEX(doEff,4)-INDEX(doEff,3)))</f>
        <v>0</v>
      </c>
      <c r="M129" s="43">
        <f ca="1">(INDEX(teffSumPol_Com,3,9)&lt;INDEX(effGoalPol_Com,9)) * MIN(INDEX(polEff_Com,3,8)+INDEX(pushPol_Com,2),(INDEX(effGoalPol_Com,9)-INDEX(teffSumPol_Com,3,9))/(INDEX(doEff,4)-INDEX(doEff,3)))</f>
        <v>0</v>
      </c>
      <c r="N129" s="43">
        <f ca="1">(INDEX(teffSumPol_Com,3,10)&lt;INDEX(effGoalPol_Com,10)) * MIN(INDEX(polEff_Com,3,9)+INDEX(pushPol_Com,2),(INDEX(effGoalPol_Com,10)-INDEX(teffSumPol_Com,3,10))/(INDEX(doEff,4)-INDEX(doEff,3)))</f>
        <v>0</v>
      </c>
      <c r="O129" s="43">
        <f ca="1">(INDEX(teffSumPol_Com,3,11)&lt;INDEX(effGoalPol_Com,11)) * MIN(INDEX(polEff_Com,3,10)+INDEX(pushPol_Com,2),(INDEX(effGoalPol_Com,11)-INDEX(teffSumPol_Com,3,11))/(INDEX(doEff,4)-INDEX(doEff,3)))</f>
        <v>0</v>
      </c>
      <c r="P129" s="43">
        <f ca="1">(INDEX(teffSumPol_Com,3,12)&lt;INDEX(effGoalPol_Com,12)) * MIN(INDEX(polEff_Com,3,11)+INDEX(pushPol_Com,2),(INDEX(effGoalPol_Com,12)-INDEX(teffSumPol_Com,3,12))/(INDEX(doEff,4)-INDEX(doEff,3)))</f>
        <v>0</v>
      </c>
      <c r="Q129" s="43">
        <f ca="1">(INDEX(teffSumPol_Com,3,13)&lt;INDEX(effGoalPol_Com,13)) * MIN(INDEX(polEff_Com,3,12)+INDEX(pushPol_Com,2),(INDEX(effGoalPol_Com,13)-INDEX(teffSumPol_Com,3,13))/(INDEX(doEff,4)-INDEX(doEff,3)))</f>
        <v>0</v>
      </c>
      <c r="R129" s="43">
        <f ca="1">(INDEX(teffSumPol_Com,3,14)&lt;INDEX(effGoalPol_Com,14)) * MIN(INDEX(polEff_Com,3,13)+INDEX(pushPol_Com,2),(INDEX(effGoalPol_Com,14)-INDEX(teffSumPol_Com,3,14))/(INDEX(doEff,4)-INDEX(doEff,3)))</f>
        <v>0</v>
      </c>
      <c r="S129" s="43">
        <f ca="1">(INDEX(teffSumPol_Com,3,15)&lt;INDEX(effGoalPol_Com,15)) * MIN(INDEX(polEff_Com,3,14)+INDEX(pushPol_Com,2),(INDEX(effGoalPol_Com,15)-INDEX(teffSumPol_Com,3,15))/(INDEX(doEff,4)-INDEX(doEff,3)))</f>
        <v>0</v>
      </c>
      <c r="T129" s="43">
        <f ca="1">(INDEX(teffSumPol_Com,3,16)&lt;INDEX(effGoalPol_Com,16)) * MIN(INDEX(polEff_Com,3,15)+INDEX(pushPol_Com,2),(INDEX(effGoalPol_Com,16)-INDEX(teffSumPol_Com,3,16))/(INDEX(doEff,4)-INDEX(doEff,3)))</f>
        <v>0</v>
      </c>
      <c r="U129" s="43">
        <f ca="1">(INDEX(teffSumPol_Com,3,17)&lt;INDEX(effGoalPol_Com,17)) * MIN(INDEX(polEff_Com,3,16)+INDEX(pushPol_Com,2),(INDEX(effGoalPol_Com,17)-INDEX(teffSumPol_Com,3,17))/(INDEX(doEff,4)-INDEX(doEff,3)))</f>
        <v>0</v>
      </c>
      <c r="V129" s="43">
        <f ca="1">(INDEX(teffSumPol_Com,3,18)&lt;INDEX(effGoalPol_Com,18)) * MIN(INDEX(polEff_Com,3,17)+INDEX(pushPol_Com,2),(INDEX(effGoalPol_Com,18)-INDEX(teffSumPol_Com,3,18))/(INDEX(doEff,4)-INDEX(doEff,3)))</f>
        <v>0</v>
      </c>
      <c r="W129" s="43">
        <f ca="1">(INDEX(teffSumPol_Com,3,19)&lt;INDEX(effGoalPol_Com,19)) * MIN(INDEX(polEff_Com,3,18)+INDEX(pushPol_Com,2),(INDEX(effGoalPol_Com,19)-INDEX(teffSumPol_Com,3,19))/(INDEX(doEff,4)-INDEX(doEff,3)))</f>
        <v>0</v>
      </c>
      <c r="X129" s="43">
        <f ca="1">(INDEX(teffSumPol_Com,3,20)&lt;INDEX(effGoalPol_Com,20)) * MIN(INDEX(polEff_Com,3,19)+INDEX(pushPol_Com,2),(INDEX(effGoalPol_Com,20)-INDEX(teffSumPol_Com,3,20))/(INDEX(doEff,4)-INDEX(doEff,3)))</f>
        <v>0</v>
      </c>
      <c r="Y129" s="43">
        <f ca="1">(INDEX(teffSumPol_Com,3,21)&lt;INDEX(effGoalPol_Com,21)) * MIN(INDEX(polEff_Com,3,20)+INDEX(pushPol_Com,2),(INDEX(effGoalPol_Com,21)-INDEX(teffSumPol_Com,3,21))/(INDEX(doEff,4)-INDEX(doEff,3)))</f>
        <v>0</v>
      </c>
      <c r="Z129" s="43">
        <f ca="1">(INDEX(teffSumPol_Com,3,22)&lt;INDEX(effGoalPol_Com,22)) * MIN(INDEX(polEff_Com,3,21)+INDEX(pushPol_Com,2),(INDEX(effGoalPol_Com,22)-INDEX(teffSumPol_Com,3,22))/(INDEX(doEff,4)-INDEX(doEff,3)))</f>
        <v>0</v>
      </c>
      <c r="AA129" s="43">
        <f ca="1">(INDEX(teffSumPol_Com,3,23)&lt;INDEX(effGoalPol_Com,23)) * MIN(INDEX(polEff_Com,3,22)+INDEX(pushPol_Com,2),(INDEX(effGoalPol_Com,23)-INDEX(teffSumPol_Com,3,23))/(INDEX(doEff,4)-INDEX(doEff,3)))</f>
        <v>0</v>
      </c>
      <c r="AB129" s="43">
        <f ca="1">(INDEX(teffSumPol_Com,3,24)&lt;INDEX(effGoalPol_Com,24)) * MIN(INDEX(polEff_Com,3,23)+INDEX(pushPol_Com,2),(INDEX(effGoalPol_Com,24)-INDEX(teffSumPol_Com,3,24))/(INDEX(doEff,4)-INDEX(doEff,3)))</f>
        <v>0</v>
      </c>
      <c r="AC129" s="43">
        <f ca="1">(INDEX(teffSumPol_Com,3,25)&lt;INDEX(effGoalPol_Com,25)) * MIN(INDEX(polEff_Com,3,24)+INDEX(pushPol_Com,2),(INDEX(effGoalPol_Com,25)-INDEX(teffSumPol_Com,3,25))/(INDEX(doEff,4)-INDEX(doEff,3)))</f>
        <v>0</v>
      </c>
      <c r="AD129" s="43">
        <f ca="1">(INDEX(teffSumPol_Com,3,26)&lt;INDEX(effGoalPol_Com,26)) * MIN(INDEX(polEff_Com,3,25)+INDEX(pushPol_Com,2),(INDEX(effGoalPol_Com,26)-INDEX(teffSumPol_Com,3,26))/(INDEX(doEff,4)-INDEX(doEff,3)))</f>
        <v>0</v>
      </c>
      <c r="AE129" s="43">
        <f ca="1">(INDEX(teffSumPol_Com,3,27)&lt;INDEX(effGoalPol_Com,27)) * MIN(INDEX(polEff_Com,3,26)+INDEX(pushPol_Com,2),(INDEX(effGoalPol_Com,27)-INDEX(teffSumPol_Com,3,27))/(INDEX(doEff,4)-INDEX(doEff,3)))</f>
        <v>0</v>
      </c>
      <c r="AF129" s="43">
        <f ca="1">(INDEX(teffSumPol_Com,3,28)&lt;INDEX(effGoalPol_Com,28)) * MIN(INDEX(polEff_Com,3,27)+INDEX(pushPol_Com,2),(INDEX(effGoalPol_Com,28)-INDEX(teffSumPol_Com,3,28))/(INDEX(doEff,4)-INDEX(doEff,3)))</f>
        <v>0</v>
      </c>
      <c r="AG129" s="43">
        <f ca="1">(INDEX(teffSumPol_Com,3,29)&lt;INDEX(effGoalPol_Com,29)) * MIN(INDEX(polEff_Com,3,28)+INDEX(pushPol_Com,2),(INDEX(effGoalPol_Com,29)-INDEX(teffSumPol_Com,3,29))/(INDEX(doEff,4)-INDEX(doEff,3)))</f>
        <v>0</v>
      </c>
      <c r="AH129" s="43">
        <f ca="1">(INDEX(teffSumPol_Com,3,30)&lt;INDEX(effGoalPol_Com,30)) * MIN(INDEX(polEff_Com,3,29)+INDEX(pushPol_Com,2),(INDEX(effGoalPol_Com,30)-INDEX(teffSumPol_Com,3,30))/(INDEX(doEff,4)-INDEX(doEff,3)))</f>
        <v>0</v>
      </c>
      <c r="AI129" s="43">
        <f ca="1">(INDEX(teffSumPol_Com,3,31)&lt;INDEX(effGoalPol_Com,31)) * MIN(INDEX(polEff_Com,3,30)+INDEX(pushPol_Com,2),(INDEX(effGoalPol_Com,31)-INDEX(teffSumPol_Com,3,31))/(INDEX(doEff,4)-INDEX(doEff,3)))</f>
        <v>0</v>
      </c>
      <c r="AJ129" s="43">
        <f ca="1">(INDEX(teffSumPol_Com,3,32)&lt;INDEX(effGoalPol_Com,32)) * MIN(INDEX(polEff_Com,3,31)+INDEX(pushPol_Com,2),(INDEX(effGoalPol_Com,32)-INDEX(teffSumPol_Com,3,32))/(INDEX(doEff,4)-INDEX(doEff,3)))</f>
        <v>0</v>
      </c>
      <c r="AK129" s="43">
        <f ca="1">(INDEX(teffSumPol_Com,3,33)&lt;INDEX(effGoalPol_Com,33)) * MIN(INDEX(polEff_Com,3,32)+INDEX(pushPol_Com,2),(INDEX(effGoalPol_Com,33)-INDEX(teffSumPol_Com,3,33))/(INDEX(doEff,4)-INDEX(doEff,3)))</f>
        <v>0</v>
      </c>
      <c r="AL129" s="43">
        <f ca="1">(INDEX(teffSumPol_Com,3,34)&lt;INDEX(effGoalPol_Com,34)) * MIN(INDEX(polEff_Com,3,33)+INDEX(pushPol_Com,2),(INDEX(effGoalPol_Com,34)-INDEX(teffSumPol_Com,3,34))/(INDEX(doEff,4)-INDEX(doEff,3)))</f>
        <v>0</v>
      </c>
      <c r="AM129" s="43">
        <f ca="1">(INDEX(teffSumPol_Com,3,35)&lt;INDEX(effGoalPol_Com,35)) * MIN(INDEX(polEff_Com,3,34)+INDEX(pushPol_Com,2),(INDEX(effGoalPol_Com,35)-INDEX(teffSumPol_Com,3,35))/(INDEX(doEff,4)-INDEX(doEff,3)))</f>
        <v>0</v>
      </c>
      <c r="AN129" s="44">
        <f ca="1">(INDEX(teffSumPol_Com,3,36)&lt;INDEX(effGoalPol_Com,36)) * MIN(INDEX(polEff_Com,3,35)+INDEX(pushPol_Com,2),(INDEX(effGoalPol_Com,36)-INDEX(teffSumPol_Com,3,36))/(INDEX(doEff,4)-INDEX(doEff,3)))</f>
        <v>0</v>
      </c>
      <c r="AO129" s="8"/>
    </row>
    <row r="130" spans="2:41" hidden="1" x14ac:dyDescent="0.35">
      <c r="B130" s="8"/>
      <c r="C130" s="19" t="str">
        <f>"EL 3: " &amp; INDEX(_doName,3,4)</f>
        <v>EL 3: EL 3</v>
      </c>
      <c r="D130" s="11"/>
      <c r="E130" s="43"/>
      <c r="F130" s="43">
        <f ca="1">(INDEX(teffSumPol_Com,4,2)&lt;INDEX(effGoalPol_Com,2)) * MIN(INDEX(polEff_Com,4,1)+INDEX(pushPol_Com,3),(INDEX(effGoalPol_Com,2)-INDEX(teffSumPol_Com,4,2))/(INDEX(doEff,5)-INDEX(doEff,4)))</f>
        <v>7.4808373149850638E-5</v>
      </c>
      <c r="G130" s="43">
        <f ca="1">(INDEX(teffSumPol_Com,4,3)&lt;INDEX(effGoalPol_Com,3)) * MIN(INDEX(polEff_Com,4,2)+INDEX(pushPol_Com,3),(INDEX(effGoalPol_Com,3)-INDEX(teffSumPol_Com,4,3))/(INDEX(doEff,5)-INDEX(doEff,4)))</f>
        <v>0</v>
      </c>
      <c r="H130" s="43">
        <f ca="1">(INDEX(teffSumPol_Com,4,4)&lt;INDEX(effGoalPol_Com,4)) * MIN(INDEX(polEff_Com,4,3)+INDEX(pushPol_Com,3),(INDEX(effGoalPol_Com,4)-INDEX(teffSumPol_Com,4,4))/(INDEX(doEff,5)-INDEX(doEff,4)))</f>
        <v>0</v>
      </c>
      <c r="I130" s="43">
        <f ca="1">(INDEX(teffSumPol_Com,4,5)&lt;INDEX(effGoalPol_Com,5)) * MIN(INDEX(polEff_Com,4,4)+INDEX(pushPol_Com,3),(INDEX(effGoalPol_Com,5)-INDEX(teffSumPol_Com,4,5))/(INDEX(doEff,5)-INDEX(doEff,4)))</f>
        <v>0</v>
      </c>
      <c r="J130" s="43">
        <f ca="1">(INDEX(teffSumPol_Com,4,6)&lt;INDEX(effGoalPol_Com,6)) * MIN(INDEX(polEff_Com,4,5)+INDEX(pushPol_Com,3),(INDEX(effGoalPol_Com,6)-INDEX(teffSumPol_Com,4,6))/(INDEX(doEff,5)-INDEX(doEff,4)))</f>
        <v>0</v>
      </c>
      <c r="K130" s="43">
        <f ca="1">(INDEX(teffSumPol_Com,4,7)&lt;INDEX(effGoalPol_Com,7)) * MIN(INDEX(polEff_Com,4,6)+INDEX(pushPol_Com,3),(INDEX(effGoalPol_Com,7)-INDEX(teffSumPol_Com,4,7))/(INDEX(doEff,5)-INDEX(doEff,4)))</f>
        <v>0</v>
      </c>
      <c r="L130" s="43">
        <f ca="1">(INDEX(teffSumPol_Com,4,8)&lt;INDEX(effGoalPol_Com,8)) * MIN(INDEX(polEff_Com,4,7)+INDEX(pushPol_Com,3),(INDEX(effGoalPol_Com,8)-INDEX(teffSumPol_Com,4,8))/(INDEX(doEff,5)-INDEX(doEff,4)))</f>
        <v>0</v>
      </c>
      <c r="M130" s="43">
        <f ca="1">(INDEX(teffSumPol_Com,4,9)&lt;INDEX(effGoalPol_Com,9)) * MIN(INDEX(polEff_Com,4,8)+INDEX(pushPol_Com,3),(INDEX(effGoalPol_Com,9)-INDEX(teffSumPol_Com,4,9))/(INDEX(doEff,5)-INDEX(doEff,4)))</f>
        <v>0</v>
      </c>
      <c r="N130" s="43">
        <f ca="1">(INDEX(teffSumPol_Com,4,10)&lt;INDEX(effGoalPol_Com,10)) * MIN(INDEX(polEff_Com,4,9)+INDEX(pushPol_Com,3),(INDEX(effGoalPol_Com,10)-INDEX(teffSumPol_Com,4,10))/(INDEX(doEff,5)-INDEX(doEff,4)))</f>
        <v>0</v>
      </c>
      <c r="O130" s="43">
        <f ca="1">(INDEX(teffSumPol_Com,4,11)&lt;INDEX(effGoalPol_Com,11)) * MIN(INDEX(polEff_Com,4,10)+INDEX(pushPol_Com,3),(INDEX(effGoalPol_Com,11)-INDEX(teffSumPol_Com,4,11))/(INDEX(doEff,5)-INDEX(doEff,4)))</f>
        <v>0</v>
      </c>
      <c r="P130" s="43">
        <f ca="1">(INDEX(teffSumPol_Com,4,12)&lt;INDEX(effGoalPol_Com,12)) * MIN(INDEX(polEff_Com,4,11)+INDEX(pushPol_Com,3),(INDEX(effGoalPol_Com,12)-INDEX(teffSumPol_Com,4,12))/(INDEX(doEff,5)-INDEX(doEff,4)))</f>
        <v>0</v>
      </c>
      <c r="Q130" s="43">
        <f ca="1">(INDEX(teffSumPol_Com,4,13)&lt;INDEX(effGoalPol_Com,13)) * MIN(INDEX(polEff_Com,4,12)+INDEX(pushPol_Com,3),(INDEX(effGoalPol_Com,13)-INDEX(teffSumPol_Com,4,13))/(INDEX(doEff,5)-INDEX(doEff,4)))</f>
        <v>0</v>
      </c>
      <c r="R130" s="43">
        <f ca="1">(INDEX(teffSumPol_Com,4,14)&lt;INDEX(effGoalPol_Com,14)) * MIN(INDEX(polEff_Com,4,13)+INDEX(pushPol_Com,3),(INDEX(effGoalPol_Com,14)-INDEX(teffSumPol_Com,4,14))/(INDEX(doEff,5)-INDEX(doEff,4)))</f>
        <v>0</v>
      </c>
      <c r="S130" s="43">
        <f ca="1">(INDEX(teffSumPol_Com,4,15)&lt;INDEX(effGoalPol_Com,15)) * MIN(INDEX(polEff_Com,4,14)+INDEX(pushPol_Com,3),(INDEX(effGoalPol_Com,15)-INDEX(teffSumPol_Com,4,15))/(INDEX(doEff,5)-INDEX(doEff,4)))</f>
        <v>0</v>
      </c>
      <c r="T130" s="43">
        <f ca="1">(INDEX(teffSumPol_Com,4,16)&lt;INDEX(effGoalPol_Com,16)) * MIN(INDEX(polEff_Com,4,15)+INDEX(pushPol_Com,3),(INDEX(effGoalPol_Com,16)-INDEX(teffSumPol_Com,4,16))/(INDEX(doEff,5)-INDEX(doEff,4)))</f>
        <v>0</v>
      </c>
      <c r="U130" s="43">
        <f ca="1">(INDEX(teffSumPol_Com,4,17)&lt;INDEX(effGoalPol_Com,17)) * MIN(INDEX(polEff_Com,4,16)+INDEX(pushPol_Com,3),(INDEX(effGoalPol_Com,17)-INDEX(teffSumPol_Com,4,17))/(INDEX(doEff,5)-INDEX(doEff,4)))</f>
        <v>0</v>
      </c>
      <c r="V130" s="43">
        <f ca="1">(INDEX(teffSumPol_Com,4,18)&lt;INDEX(effGoalPol_Com,18)) * MIN(INDEX(polEff_Com,4,17)+INDEX(pushPol_Com,3),(INDEX(effGoalPol_Com,18)-INDEX(teffSumPol_Com,4,18))/(INDEX(doEff,5)-INDEX(doEff,4)))</f>
        <v>0</v>
      </c>
      <c r="W130" s="43">
        <f ca="1">(INDEX(teffSumPol_Com,4,19)&lt;INDEX(effGoalPol_Com,19)) * MIN(INDEX(polEff_Com,4,18)+INDEX(pushPol_Com,3),(INDEX(effGoalPol_Com,19)-INDEX(teffSumPol_Com,4,19))/(INDEX(doEff,5)-INDEX(doEff,4)))</f>
        <v>0</v>
      </c>
      <c r="X130" s="43">
        <f ca="1">(INDEX(teffSumPol_Com,4,20)&lt;INDEX(effGoalPol_Com,20)) * MIN(INDEX(polEff_Com,4,19)+INDEX(pushPol_Com,3),(INDEX(effGoalPol_Com,20)-INDEX(teffSumPol_Com,4,20))/(INDEX(doEff,5)-INDEX(doEff,4)))</f>
        <v>0</v>
      </c>
      <c r="Y130" s="43">
        <f ca="1">(INDEX(teffSumPol_Com,4,21)&lt;INDEX(effGoalPol_Com,21)) * MIN(INDEX(polEff_Com,4,20)+INDEX(pushPol_Com,3),(INDEX(effGoalPol_Com,21)-INDEX(teffSumPol_Com,4,21))/(INDEX(doEff,5)-INDEX(doEff,4)))</f>
        <v>0</v>
      </c>
      <c r="Z130" s="43">
        <f ca="1">(INDEX(teffSumPol_Com,4,22)&lt;INDEX(effGoalPol_Com,22)) * MIN(INDEX(polEff_Com,4,21)+INDEX(pushPol_Com,3),(INDEX(effGoalPol_Com,22)-INDEX(teffSumPol_Com,4,22))/(INDEX(doEff,5)-INDEX(doEff,4)))</f>
        <v>0</v>
      </c>
      <c r="AA130" s="43">
        <f ca="1">(INDEX(teffSumPol_Com,4,23)&lt;INDEX(effGoalPol_Com,23)) * MIN(INDEX(polEff_Com,4,22)+INDEX(pushPol_Com,3),(INDEX(effGoalPol_Com,23)-INDEX(teffSumPol_Com,4,23))/(INDEX(doEff,5)-INDEX(doEff,4)))</f>
        <v>0</v>
      </c>
      <c r="AB130" s="43">
        <f ca="1">(INDEX(teffSumPol_Com,4,24)&lt;INDEX(effGoalPol_Com,24)) * MIN(INDEX(polEff_Com,4,23)+INDEX(pushPol_Com,3),(INDEX(effGoalPol_Com,24)-INDEX(teffSumPol_Com,4,24))/(INDEX(doEff,5)-INDEX(doEff,4)))</f>
        <v>0</v>
      </c>
      <c r="AC130" s="43">
        <f ca="1">(INDEX(teffSumPol_Com,4,25)&lt;INDEX(effGoalPol_Com,25)) * MIN(INDEX(polEff_Com,4,24)+INDEX(pushPol_Com,3),(INDEX(effGoalPol_Com,25)-INDEX(teffSumPol_Com,4,25))/(INDEX(doEff,5)-INDEX(doEff,4)))</f>
        <v>0</v>
      </c>
      <c r="AD130" s="43">
        <f ca="1">(INDEX(teffSumPol_Com,4,26)&lt;INDEX(effGoalPol_Com,26)) * MIN(INDEX(polEff_Com,4,25)+INDEX(pushPol_Com,3),(INDEX(effGoalPol_Com,26)-INDEX(teffSumPol_Com,4,26))/(INDEX(doEff,5)-INDEX(doEff,4)))</f>
        <v>0</v>
      </c>
      <c r="AE130" s="43">
        <f ca="1">(INDEX(teffSumPol_Com,4,27)&lt;INDEX(effGoalPol_Com,27)) * MIN(INDEX(polEff_Com,4,26)+INDEX(pushPol_Com,3),(INDEX(effGoalPol_Com,27)-INDEX(teffSumPol_Com,4,27))/(INDEX(doEff,5)-INDEX(doEff,4)))</f>
        <v>0</v>
      </c>
      <c r="AF130" s="43">
        <f ca="1">(INDEX(teffSumPol_Com,4,28)&lt;INDEX(effGoalPol_Com,28)) * MIN(INDEX(polEff_Com,4,27)+INDEX(pushPol_Com,3),(INDEX(effGoalPol_Com,28)-INDEX(teffSumPol_Com,4,28))/(INDEX(doEff,5)-INDEX(doEff,4)))</f>
        <v>0</v>
      </c>
      <c r="AG130" s="43">
        <f ca="1">(INDEX(teffSumPol_Com,4,29)&lt;INDEX(effGoalPol_Com,29)) * MIN(INDEX(polEff_Com,4,28)+INDEX(pushPol_Com,3),(INDEX(effGoalPol_Com,29)-INDEX(teffSumPol_Com,4,29))/(INDEX(doEff,5)-INDEX(doEff,4)))</f>
        <v>0</v>
      </c>
      <c r="AH130" s="43">
        <f ca="1">(INDEX(teffSumPol_Com,4,30)&lt;INDEX(effGoalPol_Com,30)) * MIN(INDEX(polEff_Com,4,29)+INDEX(pushPol_Com,3),(INDEX(effGoalPol_Com,30)-INDEX(teffSumPol_Com,4,30))/(INDEX(doEff,5)-INDEX(doEff,4)))</f>
        <v>0</v>
      </c>
      <c r="AI130" s="43">
        <f ca="1">(INDEX(teffSumPol_Com,4,31)&lt;INDEX(effGoalPol_Com,31)) * MIN(INDEX(polEff_Com,4,30)+INDEX(pushPol_Com,3),(INDEX(effGoalPol_Com,31)-INDEX(teffSumPol_Com,4,31))/(INDEX(doEff,5)-INDEX(doEff,4)))</f>
        <v>0</v>
      </c>
      <c r="AJ130" s="43">
        <f ca="1">(INDEX(teffSumPol_Com,4,32)&lt;INDEX(effGoalPol_Com,32)) * MIN(INDEX(polEff_Com,4,31)+INDEX(pushPol_Com,3),(INDEX(effGoalPol_Com,32)-INDEX(teffSumPol_Com,4,32))/(INDEX(doEff,5)-INDEX(doEff,4)))</f>
        <v>0</v>
      </c>
      <c r="AK130" s="43">
        <f ca="1">(INDEX(teffSumPol_Com,4,33)&lt;INDEX(effGoalPol_Com,33)) * MIN(INDEX(polEff_Com,4,32)+INDEX(pushPol_Com,3),(INDEX(effGoalPol_Com,33)-INDEX(teffSumPol_Com,4,33))/(INDEX(doEff,5)-INDEX(doEff,4)))</f>
        <v>0</v>
      </c>
      <c r="AL130" s="43">
        <f ca="1">(INDEX(teffSumPol_Com,4,34)&lt;INDEX(effGoalPol_Com,34)) * MIN(INDEX(polEff_Com,4,33)+INDEX(pushPol_Com,3),(INDEX(effGoalPol_Com,34)-INDEX(teffSumPol_Com,4,34))/(INDEX(doEff,5)-INDEX(doEff,4)))</f>
        <v>0</v>
      </c>
      <c r="AM130" s="43">
        <f ca="1">(INDEX(teffSumPol_Com,4,35)&lt;INDEX(effGoalPol_Com,35)) * MIN(INDEX(polEff_Com,4,34)+INDEX(pushPol_Com,3),(INDEX(effGoalPol_Com,35)-INDEX(teffSumPol_Com,4,35))/(INDEX(doEff,5)-INDEX(doEff,4)))</f>
        <v>0</v>
      </c>
      <c r="AN130" s="44">
        <f ca="1">(INDEX(teffSumPol_Com,4,36)&lt;INDEX(effGoalPol_Com,36)) * MIN(INDEX(polEff_Com,4,35)+INDEX(pushPol_Com,3),(INDEX(effGoalPol_Com,36)-INDEX(teffSumPol_Com,4,36))/(INDEX(doEff,5)-INDEX(doEff,4)))</f>
        <v>0</v>
      </c>
      <c r="AO130" s="8"/>
    </row>
    <row r="131" spans="2:41" hidden="1" x14ac:dyDescent="0.35">
      <c r="B131" s="8"/>
      <c r="C131" s="35" t="str">
        <f>"EL 4: " &amp; INDEX(_doName,3,5)</f>
        <v>EL 4: EL 4</v>
      </c>
      <c r="D131" s="15"/>
      <c r="E131" s="45"/>
      <c r="F131" s="45">
        <f>0</f>
        <v>0</v>
      </c>
      <c r="G131" s="45">
        <f>0</f>
        <v>0</v>
      </c>
      <c r="H131" s="45">
        <f>0</f>
        <v>0</v>
      </c>
      <c r="I131" s="45">
        <f>0</f>
        <v>0</v>
      </c>
      <c r="J131" s="45">
        <f>0</f>
        <v>0</v>
      </c>
      <c r="K131" s="45">
        <f>0</f>
        <v>0</v>
      </c>
      <c r="L131" s="45">
        <f>0</f>
        <v>0</v>
      </c>
      <c r="M131" s="45">
        <f>0</f>
        <v>0</v>
      </c>
      <c r="N131" s="45">
        <f>0</f>
        <v>0</v>
      </c>
      <c r="O131" s="45">
        <f>0</f>
        <v>0</v>
      </c>
      <c r="P131" s="45">
        <f>0</f>
        <v>0</v>
      </c>
      <c r="Q131" s="45">
        <f>0</f>
        <v>0</v>
      </c>
      <c r="R131" s="45">
        <f>0</f>
        <v>0</v>
      </c>
      <c r="S131" s="45">
        <f>0</f>
        <v>0</v>
      </c>
      <c r="T131" s="45">
        <f>0</f>
        <v>0</v>
      </c>
      <c r="U131" s="45">
        <f>0</f>
        <v>0</v>
      </c>
      <c r="V131" s="45">
        <f>0</f>
        <v>0</v>
      </c>
      <c r="W131" s="45">
        <f>0</f>
        <v>0</v>
      </c>
      <c r="X131" s="45">
        <f>0</f>
        <v>0</v>
      </c>
      <c r="Y131" s="45">
        <f>0</f>
        <v>0</v>
      </c>
      <c r="Z131" s="45">
        <f>0</f>
        <v>0</v>
      </c>
      <c r="AA131" s="45">
        <f>0</f>
        <v>0</v>
      </c>
      <c r="AB131" s="45">
        <f>0</f>
        <v>0</v>
      </c>
      <c r="AC131" s="45">
        <f>0</f>
        <v>0</v>
      </c>
      <c r="AD131" s="45">
        <f>0</f>
        <v>0</v>
      </c>
      <c r="AE131" s="45">
        <f>0</f>
        <v>0</v>
      </c>
      <c r="AF131" s="45">
        <f>0</f>
        <v>0</v>
      </c>
      <c r="AG131" s="45">
        <f>0</f>
        <v>0</v>
      </c>
      <c r="AH131" s="45">
        <f>0</f>
        <v>0</v>
      </c>
      <c r="AI131" s="45">
        <f>0</f>
        <v>0</v>
      </c>
      <c r="AJ131" s="45">
        <f>0</f>
        <v>0</v>
      </c>
      <c r="AK131" s="45">
        <f>0</f>
        <v>0</v>
      </c>
      <c r="AL131" s="45">
        <f>0</f>
        <v>0</v>
      </c>
      <c r="AM131" s="45">
        <f>0</f>
        <v>0</v>
      </c>
      <c r="AN131" s="46">
        <f>0</f>
        <v>0</v>
      </c>
      <c r="AO131" s="8"/>
    </row>
    <row r="132" spans="2:41" hidden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</row>
    <row r="133" spans="2:41" hidden="1" x14ac:dyDescent="0.35">
      <c r="B133" s="8"/>
      <c r="C133" s="23" t="s">
        <v>90</v>
      </c>
      <c r="D133" s="24"/>
      <c r="E133" s="26">
        <f t="array" ref="E133:AN133">_yS</f>
        <v>2024</v>
      </c>
      <c r="F133" s="26">
        <v>2025</v>
      </c>
      <c r="G133" s="26">
        <v>2026</v>
      </c>
      <c r="H133" s="26">
        <v>2027</v>
      </c>
      <c r="I133" s="26">
        <v>2028</v>
      </c>
      <c r="J133" s="26">
        <v>2029</v>
      </c>
      <c r="K133" s="26">
        <v>2030</v>
      </c>
      <c r="L133" s="26">
        <v>2031</v>
      </c>
      <c r="M133" s="26">
        <v>2032</v>
      </c>
      <c r="N133" s="26">
        <v>2033</v>
      </c>
      <c r="O133" s="26">
        <v>2034</v>
      </c>
      <c r="P133" s="26">
        <v>2035</v>
      </c>
      <c r="Q133" s="26">
        <v>2036</v>
      </c>
      <c r="R133" s="26">
        <v>2037</v>
      </c>
      <c r="S133" s="26">
        <v>2038</v>
      </c>
      <c r="T133" s="26">
        <v>2039</v>
      </c>
      <c r="U133" s="26">
        <v>2040</v>
      </c>
      <c r="V133" s="26">
        <v>2041</v>
      </c>
      <c r="W133" s="26">
        <v>2042</v>
      </c>
      <c r="X133" s="26">
        <v>2043</v>
      </c>
      <c r="Y133" s="26">
        <v>2044</v>
      </c>
      <c r="Z133" s="26">
        <v>2045</v>
      </c>
      <c r="AA133" s="26">
        <v>2046</v>
      </c>
      <c r="AB133" s="26">
        <v>2047</v>
      </c>
      <c r="AC133" s="26">
        <v>2048</v>
      </c>
      <c r="AD133" s="26">
        <v>2049</v>
      </c>
      <c r="AE133" s="26">
        <v>2050</v>
      </c>
      <c r="AF133" s="26">
        <v>2051</v>
      </c>
      <c r="AG133" s="26">
        <v>2052</v>
      </c>
      <c r="AH133" s="26">
        <v>2053</v>
      </c>
      <c r="AI133" s="26">
        <v>2054</v>
      </c>
      <c r="AJ133" s="26">
        <v>2055</v>
      </c>
      <c r="AK133" s="26">
        <v>2056</v>
      </c>
      <c r="AL133" s="26">
        <v>2057</v>
      </c>
      <c r="AM133" s="26">
        <v>2058</v>
      </c>
      <c r="AN133" s="27">
        <v>2059</v>
      </c>
      <c r="AO133" s="8"/>
    </row>
    <row r="134" spans="2:41" hidden="1" x14ac:dyDescent="0.35">
      <c r="B134" s="8"/>
      <c r="C134" s="19" t="str">
        <f>"EL 0: " &amp; INDEX(_doName,3,1)</f>
        <v>EL 0: Baseline</v>
      </c>
      <c r="D134" s="11"/>
      <c r="E134" s="33"/>
      <c r="F134" s="33">
        <f ca="1">0 + INDEX(doEff,1)*(INDEX(eff0Pol_Com,1)+0) + SUMPRODUCT(doEff,INDEX(polEff_Com,,1),N(_el&gt;0))</f>
        <v>2.6925555229403346</v>
      </c>
      <c r="G134" s="33">
        <f ca="1">0 + INDEX(doEff,1)*(INDEX(eff0Pol_Com,1)+0) + SUMPRODUCT(doEff,INDEX(polEff_Com,,2),N(_el&gt;0))</f>
        <v>2.6923386725947909</v>
      </c>
      <c r="H134" s="33">
        <f ca="1">0 + INDEX(doEff,1)*(INDEX(eff0Pol_Com,1)+0) + SUMPRODUCT(doEff,INDEX(polEff_Com,,3),N(_el&gt;0))</f>
        <v>3.1914248538044747</v>
      </c>
      <c r="I134" s="33">
        <f ca="1">0 + INDEX(doEff,1)*(INDEX(eff0Pol_Com,1)+0) + SUMPRODUCT(doEff,INDEX(polEff_Com,,4),N(_el&gt;0))</f>
        <v>3.1913325090122133</v>
      </c>
      <c r="J134" s="33">
        <f ca="1">0 + INDEX(doEff,1)*(INDEX(eff0Pol_Com,1)+0) + SUMPRODUCT(doEff,INDEX(polEff_Com,,5),N(_el&gt;0))</f>
        <v>3.191240975003927</v>
      </c>
      <c r="K134" s="33">
        <f ca="1">0 + INDEX(doEff,1)*(INDEX(eff0Pol_Com,1)+0) + SUMPRODUCT(doEff,INDEX(polEff_Com,,6),N(_el&gt;0))</f>
        <v>3.1912160032573635</v>
      </c>
      <c r="L134" s="33">
        <f ca="1">0 + INDEX(doEff,1)*(INDEX(eff0Pol_Com,1)+0) + SUMPRODUCT(doEff,INDEX(polEff_Com,,7),N(_el&gt;0))</f>
        <v>3.1911912438989312</v>
      </c>
      <c r="M134" s="33">
        <f ca="1">0 + INDEX(doEff,1)*(INDEX(eff0Pol_Com,1)+0) + SUMPRODUCT(doEff,INDEX(polEff_Com,,8),N(_el&gt;0))</f>
        <v>3.191166689606344</v>
      </c>
      <c r="N134" s="33">
        <f ca="1">0 + INDEX(doEff,1)*(INDEX(eff0Pol_Com,1)+0) + SUMPRODUCT(doEff,INDEX(polEff_Com,,9),N(_el&gt;0))</f>
        <v>3.191142333802572</v>
      </c>
      <c r="O134" s="33">
        <f ca="1">0 + INDEX(doEff,1)*(INDEX(eff0Pol_Com,1)+0) + SUMPRODUCT(doEff,INDEX(polEff_Com,,10),N(_el&gt;0))</f>
        <v>3.1911181702451543</v>
      </c>
      <c r="P134" s="33">
        <f ca="1">0 + INDEX(doEff,1)*(INDEX(eff0Pol_Com,1)+0) + SUMPRODUCT(doEff,INDEX(polEff_Com,,11),N(_el&gt;0))</f>
        <v>3.1911151342005519</v>
      </c>
      <c r="Q134" s="33">
        <f ca="1">0 + INDEX(doEff,1)*(INDEX(eff0Pol_Com,1)+0) + SUMPRODUCT(doEff,INDEX(polEff_Com,,12),N(_el&gt;0))</f>
        <v>3.1911121295086664</v>
      </c>
      <c r="R134" s="33">
        <f ca="1">0 + INDEX(doEff,1)*(INDEX(eff0Pol_Com,1)+0) + SUMPRODUCT(doEff,INDEX(polEff_Com,,13),N(_el&gt;0))</f>
        <v>3.1911091540636782</v>
      </c>
      <c r="S134" s="33">
        <f ca="1">0 + INDEX(doEff,1)*(INDEX(eff0Pol_Com,1)+0) + SUMPRODUCT(doEff,INDEX(polEff_Com,,14),N(_el&gt;0))</f>
        <v>3.1911062059425785</v>
      </c>
      <c r="T134" s="33">
        <f ca="1">0 + INDEX(doEff,1)*(INDEX(eff0Pol_Com,1)+0) + SUMPRODUCT(doEff,INDEX(polEff_Com,,15),N(_el&gt;0))</f>
        <v>3.19110328337635</v>
      </c>
      <c r="U134" s="33">
        <f ca="1">0 + INDEX(doEff,1)*(INDEX(eff0Pol_Com,1)+0) + SUMPRODUCT(doEff,INDEX(polEff_Com,,16),N(_el&gt;0))</f>
        <v>3.1911003850277164</v>
      </c>
      <c r="V134" s="33">
        <f ca="1">0 + INDEX(doEff,1)*(INDEX(eff0Pol_Com,1)+0) + SUMPRODUCT(doEff,INDEX(polEff_Com,,17),N(_el&gt;0))</f>
        <v>3.1910975096455285</v>
      </c>
      <c r="W134" s="33">
        <f ca="1">0 + INDEX(doEff,1)*(INDEX(eff0Pol_Com,1)+0) + SUMPRODUCT(doEff,INDEX(polEff_Com,,18),N(_el&gt;0))</f>
        <v>3.1910946561526123</v>
      </c>
      <c r="X134" s="33">
        <f ca="1">0 + INDEX(doEff,1)*(INDEX(eff0Pol_Com,1)+0) + SUMPRODUCT(doEff,INDEX(polEff_Com,,19),N(_el&gt;0))</f>
        <v>3.1910918235932084</v>
      </c>
      <c r="Y134" s="33">
        <f ca="1">0 + INDEX(doEff,1)*(INDEX(eff0Pol_Com,1)+0) + SUMPRODUCT(doEff,INDEX(polEff_Com,,20),N(_el&gt;0))</f>
        <v>3.1910890110925942</v>
      </c>
      <c r="Z134" s="33">
        <f ca="1">0 + INDEX(doEff,1)*(INDEX(eff0Pol_Com,1)+0) + SUMPRODUCT(doEff,INDEX(polEff_Com,,21),N(_el&gt;0))</f>
        <v>3.191087905110316</v>
      </c>
      <c r="AA134" s="33">
        <f ca="1">0 + INDEX(doEff,1)*(INDEX(eff0Pol_Com,1)+0) + SUMPRODUCT(doEff,INDEX(polEff_Com,,22),N(_el&gt;0))</f>
        <v>3.1910868065756239</v>
      </c>
      <c r="AB134" s="33">
        <f ca="1">0 + INDEX(doEff,1)*(INDEX(eff0Pol_Com,1)+0) + SUMPRODUCT(doEff,INDEX(polEff_Com,,23),N(_el&gt;0))</f>
        <v>3.1910857148740943</v>
      </c>
      <c r="AC134" s="33">
        <f ca="1">0 + INDEX(doEff,1)*(INDEX(eff0Pol_Com,1)+0) + SUMPRODUCT(doEff,INDEX(polEff_Com,,24),N(_el&gt;0))</f>
        <v>3.1910846294306352</v>
      </c>
      <c r="AD134" s="33">
        <f ca="1">0 + INDEX(doEff,1)*(INDEX(eff0Pol_Com,1)+0) + SUMPRODUCT(doEff,INDEX(polEff_Com,,25),N(_el&gt;0))</f>
        <v>3.1910835497117849</v>
      </c>
      <c r="AE134" s="33">
        <f ca="1">0 + INDEX(doEff,1)*(INDEX(eff0Pol_Com,1)+0) + SUMPRODUCT(doEff,INDEX(polEff_Com,,26),N(_el&gt;0))</f>
        <v>3.1910824752259224</v>
      </c>
      <c r="AF134" s="33">
        <f ca="1">0 + INDEX(doEff,1)*(INDEX(eff0Pol_Com,1)+0) + SUMPRODUCT(doEff,INDEX(polEff_Com,,27),N(_el&gt;0))</f>
        <v>3.1910814055207926</v>
      </c>
      <c r="AG134" s="33">
        <f ca="1">0 + INDEX(doEff,1)*(INDEX(eff0Pol_Com,1)+0) + SUMPRODUCT(doEff,INDEX(polEff_Com,,28),N(_el&gt;0))</f>
        <v>3.191080340179417</v>
      </c>
      <c r="AH134" s="33">
        <f ca="1">0 + INDEX(doEff,1)*(INDEX(eff0Pol_Com,1)+0) + SUMPRODUCT(doEff,INDEX(polEff_Com,,29),N(_el&gt;0))</f>
        <v>3.1910792788154287</v>
      </c>
      <c r="AI134" s="33">
        <f ca="1">0 + INDEX(doEff,1)*(INDEX(eff0Pol_Com,1)+0) + SUMPRODUCT(doEff,INDEX(polEff_Com,,30),N(_el&gt;0))</f>
        <v>3.1910782210687065</v>
      </c>
      <c r="AJ134" s="33">
        <f ca="1">0 + INDEX(doEff,1)*(INDEX(eff0Pol_Com,1)+0) + SUMPRODUCT(doEff,INDEX(polEff_Com,,31),N(_el&gt;0))</f>
        <v>3.1910771666019255</v>
      </c>
      <c r="AK134" s="33">
        <f ca="1">0 + INDEX(doEff,1)*(INDEX(eff0Pol_Com,1)+0) + SUMPRODUCT(doEff,INDEX(polEff_Com,,32),N(_el&gt;0))</f>
        <v>3.1910761150981051</v>
      </c>
      <c r="AL134" s="33">
        <f ca="1">0 + INDEX(doEff,1)*(INDEX(eff0Pol_Com,1)+0) + SUMPRODUCT(doEff,INDEX(polEff_Com,,33),N(_el&gt;0))</f>
        <v>3.1910750662588594</v>
      </c>
      <c r="AM134" s="33">
        <f ca="1">0 + INDEX(doEff,1)*(INDEX(eff0Pol_Com,1)+0) + SUMPRODUCT(doEff,INDEX(polEff_Com,,34),N(_el&gt;0))</f>
        <v>3.1910740198034766</v>
      </c>
      <c r="AN134" s="34">
        <f ca="1">0 + INDEX(doEff,1)*(INDEX(eff0Pol_Com,1)+0) + SUMPRODUCT(doEff,INDEX(polEff_Com,,35),N(_el&gt;0))</f>
        <v>3.1907508532423212</v>
      </c>
      <c r="AO134" s="8"/>
    </row>
    <row r="135" spans="2:41" hidden="1" x14ac:dyDescent="0.35">
      <c r="B135" s="8"/>
      <c r="C135" s="19" t="str">
        <f>"EL 1: " &amp; INDEX(_doName,3,2)</f>
        <v>EL 1: Tier 1</v>
      </c>
      <c r="D135" s="11"/>
      <c r="E135" s="33"/>
      <c r="F135" s="33">
        <f ca="1">SUMPRODUCT(OFFSET(doEff,0,0,1,1),OFFSET(INDEX(polEff_Com,1,2),0,0,1,1)) + INDEX(doEff,2)*(INDEX(eff0Pol_Com,2)+INDEX(pushPol_Com,1)) + SUMPRODUCT(doEff,INDEX(polEff_Com,,1),N(_el&gt;1))</f>
        <v>2.6925555229403342</v>
      </c>
      <c r="G135" s="33">
        <f ca="1">SUMPRODUCT(OFFSET(doEff,0,0,1,1),OFFSET(INDEX(polEff_Com,1,3),0,0,1,1)) + INDEX(doEff,2)*(INDEX(eff0Pol_Com,2)+INDEX(pushPol_Com,1)) + SUMPRODUCT(doEff,INDEX(polEff_Com,,2),N(_el&gt;1))</f>
        <v>2.6923386725947909</v>
      </c>
      <c r="H135" s="33">
        <f ca="1">SUMPRODUCT(OFFSET(doEff,0,0,1,1),OFFSET(INDEX(polEff_Com,1,4),0,0,1,1)) + INDEX(doEff,2)*(INDEX(eff0Pol_Com,2)+INDEX(pushPol_Com,1)) + SUMPRODUCT(doEff,INDEX(polEff_Com,,3),N(_el&gt;1))</f>
        <v>3.1914248538044747</v>
      </c>
      <c r="I135" s="33">
        <f ca="1">SUMPRODUCT(OFFSET(doEff,0,0,1,1),OFFSET(INDEX(polEff_Com,1,5),0,0,1,1)) + INDEX(doEff,2)*(INDEX(eff0Pol_Com,2)+INDEX(pushPol_Com,1)) + SUMPRODUCT(doEff,INDEX(polEff_Com,,4),N(_el&gt;1))</f>
        <v>3.1913325090122133</v>
      </c>
      <c r="J135" s="33">
        <f ca="1">SUMPRODUCT(OFFSET(doEff,0,0,1,1),OFFSET(INDEX(polEff_Com,1,6),0,0,1,1)) + INDEX(doEff,2)*(INDEX(eff0Pol_Com,2)+INDEX(pushPol_Com,1)) + SUMPRODUCT(doEff,INDEX(polEff_Com,,5),N(_el&gt;1))</f>
        <v>3.191240975003927</v>
      </c>
      <c r="K135" s="33">
        <f ca="1">SUMPRODUCT(OFFSET(doEff,0,0,1,1),OFFSET(INDEX(polEff_Com,1,7),0,0,1,1)) + INDEX(doEff,2)*(INDEX(eff0Pol_Com,2)+INDEX(pushPol_Com,1)) + SUMPRODUCT(doEff,INDEX(polEff_Com,,6),N(_el&gt;1))</f>
        <v>3.1912160032573635</v>
      </c>
      <c r="L135" s="33">
        <f ca="1">SUMPRODUCT(OFFSET(doEff,0,0,1,1),OFFSET(INDEX(polEff_Com,1,8),0,0,1,1)) + INDEX(doEff,2)*(INDEX(eff0Pol_Com,2)+INDEX(pushPol_Com,1)) + SUMPRODUCT(doEff,INDEX(polEff_Com,,7),N(_el&gt;1))</f>
        <v>3.1911912438989312</v>
      </c>
      <c r="M135" s="33">
        <f ca="1">SUMPRODUCT(OFFSET(doEff,0,0,1,1),OFFSET(INDEX(polEff_Com,1,9),0,0,1,1)) + INDEX(doEff,2)*(INDEX(eff0Pol_Com,2)+INDEX(pushPol_Com,1)) + SUMPRODUCT(doEff,INDEX(polEff_Com,,8),N(_el&gt;1))</f>
        <v>3.191166689606344</v>
      </c>
      <c r="N135" s="33">
        <f ca="1">SUMPRODUCT(OFFSET(doEff,0,0,1,1),OFFSET(INDEX(polEff_Com,1,10),0,0,1,1)) + INDEX(doEff,2)*(INDEX(eff0Pol_Com,2)+INDEX(pushPol_Com,1)) + SUMPRODUCT(doEff,INDEX(polEff_Com,,9),N(_el&gt;1))</f>
        <v>3.191142333802572</v>
      </c>
      <c r="O135" s="33">
        <f ca="1">SUMPRODUCT(OFFSET(doEff,0,0,1,1),OFFSET(INDEX(polEff_Com,1,11),0,0,1,1)) + INDEX(doEff,2)*(INDEX(eff0Pol_Com,2)+INDEX(pushPol_Com,1)) + SUMPRODUCT(doEff,INDEX(polEff_Com,,10),N(_el&gt;1))</f>
        <v>3.1911181702451543</v>
      </c>
      <c r="P135" s="33">
        <f ca="1">SUMPRODUCT(OFFSET(doEff,0,0,1,1),OFFSET(INDEX(polEff_Com,1,12),0,0,1,1)) + INDEX(doEff,2)*(INDEX(eff0Pol_Com,2)+INDEX(pushPol_Com,1)) + SUMPRODUCT(doEff,INDEX(polEff_Com,,11),N(_el&gt;1))</f>
        <v>3.1911151342005519</v>
      </c>
      <c r="Q135" s="33">
        <f ca="1">SUMPRODUCT(OFFSET(doEff,0,0,1,1),OFFSET(INDEX(polEff_Com,1,13),0,0,1,1)) + INDEX(doEff,2)*(INDEX(eff0Pol_Com,2)+INDEX(pushPol_Com,1)) + SUMPRODUCT(doEff,INDEX(polEff_Com,,12),N(_el&gt;1))</f>
        <v>3.1911121295086664</v>
      </c>
      <c r="R135" s="33">
        <f ca="1">SUMPRODUCT(OFFSET(doEff,0,0,1,1),OFFSET(INDEX(polEff_Com,1,14),0,0,1,1)) + INDEX(doEff,2)*(INDEX(eff0Pol_Com,2)+INDEX(pushPol_Com,1)) + SUMPRODUCT(doEff,INDEX(polEff_Com,,13),N(_el&gt;1))</f>
        <v>3.1911091540636782</v>
      </c>
      <c r="S135" s="33">
        <f ca="1">SUMPRODUCT(OFFSET(doEff,0,0,1,1),OFFSET(INDEX(polEff_Com,1,15),0,0,1,1)) + INDEX(doEff,2)*(INDEX(eff0Pol_Com,2)+INDEX(pushPol_Com,1)) + SUMPRODUCT(doEff,INDEX(polEff_Com,,14),N(_el&gt;1))</f>
        <v>3.1911062059425785</v>
      </c>
      <c r="T135" s="33">
        <f ca="1">SUMPRODUCT(OFFSET(doEff,0,0,1,1),OFFSET(INDEX(polEff_Com,1,16),0,0,1,1)) + INDEX(doEff,2)*(INDEX(eff0Pol_Com,2)+INDEX(pushPol_Com,1)) + SUMPRODUCT(doEff,INDEX(polEff_Com,,15),N(_el&gt;1))</f>
        <v>3.19110328337635</v>
      </c>
      <c r="U135" s="33">
        <f ca="1">SUMPRODUCT(OFFSET(doEff,0,0,1,1),OFFSET(INDEX(polEff_Com,1,17),0,0,1,1)) + INDEX(doEff,2)*(INDEX(eff0Pol_Com,2)+INDEX(pushPol_Com,1)) + SUMPRODUCT(doEff,INDEX(polEff_Com,,16),N(_el&gt;1))</f>
        <v>3.1911003850277164</v>
      </c>
      <c r="V135" s="33">
        <f ca="1">SUMPRODUCT(OFFSET(doEff,0,0,1,1),OFFSET(INDEX(polEff_Com,1,18),0,0,1,1)) + INDEX(doEff,2)*(INDEX(eff0Pol_Com,2)+INDEX(pushPol_Com,1)) + SUMPRODUCT(doEff,INDEX(polEff_Com,,17),N(_el&gt;1))</f>
        <v>3.1910975096455285</v>
      </c>
      <c r="W135" s="33">
        <f ca="1">SUMPRODUCT(OFFSET(doEff,0,0,1,1),OFFSET(INDEX(polEff_Com,1,19),0,0,1,1)) + INDEX(doEff,2)*(INDEX(eff0Pol_Com,2)+INDEX(pushPol_Com,1)) + SUMPRODUCT(doEff,INDEX(polEff_Com,,18),N(_el&gt;1))</f>
        <v>3.1910946561526123</v>
      </c>
      <c r="X135" s="33">
        <f ca="1">SUMPRODUCT(OFFSET(doEff,0,0,1,1),OFFSET(INDEX(polEff_Com,1,20),0,0,1,1)) + INDEX(doEff,2)*(INDEX(eff0Pol_Com,2)+INDEX(pushPol_Com,1)) + SUMPRODUCT(doEff,INDEX(polEff_Com,,19),N(_el&gt;1))</f>
        <v>3.1910918235932084</v>
      </c>
      <c r="Y135" s="33">
        <f ca="1">SUMPRODUCT(OFFSET(doEff,0,0,1,1),OFFSET(INDEX(polEff_Com,1,21),0,0,1,1)) + INDEX(doEff,2)*(INDEX(eff0Pol_Com,2)+INDEX(pushPol_Com,1)) + SUMPRODUCT(doEff,INDEX(polEff_Com,,20),N(_el&gt;1))</f>
        <v>3.1910890110925942</v>
      </c>
      <c r="Z135" s="33">
        <f ca="1">SUMPRODUCT(OFFSET(doEff,0,0,1,1),OFFSET(INDEX(polEff_Com,1,22),0,0,1,1)) + INDEX(doEff,2)*(INDEX(eff0Pol_Com,2)+INDEX(pushPol_Com,1)) + SUMPRODUCT(doEff,INDEX(polEff_Com,,21),N(_el&gt;1))</f>
        <v>3.191087905110316</v>
      </c>
      <c r="AA135" s="33">
        <f ca="1">SUMPRODUCT(OFFSET(doEff,0,0,1,1),OFFSET(INDEX(polEff_Com,1,23),0,0,1,1)) + INDEX(doEff,2)*(INDEX(eff0Pol_Com,2)+INDEX(pushPol_Com,1)) + SUMPRODUCT(doEff,INDEX(polEff_Com,,22),N(_el&gt;1))</f>
        <v>3.1910868065756239</v>
      </c>
      <c r="AB135" s="33">
        <f ca="1">SUMPRODUCT(OFFSET(doEff,0,0,1,1),OFFSET(INDEX(polEff_Com,1,24),0,0,1,1)) + INDEX(doEff,2)*(INDEX(eff0Pol_Com,2)+INDEX(pushPol_Com,1)) + SUMPRODUCT(doEff,INDEX(polEff_Com,,23),N(_el&gt;1))</f>
        <v>3.1910857148740943</v>
      </c>
      <c r="AC135" s="33">
        <f ca="1">SUMPRODUCT(OFFSET(doEff,0,0,1,1),OFFSET(INDEX(polEff_Com,1,25),0,0,1,1)) + INDEX(doEff,2)*(INDEX(eff0Pol_Com,2)+INDEX(pushPol_Com,1)) + SUMPRODUCT(doEff,INDEX(polEff_Com,,24),N(_el&gt;1))</f>
        <v>3.1910846294306352</v>
      </c>
      <c r="AD135" s="33">
        <f ca="1">SUMPRODUCT(OFFSET(doEff,0,0,1,1),OFFSET(INDEX(polEff_Com,1,26),0,0,1,1)) + INDEX(doEff,2)*(INDEX(eff0Pol_Com,2)+INDEX(pushPol_Com,1)) + SUMPRODUCT(doEff,INDEX(polEff_Com,,25),N(_el&gt;1))</f>
        <v>3.1910835497117849</v>
      </c>
      <c r="AE135" s="33">
        <f ca="1">SUMPRODUCT(OFFSET(doEff,0,0,1,1),OFFSET(INDEX(polEff_Com,1,27),0,0,1,1)) + INDEX(doEff,2)*(INDEX(eff0Pol_Com,2)+INDEX(pushPol_Com,1)) + SUMPRODUCT(doEff,INDEX(polEff_Com,,26),N(_el&gt;1))</f>
        <v>3.1910824752259224</v>
      </c>
      <c r="AF135" s="33">
        <f ca="1">SUMPRODUCT(OFFSET(doEff,0,0,1,1),OFFSET(INDEX(polEff_Com,1,28),0,0,1,1)) + INDEX(doEff,2)*(INDEX(eff0Pol_Com,2)+INDEX(pushPol_Com,1)) + SUMPRODUCT(doEff,INDEX(polEff_Com,,27),N(_el&gt;1))</f>
        <v>3.1910814055207926</v>
      </c>
      <c r="AG135" s="33">
        <f ca="1">SUMPRODUCT(OFFSET(doEff,0,0,1,1),OFFSET(INDEX(polEff_Com,1,29),0,0,1,1)) + INDEX(doEff,2)*(INDEX(eff0Pol_Com,2)+INDEX(pushPol_Com,1)) + SUMPRODUCT(doEff,INDEX(polEff_Com,,28),N(_el&gt;1))</f>
        <v>3.191080340179417</v>
      </c>
      <c r="AH135" s="33">
        <f ca="1">SUMPRODUCT(OFFSET(doEff,0,0,1,1),OFFSET(INDEX(polEff_Com,1,30),0,0,1,1)) + INDEX(doEff,2)*(INDEX(eff0Pol_Com,2)+INDEX(pushPol_Com,1)) + SUMPRODUCT(doEff,INDEX(polEff_Com,,29),N(_el&gt;1))</f>
        <v>3.1910792788154287</v>
      </c>
      <c r="AI135" s="33">
        <f ca="1">SUMPRODUCT(OFFSET(doEff,0,0,1,1),OFFSET(INDEX(polEff_Com,1,31),0,0,1,1)) + INDEX(doEff,2)*(INDEX(eff0Pol_Com,2)+INDEX(pushPol_Com,1)) + SUMPRODUCT(doEff,INDEX(polEff_Com,,30),N(_el&gt;1))</f>
        <v>3.1910782210687065</v>
      </c>
      <c r="AJ135" s="33">
        <f ca="1">SUMPRODUCT(OFFSET(doEff,0,0,1,1),OFFSET(INDEX(polEff_Com,1,32),0,0,1,1)) + INDEX(doEff,2)*(INDEX(eff0Pol_Com,2)+INDEX(pushPol_Com,1)) + SUMPRODUCT(doEff,INDEX(polEff_Com,,31),N(_el&gt;1))</f>
        <v>3.1910771666019255</v>
      </c>
      <c r="AK135" s="33">
        <f ca="1">SUMPRODUCT(OFFSET(doEff,0,0,1,1),OFFSET(INDEX(polEff_Com,1,33),0,0,1,1)) + INDEX(doEff,2)*(INDEX(eff0Pol_Com,2)+INDEX(pushPol_Com,1)) + SUMPRODUCT(doEff,INDEX(polEff_Com,,32),N(_el&gt;1))</f>
        <v>3.1910761150981051</v>
      </c>
      <c r="AL135" s="33">
        <f ca="1">SUMPRODUCT(OFFSET(doEff,0,0,1,1),OFFSET(INDEX(polEff_Com,1,34),0,0,1,1)) + INDEX(doEff,2)*(INDEX(eff0Pol_Com,2)+INDEX(pushPol_Com,1)) + SUMPRODUCT(doEff,INDEX(polEff_Com,,33),N(_el&gt;1))</f>
        <v>3.1910750662588594</v>
      </c>
      <c r="AM135" s="33">
        <f ca="1">SUMPRODUCT(OFFSET(doEff,0,0,1,1),OFFSET(INDEX(polEff_Com,1,35),0,0,1,1)) + INDEX(doEff,2)*(INDEX(eff0Pol_Com,2)+INDEX(pushPol_Com,1)) + SUMPRODUCT(doEff,INDEX(polEff_Com,,34),N(_el&gt;1))</f>
        <v>3.1910740198034766</v>
      </c>
      <c r="AN135" s="34">
        <f ca="1">SUMPRODUCT(OFFSET(doEff,0,0,1,1),OFFSET(INDEX(polEff_Com,1,36),0,0,1,1)) + INDEX(doEff,2)*(INDEX(eff0Pol_Com,2)+INDEX(pushPol_Com,1)) + SUMPRODUCT(doEff,INDEX(polEff_Com,,35),N(_el&gt;1))</f>
        <v>3.1907508532423212</v>
      </c>
      <c r="AO135" s="8"/>
    </row>
    <row r="136" spans="2:41" hidden="1" x14ac:dyDescent="0.35">
      <c r="B136" s="8"/>
      <c r="C136" s="19" t="str">
        <f>"EL 2: " &amp; INDEX(_doName,3,3)</f>
        <v>EL 2: Tier 2</v>
      </c>
      <c r="D136" s="11"/>
      <c r="E136" s="33"/>
      <c r="F136" s="33">
        <f ca="1">SUMPRODUCT(OFFSET(doEff,0,0,2,1),OFFSET(INDEX(polEff_Com,1,2),0,0,2,1)) + INDEX(doEff,3)*(INDEX(eff0Pol_Com,3)+INDEX(pushPol_Com,2)) + SUMPRODUCT(doEff,INDEX(polEff_Com,,1),N(_el&gt;2))</f>
        <v>2.6928403405753443</v>
      </c>
      <c r="G136" s="33">
        <f ca="1">SUMPRODUCT(OFFSET(doEff,0,0,2,1),OFFSET(INDEX(polEff_Com,1,3),0,0,2,1)) + INDEX(doEff,3)*(INDEX(eff0Pol_Com,3)+INDEX(pushPol_Com,2)) + SUMPRODUCT(doEff,INDEX(polEff_Com,,2),N(_el&gt;2))</f>
        <v>1.5792435450185773</v>
      </c>
      <c r="H136" s="33">
        <f ca="1">SUMPRODUCT(OFFSET(doEff,0,0,2,1),OFFSET(INDEX(polEff_Com,1,4),0,0,2,1)) + INDEX(doEff,3)*(INDEX(eff0Pol_Com,3)+INDEX(pushPol_Com,2)) + SUMPRODUCT(doEff,INDEX(polEff_Com,,3),N(_el&gt;2))</f>
        <v>3.1914248538044747</v>
      </c>
      <c r="I136" s="33">
        <f ca="1">SUMPRODUCT(OFFSET(doEff,0,0,2,1),OFFSET(INDEX(polEff_Com,1,5),0,0,2,1)) + INDEX(doEff,3)*(INDEX(eff0Pol_Com,3)+INDEX(pushPol_Com,2)) + SUMPRODUCT(doEff,INDEX(polEff_Com,,4),N(_el&gt;2))</f>
        <v>3.1913325090122133</v>
      </c>
      <c r="J136" s="33">
        <f ca="1">SUMPRODUCT(OFFSET(doEff,0,0,2,1),OFFSET(INDEX(polEff_Com,1,6),0,0,2,1)) + INDEX(doEff,3)*(INDEX(eff0Pol_Com,3)+INDEX(pushPol_Com,2)) + SUMPRODUCT(doEff,INDEX(polEff_Com,,5),N(_el&gt;2))</f>
        <v>3.191240975003927</v>
      </c>
      <c r="K136" s="33">
        <f ca="1">SUMPRODUCT(OFFSET(doEff,0,0,2,1),OFFSET(INDEX(polEff_Com,1,7),0,0,2,1)) + INDEX(doEff,3)*(INDEX(eff0Pol_Com,3)+INDEX(pushPol_Com,2)) + SUMPRODUCT(doEff,INDEX(polEff_Com,,6),N(_el&gt;2))</f>
        <v>3.1912160032573635</v>
      </c>
      <c r="L136" s="33">
        <f ca="1">SUMPRODUCT(OFFSET(doEff,0,0,2,1),OFFSET(INDEX(polEff_Com,1,8),0,0,2,1)) + INDEX(doEff,3)*(INDEX(eff0Pol_Com,3)+INDEX(pushPol_Com,2)) + SUMPRODUCT(doEff,INDEX(polEff_Com,,7),N(_el&gt;2))</f>
        <v>3.1911912438989312</v>
      </c>
      <c r="M136" s="33">
        <f ca="1">SUMPRODUCT(OFFSET(doEff,0,0,2,1),OFFSET(INDEX(polEff_Com,1,9),0,0,2,1)) + INDEX(doEff,3)*(INDEX(eff0Pol_Com,3)+INDEX(pushPol_Com,2)) + SUMPRODUCT(doEff,INDEX(polEff_Com,,8),N(_el&gt;2))</f>
        <v>3.191166689606344</v>
      </c>
      <c r="N136" s="33">
        <f ca="1">SUMPRODUCT(OFFSET(doEff,0,0,2,1),OFFSET(INDEX(polEff_Com,1,10),0,0,2,1)) + INDEX(doEff,3)*(INDEX(eff0Pol_Com,3)+INDEX(pushPol_Com,2)) + SUMPRODUCT(doEff,INDEX(polEff_Com,,9),N(_el&gt;2))</f>
        <v>3.1911423338025715</v>
      </c>
      <c r="O136" s="33">
        <f ca="1">SUMPRODUCT(OFFSET(doEff,0,0,2,1),OFFSET(INDEX(polEff_Com,1,11),0,0,2,1)) + INDEX(doEff,3)*(INDEX(eff0Pol_Com,3)+INDEX(pushPol_Com,2)) + SUMPRODUCT(doEff,INDEX(polEff_Com,,10),N(_el&gt;2))</f>
        <v>3.1911181702451543</v>
      </c>
      <c r="P136" s="33">
        <f ca="1">SUMPRODUCT(OFFSET(doEff,0,0,2,1),OFFSET(INDEX(polEff_Com,1,12),0,0,2,1)) + INDEX(doEff,3)*(INDEX(eff0Pol_Com,3)+INDEX(pushPol_Com,2)) + SUMPRODUCT(doEff,INDEX(polEff_Com,,11),N(_el&gt;2))</f>
        <v>3.1911151342005519</v>
      </c>
      <c r="Q136" s="33">
        <f ca="1">SUMPRODUCT(OFFSET(doEff,0,0,2,1),OFFSET(INDEX(polEff_Com,1,13),0,0,2,1)) + INDEX(doEff,3)*(INDEX(eff0Pol_Com,3)+INDEX(pushPol_Com,2)) + SUMPRODUCT(doEff,INDEX(polEff_Com,,12),N(_el&gt;2))</f>
        <v>3.1911121295086664</v>
      </c>
      <c r="R136" s="33">
        <f ca="1">SUMPRODUCT(OFFSET(doEff,0,0,2,1),OFFSET(INDEX(polEff_Com,1,14),0,0,2,1)) + INDEX(doEff,3)*(INDEX(eff0Pol_Com,3)+INDEX(pushPol_Com,2)) + SUMPRODUCT(doEff,INDEX(polEff_Com,,13),N(_el&gt;2))</f>
        <v>3.1911091540636782</v>
      </c>
      <c r="S136" s="33">
        <f ca="1">SUMPRODUCT(OFFSET(doEff,0,0,2,1),OFFSET(INDEX(polEff_Com,1,15),0,0,2,1)) + INDEX(doEff,3)*(INDEX(eff0Pol_Com,3)+INDEX(pushPol_Com,2)) + SUMPRODUCT(doEff,INDEX(polEff_Com,,14),N(_el&gt;2))</f>
        <v>3.1911062059425785</v>
      </c>
      <c r="T136" s="33">
        <f ca="1">SUMPRODUCT(OFFSET(doEff,0,0,2,1),OFFSET(INDEX(polEff_Com,1,16),0,0,2,1)) + INDEX(doEff,3)*(INDEX(eff0Pol_Com,3)+INDEX(pushPol_Com,2)) + SUMPRODUCT(doEff,INDEX(polEff_Com,,15),N(_el&gt;2))</f>
        <v>3.19110328337635</v>
      </c>
      <c r="U136" s="33">
        <f ca="1">SUMPRODUCT(OFFSET(doEff,0,0,2,1),OFFSET(INDEX(polEff_Com,1,17),0,0,2,1)) + INDEX(doEff,3)*(INDEX(eff0Pol_Com,3)+INDEX(pushPol_Com,2)) + SUMPRODUCT(doEff,INDEX(polEff_Com,,16),N(_el&gt;2))</f>
        <v>3.1911003850277164</v>
      </c>
      <c r="V136" s="33">
        <f ca="1">SUMPRODUCT(OFFSET(doEff,0,0,2,1),OFFSET(INDEX(polEff_Com,1,18),0,0,2,1)) + INDEX(doEff,3)*(INDEX(eff0Pol_Com,3)+INDEX(pushPol_Com,2)) + SUMPRODUCT(doEff,INDEX(polEff_Com,,17),N(_el&gt;2))</f>
        <v>3.1910975096455285</v>
      </c>
      <c r="W136" s="33">
        <f ca="1">SUMPRODUCT(OFFSET(doEff,0,0,2,1),OFFSET(INDEX(polEff_Com,1,19),0,0,2,1)) + INDEX(doEff,3)*(INDEX(eff0Pol_Com,3)+INDEX(pushPol_Com,2)) + SUMPRODUCT(doEff,INDEX(polEff_Com,,18),N(_el&gt;2))</f>
        <v>3.1910946561526119</v>
      </c>
      <c r="X136" s="33">
        <f ca="1">SUMPRODUCT(OFFSET(doEff,0,0,2,1),OFFSET(INDEX(polEff_Com,1,20),0,0,2,1)) + INDEX(doEff,3)*(INDEX(eff0Pol_Com,3)+INDEX(pushPol_Com,2)) + SUMPRODUCT(doEff,INDEX(polEff_Com,,19),N(_el&gt;2))</f>
        <v>3.1910918235932084</v>
      </c>
      <c r="Y136" s="33">
        <f ca="1">SUMPRODUCT(OFFSET(doEff,0,0,2,1),OFFSET(INDEX(polEff_Com,1,21),0,0,2,1)) + INDEX(doEff,3)*(INDEX(eff0Pol_Com,3)+INDEX(pushPol_Com,2)) + SUMPRODUCT(doEff,INDEX(polEff_Com,,20),N(_el&gt;2))</f>
        <v>3.1910890110925942</v>
      </c>
      <c r="Z136" s="33">
        <f ca="1">SUMPRODUCT(OFFSET(doEff,0,0,2,1),OFFSET(INDEX(polEff_Com,1,22),0,0,2,1)) + INDEX(doEff,3)*(INDEX(eff0Pol_Com,3)+INDEX(pushPol_Com,2)) + SUMPRODUCT(doEff,INDEX(polEff_Com,,21),N(_el&gt;2))</f>
        <v>3.1910879051103165</v>
      </c>
      <c r="AA136" s="33">
        <f ca="1">SUMPRODUCT(OFFSET(doEff,0,0,2,1),OFFSET(INDEX(polEff_Com,1,23),0,0,2,1)) + INDEX(doEff,3)*(INDEX(eff0Pol_Com,3)+INDEX(pushPol_Com,2)) + SUMPRODUCT(doEff,INDEX(polEff_Com,,22),N(_el&gt;2))</f>
        <v>3.1910868065756239</v>
      </c>
      <c r="AB136" s="33">
        <f ca="1">SUMPRODUCT(OFFSET(doEff,0,0,2,1),OFFSET(INDEX(polEff_Com,1,24),0,0,2,1)) + INDEX(doEff,3)*(INDEX(eff0Pol_Com,3)+INDEX(pushPol_Com,2)) + SUMPRODUCT(doEff,INDEX(polEff_Com,,23),N(_el&gt;2))</f>
        <v>3.1910857148740943</v>
      </c>
      <c r="AC136" s="33">
        <f ca="1">SUMPRODUCT(OFFSET(doEff,0,0,2,1),OFFSET(INDEX(polEff_Com,1,25),0,0,2,1)) + INDEX(doEff,3)*(INDEX(eff0Pol_Com,3)+INDEX(pushPol_Com,2)) + SUMPRODUCT(doEff,INDEX(polEff_Com,,24),N(_el&gt;2))</f>
        <v>3.1910846294306348</v>
      </c>
      <c r="AD136" s="33">
        <f ca="1">SUMPRODUCT(OFFSET(doEff,0,0,2,1),OFFSET(INDEX(polEff_Com,1,26),0,0,2,1)) + INDEX(doEff,3)*(INDEX(eff0Pol_Com,3)+INDEX(pushPol_Com,2)) + SUMPRODUCT(doEff,INDEX(polEff_Com,,25),N(_el&gt;2))</f>
        <v>3.1910835497117849</v>
      </c>
      <c r="AE136" s="33">
        <f ca="1">SUMPRODUCT(OFFSET(doEff,0,0,2,1),OFFSET(INDEX(polEff_Com,1,27),0,0,2,1)) + INDEX(doEff,3)*(INDEX(eff0Pol_Com,3)+INDEX(pushPol_Com,2)) + SUMPRODUCT(doEff,INDEX(polEff_Com,,26),N(_el&gt;2))</f>
        <v>3.1910824752259224</v>
      </c>
      <c r="AF136" s="33">
        <f ca="1">SUMPRODUCT(OFFSET(doEff,0,0,2,1),OFFSET(INDEX(polEff_Com,1,28),0,0,2,1)) + INDEX(doEff,3)*(INDEX(eff0Pol_Com,3)+INDEX(pushPol_Com,2)) + SUMPRODUCT(doEff,INDEX(polEff_Com,,27),N(_el&gt;2))</f>
        <v>3.1910814055207926</v>
      </c>
      <c r="AG136" s="33">
        <f ca="1">SUMPRODUCT(OFFSET(doEff,0,0,2,1),OFFSET(INDEX(polEff_Com,1,29),0,0,2,1)) + INDEX(doEff,3)*(INDEX(eff0Pol_Com,3)+INDEX(pushPol_Com,2)) + SUMPRODUCT(doEff,INDEX(polEff_Com,,28),N(_el&gt;2))</f>
        <v>3.191080340179417</v>
      </c>
      <c r="AH136" s="33">
        <f ca="1">SUMPRODUCT(OFFSET(doEff,0,0,2,1),OFFSET(INDEX(polEff_Com,1,30),0,0,2,1)) + INDEX(doEff,3)*(INDEX(eff0Pol_Com,3)+INDEX(pushPol_Com,2)) + SUMPRODUCT(doEff,INDEX(polEff_Com,,29),N(_el&gt;2))</f>
        <v>3.1910792788154287</v>
      </c>
      <c r="AI136" s="33">
        <f ca="1">SUMPRODUCT(OFFSET(doEff,0,0,2,1),OFFSET(INDEX(polEff_Com,1,31),0,0,2,1)) + INDEX(doEff,3)*(INDEX(eff0Pol_Com,3)+INDEX(pushPol_Com,2)) + SUMPRODUCT(doEff,INDEX(polEff_Com,,30),N(_el&gt;2))</f>
        <v>3.1910782210687065</v>
      </c>
      <c r="AJ136" s="33">
        <f ca="1">SUMPRODUCT(OFFSET(doEff,0,0,2,1),OFFSET(INDEX(polEff_Com,1,32),0,0,2,1)) + INDEX(doEff,3)*(INDEX(eff0Pol_Com,3)+INDEX(pushPol_Com,2)) + SUMPRODUCT(doEff,INDEX(polEff_Com,,31),N(_el&gt;2))</f>
        <v>3.1910771666019255</v>
      </c>
      <c r="AK136" s="33">
        <f ca="1">SUMPRODUCT(OFFSET(doEff,0,0,2,1),OFFSET(INDEX(polEff_Com,1,33),0,0,2,1)) + INDEX(doEff,3)*(INDEX(eff0Pol_Com,3)+INDEX(pushPol_Com,2)) + SUMPRODUCT(doEff,INDEX(polEff_Com,,32),N(_el&gt;2))</f>
        <v>3.1910761150981046</v>
      </c>
      <c r="AL136" s="33">
        <f ca="1">SUMPRODUCT(OFFSET(doEff,0,0,2,1),OFFSET(INDEX(polEff_Com,1,34),0,0,2,1)) + INDEX(doEff,3)*(INDEX(eff0Pol_Com,3)+INDEX(pushPol_Com,2)) + SUMPRODUCT(doEff,INDEX(polEff_Com,,33),N(_el&gt;2))</f>
        <v>3.1910750662588594</v>
      </c>
      <c r="AM136" s="33">
        <f ca="1">SUMPRODUCT(OFFSET(doEff,0,0,2,1),OFFSET(INDEX(polEff_Com,1,35),0,0,2,1)) + INDEX(doEff,3)*(INDEX(eff0Pol_Com,3)+INDEX(pushPol_Com,2)) + SUMPRODUCT(doEff,INDEX(polEff_Com,,34),N(_el&gt;2))</f>
        <v>3.1910740198034766</v>
      </c>
      <c r="AN136" s="34">
        <f ca="1">SUMPRODUCT(OFFSET(doEff,0,0,2,1),OFFSET(INDEX(polEff_Com,1,36),0,0,2,1)) + INDEX(doEff,3)*(INDEX(eff0Pol_Com,3)+INDEX(pushPol_Com,2)) + SUMPRODUCT(doEff,INDEX(polEff_Com,,35),N(_el&gt;2))</f>
        <v>3.1907508532423212</v>
      </c>
      <c r="AO136" s="8"/>
    </row>
    <row r="137" spans="2:41" hidden="1" x14ac:dyDescent="0.35">
      <c r="B137" s="8"/>
      <c r="C137" s="19" t="str">
        <f>"EL 3: " &amp; INDEX(_doName,3,4)</f>
        <v>EL 3: EL 3</v>
      </c>
      <c r="D137" s="11"/>
      <c r="E137" s="33"/>
      <c r="F137" s="33">
        <f ca="1">SUMPRODUCT(OFFSET(doEff,0,0,3,1),OFFSET(INDEX(polEff_Com,1,2),0,0,3,1)) + INDEX(doEff,4)*(INDEX(eff0Pol_Com,4)+INDEX(pushPol_Com,3)) + SUMPRODUCT(doEff,INDEX(polEff_Com,,1),N(_el&gt;3))</f>
        <v>2.6924911877394258</v>
      </c>
      <c r="G137" s="33">
        <f ca="1">SUMPRODUCT(OFFSET(doEff,0,0,3,1),OFFSET(INDEX(polEff_Com,1,3),0,0,3,1)) + INDEX(doEff,4)*(INDEX(eff0Pol_Com,4)+INDEX(pushPol_Com,3)) + SUMPRODUCT(doEff,INDEX(polEff_Com,,2),N(_el&gt;3))</f>
        <v>5.1941404822036361</v>
      </c>
      <c r="H137" s="33">
        <f ca="1">SUMPRODUCT(OFFSET(doEff,0,0,3,1),OFFSET(INDEX(polEff_Com,1,4),0,0,3,1)) + INDEX(doEff,4)*(INDEX(eff0Pol_Com,4)+INDEX(pushPol_Com,3)) + SUMPRODUCT(doEff,INDEX(polEff_Com,,3),N(_el&gt;3))</f>
        <v>3.1914901889237259</v>
      </c>
      <c r="I137" s="33">
        <f ca="1">SUMPRODUCT(OFFSET(doEff,0,0,3,1),OFFSET(INDEX(polEff_Com,1,5),0,0,3,1)) + INDEX(doEff,4)*(INDEX(eff0Pol_Com,4)+INDEX(pushPol_Com,3)) + SUMPRODUCT(doEff,INDEX(polEff_Com,,4),N(_el&gt;3))</f>
        <v>3.1913972704914531</v>
      </c>
      <c r="J137" s="33">
        <f ca="1">SUMPRODUCT(OFFSET(doEff,0,0,3,1),OFFSET(INDEX(polEff_Com,1,6),0,0,3,1)) + INDEX(doEff,4)*(INDEX(eff0Pol_Com,4)+INDEX(pushPol_Com,3)) + SUMPRODUCT(doEff,INDEX(polEff_Com,,5),N(_el&gt;3))</f>
        <v>3.19125864283337</v>
      </c>
      <c r="K137" s="33">
        <f ca="1">SUMPRODUCT(OFFSET(doEff,0,0,3,1),OFFSET(INDEX(polEff_Com,1,7),0,0,3,1)) + INDEX(doEff,4)*(INDEX(eff0Pol_Com,4)+INDEX(pushPol_Com,3)) + SUMPRODUCT(doEff,INDEX(polEff_Com,,6),N(_el&gt;3))</f>
        <v>3.1912335208194929</v>
      </c>
      <c r="L137" s="33">
        <f ca="1">SUMPRODUCT(OFFSET(doEff,0,0,3,1),OFFSET(INDEX(polEff_Com,1,8),0,0,3,1)) + INDEX(doEff,4)*(INDEX(eff0Pol_Com,4)+INDEX(pushPol_Com,3)) + SUMPRODUCT(doEff,INDEX(polEff_Com,,7),N(_el&gt;3))</f>
        <v>3.1912086163743574</v>
      </c>
      <c r="M137" s="33">
        <f ca="1">SUMPRODUCT(OFFSET(doEff,0,0,3,1),OFFSET(INDEX(polEff_Com,1,9),0,0,3,1)) + INDEX(doEff,4)*(INDEX(eff0Pol_Com,4)+INDEX(pushPol_Com,3)) + SUMPRODUCT(doEff,INDEX(polEff_Com,,8),N(_el&gt;3))</f>
        <v>3.1911839216484004</v>
      </c>
      <c r="N137" s="33">
        <f ca="1">SUMPRODUCT(OFFSET(doEff,0,0,3,1),OFFSET(INDEX(polEff_Com,1,10),0,0,3,1)) + INDEX(doEff,4)*(INDEX(eff0Pol_Com,4)+INDEX(pushPol_Com,3)) + SUMPRODUCT(doEff,INDEX(polEff_Com,,9),N(_el&gt;3))</f>
        <v>3.191159429827878</v>
      </c>
      <c r="O137" s="33">
        <f ca="1">SUMPRODUCT(OFFSET(doEff,0,0,3,1),OFFSET(INDEX(polEff_Com,1,11),0,0,3,1)) + INDEX(doEff,4)*(INDEX(eff0Pol_Com,4)+INDEX(pushPol_Com,3)) + SUMPRODUCT(doEff,INDEX(polEff_Com,,10),N(_el&gt;3))</f>
        <v>3.1911203182854639</v>
      </c>
      <c r="P137" s="33">
        <f ca="1">SUMPRODUCT(OFFSET(doEff,0,0,3,1),OFFSET(INDEX(polEff_Com,1,12),0,0,3,1)) + INDEX(doEff,4)*(INDEX(eff0Pol_Com,4)+INDEX(pushPol_Com,3)) + SUMPRODUCT(doEff,INDEX(polEff_Com,,11),N(_el&gt;3))</f>
        <v>3.1911172600584146</v>
      </c>
      <c r="Q137" s="33">
        <f ca="1">SUMPRODUCT(OFFSET(doEff,0,0,3,1),OFFSET(INDEX(polEff_Com,1,13),0,0,3,1)) + INDEX(doEff,4)*(INDEX(eff0Pol_Com,4)+INDEX(pushPol_Com,3)) + SUMPRODUCT(doEff,INDEX(polEff_Com,,12),N(_el&gt;3))</f>
        <v>3.1911142346739751</v>
      </c>
      <c r="R137" s="33">
        <f ca="1">SUMPRODUCT(OFFSET(doEff,0,0,3,1),OFFSET(INDEX(polEff_Com,1,14),0,0,3,1)) + INDEX(doEff,4)*(INDEX(eff0Pol_Com,4)+INDEX(pushPol_Com,3)) + SUMPRODUCT(doEff,INDEX(polEff_Com,,13),N(_el&gt;3))</f>
        <v>3.1911112398969874</v>
      </c>
      <c r="S137" s="33">
        <f ca="1">SUMPRODUCT(OFFSET(doEff,0,0,3,1),OFFSET(INDEX(polEff_Com,1,15),0,0,3,1)) + INDEX(doEff,4)*(INDEX(eff0Pol_Com,4)+INDEX(pushPol_Com,3)) + SUMPRODUCT(doEff,INDEX(polEff_Com,,14),N(_el&gt;3))</f>
        <v>3.1911082736954901</v>
      </c>
      <c r="T137" s="33">
        <f ca="1">SUMPRODUCT(OFFSET(doEff,0,0,3,1),OFFSET(INDEX(polEff_Com,1,16),0,0,3,1)) + INDEX(doEff,4)*(INDEX(eff0Pol_Com,4)+INDEX(pushPol_Com,3)) + SUMPRODUCT(doEff,INDEX(polEff_Com,,15),N(_el&gt;3))</f>
        <v>3.1911053339950031</v>
      </c>
      <c r="U137" s="33">
        <f ca="1">SUMPRODUCT(OFFSET(doEff,0,0,3,1),OFFSET(INDEX(polEff_Com,1,17),0,0,3,1)) + INDEX(doEff,4)*(INDEX(eff0Pol_Com,4)+INDEX(pushPol_Com,3)) + SUMPRODUCT(doEff,INDEX(polEff_Com,,16),N(_el&gt;3))</f>
        <v>3.1911024193973176</v>
      </c>
      <c r="V137" s="33">
        <f ca="1">SUMPRODUCT(OFFSET(doEff,0,0,3,1),OFFSET(INDEX(polEff_Com,1,18),0,0,3,1)) + INDEX(doEff,4)*(INDEX(eff0Pol_Com,4)+INDEX(pushPol_Com,3)) + SUMPRODUCT(doEff,INDEX(polEff_Com,,17),N(_el&gt;3))</f>
        <v>3.1910995285281896</v>
      </c>
      <c r="W137" s="33">
        <f ca="1">SUMPRODUCT(OFFSET(doEff,0,0,3,1),OFFSET(INDEX(polEff_Com,1,19),0,0,3,1)) + INDEX(doEff,4)*(INDEX(eff0Pol_Com,4)+INDEX(pushPol_Com,3)) + SUMPRODUCT(doEff,INDEX(polEff_Com,,18),N(_el&gt;3))</f>
        <v>3.1910966602245474</v>
      </c>
      <c r="X137" s="33">
        <f ca="1">SUMPRODUCT(OFFSET(doEff,0,0,3,1),OFFSET(INDEX(polEff_Com,1,20),0,0,3,1)) + INDEX(doEff,4)*(INDEX(eff0Pol_Com,4)+INDEX(pushPol_Com,3)) + SUMPRODUCT(doEff,INDEX(polEff_Com,,19),N(_el&gt;3))</f>
        <v>3.1910938134732918</v>
      </c>
      <c r="Y137" s="33">
        <f ca="1">SUMPRODUCT(OFFSET(doEff,0,0,3,1),OFFSET(INDEX(polEff_Com,1,21),0,0,3,1)) + INDEX(doEff,4)*(INDEX(eff0Pol_Com,4)+INDEX(pushPol_Com,3)) + SUMPRODUCT(doEff,INDEX(polEff_Com,,20),N(_el&gt;3))</f>
        <v>3.1910897935891733</v>
      </c>
      <c r="Z137" s="33">
        <f ca="1">SUMPRODUCT(OFFSET(doEff,0,0,3,1),OFFSET(INDEX(polEff_Com,1,22),0,0,3,1)) + INDEX(doEff,4)*(INDEX(eff0Pol_Com,4)+INDEX(pushPol_Com,3)) + SUMPRODUCT(doEff,INDEX(polEff_Com,,21),N(_el&gt;3))</f>
        <v>3.1910886823376332</v>
      </c>
      <c r="AA137" s="33">
        <f ca="1">SUMPRODUCT(OFFSET(doEff,0,0,3,1),OFFSET(INDEX(polEff_Com,1,23),0,0,3,1)) + INDEX(doEff,4)*(INDEX(eff0Pol_Com,4)+INDEX(pushPol_Com,3)) + SUMPRODUCT(doEff,INDEX(polEff_Com,,22),N(_el&gt;3))</f>
        <v>3.1910875789683901</v>
      </c>
      <c r="AB137" s="33">
        <f ca="1">SUMPRODUCT(OFFSET(doEff,0,0,3,1),OFFSET(INDEX(polEff_Com,1,24),0,0,3,1)) + INDEX(doEff,4)*(INDEX(eff0Pol_Com,4)+INDEX(pushPol_Com,3)) + SUMPRODUCT(doEff,INDEX(polEff_Com,,23),N(_el&gt;3))</f>
        <v>3.1910864828391974</v>
      </c>
      <c r="AC137" s="33">
        <f ca="1">SUMPRODUCT(OFFSET(doEff,0,0,3,1),OFFSET(INDEX(polEff_Com,1,25),0,0,3,1)) + INDEX(doEff,4)*(INDEX(eff0Pol_Com,4)+INDEX(pushPol_Com,3)) + SUMPRODUCT(doEff,INDEX(polEff_Com,,24),N(_el&gt;3))</f>
        <v>3.1910853933455035</v>
      </c>
      <c r="AD137" s="33">
        <f ca="1">SUMPRODUCT(OFFSET(doEff,0,0,3,1),OFFSET(INDEX(polEff_Com,1,26),0,0,3,1)) + INDEX(doEff,4)*(INDEX(eff0Pol_Com,4)+INDEX(pushPol_Com,3)) + SUMPRODUCT(doEff,INDEX(polEff_Com,,25),N(_el&gt;3))</f>
        <v>3.1910843099242463</v>
      </c>
      <c r="AE137" s="33">
        <f ca="1">SUMPRODUCT(OFFSET(doEff,0,0,3,1),OFFSET(INDEX(polEff_Com,1,27),0,0,3,1)) + INDEX(doEff,4)*(INDEX(eff0Pol_Com,4)+INDEX(pushPol_Com,3)) + SUMPRODUCT(doEff,INDEX(polEff_Com,,26),N(_el&gt;3))</f>
        <v>3.1910832320559561</v>
      </c>
      <c r="AF137" s="33">
        <f ca="1">SUMPRODUCT(OFFSET(doEff,0,0,3,1),OFFSET(INDEX(polEff_Com,1,28),0,0,3,1)) + INDEX(doEff,4)*(INDEX(eff0Pol_Com,4)+INDEX(pushPol_Com,3)) + SUMPRODUCT(doEff,INDEX(polEff_Com,,27),N(_el&gt;3))</f>
        <v>3.1910821592634155</v>
      </c>
      <c r="AG137" s="33">
        <f ca="1">SUMPRODUCT(OFFSET(doEff,0,0,3,1),OFFSET(INDEX(polEff_Com,1,29),0,0,3,1)) + INDEX(doEff,4)*(INDEX(eff0Pol_Com,4)+INDEX(pushPol_Com,3)) + SUMPRODUCT(doEff,INDEX(polEff_Com,,28),N(_el&gt;3))</f>
        <v>3.1910810911079857</v>
      </c>
      <c r="AH137" s="33">
        <f ca="1">SUMPRODUCT(OFFSET(doEff,0,0,3,1),OFFSET(INDEX(polEff_Com,1,30),0,0,3,1)) + INDEX(doEff,4)*(INDEX(eff0Pol_Com,4)+INDEX(pushPol_Com,3)) + SUMPRODUCT(doEff,INDEX(polEff_Com,,29),N(_el&gt;3))</f>
        <v>3.1910800271847362</v>
      </c>
      <c r="AI137" s="33">
        <f ca="1">SUMPRODUCT(OFFSET(doEff,0,0,3,1),OFFSET(INDEX(polEff_Com,1,31),0,0,3,1)) + INDEX(doEff,4)*(INDEX(eff0Pol_Com,4)+INDEX(pushPol_Com,3)) + SUMPRODUCT(doEff,INDEX(polEff_Com,,30),N(_el&gt;3))</f>
        <v>3.1910789671174138</v>
      </c>
      <c r="AJ137" s="33">
        <f ca="1">SUMPRODUCT(OFFSET(doEff,0,0,3,1),OFFSET(INDEX(polEff_Com,1,32),0,0,3,1)) + INDEX(doEff,4)*(INDEX(eff0Pol_Com,4)+INDEX(pushPol_Com,3)) + SUMPRODUCT(doEff,INDEX(polEff_Com,,31),N(_el&gt;3))</f>
        <v>3.1910779105543003</v>
      </c>
      <c r="AK137" s="33">
        <f ca="1">SUMPRODUCT(OFFSET(doEff,0,0,3,1),OFFSET(INDEX(polEff_Com,1,33),0,0,3,1)) + INDEX(doEff,4)*(INDEX(eff0Pol_Com,4)+INDEX(pushPol_Com,3)) + SUMPRODUCT(doEff,INDEX(polEff_Com,,32),N(_el&gt;3))</f>
        <v>3.1910768571652595</v>
      </c>
      <c r="AL137" s="33">
        <f ca="1">SUMPRODUCT(OFFSET(doEff,0,0,3,1),OFFSET(INDEX(polEff_Com,1,34),0,0,3,1)) + INDEX(doEff,4)*(INDEX(eff0Pol_Com,4)+INDEX(pushPol_Com,3)) + SUMPRODUCT(doEff,INDEX(polEff_Com,,33),N(_el&gt;3))</f>
        <v>3.1910758066393989</v>
      </c>
      <c r="AM137" s="33">
        <f ca="1">SUMPRODUCT(OFFSET(doEff,0,0,3,1),OFFSET(INDEX(polEff_Com,1,35),0,0,3,1)) + INDEX(doEff,4)*(INDEX(eff0Pol_Com,4)+INDEX(pushPol_Com,3)) + SUMPRODUCT(doEff,INDEX(polEff_Com,,34),N(_el&gt;3))</f>
        <v>3.1913026642705242</v>
      </c>
      <c r="AN137" s="34">
        <f ca="1">SUMPRODUCT(OFFSET(doEff,0,0,3,1),OFFSET(INDEX(polEff_Com,1,36),0,0,3,1)) + INDEX(doEff,4)*(INDEX(eff0Pol_Com,4)+INDEX(pushPol_Com,3)) + SUMPRODUCT(doEff,INDEX(polEff_Com,,35),N(_el&gt;3))</f>
        <v>3.1907508532423212</v>
      </c>
      <c r="AO137" s="8"/>
    </row>
    <row r="138" spans="2:41" hidden="1" x14ac:dyDescent="0.35">
      <c r="B138" s="8"/>
      <c r="C138" s="35" t="str">
        <f>"EL 4: " &amp; INDEX(_doName,3,5)</f>
        <v>EL 4: EL 4</v>
      </c>
      <c r="D138" s="15"/>
      <c r="E138" s="21"/>
      <c r="F138" s="21">
        <f ca="1">SUMPRODUCT(OFFSET(doEff,0,0,4,1),OFFSET(INDEX(polEff_Com,1,2),0,0,4,1)) + INDEX(doEff,5)*(INDEX(eff0Pol_Com,5)+INDEX(pushPol_Com,4)) + 0</f>
        <v>2.6929815083314104</v>
      </c>
      <c r="G138" s="21">
        <f ca="1">SUMPRODUCT(OFFSET(doEff,0,0,4,1),OFFSET(INDEX(polEff_Com,1,3),0,0,4,1)) + INDEX(doEff,5)*(INDEX(eff0Pol_Com,5)+INDEX(pushPol_Com,4)) + 0</f>
        <v>3.1910568099930363</v>
      </c>
      <c r="H138" s="21">
        <f ca="1">SUMPRODUCT(OFFSET(doEff,0,0,4,1),OFFSET(INDEX(polEff_Com,1,4),0,0,4,1)) + INDEX(doEff,5)*(INDEX(eff0Pol_Com,5)+INDEX(pushPol_Com,4)) + 0</f>
        <v>3.1914240118570616</v>
      </c>
      <c r="I138" s="21">
        <f ca="1">SUMPRODUCT(OFFSET(doEff,0,0,4,1),OFFSET(INDEX(polEff_Com,1,5),0,0,4,1)) + INDEX(doEff,5)*(INDEX(eff0Pol_Com,5)+INDEX(pushPol_Com,4)) + 0</f>
        <v>3.1913316744570683</v>
      </c>
      <c r="J138" s="21">
        <f ca="1">SUMPRODUCT(OFFSET(doEff,0,0,4,1),OFFSET(INDEX(polEff_Com,1,6),0,0,4,1)) + INDEX(doEff,5)*(INDEX(eff0Pol_Com,5)+INDEX(pushPol_Com,4)) + 0</f>
        <v>3.1912407473257125</v>
      </c>
      <c r="K138" s="21">
        <f ca="1">SUMPRODUCT(OFFSET(doEff,0,0,4,1),OFFSET(INDEX(polEff_Com,1,7),0,0,4,1)) + INDEX(doEff,5)*(INDEX(eff0Pol_Com,5)+INDEX(pushPol_Com,4)) + 0</f>
        <v>3.1912157775155836</v>
      </c>
      <c r="L138" s="21">
        <f ca="1">SUMPRODUCT(OFFSET(doEff,0,0,4,1),OFFSET(INDEX(polEff_Com,1,8),0,0,4,1)) + INDEX(doEff,5)*(INDEX(eff0Pol_Com,5)+INDEX(pushPol_Com,4)) + 0</f>
        <v>3.191191020026825</v>
      </c>
      <c r="M138" s="21">
        <f ca="1">SUMPRODUCT(OFFSET(doEff,0,0,4,1),OFFSET(INDEX(polEff_Com,1,9),0,0,4,1)) + INDEX(doEff,5)*(INDEX(eff0Pol_Com,5)+INDEX(pushPol_Com,4)) + 0</f>
        <v>3.1911664675439466</v>
      </c>
      <c r="N138" s="21">
        <f ca="1">SUMPRODUCT(OFFSET(doEff,0,0,4,1),OFFSET(INDEX(polEff_Com,1,10),0,0,4,1)) + INDEX(doEff,5)*(INDEX(eff0Pol_Com,5)+INDEX(pushPol_Com,4)) + 0</f>
        <v>3.1911421134929672</v>
      </c>
      <c r="O138" s="21">
        <f ca="1">SUMPRODUCT(OFFSET(doEff,0,0,4,1),OFFSET(INDEX(polEff_Com,1,11),0,0,4,1)) + INDEX(doEff,5)*(INDEX(eff0Pol_Com,5)+INDEX(pushPol_Com,4)) + 0</f>
        <v>3.1911181425642225</v>
      </c>
      <c r="P138" s="21">
        <f ca="1">SUMPRODUCT(OFFSET(doEff,0,0,4,1),OFFSET(INDEX(polEff_Com,1,12),0,0,4,1)) + INDEX(doEff,5)*(INDEX(eff0Pol_Com,5)+INDEX(pushPol_Com,4)) + 0</f>
        <v>3.1911151068054768</v>
      </c>
      <c r="Q138" s="21">
        <f ca="1">SUMPRODUCT(OFFSET(doEff,0,0,4,1),OFFSET(INDEX(polEff_Com,1,13),0,0,4,1)) + INDEX(doEff,5)*(INDEX(eff0Pol_Com,5)+INDEX(pushPol_Com,4)) + 0</f>
        <v>3.1911121023802473</v>
      </c>
      <c r="R138" s="21">
        <f ca="1">SUMPRODUCT(OFFSET(doEff,0,0,4,1),OFFSET(INDEX(polEff_Com,1,14),0,0,4,1)) + INDEX(doEff,5)*(INDEX(eff0Pol_Com,5)+INDEX(pushPol_Com,4)) + 0</f>
        <v>3.191109127184383</v>
      </c>
      <c r="S138" s="21">
        <f ca="1">SUMPRODUCT(OFFSET(doEff,0,0,4,1),OFFSET(INDEX(polEff_Com,1,15),0,0,4,1)) + INDEX(doEff,5)*(INDEX(eff0Pol_Com,5)+INDEX(pushPol_Com,4)) + 0</f>
        <v>3.1911061792962783</v>
      </c>
      <c r="T138" s="21">
        <f ca="1">SUMPRODUCT(OFFSET(doEff,0,0,4,1),OFFSET(INDEX(polEff_Com,1,16),0,0,4,1)) + INDEX(doEff,5)*(INDEX(eff0Pol_Com,5)+INDEX(pushPol_Com,4)) + 0</f>
        <v>3.1911032569508513</v>
      </c>
      <c r="U138" s="21">
        <f ca="1">SUMPRODUCT(OFFSET(doEff,0,0,4,1),OFFSET(INDEX(polEff_Com,1,17),0,0,4,1)) + INDEX(doEff,5)*(INDEX(eff0Pol_Com,5)+INDEX(pushPol_Com,4)) + 0</f>
        <v>3.1911003588116138</v>
      </c>
      <c r="V138" s="21">
        <f ca="1">SUMPRODUCT(OFFSET(doEff,0,0,4,1),OFFSET(INDEX(polEff_Com,1,18),0,0,4,1)) + INDEX(doEff,5)*(INDEX(eff0Pol_Com,5)+INDEX(pushPol_Com,4)) + 0</f>
        <v>3.1910974836289991</v>
      </c>
      <c r="W138" s="21">
        <f ca="1">SUMPRODUCT(OFFSET(doEff,0,0,4,1),OFFSET(INDEX(polEff_Com,1,19),0,0,4,1)) + INDEX(doEff,5)*(INDEX(eff0Pol_Com,5)+INDEX(pushPol_Com,4)) + 0</f>
        <v>3.1910946303269436</v>
      </c>
      <c r="X138" s="21">
        <f ca="1">SUMPRODUCT(OFFSET(doEff,0,0,4,1),OFFSET(INDEX(polEff_Com,1,20),0,0,4,1)) + INDEX(doEff,5)*(INDEX(eff0Pol_Com,5)+INDEX(pushPol_Com,4)) + 0</f>
        <v>3.1910917979504232</v>
      </c>
      <c r="Y138" s="21">
        <f ca="1">SUMPRODUCT(OFFSET(doEff,0,0,4,1),OFFSET(INDEX(polEff_Com,1,21),0,0,4,1)) + INDEX(doEff,5)*(INDEX(eff0Pol_Com,5)+INDEX(pushPol_Com,4)) + 0</f>
        <v>3.1910890010088755</v>
      </c>
      <c r="Z138" s="21">
        <f ca="1">SUMPRODUCT(OFFSET(doEff,0,0,4,1),OFFSET(INDEX(polEff_Com,1,22),0,0,4,1)) + INDEX(doEff,5)*(INDEX(eff0Pol_Com,5)+INDEX(pushPol_Com,4)) + 0</f>
        <v>3.1910878950945003</v>
      </c>
      <c r="AA138" s="21">
        <f ca="1">SUMPRODUCT(OFFSET(doEff,0,0,4,1),OFFSET(INDEX(polEff_Com,1,23),0,0,4,1)) + INDEX(doEff,5)*(INDEX(eff0Pol_Com,5)+INDEX(pushPol_Com,4)) + 0</f>
        <v>3.1910867966221086</v>
      </c>
      <c r="AB138" s="21">
        <f ca="1">SUMPRODUCT(OFFSET(doEff,0,0,4,1),OFFSET(INDEX(polEff_Com,1,24),0,0,4,1)) + INDEX(doEff,5)*(INDEX(eff0Pol_Com,5)+INDEX(pushPol_Com,4)) + 0</f>
        <v>3.1910857049776373</v>
      </c>
      <c r="AC138" s="21">
        <f ca="1">SUMPRODUCT(OFFSET(doEff,0,0,4,1),OFFSET(INDEX(polEff_Com,1,25),0,0,4,1)) + INDEX(doEff,5)*(INDEX(eff0Pol_Com,5)+INDEX(pushPol_Com,4)) + 0</f>
        <v>3.1910846195863716</v>
      </c>
      <c r="AD138" s="21">
        <f ca="1">SUMPRODUCT(OFFSET(doEff,0,0,4,1),OFFSET(INDEX(polEff_Com,1,26),0,0,4,1)) + INDEX(doEff,5)*(INDEX(eff0Pol_Com,5)+INDEX(pushPol_Com,4)) + 0</f>
        <v>3.1910835399152315</v>
      </c>
      <c r="AE138" s="21">
        <f ca="1">SUMPRODUCT(OFFSET(doEff,0,0,4,1),OFFSET(INDEX(polEff_Com,1,27),0,0,4,1)) + INDEX(doEff,5)*(INDEX(eff0Pol_Com,5)+INDEX(pushPol_Com,4)) + 0</f>
        <v>3.1910824654729582</v>
      </c>
      <c r="AF138" s="21">
        <f ca="1">SUMPRODUCT(OFFSET(doEff,0,0,4,1),OFFSET(INDEX(polEff_Com,1,28),0,0,4,1)) + INDEX(doEff,5)*(INDEX(eff0Pol_Com,5)+INDEX(pushPol_Com,4)) + 0</f>
        <v>3.1910813958076152</v>
      </c>
      <c r="AG138" s="21">
        <f ca="1">SUMPRODUCT(OFFSET(doEff,0,0,4,1),OFFSET(INDEX(polEff_Com,1,29),0,0,4,1)) + INDEX(doEff,5)*(INDEX(eff0Pol_Com,5)+INDEX(pushPol_Com,4)) + 0</f>
        <v>3.1910803305025022</v>
      </c>
      <c r="AH138" s="21">
        <f ca="1">SUMPRODUCT(OFFSET(doEff,0,0,4,1),OFFSET(INDEX(polEff_Com,1,30),0,0,4,1)) + INDEX(doEff,5)*(INDEX(eff0Pol_Com,5)+INDEX(pushPol_Com,4)) + 0</f>
        <v>3.1910792691714942</v>
      </c>
      <c r="AI138" s="21">
        <f ca="1">SUMPRODUCT(OFFSET(doEff,0,0,4,1),OFFSET(INDEX(polEff_Com,1,31),0,0,4,1)) + INDEX(doEff,5)*(INDEX(eff0Pol_Com,5)+INDEX(pushPol_Com,4)) + 0</f>
        <v>3.191078211454677</v>
      </c>
      <c r="AJ138" s="21">
        <f ca="1">SUMPRODUCT(OFFSET(doEff,0,0,4,1),OFFSET(INDEX(polEff_Com,1,32),0,0,4,1)) + INDEX(doEff,5)*(INDEX(eff0Pol_Com,5)+INDEX(pushPol_Com,4)) + 0</f>
        <v>3.1910771570149103</v>
      </c>
      <c r="AK138" s="21">
        <f ca="1">SUMPRODUCT(OFFSET(doEff,0,0,4,1),OFFSET(INDEX(polEff_Com,1,33),0,0,4,1)) + INDEX(doEff,5)*(INDEX(eff0Pol_Com,5)+INDEX(pushPol_Com,4)) + 0</f>
        <v>3.1910761055353842</v>
      </c>
      <c r="AL138" s="21">
        <f ca="1">SUMPRODUCT(OFFSET(doEff,0,0,4,1),OFFSET(INDEX(polEff_Com,1,34),0,0,4,1)) + INDEX(doEff,5)*(INDEX(eff0Pol_Com,5)+INDEX(pushPol_Com,4)) + 0</f>
        <v>3.1910750567178723</v>
      </c>
      <c r="AM138" s="21">
        <f ca="1">SUMPRODUCT(OFFSET(doEff,0,0,4,1),OFFSET(INDEX(polEff_Com,1,35),0,0,4,1)) + INDEX(doEff,5)*(INDEX(eff0Pol_Com,5)+INDEX(pushPol_Com,4)) + 0</f>
        <v>3.1910710733541596</v>
      </c>
      <c r="AN138" s="22">
        <f ca="1">SUMPRODUCT(OFFSET(doEff,0,0,4,1),OFFSET(INDEX(polEff_Com,1,36),0,0,4,1)) + INDEX(doEff,5)*(INDEX(eff0Pol_Com,5)+INDEX(pushPol_Com,4)) + 0</f>
        <v>3.1907508532423212</v>
      </c>
      <c r="AO138" s="8"/>
    </row>
    <row r="139" spans="2:41" hidden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</row>
    <row r="140" spans="2:41" hidden="1" x14ac:dyDescent="0.35">
      <c r="B140" s="8"/>
      <c r="C140" s="23" t="s">
        <v>88</v>
      </c>
      <c r="D140" s="24"/>
      <c r="E140" s="26">
        <f t="array" ref="E140:AN140">_yS</f>
        <v>2024</v>
      </c>
      <c r="F140" s="26">
        <v>2025</v>
      </c>
      <c r="G140" s="26">
        <v>2026</v>
      </c>
      <c r="H140" s="26">
        <v>2027</v>
      </c>
      <c r="I140" s="26">
        <v>2028</v>
      </c>
      <c r="J140" s="26">
        <v>2029</v>
      </c>
      <c r="K140" s="26">
        <v>2030</v>
      </c>
      <c r="L140" s="26">
        <v>2031</v>
      </c>
      <c r="M140" s="26">
        <v>2032</v>
      </c>
      <c r="N140" s="26">
        <v>2033</v>
      </c>
      <c r="O140" s="26">
        <v>2034</v>
      </c>
      <c r="P140" s="26">
        <v>2035</v>
      </c>
      <c r="Q140" s="26">
        <v>2036</v>
      </c>
      <c r="R140" s="26">
        <v>2037</v>
      </c>
      <c r="S140" s="26">
        <v>2038</v>
      </c>
      <c r="T140" s="26">
        <v>2039</v>
      </c>
      <c r="U140" s="26">
        <v>2040</v>
      </c>
      <c r="V140" s="26">
        <v>2041</v>
      </c>
      <c r="W140" s="26">
        <v>2042</v>
      </c>
      <c r="X140" s="26">
        <v>2043</v>
      </c>
      <c r="Y140" s="26">
        <v>2044</v>
      </c>
      <c r="Z140" s="26">
        <v>2045</v>
      </c>
      <c r="AA140" s="26">
        <v>2046</v>
      </c>
      <c r="AB140" s="26">
        <v>2047</v>
      </c>
      <c r="AC140" s="26">
        <v>2048</v>
      </c>
      <c r="AD140" s="26">
        <v>2049</v>
      </c>
      <c r="AE140" s="26">
        <v>2050</v>
      </c>
      <c r="AF140" s="26">
        <v>2051</v>
      </c>
      <c r="AG140" s="26">
        <v>2052</v>
      </c>
      <c r="AH140" s="26">
        <v>2053</v>
      </c>
      <c r="AI140" s="26">
        <v>2054</v>
      </c>
      <c r="AJ140" s="26">
        <v>2055</v>
      </c>
      <c r="AK140" s="26">
        <v>2056</v>
      </c>
      <c r="AL140" s="26">
        <v>2057</v>
      </c>
      <c r="AM140" s="26">
        <v>2058</v>
      </c>
      <c r="AN140" s="27">
        <v>2059</v>
      </c>
      <c r="AO140" s="8"/>
    </row>
    <row r="141" spans="2:41" hidden="1" x14ac:dyDescent="0.35">
      <c r="B141" s="8"/>
      <c r="C141" s="19" t="s">
        <v>89</v>
      </c>
      <c r="D141" s="11"/>
      <c r="E141" s="43">
        <f>0</f>
        <v>0</v>
      </c>
      <c r="F141" s="43">
        <f t="array" ref="F141:AN141">$E$141</f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0</v>
      </c>
      <c r="Y141" s="43">
        <v>0</v>
      </c>
      <c r="Z141" s="43">
        <v>0</v>
      </c>
      <c r="AA141" s="43">
        <v>0</v>
      </c>
      <c r="AB141" s="43">
        <v>0</v>
      </c>
      <c r="AC141" s="43">
        <v>0</v>
      </c>
      <c r="AD141" s="43">
        <v>0</v>
      </c>
      <c r="AE141" s="43">
        <v>0</v>
      </c>
      <c r="AF141" s="43">
        <v>0</v>
      </c>
      <c r="AG141" s="43">
        <v>0</v>
      </c>
      <c r="AH141" s="43">
        <v>0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4">
        <v>0</v>
      </c>
      <c r="AO141" s="8"/>
    </row>
    <row r="142" spans="2:41" hidden="1" x14ac:dyDescent="0.35">
      <c r="B142" s="8"/>
      <c r="C142" s="19" t="str">
        <f>"EL 0: " &amp; INDEX(_doName,3,1)</f>
        <v>EL 0: Baseline</v>
      </c>
      <c r="D142" s="11"/>
      <c r="E142" s="43"/>
      <c r="F142" s="43">
        <f>(INDEX(teffSumBC_Com,1,2)&lt;INDEX(effGoalBC_Com,2)) * MIN(INDEX(bcEff_Com,1,1),(INDEX(effGoalBC_Com,2)-INDEX(teffSumBC_Com,1,2))/(INDEX(doEff,2)-INDEX(doEff,1)))</f>
        <v>0</v>
      </c>
      <c r="G142" s="43">
        <f ca="1">(INDEX(teffSumBC_Com,1,3)&lt;INDEX(effGoalBC_Com,3)) * MIN(INDEX(bcEff_Com,1,2),(INDEX(effGoalBC_Com,3)-INDEX(teffSumBC_Com,1,3))/(INDEX(doEff,2)-INDEX(doEff,1)))</f>
        <v>0</v>
      </c>
      <c r="H142" s="43">
        <f ca="1">(INDEX(teffSumBC_Com,1,4)&lt;INDEX(effGoalBC_Com,4)) * MIN(INDEX(bcEff_Com,1,3),(INDEX(effGoalBC_Com,4)-INDEX(teffSumBC_Com,1,4))/(INDEX(doEff,2)-INDEX(doEff,1)))</f>
        <v>0</v>
      </c>
      <c r="I142" s="43">
        <f ca="1">(INDEX(teffSumBC_Com,1,5)&lt;INDEX(effGoalBC_Com,5)) * MIN(INDEX(bcEff_Com,1,4),(INDEX(effGoalBC_Com,5)-INDEX(teffSumBC_Com,1,5))/(INDEX(doEff,2)-INDEX(doEff,1)))</f>
        <v>0</v>
      </c>
      <c r="J142" s="43">
        <f ca="1">(INDEX(teffSumBC_Com,1,6)&lt;INDEX(effGoalBC_Com,6)) * MIN(INDEX(bcEff_Com,1,5),(INDEX(effGoalBC_Com,6)-INDEX(teffSumBC_Com,1,6))/(INDEX(doEff,2)-INDEX(doEff,1)))</f>
        <v>0</v>
      </c>
      <c r="K142" s="43">
        <f ca="1">(INDEX(teffSumBC_Com,1,7)&lt;INDEX(effGoalBC_Com,7)) * MIN(INDEX(bcEff_Com,1,6),(INDEX(effGoalBC_Com,7)-INDEX(teffSumBC_Com,1,7))/(INDEX(doEff,2)-INDEX(doEff,1)))</f>
        <v>0</v>
      </c>
      <c r="L142" s="43">
        <f ca="1">(INDEX(teffSumBC_Com,1,8)&lt;INDEX(effGoalBC_Com,8)) * MIN(INDEX(bcEff_Com,1,7),(INDEX(effGoalBC_Com,8)-INDEX(teffSumBC_Com,1,8))/(INDEX(doEff,2)-INDEX(doEff,1)))</f>
        <v>0</v>
      </c>
      <c r="M142" s="43">
        <f ca="1">(INDEX(teffSumBC_Com,1,9)&lt;INDEX(effGoalBC_Com,9)) * MIN(INDEX(bcEff_Com,1,8),(INDEX(effGoalBC_Com,9)-INDEX(teffSumBC_Com,1,9))/(INDEX(doEff,2)-INDEX(doEff,1)))</f>
        <v>0</v>
      </c>
      <c r="N142" s="43">
        <f ca="1">(INDEX(teffSumBC_Com,1,10)&lt;INDEX(effGoalBC_Com,10)) * MIN(INDEX(bcEff_Com,1,9),(INDEX(effGoalBC_Com,10)-INDEX(teffSumBC_Com,1,10))/(INDEX(doEff,2)-INDEX(doEff,1)))</f>
        <v>0</v>
      </c>
      <c r="O142" s="43">
        <f ca="1">(INDEX(teffSumBC_Com,1,11)&lt;INDEX(effGoalBC_Com,11)) * MIN(INDEX(bcEff_Com,1,10),(INDEX(effGoalBC_Com,11)-INDEX(teffSumBC_Com,1,11))/(INDEX(doEff,2)-INDEX(doEff,1)))</f>
        <v>0</v>
      </c>
      <c r="P142" s="43">
        <f ca="1">(INDEX(teffSumBC_Com,1,12)&lt;INDEX(effGoalBC_Com,12)) * MIN(INDEX(bcEff_Com,1,11),(INDEX(effGoalBC_Com,12)-INDEX(teffSumBC_Com,1,12))/(INDEX(doEff,2)-INDEX(doEff,1)))</f>
        <v>0</v>
      </c>
      <c r="Q142" s="43">
        <f ca="1">(INDEX(teffSumBC_Com,1,13)&lt;INDEX(effGoalBC_Com,13)) * MIN(INDEX(bcEff_Com,1,12),(INDEX(effGoalBC_Com,13)-INDEX(teffSumBC_Com,1,13))/(INDEX(doEff,2)-INDEX(doEff,1)))</f>
        <v>0</v>
      </c>
      <c r="R142" s="43">
        <f ca="1">(INDEX(teffSumBC_Com,1,14)&lt;INDEX(effGoalBC_Com,14)) * MIN(INDEX(bcEff_Com,1,13),(INDEX(effGoalBC_Com,14)-INDEX(teffSumBC_Com,1,14))/(INDEX(doEff,2)-INDEX(doEff,1)))</f>
        <v>0</v>
      </c>
      <c r="S142" s="43">
        <f ca="1">(INDEX(teffSumBC_Com,1,15)&lt;INDEX(effGoalBC_Com,15)) * MIN(INDEX(bcEff_Com,1,14),(INDEX(effGoalBC_Com,15)-INDEX(teffSumBC_Com,1,15))/(INDEX(doEff,2)-INDEX(doEff,1)))</f>
        <v>0</v>
      </c>
      <c r="T142" s="43">
        <f ca="1">(INDEX(teffSumBC_Com,1,16)&lt;INDEX(effGoalBC_Com,16)) * MIN(INDEX(bcEff_Com,1,15),(INDEX(effGoalBC_Com,16)-INDEX(teffSumBC_Com,1,16))/(INDEX(doEff,2)-INDEX(doEff,1)))</f>
        <v>0</v>
      </c>
      <c r="U142" s="43">
        <f ca="1">(INDEX(teffSumBC_Com,1,17)&lt;INDEX(effGoalBC_Com,17)) * MIN(INDEX(bcEff_Com,1,16),(INDEX(effGoalBC_Com,17)-INDEX(teffSumBC_Com,1,17))/(INDEX(doEff,2)-INDEX(doEff,1)))</f>
        <v>0</v>
      </c>
      <c r="V142" s="43">
        <f ca="1">(INDEX(teffSumBC_Com,1,18)&lt;INDEX(effGoalBC_Com,18)) * MIN(INDEX(bcEff_Com,1,17),(INDEX(effGoalBC_Com,18)-INDEX(teffSumBC_Com,1,18))/(INDEX(doEff,2)-INDEX(doEff,1)))</f>
        <v>0</v>
      </c>
      <c r="W142" s="43">
        <f ca="1">(INDEX(teffSumBC_Com,1,19)&lt;INDEX(effGoalBC_Com,19)) * MIN(INDEX(bcEff_Com,1,18),(INDEX(effGoalBC_Com,19)-INDEX(teffSumBC_Com,1,19))/(INDEX(doEff,2)-INDEX(doEff,1)))</f>
        <v>0</v>
      </c>
      <c r="X142" s="43">
        <f ca="1">(INDEX(teffSumBC_Com,1,20)&lt;INDEX(effGoalBC_Com,20)) * MIN(INDEX(bcEff_Com,1,19),(INDEX(effGoalBC_Com,20)-INDEX(teffSumBC_Com,1,20))/(INDEX(doEff,2)-INDEX(doEff,1)))</f>
        <v>0</v>
      </c>
      <c r="Y142" s="43">
        <f ca="1">(INDEX(teffSumBC_Com,1,21)&lt;INDEX(effGoalBC_Com,21)) * MIN(INDEX(bcEff_Com,1,20),(INDEX(effGoalBC_Com,21)-INDEX(teffSumBC_Com,1,21))/(INDEX(doEff,2)-INDEX(doEff,1)))</f>
        <v>0</v>
      </c>
      <c r="Z142" s="43">
        <f ca="1">(INDEX(teffSumBC_Com,1,22)&lt;INDEX(effGoalBC_Com,22)) * MIN(INDEX(bcEff_Com,1,21),(INDEX(effGoalBC_Com,22)-INDEX(teffSumBC_Com,1,22))/(INDEX(doEff,2)-INDEX(doEff,1)))</f>
        <v>0</v>
      </c>
      <c r="AA142" s="43">
        <f ca="1">(INDEX(teffSumBC_Com,1,23)&lt;INDEX(effGoalBC_Com,23)) * MIN(INDEX(bcEff_Com,1,22),(INDEX(effGoalBC_Com,23)-INDEX(teffSumBC_Com,1,23))/(INDEX(doEff,2)-INDEX(doEff,1)))</f>
        <v>0</v>
      </c>
      <c r="AB142" s="43">
        <f ca="1">(INDEX(teffSumBC_Com,1,24)&lt;INDEX(effGoalBC_Com,24)) * MIN(INDEX(bcEff_Com,1,23),(INDEX(effGoalBC_Com,24)-INDEX(teffSumBC_Com,1,24))/(INDEX(doEff,2)-INDEX(doEff,1)))</f>
        <v>0</v>
      </c>
      <c r="AC142" s="43">
        <f ca="1">(INDEX(teffSumBC_Com,1,25)&lt;INDEX(effGoalBC_Com,25)) * MIN(INDEX(bcEff_Com,1,24),(INDEX(effGoalBC_Com,25)-INDEX(teffSumBC_Com,1,25))/(INDEX(doEff,2)-INDEX(doEff,1)))</f>
        <v>0</v>
      </c>
      <c r="AD142" s="43">
        <f ca="1">(INDEX(teffSumBC_Com,1,26)&lt;INDEX(effGoalBC_Com,26)) * MIN(INDEX(bcEff_Com,1,25),(INDEX(effGoalBC_Com,26)-INDEX(teffSumBC_Com,1,26))/(INDEX(doEff,2)-INDEX(doEff,1)))</f>
        <v>0</v>
      </c>
      <c r="AE142" s="43">
        <f ca="1">(INDEX(teffSumBC_Com,1,27)&lt;INDEX(effGoalBC_Com,27)) * MIN(INDEX(bcEff_Com,1,26),(INDEX(effGoalBC_Com,27)-INDEX(teffSumBC_Com,1,27))/(INDEX(doEff,2)-INDEX(doEff,1)))</f>
        <v>0</v>
      </c>
      <c r="AF142" s="43">
        <f ca="1">(INDEX(teffSumBC_Com,1,28)&lt;INDEX(effGoalBC_Com,28)) * MIN(INDEX(bcEff_Com,1,27),(INDEX(effGoalBC_Com,28)-INDEX(teffSumBC_Com,1,28))/(INDEX(doEff,2)-INDEX(doEff,1)))</f>
        <v>0</v>
      </c>
      <c r="AG142" s="43">
        <f ca="1">(INDEX(teffSumBC_Com,1,29)&lt;INDEX(effGoalBC_Com,29)) * MIN(INDEX(bcEff_Com,1,28),(INDEX(effGoalBC_Com,29)-INDEX(teffSumBC_Com,1,29))/(INDEX(doEff,2)-INDEX(doEff,1)))</f>
        <v>0</v>
      </c>
      <c r="AH142" s="43">
        <f ca="1">(INDEX(teffSumBC_Com,1,30)&lt;INDEX(effGoalBC_Com,30)) * MIN(INDEX(bcEff_Com,1,29),(INDEX(effGoalBC_Com,30)-INDEX(teffSumBC_Com,1,30))/(INDEX(doEff,2)-INDEX(doEff,1)))</f>
        <v>0</v>
      </c>
      <c r="AI142" s="43">
        <f ca="1">(INDEX(teffSumBC_Com,1,31)&lt;INDEX(effGoalBC_Com,31)) * MIN(INDEX(bcEff_Com,1,30),(INDEX(effGoalBC_Com,31)-INDEX(teffSumBC_Com,1,31))/(INDEX(doEff,2)-INDEX(doEff,1)))</f>
        <v>0</v>
      </c>
      <c r="AJ142" s="43">
        <f ca="1">(INDEX(teffSumBC_Com,1,32)&lt;INDEX(effGoalBC_Com,32)) * MIN(INDEX(bcEff_Com,1,31),(INDEX(effGoalBC_Com,32)-INDEX(teffSumBC_Com,1,32))/(INDEX(doEff,2)-INDEX(doEff,1)))</f>
        <v>0</v>
      </c>
      <c r="AK142" s="43">
        <f ca="1">(INDEX(teffSumBC_Com,1,33)&lt;INDEX(effGoalBC_Com,33)) * MIN(INDEX(bcEff_Com,1,32),(INDEX(effGoalBC_Com,33)-INDEX(teffSumBC_Com,1,33))/(INDEX(doEff,2)-INDEX(doEff,1)))</f>
        <v>0</v>
      </c>
      <c r="AL142" s="43">
        <f ca="1">(INDEX(teffSumBC_Com,1,34)&lt;INDEX(effGoalBC_Com,34)) * MIN(INDEX(bcEff_Com,1,33),(INDEX(effGoalBC_Com,34)-INDEX(teffSumBC_Com,1,34))/(INDEX(doEff,2)-INDEX(doEff,1)))</f>
        <v>0</v>
      </c>
      <c r="AM142" s="43">
        <f ca="1">(INDEX(teffSumBC_Com,1,35)&lt;INDEX(effGoalBC_Com,35)) * MIN(INDEX(bcEff_Com,1,34),(INDEX(effGoalBC_Com,35)-INDEX(teffSumBC_Com,1,35))/(INDEX(doEff,2)-INDEX(doEff,1)))</f>
        <v>0</v>
      </c>
      <c r="AN142" s="44">
        <f ca="1">(INDEX(teffSumBC_Com,1,36)&lt;INDEX(effGoalBC_Com,36)) * MIN(INDEX(bcEff_Com,1,35),(INDEX(effGoalBC_Com,36)-INDEX(teffSumBC_Com,1,36))/(INDEX(doEff,2)-INDEX(doEff,1)))</f>
        <v>0</v>
      </c>
      <c r="AO142" s="8"/>
    </row>
    <row r="143" spans="2:41" hidden="1" x14ac:dyDescent="0.35">
      <c r="B143" s="8"/>
      <c r="C143" s="19" t="str">
        <f>"EL 1: " &amp; INDEX(_doName,3,2)</f>
        <v>EL 1: Tier 1</v>
      </c>
      <c r="D143" s="11"/>
      <c r="E143" s="43"/>
      <c r="F143" s="43">
        <f ca="1">(INDEX(teffSumBC_Com,2,2)&lt;INDEX(effGoalBC_Com,2)) * MIN(INDEX(bcEff_Com,2,1)+INDEX(pushBC_Com,1),(INDEX(effGoalBC_Com,2)-INDEX(teffSumBC_Com,2,2))/(INDEX(doEff,3)-INDEX(doEff,2)))</f>
        <v>0</v>
      </c>
      <c r="G143" s="43">
        <f ca="1">(INDEX(teffSumBC_Com,2,3)&lt;INDEX(effGoalBC_Com,3)) * MIN(INDEX(bcEff_Com,2,2)+INDEX(pushBC_Com,1),(INDEX(effGoalBC_Com,3)-INDEX(teffSumBC_Com,2,3))/(INDEX(doEff,3)-INDEX(doEff,2)))</f>
        <v>0</v>
      </c>
      <c r="H143" s="43">
        <f ca="1">(INDEX(teffSumBC_Com,2,4)&lt;INDEX(effGoalBC_Com,4)) * MIN(INDEX(bcEff_Com,2,3)+INDEX(pushBC_Com,1),(INDEX(effGoalBC_Com,4)-INDEX(teffSumBC_Com,2,4))/(INDEX(doEff,3)-INDEX(doEff,2)))</f>
        <v>0</v>
      </c>
      <c r="I143" s="43">
        <f ca="1">(INDEX(teffSumBC_Com,2,5)&lt;INDEX(effGoalBC_Com,5)) * MIN(INDEX(bcEff_Com,2,4)+INDEX(pushBC_Com,1),(INDEX(effGoalBC_Com,5)-INDEX(teffSumBC_Com,2,5))/(INDEX(doEff,3)-INDEX(doEff,2)))</f>
        <v>0</v>
      </c>
      <c r="J143" s="43">
        <f ca="1">(INDEX(teffSumBC_Com,2,6)&lt;INDEX(effGoalBC_Com,6)) * MIN(INDEX(bcEff_Com,2,5)+INDEX(pushBC_Com,1),(INDEX(effGoalBC_Com,6)-INDEX(teffSumBC_Com,2,6))/(INDEX(doEff,3)-INDEX(doEff,2)))</f>
        <v>0</v>
      </c>
      <c r="K143" s="43">
        <f ca="1">(INDEX(teffSumBC_Com,2,7)&lt;INDEX(effGoalBC_Com,7)) * MIN(INDEX(bcEff_Com,2,6)+INDEX(pushBC_Com,1),(INDEX(effGoalBC_Com,7)-INDEX(teffSumBC_Com,2,7))/(INDEX(doEff,3)-INDEX(doEff,2)))</f>
        <v>0</v>
      </c>
      <c r="L143" s="43">
        <f ca="1">(INDEX(teffSumBC_Com,2,8)&lt;INDEX(effGoalBC_Com,8)) * MIN(INDEX(bcEff_Com,2,7)+INDEX(pushBC_Com,1),(INDEX(effGoalBC_Com,8)-INDEX(teffSumBC_Com,2,8))/(INDEX(doEff,3)-INDEX(doEff,2)))</f>
        <v>0</v>
      </c>
      <c r="M143" s="43">
        <f ca="1">(INDEX(teffSumBC_Com,2,9)&lt;INDEX(effGoalBC_Com,9)) * MIN(INDEX(bcEff_Com,2,8)+INDEX(pushBC_Com,1),(INDEX(effGoalBC_Com,9)-INDEX(teffSumBC_Com,2,9))/(INDEX(doEff,3)-INDEX(doEff,2)))</f>
        <v>0</v>
      </c>
      <c r="N143" s="43">
        <f ca="1">(INDEX(teffSumBC_Com,2,10)&lt;INDEX(effGoalBC_Com,10)) * MIN(INDEX(bcEff_Com,2,9)+INDEX(pushBC_Com,1),(INDEX(effGoalBC_Com,10)-INDEX(teffSumBC_Com,2,10))/(INDEX(doEff,3)-INDEX(doEff,2)))</f>
        <v>0</v>
      </c>
      <c r="O143" s="43">
        <f ca="1">(INDEX(teffSumBC_Com,2,11)&lt;INDEX(effGoalBC_Com,11)) * MIN(INDEX(bcEff_Com,2,10)+INDEX(pushBC_Com,1),(INDEX(effGoalBC_Com,11)-INDEX(teffSumBC_Com,2,11))/(INDEX(doEff,3)-INDEX(doEff,2)))</f>
        <v>0</v>
      </c>
      <c r="P143" s="43">
        <f ca="1">(INDEX(teffSumBC_Com,2,12)&lt;INDEX(effGoalBC_Com,12)) * MIN(INDEX(bcEff_Com,2,11)+INDEX(pushBC_Com,1),(INDEX(effGoalBC_Com,12)-INDEX(teffSumBC_Com,2,12))/(INDEX(doEff,3)-INDEX(doEff,2)))</f>
        <v>0</v>
      </c>
      <c r="Q143" s="43">
        <f ca="1">(INDEX(teffSumBC_Com,2,13)&lt;INDEX(effGoalBC_Com,13)) * MIN(INDEX(bcEff_Com,2,12)+INDEX(pushBC_Com,1),(INDEX(effGoalBC_Com,13)-INDEX(teffSumBC_Com,2,13))/(INDEX(doEff,3)-INDEX(doEff,2)))</f>
        <v>0</v>
      </c>
      <c r="R143" s="43">
        <f ca="1">(INDEX(teffSumBC_Com,2,14)&lt;INDEX(effGoalBC_Com,14)) * MIN(INDEX(bcEff_Com,2,13)+INDEX(pushBC_Com,1),(INDEX(effGoalBC_Com,14)-INDEX(teffSumBC_Com,2,14))/(INDEX(doEff,3)-INDEX(doEff,2)))</f>
        <v>0</v>
      </c>
      <c r="S143" s="43">
        <f ca="1">(INDEX(teffSumBC_Com,2,15)&lt;INDEX(effGoalBC_Com,15)) * MIN(INDEX(bcEff_Com,2,14)+INDEX(pushBC_Com,1),(INDEX(effGoalBC_Com,15)-INDEX(teffSumBC_Com,2,15))/(INDEX(doEff,3)-INDEX(doEff,2)))</f>
        <v>0</v>
      </c>
      <c r="T143" s="43">
        <f ca="1">(INDEX(teffSumBC_Com,2,16)&lt;INDEX(effGoalBC_Com,16)) * MIN(INDEX(bcEff_Com,2,15)+INDEX(pushBC_Com,1),(INDEX(effGoalBC_Com,16)-INDEX(teffSumBC_Com,2,16))/(INDEX(doEff,3)-INDEX(doEff,2)))</f>
        <v>0</v>
      </c>
      <c r="U143" s="43">
        <f ca="1">(INDEX(teffSumBC_Com,2,17)&lt;INDEX(effGoalBC_Com,17)) * MIN(INDEX(bcEff_Com,2,16)+INDEX(pushBC_Com,1),(INDEX(effGoalBC_Com,17)-INDEX(teffSumBC_Com,2,17))/(INDEX(doEff,3)-INDEX(doEff,2)))</f>
        <v>0</v>
      </c>
      <c r="V143" s="43">
        <f ca="1">(INDEX(teffSumBC_Com,2,18)&lt;INDEX(effGoalBC_Com,18)) * MIN(INDEX(bcEff_Com,2,17)+INDEX(pushBC_Com,1),(INDEX(effGoalBC_Com,18)-INDEX(teffSumBC_Com,2,18))/(INDEX(doEff,3)-INDEX(doEff,2)))</f>
        <v>0</v>
      </c>
      <c r="W143" s="43">
        <f ca="1">(INDEX(teffSumBC_Com,2,19)&lt;INDEX(effGoalBC_Com,19)) * MIN(INDEX(bcEff_Com,2,18)+INDEX(pushBC_Com,1),(INDEX(effGoalBC_Com,19)-INDEX(teffSumBC_Com,2,19))/(INDEX(doEff,3)-INDEX(doEff,2)))</f>
        <v>0</v>
      </c>
      <c r="X143" s="43">
        <f ca="1">(INDEX(teffSumBC_Com,2,20)&lt;INDEX(effGoalBC_Com,20)) * MIN(INDEX(bcEff_Com,2,19)+INDEX(pushBC_Com,1),(INDEX(effGoalBC_Com,20)-INDEX(teffSumBC_Com,2,20))/(INDEX(doEff,3)-INDEX(doEff,2)))</f>
        <v>0</v>
      </c>
      <c r="Y143" s="43">
        <f ca="1">(INDEX(teffSumBC_Com,2,21)&lt;INDEX(effGoalBC_Com,21)) * MIN(INDEX(bcEff_Com,2,20)+INDEX(pushBC_Com,1),(INDEX(effGoalBC_Com,21)-INDEX(teffSumBC_Com,2,21))/(INDEX(doEff,3)-INDEX(doEff,2)))</f>
        <v>0</v>
      </c>
      <c r="Z143" s="43">
        <f ca="1">(INDEX(teffSumBC_Com,2,22)&lt;INDEX(effGoalBC_Com,22)) * MIN(INDEX(bcEff_Com,2,21)+INDEX(pushBC_Com,1),(INDEX(effGoalBC_Com,22)-INDEX(teffSumBC_Com,2,22))/(INDEX(doEff,3)-INDEX(doEff,2)))</f>
        <v>0</v>
      </c>
      <c r="AA143" s="43">
        <f ca="1">(INDEX(teffSumBC_Com,2,23)&lt;INDEX(effGoalBC_Com,23)) * MIN(INDEX(bcEff_Com,2,22)+INDEX(pushBC_Com,1),(INDEX(effGoalBC_Com,23)-INDEX(teffSumBC_Com,2,23))/(INDEX(doEff,3)-INDEX(doEff,2)))</f>
        <v>0</v>
      </c>
      <c r="AB143" s="43">
        <f ca="1">(INDEX(teffSumBC_Com,2,24)&lt;INDEX(effGoalBC_Com,24)) * MIN(INDEX(bcEff_Com,2,23)+INDEX(pushBC_Com,1),(INDEX(effGoalBC_Com,24)-INDEX(teffSumBC_Com,2,24))/(INDEX(doEff,3)-INDEX(doEff,2)))</f>
        <v>0</v>
      </c>
      <c r="AC143" s="43">
        <f ca="1">(INDEX(teffSumBC_Com,2,25)&lt;INDEX(effGoalBC_Com,25)) * MIN(INDEX(bcEff_Com,2,24)+INDEX(pushBC_Com,1),(INDEX(effGoalBC_Com,25)-INDEX(teffSumBC_Com,2,25))/(INDEX(doEff,3)-INDEX(doEff,2)))</f>
        <v>0</v>
      </c>
      <c r="AD143" s="43">
        <f ca="1">(INDEX(teffSumBC_Com,2,26)&lt;INDEX(effGoalBC_Com,26)) * MIN(INDEX(bcEff_Com,2,25)+INDEX(pushBC_Com,1),(INDEX(effGoalBC_Com,26)-INDEX(teffSumBC_Com,2,26))/(INDEX(doEff,3)-INDEX(doEff,2)))</f>
        <v>0</v>
      </c>
      <c r="AE143" s="43">
        <f ca="1">(INDEX(teffSumBC_Com,2,27)&lt;INDEX(effGoalBC_Com,27)) * MIN(INDEX(bcEff_Com,2,26)+INDEX(pushBC_Com,1),(INDEX(effGoalBC_Com,27)-INDEX(teffSumBC_Com,2,27))/(INDEX(doEff,3)-INDEX(doEff,2)))</f>
        <v>0</v>
      </c>
      <c r="AF143" s="43">
        <f ca="1">(INDEX(teffSumBC_Com,2,28)&lt;INDEX(effGoalBC_Com,28)) * MIN(INDEX(bcEff_Com,2,27)+INDEX(pushBC_Com,1),(INDEX(effGoalBC_Com,28)-INDEX(teffSumBC_Com,2,28))/(INDEX(doEff,3)-INDEX(doEff,2)))</f>
        <v>0</v>
      </c>
      <c r="AG143" s="43">
        <f ca="1">(INDEX(teffSumBC_Com,2,29)&lt;INDEX(effGoalBC_Com,29)) * MIN(INDEX(bcEff_Com,2,28)+INDEX(pushBC_Com,1),(INDEX(effGoalBC_Com,29)-INDEX(teffSumBC_Com,2,29))/(INDEX(doEff,3)-INDEX(doEff,2)))</f>
        <v>0</v>
      </c>
      <c r="AH143" s="43">
        <f ca="1">(INDEX(teffSumBC_Com,2,30)&lt;INDEX(effGoalBC_Com,30)) * MIN(INDEX(bcEff_Com,2,29)+INDEX(pushBC_Com,1),(INDEX(effGoalBC_Com,30)-INDEX(teffSumBC_Com,2,30))/(INDEX(doEff,3)-INDEX(doEff,2)))</f>
        <v>0</v>
      </c>
      <c r="AI143" s="43">
        <f ca="1">(INDEX(teffSumBC_Com,2,31)&lt;INDEX(effGoalBC_Com,31)) * MIN(INDEX(bcEff_Com,2,30)+INDEX(pushBC_Com,1),(INDEX(effGoalBC_Com,31)-INDEX(teffSumBC_Com,2,31))/(INDEX(doEff,3)-INDEX(doEff,2)))</f>
        <v>0</v>
      </c>
      <c r="AJ143" s="43">
        <f ca="1">(INDEX(teffSumBC_Com,2,32)&lt;INDEX(effGoalBC_Com,32)) * MIN(INDEX(bcEff_Com,2,31)+INDEX(pushBC_Com,1),(INDEX(effGoalBC_Com,32)-INDEX(teffSumBC_Com,2,32))/(INDEX(doEff,3)-INDEX(doEff,2)))</f>
        <v>0</v>
      </c>
      <c r="AK143" s="43">
        <f ca="1">(INDEX(teffSumBC_Com,2,33)&lt;INDEX(effGoalBC_Com,33)) * MIN(INDEX(bcEff_Com,2,32)+INDEX(pushBC_Com,1),(INDEX(effGoalBC_Com,33)-INDEX(teffSumBC_Com,2,33))/(INDEX(doEff,3)-INDEX(doEff,2)))</f>
        <v>0</v>
      </c>
      <c r="AL143" s="43">
        <f ca="1">(INDEX(teffSumBC_Com,2,34)&lt;INDEX(effGoalBC_Com,34)) * MIN(INDEX(bcEff_Com,2,33)+INDEX(pushBC_Com,1),(INDEX(effGoalBC_Com,34)-INDEX(teffSumBC_Com,2,34))/(INDEX(doEff,3)-INDEX(doEff,2)))</f>
        <v>0</v>
      </c>
      <c r="AM143" s="43">
        <f ca="1">(INDEX(teffSumBC_Com,2,35)&lt;INDEX(effGoalBC_Com,35)) * MIN(INDEX(bcEff_Com,2,34)+INDEX(pushBC_Com,1),(INDEX(effGoalBC_Com,35)-INDEX(teffSumBC_Com,2,35))/(INDEX(doEff,3)-INDEX(doEff,2)))</f>
        <v>0</v>
      </c>
      <c r="AN143" s="44">
        <f ca="1">(INDEX(teffSumBC_Com,2,36)&lt;INDEX(effGoalBC_Com,36)) * MIN(INDEX(bcEff_Com,2,35)+INDEX(pushBC_Com,1),(INDEX(effGoalBC_Com,36)-INDEX(teffSumBC_Com,2,36))/(INDEX(doEff,3)-INDEX(doEff,2)))</f>
        <v>0</v>
      </c>
      <c r="AO143" s="8"/>
    </row>
    <row r="144" spans="2:41" hidden="1" x14ac:dyDescent="0.35">
      <c r="B144" s="8"/>
      <c r="C144" s="19" t="str">
        <f>"EL 2: " &amp; INDEX(_doName,3,3)</f>
        <v>EL 2: Tier 2</v>
      </c>
      <c r="D144" s="11"/>
      <c r="E144" s="43"/>
      <c r="F144" s="43">
        <f ca="1">(INDEX(teffSumBC_Com,3,2)&lt;INDEX(effGoalBC_Com,2)) * MIN(INDEX(bcEff_Com,3,1)+INDEX(pushBC_Com,2),(INDEX(effGoalBC_Com,2)-INDEX(teffSumBC_Com,3,2))/(INDEX(doEff,4)-INDEX(doEff,3)))</f>
        <v>0</v>
      </c>
      <c r="G144" s="43">
        <f ca="1">(INDEX(teffSumBC_Com,3,3)&lt;INDEX(effGoalBC_Com,3)) * MIN(INDEX(bcEff_Com,3,2)+INDEX(pushBC_Com,2),(INDEX(effGoalBC_Com,3)-INDEX(teffSumBC_Com,3,3))/(INDEX(doEff,4)-INDEX(doEff,3)))</f>
        <v>0</v>
      </c>
      <c r="H144" s="43">
        <f ca="1">(INDEX(teffSumBC_Com,3,4)&lt;INDEX(effGoalBC_Com,4)) * MIN(INDEX(bcEff_Com,3,3)+INDEX(pushBC_Com,2),(INDEX(effGoalBC_Com,4)-INDEX(teffSumBC_Com,3,4))/(INDEX(doEff,4)-INDEX(doEff,3)))</f>
        <v>0</v>
      </c>
      <c r="I144" s="43">
        <f ca="1">(INDEX(teffSumBC_Com,3,5)&lt;INDEX(effGoalBC_Com,5)) * MIN(INDEX(bcEff_Com,3,4)+INDEX(pushBC_Com,2),(INDEX(effGoalBC_Com,5)-INDEX(teffSumBC_Com,3,5))/(INDEX(doEff,4)-INDEX(doEff,3)))</f>
        <v>0</v>
      </c>
      <c r="J144" s="43">
        <f ca="1">(INDEX(teffSumBC_Com,3,6)&lt;INDEX(effGoalBC_Com,6)) * MIN(INDEX(bcEff_Com,3,5)+INDEX(pushBC_Com,2),(INDEX(effGoalBC_Com,6)-INDEX(teffSumBC_Com,3,6))/(INDEX(doEff,4)-INDEX(doEff,3)))</f>
        <v>0</v>
      </c>
      <c r="K144" s="43">
        <f ca="1">(INDEX(teffSumBC_Com,3,7)&lt;INDEX(effGoalBC_Com,7)) * MIN(INDEX(bcEff_Com,3,6)+INDEX(pushBC_Com,2),(INDEX(effGoalBC_Com,7)-INDEX(teffSumBC_Com,3,7))/(INDEX(doEff,4)-INDEX(doEff,3)))</f>
        <v>0</v>
      </c>
      <c r="L144" s="43">
        <f ca="1">(INDEX(teffSumBC_Com,3,8)&lt;INDEX(effGoalBC_Com,8)) * MIN(INDEX(bcEff_Com,3,7)+INDEX(pushBC_Com,2),(INDEX(effGoalBC_Com,8)-INDEX(teffSumBC_Com,3,8))/(INDEX(doEff,4)-INDEX(doEff,3)))</f>
        <v>0</v>
      </c>
      <c r="M144" s="43">
        <f ca="1">(INDEX(teffSumBC_Com,3,9)&lt;INDEX(effGoalBC_Com,9)) * MIN(INDEX(bcEff_Com,3,8)+INDEX(pushBC_Com,2),(INDEX(effGoalBC_Com,9)-INDEX(teffSumBC_Com,3,9))/(INDEX(doEff,4)-INDEX(doEff,3)))</f>
        <v>0</v>
      </c>
      <c r="N144" s="43">
        <f ca="1">(INDEX(teffSumBC_Com,3,10)&lt;INDEX(effGoalBC_Com,10)) * MIN(INDEX(bcEff_Com,3,9)+INDEX(pushBC_Com,2),(INDEX(effGoalBC_Com,10)-INDEX(teffSumBC_Com,3,10))/(INDEX(doEff,4)-INDEX(doEff,3)))</f>
        <v>0</v>
      </c>
      <c r="O144" s="43">
        <f ca="1">(INDEX(teffSumBC_Com,3,11)&lt;INDEX(effGoalBC_Com,11)) * MIN(INDEX(bcEff_Com,3,10)+INDEX(pushBC_Com,2),(INDEX(effGoalBC_Com,11)-INDEX(teffSumBC_Com,3,11))/(INDEX(doEff,4)-INDEX(doEff,3)))</f>
        <v>0</v>
      </c>
      <c r="P144" s="43">
        <f ca="1">(INDEX(teffSumBC_Com,3,12)&lt;INDEX(effGoalBC_Com,12)) * MIN(INDEX(bcEff_Com,3,11)+INDEX(pushBC_Com,2),(INDEX(effGoalBC_Com,12)-INDEX(teffSumBC_Com,3,12))/(INDEX(doEff,4)-INDEX(doEff,3)))</f>
        <v>0</v>
      </c>
      <c r="Q144" s="43">
        <f ca="1">(INDEX(teffSumBC_Com,3,13)&lt;INDEX(effGoalBC_Com,13)) * MIN(INDEX(bcEff_Com,3,12)+INDEX(pushBC_Com,2),(INDEX(effGoalBC_Com,13)-INDEX(teffSumBC_Com,3,13))/(INDEX(doEff,4)-INDEX(doEff,3)))</f>
        <v>0</v>
      </c>
      <c r="R144" s="43">
        <f ca="1">(INDEX(teffSumBC_Com,3,14)&lt;INDEX(effGoalBC_Com,14)) * MIN(INDEX(bcEff_Com,3,13)+INDEX(pushBC_Com,2),(INDEX(effGoalBC_Com,14)-INDEX(teffSumBC_Com,3,14))/(INDEX(doEff,4)-INDEX(doEff,3)))</f>
        <v>0</v>
      </c>
      <c r="S144" s="43">
        <f ca="1">(INDEX(teffSumBC_Com,3,15)&lt;INDEX(effGoalBC_Com,15)) * MIN(INDEX(bcEff_Com,3,14)+INDEX(pushBC_Com,2),(INDEX(effGoalBC_Com,15)-INDEX(teffSumBC_Com,3,15))/(INDEX(doEff,4)-INDEX(doEff,3)))</f>
        <v>0</v>
      </c>
      <c r="T144" s="43">
        <f ca="1">(INDEX(teffSumBC_Com,3,16)&lt;INDEX(effGoalBC_Com,16)) * MIN(INDEX(bcEff_Com,3,15)+INDEX(pushBC_Com,2),(INDEX(effGoalBC_Com,16)-INDEX(teffSumBC_Com,3,16))/(INDEX(doEff,4)-INDEX(doEff,3)))</f>
        <v>0</v>
      </c>
      <c r="U144" s="43">
        <f ca="1">(INDEX(teffSumBC_Com,3,17)&lt;INDEX(effGoalBC_Com,17)) * MIN(INDEX(bcEff_Com,3,16)+INDEX(pushBC_Com,2),(INDEX(effGoalBC_Com,17)-INDEX(teffSumBC_Com,3,17))/(INDEX(doEff,4)-INDEX(doEff,3)))</f>
        <v>0</v>
      </c>
      <c r="V144" s="43">
        <f ca="1">(INDEX(teffSumBC_Com,3,18)&lt;INDEX(effGoalBC_Com,18)) * MIN(INDEX(bcEff_Com,3,17)+INDEX(pushBC_Com,2),(INDEX(effGoalBC_Com,18)-INDEX(teffSumBC_Com,3,18))/(INDEX(doEff,4)-INDEX(doEff,3)))</f>
        <v>0</v>
      </c>
      <c r="W144" s="43">
        <f ca="1">(INDEX(teffSumBC_Com,3,19)&lt;INDEX(effGoalBC_Com,19)) * MIN(INDEX(bcEff_Com,3,18)+INDEX(pushBC_Com,2),(INDEX(effGoalBC_Com,19)-INDEX(teffSumBC_Com,3,19))/(INDEX(doEff,4)-INDEX(doEff,3)))</f>
        <v>0</v>
      </c>
      <c r="X144" s="43">
        <f ca="1">(INDEX(teffSumBC_Com,3,20)&lt;INDEX(effGoalBC_Com,20)) * MIN(INDEX(bcEff_Com,3,19)+INDEX(pushBC_Com,2),(INDEX(effGoalBC_Com,20)-INDEX(teffSumBC_Com,3,20))/(INDEX(doEff,4)-INDEX(doEff,3)))</f>
        <v>0</v>
      </c>
      <c r="Y144" s="43">
        <f ca="1">(INDEX(teffSumBC_Com,3,21)&lt;INDEX(effGoalBC_Com,21)) * MIN(INDEX(bcEff_Com,3,20)+INDEX(pushBC_Com,2),(INDEX(effGoalBC_Com,21)-INDEX(teffSumBC_Com,3,21))/(INDEX(doEff,4)-INDEX(doEff,3)))</f>
        <v>0</v>
      </c>
      <c r="Z144" s="43">
        <f ca="1">(INDEX(teffSumBC_Com,3,22)&lt;INDEX(effGoalBC_Com,22)) * MIN(INDEX(bcEff_Com,3,21)+INDEX(pushBC_Com,2),(INDEX(effGoalBC_Com,22)-INDEX(teffSumBC_Com,3,22))/(INDEX(doEff,4)-INDEX(doEff,3)))</f>
        <v>0</v>
      </c>
      <c r="AA144" s="43">
        <f ca="1">(INDEX(teffSumBC_Com,3,23)&lt;INDEX(effGoalBC_Com,23)) * MIN(INDEX(bcEff_Com,3,22)+INDEX(pushBC_Com,2),(INDEX(effGoalBC_Com,23)-INDEX(teffSumBC_Com,3,23))/(INDEX(doEff,4)-INDEX(doEff,3)))</f>
        <v>0</v>
      </c>
      <c r="AB144" s="43">
        <f ca="1">(INDEX(teffSumBC_Com,3,24)&lt;INDEX(effGoalBC_Com,24)) * MIN(INDEX(bcEff_Com,3,23)+INDEX(pushBC_Com,2),(INDEX(effGoalBC_Com,24)-INDEX(teffSumBC_Com,3,24))/(INDEX(doEff,4)-INDEX(doEff,3)))</f>
        <v>0</v>
      </c>
      <c r="AC144" s="43">
        <f ca="1">(INDEX(teffSumBC_Com,3,25)&lt;INDEX(effGoalBC_Com,25)) * MIN(INDEX(bcEff_Com,3,24)+INDEX(pushBC_Com,2),(INDEX(effGoalBC_Com,25)-INDEX(teffSumBC_Com,3,25))/(INDEX(doEff,4)-INDEX(doEff,3)))</f>
        <v>0</v>
      </c>
      <c r="AD144" s="43">
        <f ca="1">(INDEX(teffSumBC_Com,3,26)&lt;INDEX(effGoalBC_Com,26)) * MIN(INDEX(bcEff_Com,3,25)+INDEX(pushBC_Com,2),(INDEX(effGoalBC_Com,26)-INDEX(teffSumBC_Com,3,26))/(INDEX(doEff,4)-INDEX(doEff,3)))</f>
        <v>0</v>
      </c>
      <c r="AE144" s="43">
        <f ca="1">(INDEX(teffSumBC_Com,3,27)&lt;INDEX(effGoalBC_Com,27)) * MIN(INDEX(bcEff_Com,3,26)+INDEX(pushBC_Com,2),(INDEX(effGoalBC_Com,27)-INDEX(teffSumBC_Com,3,27))/(INDEX(doEff,4)-INDEX(doEff,3)))</f>
        <v>0</v>
      </c>
      <c r="AF144" s="43">
        <f ca="1">(INDEX(teffSumBC_Com,3,28)&lt;INDEX(effGoalBC_Com,28)) * MIN(INDEX(bcEff_Com,3,27)+INDEX(pushBC_Com,2),(INDEX(effGoalBC_Com,28)-INDEX(teffSumBC_Com,3,28))/(INDEX(doEff,4)-INDEX(doEff,3)))</f>
        <v>0</v>
      </c>
      <c r="AG144" s="43">
        <f ca="1">(INDEX(teffSumBC_Com,3,29)&lt;INDEX(effGoalBC_Com,29)) * MIN(INDEX(bcEff_Com,3,28)+INDEX(pushBC_Com,2),(INDEX(effGoalBC_Com,29)-INDEX(teffSumBC_Com,3,29))/(INDEX(doEff,4)-INDEX(doEff,3)))</f>
        <v>0</v>
      </c>
      <c r="AH144" s="43">
        <f ca="1">(INDEX(teffSumBC_Com,3,30)&lt;INDEX(effGoalBC_Com,30)) * MIN(INDEX(bcEff_Com,3,29)+INDEX(pushBC_Com,2),(INDEX(effGoalBC_Com,30)-INDEX(teffSumBC_Com,3,30))/(INDEX(doEff,4)-INDEX(doEff,3)))</f>
        <v>0</v>
      </c>
      <c r="AI144" s="43">
        <f ca="1">(INDEX(teffSumBC_Com,3,31)&lt;INDEX(effGoalBC_Com,31)) * MIN(INDEX(bcEff_Com,3,30)+INDEX(pushBC_Com,2),(INDEX(effGoalBC_Com,31)-INDEX(teffSumBC_Com,3,31))/(INDEX(doEff,4)-INDEX(doEff,3)))</f>
        <v>0</v>
      </c>
      <c r="AJ144" s="43">
        <f ca="1">(INDEX(teffSumBC_Com,3,32)&lt;INDEX(effGoalBC_Com,32)) * MIN(INDEX(bcEff_Com,3,31)+INDEX(pushBC_Com,2),(INDEX(effGoalBC_Com,32)-INDEX(teffSumBC_Com,3,32))/(INDEX(doEff,4)-INDEX(doEff,3)))</f>
        <v>0</v>
      </c>
      <c r="AK144" s="43">
        <f ca="1">(INDEX(teffSumBC_Com,3,33)&lt;INDEX(effGoalBC_Com,33)) * MIN(INDEX(bcEff_Com,3,32)+INDEX(pushBC_Com,2),(INDEX(effGoalBC_Com,33)-INDEX(teffSumBC_Com,3,33))/(INDEX(doEff,4)-INDEX(doEff,3)))</f>
        <v>0</v>
      </c>
      <c r="AL144" s="43">
        <f ca="1">(INDEX(teffSumBC_Com,3,34)&lt;INDEX(effGoalBC_Com,34)) * MIN(INDEX(bcEff_Com,3,33)+INDEX(pushBC_Com,2),(INDEX(effGoalBC_Com,34)-INDEX(teffSumBC_Com,3,34))/(INDEX(doEff,4)-INDEX(doEff,3)))</f>
        <v>0</v>
      </c>
      <c r="AM144" s="43">
        <f ca="1">(INDEX(teffSumBC_Com,3,35)&lt;INDEX(effGoalBC_Com,35)) * MIN(INDEX(bcEff_Com,3,34)+INDEX(pushBC_Com,2),(INDEX(effGoalBC_Com,35)-INDEX(teffSumBC_Com,3,35))/(INDEX(doEff,4)-INDEX(doEff,3)))</f>
        <v>0</v>
      </c>
      <c r="AN144" s="44">
        <f ca="1">(INDEX(teffSumBC_Com,3,36)&lt;INDEX(effGoalBC_Com,36)) * MIN(INDEX(bcEff_Com,3,35)+INDEX(pushBC_Com,2),(INDEX(effGoalBC_Com,36)-INDEX(teffSumBC_Com,3,36))/(INDEX(doEff,4)-INDEX(doEff,3)))</f>
        <v>0</v>
      </c>
      <c r="AO144" s="8"/>
    </row>
    <row r="145" spans="2:41" hidden="1" x14ac:dyDescent="0.35">
      <c r="B145" s="8"/>
      <c r="C145" s="19" t="str">
        <f>"EL 3: " &amp; INDEX(_doName,3,4)</f>
        <v>EL 3: EL 3</v>
      </c>
      <c r="D145" s="11"/>
      <c r="E145" s="43"/>
      <c r="F145" s="43">
        <f ca="1">(INDEX(teffSumBC_Com,4,2)&lt;INDEX(effGoalBC_Com,2)) * MIN(INDEX(bcEff_Com,4,1)+INDEX(pushBC_Com,3),(INDEX(effGoalBC_Com,2)-INDEX(teffSumBC_Com,4,2))/(INDEX(doEff,5)-INDEX(doEff,4)))</f>
        <v>0</v>
      </c>
      <c r="G145" s="43">
        <f ca="1">(INDEX(teffSumBC_Com,4,3)&lt;INDEX(effGoalBC_Com,3)) * MIN(INDEX(bcEff_Com,4,2)+INDEX(pushBC_Com,3),(INDEX(effGoalBC_Com,3)-INDEX(teffSumBC_Com,4,3))/(INDEX(doEff,5)-INDEX(doEff,4)))</f>
        <v>0</v>
      </c>
      <c r="H145" s="43">
        <f ca="1">(INDEX(teffSumBC_Com,4,4)&lt;INDEX(effGoalBC_Com,4)) * MIN(INDEX(bcEff_Com,4,3)+INDEX(pushBC_Com,3),(INDEX(effGoalBC_Com,4)-INDEX(teffSumBC_Com,4,4))/(INDEX(doEff,5)-INDEX(doEff,4)))</f>
        <v>0</v>
      </c>
      <c r="I145" s="43">
        <f ca="1">(INDEX(teffSumBC_Com,4,5)&lt;INDEX(effGoalBC_Com,5)) * MIN(INDEX(bcEff_Com,4,4)+INDEX(pushBC_Com,3),(INDEX(effGoalBC_Com,5)-INDEX(teffSumBC_Com,4,5))/(INDEX(doEff,5)-INDEX(doEff,4)))</f>
        <v>0</v>
      </c>
      <c r="J145" s="43">
        <f ca="1">(INDEX(teffSumBC_Com,4,6)&lt;INDEX(effGoalBC_Com,6)) * MIN(INDEX(bcEff_Com,4,5)+INDEX(pushBC_Com,3),(INDEX(effGoalBC_Com,6)-INDEX(teffSumBC_Com,4,6))/(INDEX(doEff,5)-INDEX(doEff,4)))</f>
        <v>0</v>
      </c>
      <c r="K145" s="43">
        <f ca="1">(INDEX(teffSumBC_Com,4,7)&lt;INDEX(effGoalBC_Com,7)) * MIN(INDEX(bcEff_Com,4,6)+INDEX(pushBC_Com,3),(INDEX(effGoalBC_Com,7)-INDEX(teffSumBC_Com,4,7))/(INDEX(doEff,5)-INDEX(doEff,4)))</f>
        <v>0</v>
      </c>
      <c r="L145" s="43">
        <f ca="1">(INDEX(teffSumBC_Com,4,8)&lt;INDEX(effGoalBC_Com,8)) * MIN(INDEX(bcEff_Com,4,7)+INDEX(pushBC_Com,3),(INDEX(effGoalBC_Com,8)-INDEX(teffSumBC_Com,4,8))/(INDEX(doEff,5)-INDEX(doEff,4)))</f>
        <v>0</v>
      </c>
      <c r="M145" s="43">
        <f ca="1">(INDEX(teffSumBC_Com,4,9)&lt;INDEX(effGoalBC_Com,9)) * MIN(INDEX(bcEff_Com,4,8)+INDEX(pushBC_Com,3),(INDEX(effGoalBC_Com,9)-INDEX(teffSumBC_Com,4,9))/(INDEX(doEff,5)-INDEX(doEff,4)))</f>
        <v>0</v>
      </c>
      <c r="N145" s="43">
        <f ca="1">(INDEX(teffSumBC_Com,4,10)&lt;INDEX(effGoalBC_Com,10)) * MIN(INDEX(bcEff_Com,4,9)+INDEX(pushBC_Com,3),(INDEX(effGoalBC_Com,10)-INDEX(teffSumBC_Com,4,10))/(INDEX(doEff,5)-INDEX(doEff,4)))</f>
        <v>0</v>
      </c>
      <c r="O145" s="43">
        <f ca="1">(INDEX(teffSumBC_Com,4,11)&lt;INDEX(effGoalBC_Com,11)) * MIN(INDEX(bcEff_Com,4,10)+INDEX(pushBC_Com,3),(INDEX(effGoalBC_Com,11)-INDEX(teffSumBC_Com,4,11))/(INDEX(doEff,5)-INDEX(doEff,4)))</f>
        <v>0</v>
      </c>
      <c r="P145" s="43">
        <f ca="1">(INDEX(teffSumBC_Com,4,12)&lt;INDEX(effGoalBC_Com,12)) * MIN(INDEX(bcEff_Com,4,11)+INDEX(pushBC_Com,3),(INDEX(effGoalBC_Com,12)-INDEX(teffSumBC_Com,4,12))/(INDEX(doEff,5)-INDEX(doEff,4)))</f>
        <v>0</v>
      </c>
      <c r="Q145" s="43">
        <f ca="1">(INDEX(teffSumBC_Com,4,13)&lt;INDEX(effGoalBC_Com,13)) * MIN(INDEX(bcEff_Com,4,12)+INDEX(pushBC_Com,3),(INDEX(effGoalBC_Com,13)-INDEX(teffSumBC_Com,4,13))/(INDEX(doEff,5)-INDEX(doEff,4)))</f>
        <v>0</v>
      </c>
      <c r="R145" s="43">
        <f ca="1">(INDEX(teffSumBC_Com,4,14)&lt;INDEX(effGoalBC_Com,14)) * MIN(INDEX(bcEff_Com,4,13)+INDEX(pushBC_Com,3),(INDEX(effGoalBC_Com,14)-INDEX(teffSumBC_Com,4,14))/(INDEX(doEff,5)-INDEX(doEff,4)))</f>
        <v>0</v>
      </c>
      <c r="S145" s="43">
        <f ca="1">(INDEX(teffSumBC_Com,4,15)&lt;INDEX(effGoalBC_Com,15)) * MIN(INDEX(bcEff_Com,4,14)+INDEX(pushBC_Com,3),(INDEX(effGoalBC_Com,15)-INDEX(teffSumBC_Com,4,15))/(INDEX(doEff,5)-INDEX(doEff,4)))</f>
        <v>0</v>
      </c>
      <c r="T145" s="43">
        <f ca="1">(INDEX(teffSumBC_Com,4,16)&lt;INDEX(effGoalBC_Com,16)) * MIN(INDEX(bcEff_Com,4,15)+INDEX(pushBC_Com,3),(INDEX(effGoalBC_Com,16)-INDEX(teffSumBC_Com,4,16))/(INDEX(doEff,5)-INDEX(doEff,4)))</f>
        <v>0</v>
      </c>
      <c r="U145" s="43">
        <f ca="1">(INDEX(teffSumBC_Com,4,17)&lt;INDEX(effGoalBC_Com,17)) * MIN(INDEX(bcEff_Com,4,16)+INDEX(pushBC_Com,3),(INDEX(effGoalBC_Com,17)-INDEX(teffSumBC_Com,4,17))/(INDEX(doEff,5)-INDEX(doEff,4)))</f>
        <v>0</v>
      </c>
      <c r="V145" s="43">
        <f ca="1">(INDEX(teffSumBC_Com,4,18)&lt;INDEX(effGoalBC_Com,18)) * MIN(INDEX(bcEff_Com,4,17)+INDEX(pushBC_Com,3),(INDEX(effGoalBC_Com,18)-INDEX(teffSumBC_Com,4,18))/(INDEX(doEff,5)-INDEX(doEff,4)))</f>
        <v>0</v>
      </c>
      <c r="W145" s="43">
        <f ca="1">(INDEX(teffSumBC_Com,4,19)&lt;INDEX(effGoalBC_Com,19)) * MIN(INDEX(bcEff_Com,4,18)+INDEX(pushBC_Com,3),(INDEX(effGoalBC_Com,19)-INDEX(teffSumBC_Com,4,19))/(INDEX(doEff,5)-INDEX(doEff,4)))</f>
        <v>0</v>
      </c>
      <c r="X145" s="43">
        <f ca="1">(INDEX(teffSumBC_Com,4,20)&lt;INDEX(effGoalBC_Com,20)) * MIN(INDEX(bcEff_Com,4,19)+INDEX(pushBC_Com,3),(INDEX(effGoalBC_Com,20)-INDEX(teffSumBC_Com,4,20))/(INDEX(doEff,5)-INDEX(doEff,4)))</f>
        <v>0</v>
      </c>
      <c r="Y145" s="43">
        <f ca="1">(INDEX(teffSumBC_Com,4,21)&lt;INDEX(effGoalBC_Com,21)) * MIN(INDEX(bcEff_Com,4,20)+INDEX(pushBC_Com,3),(INDEX(effGoalBC_Com,21)-INDEX(teffSumBC_Com,4,21))/(INDEX(doEff,5)-INDEX(doEff,4)))</f>
        <v>0</v>
      </c>
      <c r="Z145" s="43">
        <f ca="1">(INDEX(teffSumBC_Com,4,22)&lt;INDEX(effGoalBC_Com,22)) * MIN(INDEX(bcEff_Com,4,21)+INDEX(pushBC_Com,3),(INDEX(effGoalBC_Com,22)-INDEX(teffSumBC_Com,4,22))/(INDEX(doEff,5)-INDEX(doEff,4)))</f>
        <v>0</v>
      </c>
      <c r="AA145" s="43">
        <f ca="1">(INDEX(teffSumBC_Com,4,23)&lt;INDEX(effGoalBC_Com,23)) * MIN(INDEX(bcEff_Com,4,22)+INDEX(pushBC_Com,3),(INDEX(effGoalBC_Com,23)-INDEX(teffSumBC_Com,4,23))/(INDEX(doEff,5)-INDEX(doEff,4)))</f>
        <v>0</v>
      </c>
      <c r="AB145" s="43">
        <f ca="1">(INDEX(teffSumBC_Com,4,24)&lt;INDEX(effGoalBC_Com,24)) * MIN(INDEX(bcEff_Com,4,23)+INDEX(pushBC_Com,3),(INDEX(effGoalBC_Com,24)-INDEX(teffSumBC_Com,4,24))/(INDEX(doEff,5)-INDEX(doEff,4)))</f>
        <v>0</v>
      </c>
      <c r="AC145" s="43">
        <f ca="1">(INDEX(teffSumBC_Com,4,25)&lt;INDEX(effGoalBC_Com,25)) * MIN(INDEX(bcEff_Com,4,24)+INDEX(pushBC_Com,3),(INDEX(effGoalBC_Com,25)-INDEX(teffSumBC_Com,4,25))/(INDEX(doEff,5)-INDEX(doEff,4)))</f>
        <v>0</v>
      </c>
      <c r="AD145" s="43">
        <f ca="1">(INDEX(teffSumBC_Com,4,26)&lt;INDEX(effGoalBC_Com,26)) * MIN(INDEX(bcEff_Com,4,25)+INDEX(pushBC_Com,3),(INDEX(effGoalBC_Com,26)-INDEX(teffSumBC_Com,4,26))/(INDEX(doEff,5)-INDEX(doEff,4)))</f>
        <v>0</v>
      </c>
      <c r="AE145" s="43">
        <f ca="1">(INDEX(teffSumBC_Com,4,27)&lt;INDEX(effGoalBC_Com,27)) * MIN(INDEX(bcEff_Com,4,26)+INDEX(pushBC_Com,3),(INDEX(effGoalBC_Com,27)-INDEX(teffSumBC_Com,4,27))/(INDEX(doEff,5)-INDEX(doEff,4)))</f>
        <v>0</v>
      </c>
      <c r="AF145" s="43">
        <f ca="1">(INDEX(teffSumBC_Com,4,28)&lt;INDEX(effGoalBC_Com,28)) * MIN(INDEX(bcEff_Com,4,27)+INDEX(pushBC_Com,3),(INDEX(effGoalBC_Com,28)-INDEX(teffSumBC_Com,4,28))/(INDEX(doEff,5)-INDEX(doEff,4)))</f>
        <v>0</v>
      </c>
      <c r="AG145" s="43">
        <f ca="1">(INDEX(teffSumBC_Com,4,29)&lt;INDEX(effGoalBC_Com,29)) * MIN(INDEX(bcEff_Com,4,28)+INDEX(pushBC_Com,3),(INDEX(effGoalBC_Com,29)-INDEX(teffSumBC_Com,4,29))/(INDEX(doEff,5)-INDEX(doEff,4)))</f>
        <v>0</v>
      </c>
      <c r="AH145" s="43">
        <f ca="1">(INDEX(teffSumBC_Com,4,30)&lt;INDEX(effGoalBC_Com,30)) * MIN(INDEX(bcEff_Com,4,29)+INDEX(pushBC_Com,3),(INDEX(effGoalBC_Com,30)-INDEX(teffSumBC_Com,4,30))/(INDEX(doEff,5)-INDEX(doEff,4)))</f>
        <v>0</v>
      </c>
      <c r="AI145" s="43">
        <f ca="1">(INDEX(teffSumBC_Com,4,31)&lt;INDEX(effGoalBC_Com,31)) * MIN(INDEX(bcEff_Com,4,30)+INDEX(pushBC_Com,3),(INDEX(effGoalBC_Com,31)-INDEX(teffSumBC_Com,4,31))/(INDEX(doEff,5)-INDEX(doEff,4)))</f>
        <v>0</v>
      </c>
      <c r="AJ145" s="43">
        <f ca="1">(INDEX(teffSumBC_Com,4,32)&lt;INDEX(effGoalBC_Com,32)) * MIN(INDEX(bcEff_Com,4,31)+INDEX(pushBC_Com,3),(INDEX(effGoalBC_Com,32)-INDEX(teffSumBC_Com,4,32))/(INDEX(doEff,5)-INDEX(doEff,4)))</f>
        <v>0</v>
      </c>
      <c r="AK145" s="43">
        <f ca="1">(INDEX(teffSumBC_Com,4,33)&lt;INDEX(effGoalBC_Com,33)) * MIN(INDEX(bcEff_Com,4,32)+INDEX(pushBC_Com,3),(INDEX(effGoalBC_Com,33)-INDEX(teffSumBC_Com,4,33))/(INDEX(doEff,5)-INDEX(doEff,4)))</f>
        <v>0</v>
      </c>
      <c r="AL145" s="43">
        <f ca="1">(INDEX(teffSumBC_Com,4,34)&lt;INDEX(effGoalBC_Com,34)) * MIN(INDEX(bcEff_Com,4,33)+INDEX(pushBC_Com,3),(INDEX(effGoalBC_Com,34)-INDEX(teffSumBC_Com,4,34))/(INDEX(doEff,5)-INDEX(doEff,4)))</f>
        <v>0</v>
      </c>
      <c r="AM145" s="43">
        <f ca="1">(INDEX(teffSumBC_Com,4,35)&lt;INDEX(effGoalBC_Com,35)) * MIN(INDEX(bcEff_Com,4,34)+INDEX(pushBC_Com,3),(INDEX(effGoalBC_Com,35)-INDEX(teffSumBC_Com,4,35))/(INDEX(doEff,5)-INDEX(doEff,4)))</f>
        <v>0</v>
      </c>
      <c r="AN145" s="44">
        <f ca="1">(INDEX(teffSumBC_Com,4,36)&lt;INDEX(effGoalBC_Com,36)) * MIN(INDEX(bcEff_Com,4,35)+INDEX(pushBC_Com,3),(INDEX(effGoalBC_Com,36)-INDEX(teffSumBC_Com,4,36))/(INDEX(doEff,5)-INDEX(doEff,4)))</f>
        <v>0</v>
      </c>
      <c r="AO145" s="8"/>
    </row>
    <row r="146" spans="2:41" hidden="1" x14ac:dyDescent="0.35">
      <c r="B146" s="8"/>
      <c r="C146" s="35" t="str">
        <f>"EL 4: " &amp; INDEX(_doName,3,5)</f>
        <v>EL 4: EL 4</v>
      </c>
      <c r="D146" s="15"/>
      <c r="E146" s="45"/>
      <c r="F146" s="45">
        <f>0</f>
        <v>0</v>
      </c>
      <c r="G146" s="45">
        <f>0</f>
        <v>0</v>
      </c>
      <c r="H146" s="45">
        <f>0</f>
        <v>0</v>
      </c>
      <c r="I146" s="45">
        <f>0</f>
        <v>0</v>
      </c>
      <c r="J146" s="45">
        <f>0</f>
        <v>0</v>
      </c>
      <c r="K146" s="45">
        <f>0</f>
        <v>0</v>
      </c>
      <c r="L146" s="45">
        <f>0</f>
        <v>0</v>
      </c>
      <c r="M146" s="45">
        <f>0</f>
        <v>0</v>
      </c>
      <c r="N146" s="45">
        <f>0</f>
        <v>0</v>
      </c>
      <c r="O146" s="45">
        <f>0</f>
        <v>0</v>
      </c>
      <c r="P146" s="45">
        <f>0</f>
        <v>0</v>
      </c>
      <c r="Q146" s="45">
        <f>0</f>
        <v>0</v>
      </c>
      <c r="R146" s="45">
        <f>0</f>
        <v>0</v>
      </c>
      <c r="S146" s="45">
        <f>0</f>
        <v>0</v>
      </c>
      <c r="T146" s="45">
        <f>0</f>
        <v>0</v>
      </c>
      <c r="U146" s="45">
        <f>0</f>
        <v>0</v>
      </c>
      <c r="V146" s="45">
        <f>0</f>
        <v>0</v>
      </c>
      <c r="W146" s="45">
        <f>0</f>
        <v>0</v>
      </c>
      <c r="X146" s="45">
        <f>0</f>
        <v>0</v>
      </c>
      <c r="Y146" s="45">
        <f>0</f>
        <v>0</v>
      </c>
      <c r="Z146" s="45">
        <f>0</f>
        <v>0</v>
      </c>
      <c r="AA146" s="45">
        <f>0</f>
        <v>0</v>
      </c>
      <c r="AB146" s="45">
        <f>0</f>
        <v>0</v>
      </c>
      <c r="AC146" s="45">
        <f>0</f>
        <v>0</v>
      </c>
      <c r="AD146" s="45">
        <f>0</f>
        <v>0</v>
      </c>
      <c r="AE146" s="45">
        <f>0</f>
        <v>0</v>
      </c>
      <c r="AF146" s="45">
        <f>0</f>
        <v>0</v>
      </c>
      <c r="AG146" s="45">
        <f>0</f>
        <v>0</v>
      </c>
      <c r="AH146" s="45">
        <f>0</f>
        <v>0</v>
      </c>
      <c r="AI146" s="45">
        <f>0</f>
        <v>0</v>
      </c>
      <c r="AJ146" s="45">
        <f>0</f>
        <v>0</v>
      </c>
      <c r="AK146" s="45">
        <f>0</f>
        <v>0</v>
      </c>
      <c r="AL146" s="45">
        <f>0</f>
        <v>0</v>
      </c>
      <c r="AM146" s="45">
        <f>0</f>
        <v>0</v>
      </c>
      <c r="AN146" s="46">
        <f>0</f>
        <v>0</v>
      </c>
      <c r="AO146" s="8"/>
    </row>
    <row r="147" spans="2:41" hidden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</row>
    <row r="148" spans="2:41" hidden="1" x14ac:dyDescent="0.35">
      <c r="B148" s="8"/>
      <c r="C148" s="23" t="s">
        <v>87</v>
      </c>
      <c r="D148" s="24"/>
      <c r="E148" s="26">
        <f t="array" ref="E148:AN148">_yS</f>
        <v>2024</v>
      </c>
      <c r="F148" s="26">
        <v>2025</v>
      </c>
      <c r="G148" s="26">
        <v>2026</v>
      </c>
      <c r="H148" s="26">
        <v>2027</v>
      </c>
      <c r="I148" s="26">
        <v>2028</v>
      </c>
      <c r="J148" s="26">
        <v>2029</v>
      </c>
      <c r="K148" s="26">
        <v>2030</v>
      </c>
      <c r="L148" s="26">
        <v>2031</v>
      </c>
      <c r="M148" s="26">
        <v>2032</v>
      </c>
      <c r="N148" s="26">
        <v>2033</v>
      </c>
      <c r="O148" s="26">
        <v>2034</v>
      </c>
      <c r="P148" s="26">
        <v>2035</v>
      </c>
      <c r="Q148" s="26">
        <v>2036</v>
      </c>
      <c r="R148" s="26">
        <v>2037</v>
      </c>
      <c r="S148" s="26">
        <v>2038</v>
      </c>
      <c r="T148" s="26">
        <v>2039</v>
      </c>
      <c r="U148" s="26">
        <v>2040</v>
      </c>
      <c r="V148" s="26">
        <v>2041</v>
      </c>
      <c r="W148" s="26">
        <v>2042</v>
      </c>
      <c r="X148" s="26">
        <v>2043</v>
      </c>
      <c r="Y148" s="26">
        <v>2044</v>
      </c>
      <c r="Z148" s="26">
        <v>2045</v>
      </c>
      <c r="AA148" s="26">
        <v>2046</v>
      </c>
      <c r="AB148" s="26">
        <v>2047</v>
      </c>
      <c r="AC148" s="26">
        <v>2048</v>
      </c>
      <c r="AD148" s="26">
        <v>2049</v>
      </c>
      <c r="AE148" s="26">
        <v>2050</v>
      </c>
      <c r="AF148" s="26">
        <v>2051</v>
      </c>
      <c r="AG148" s="26">
        <v>2052</v>
      </c>
      <c r="AH148" s="26">
        <v>2053</v>
      </c>
      <c r="AI148" s="26">
        <v>2054</v>
      </c>
      <c r="AJ148" s="26">
        <v>2055</v>
      </c>
      <c r="AK148" s="26">
        <v>2056</v>
      </c>
      <c r="AL148" s="26">
        <v>2057</v>
      </c>
      <c r="AM148" s="26">
        <v>2058</v>
      </c>
      <c r="AN148" s="27">
        <v>2059</v>
      </c>
      <c r="AO148" s="8"/>
    </row>
    <row r="149" spans="2:41" hidden="1" x14ac:dyDescent="0.35">
      <c r="B149" s="8"/>
      <c r="C149" s="19" t="str">
        <f>"EL 0: " &amp; INDEX(_doName,3,1)</f>
        <v>EL 0: Baseline</v>
      </c>
      <c r="D149" s="11"/>
      <c r="E149" s="33"/>
      <c r="F149" s="33">
        <f>0 + INDEX(doEff,1)*(INDEX(eff0BC_Com,1)+0) + SUMPRODUCT(doEff,INDEX(bcEff_Com,,1),N(_el&gt;0))</f>
        <v>2.5119112627986349</v>
      </c>
      <c r="G149" s="33">
        <f ca="1">0 + INDEX(doEff,1)*(INDEX(eff0BC_Com,1)+0) + SUMPRODUCT(doEff,INDEX(bcEff_Com,,2),N(_el&gt;0))</f>
        <v>2.5119112627986349</v>
      </c>
      <c r="H149" s="33">
        <f ca="1">0 + INDEX(doEff,1)*(INDEX(eff0BC_Com,1)+0) + SUMPRODUCT(doEff,INDEX(bcEff_Com,,3),N(_el&gt;0))</f>
        <v>2.5119112627986349</v>
      </c>
      <c r="I149" s="33">
        <f ca="1">0 + INDEX(doEff,1)*(INDEX(eff0BC_Com,1)+0) + SUMPRODUCT(doEff,INDEX(bcEff_Com,,4),N(_el&gt;0))</f>
        <v>2.5119112627986349</v>
      </c>
      <c r="J149" s="33">
        <f ca="1">0 + INDEX(doEff,1)*(INDEX(eff0BC_Com,1)+0) + SUMPRODUCT(doEff,INDEX(bcEff_Com,,5),N(_el&gt;0))</f>
        <v>2.5119112627986349</v>
      </c>
      <c r="K149" s="33">
        <f ca="1">0 + INDEX(doEff,1)*(INDEX(eff0BC_Com,1)+0) + SUMPRODUCT(doEff,INDEX(bcEff_Com,,6),N(_el&gt;0))</f>
        <v>2.5119112627986349</v>
      </c>
      <c r="L149" s="33">
        <f ca="1">0 + INDEX(doEff,1)*(INDEX(eff0BC_Com,1)+0) + SUMPRODUCT(doEff,INDEX(bcEff_Com,,7),N(_el&gt;0))</f>
        <v>2.5119112627986349</v>
      </c>
      <c r="M149" s="33">
        <f ca="1">0 + INDEX(doEff,1)*(INDEX(eff0BC_Com,1)+0) + SUMPRODUCT(doEff,INDEX(bcEff_Com,,8),N(_el&gt;0))</f>
        <v>2.5119112627986349</v>
      </c>
      <c r="N149" s="33">
        <f ca="1">0 + INDEX(doEff,1)*(INDEX(eff0BC_Com,1)+0) + SUMPRODUCT(doEff,INDEX(bcEff_Com,,9),N(_el&gt;0))</f>
        <v>2.5119112627986349</v>
      </c>
      <c r="O149" s="33">
        <f ca="1">0 + INDEX(doEff,1)*(INDEX(eff0BC_Com,1)+0) + SUMPRODUCT(doEff,INDEX(bcEff_Com,,10),N(_el&gt;0))</f>
        <v>2.5119112627986349</v>
      </c>
      <c r="P149" s="33">
        <f ca="1">0 + INDEX(doEff,1)*(INDEX(eff0BC_Com,1)+0) + SUMPRODUCT(doEff,INDEX(bcEff_Com,,11),N(_el&gt;0))</f>
        <v>2.5119112627986349</v>
      </c>
      <c r="Q149" s="33">
        <f ca="1">0 + INDEX(doEff,1)*(INDEX(eff0BC_Com,1)+0) + SUMPRODUCT(doEff,INDEX(bcEff_Com,,12),N(_el&gt;0))</f>
        <v>2.5119112627986349</v>
      </c>
      <c r="R149" s="33">
        <f ca="1">0 + INDEX(doEff,1)*(INDEX(eff0BC_Com,1)+0) + SUMPRODUCT(doEff,INDEX(bcEff_Com,,13),N(_el&gt;0))</f>
        <v>2.5119112627986349</v>
      </c>
      <c r="S149" s="33">
        <f ca="1">0 + INDEX(doEff,1)*(INDEX(eff0BC_Com,1)+0) + SUMPRODUCT(doEff,INDEX(bcEff_Com,,14),N(_el&gt;0))</f>
        <v>2.5119112627986349</v>
      </c>
      <c r="T149" s="33">
        <f ca="1">0 + INDEX(doEff,1)*(INDEX(eff0BC_Com,1)+0) + SUMPRODUCT(doEff,INDEX(bcEff_Com,,15),N(_el&gt;0))</f>
        <v>2.5119112627986349</v>
      </c>
      <c r="U149" s="33">
        <f ca="1">0 + INDEX(doEff,1)*(INDEX(eff0BC_Com,1)+0) + SUMPRODUCT(doEff,INDEX(bcEff_Com,,16),N(_el&gt;0))</f>
        <v>2.5119112627986349</v>
      </c>
      <c r="V149" s="33">
        <f ca="1">0 + INDEX(doEff,1)*(INDEX(eff0BC_Com,1)+0) + SUMPRODUCT(doEff,INDEX(bcEff_Com,,17),N(_el&gt;0))</f>
        <v>2.5119112627986349</v>
      </c>
      <c r="W149" s="33">
        <f ca="1">0 + INDEX(doEff,1)*(INDEX(eff0BC_Com,1)+0) + SUMPRODUCT(doEff,INDEX(bcEff_Com,,18),N(_el&gt;0))</f>
        <v>2.5119112627986349</v>
      </c>
      <c r="X149" s="33">
        <f ca="1">0 + INDEX(doEff,1)*(INDEX(eff0BC_Com,1)+0) + SUMPRODUCT(doEff,INDEX(bcEff_Com,,19),N(_el&gt;0))</f>
        <v>2.5119112627986349</v>
      </c>
      <c r="Y149" s="33">
        <f ca="1">0 + INDEX(doEff,1)*(INDEX(eff0BC_Com,1)+0) + SUMPRODUCT(doEff,INDEX(bcEff_Com,,20),N(_el&gt;0))</f>
        <v>2.5119112627986349</v>
      </c>
      <c r="Z149" s="33">
        <f ca="1">0 + INDEX(doEff,1)*(INDEX(eff0BC_Com,1)+0) + SUMPRODUCT(doEff,INDEX(bcEff_Com,,21),N(_el&gt;0))</f>
        <v>2.5119112627986349</v>
      </c>
      <c r="AA149" s="33">
        <f ca="1">0 + INDEX(doEff,1)*(INDEX(eff0BC_Com,1)+0) + SUMPRODUCT(doEff,INDEX(bcEff_Com,,22),N(_el&gt;0))</f>
        <v>2.5119112627986349</v>
      </c>
      <c r="AB149" s="33">
        <f ca="1">0 + INDEX(doEff,1)*(INDEX(eff0BC_Com,1)+0) + SUMPRODUCT(doEff,INDEX(bcEff_Com,,23),N(_el&gt;0))</f>
        <v>2.5119112627986349</v>
      </c>
      <c r="AC149" s="33">
        <f ca="1">0 + INDEX(doEff,1)*(INDEX(eff0BC_Com,1)+0) + SUMPRODUCT(doEff,INDEX(bcEff_Com,,24),N(_el&gt;0))</f>
        <v>2.5119112627986349</v>
      </c>
      <c r="AD149" s="33">
        <f ca="1">0 + INDEX(doEff,1)*(INDEX(eff0BC_Com,1)+0) + SUMPRODUCT(doEff,INDEX(bcEff_Com,,25),N(_el&gt;0))</f>
        <v>2.5119112627986349</v>
      </c>
      <c r="AE149" s="33">
        <f ca="1">0 + INDEX(doEff,1)*(INDEX(eff0BC_Com,1)+0) + SUMPRODUCT(doEff,INDEX(bcEff_Com,,26),N(_el&gt;0))</f>
        <v>2.5119112627986349</v>
      </c>
      <c r="AF149" s="33">
        <f ca="1">0 + INDEX(doEff,1)*(INDEX(eff0BC_Com,1)+0) + SUMPRODUCT(doEff,INDEX(bcEff_Com,,27),N(_el&gt;0))</f>
        <v>2.5119112627986349</v>
      </c>
      <c r="AG149" s="33">
        <f ca="1">0 + INDEX(doEff,1)*(INDEX(eff0BC_Com,1)+0) + SUMPRODUCT(doEff,INDEX(bcEff_Com,,28),N(_el&gt;0))</f>
        <v>2.5119112627986349</v>
      </c>
      <c r="AH149" s="33">
        <f ca="1">0 + INDEX(doEff,1)*(INDEX(eff0BC_Com,1)+0) + SUMPRODUCT(doEff,INDEX(bcEff_Com,,29),N(_el&gt;0))</f>
        <v>2.5119112627986349</v>
      </c>
      <c r="AI149" s="33">
        <f ca="1">0 + INDEX(doEff,1)*(INDEX(eff0BC_Com,1)+0) + SUMPRODUCT(doEff,INDEX(bcEff_Com,,30),N(_el&gt;0))</f>
        <v>2.5119112627986349</v>
      </c>
      <c r="AJ149" s="33">
        <f ca="1">0 + INDEX(doEff,1)*(INDEX(eff0BC_Com,1)+0) + SUMPRODUCT(doEff,INDEX(bcEff_Com,,31),N(_el&gt;0))</f>
        <v>2.5119112627986349</v>
      </c>
      <c r="AK149" s="33">
        <f ca="1">0 + INDEX(doEff,1)*(INDEX(eff0BC_Com,1)+0) + SUMPRODUCT(doEff,INDEX(bcEff_Com,,32),N(_el&gt;0))</f>
        <v>2.5119112627986349</v>
      </c>
      <c r="AL149" s="33">
        <f ca="1">0 + INDEX(doEff,1)*(INDEX(eff0BC_Com,1)+0) + SUMPRODUCT(doEff,INDEX(bcEff_Com,,33),N(_el&gt;0))</f>
        <v>2.5119112627986349</v>
      </c>
      <c r="AM149" s="33">
        <f ca="1">0 + INDEX(doEff,1)*(INDEX(eff0BC_Com,1)+0) + SUMPRODUCT(doEff,INDEX(bcEff_Com,,34),N(_el&gt;0))</f>
        <v>2.5119112627986349</v>
      </c>
      <c r="AN149" s="34">
        <f ca="1">0 + INDEX(doEff,1)*(INDEX(eff0BC_Com,1)+0) + SUMPRODUCT(doEff,INDEX(bcEff_Com,,35),N(_el&gt;0))</f>
        <v>2.5119112627986349</v>
      </c>
      <c r="AO149" s="8"/>
    </row>
    <row r="150" spans="2:41" hidden="1" x14ac:dyDescent="0.35">
      <c r="B150" s="8"/>
      <c r="C150" s="19" t="str">
        <f>"EL 1: " &amp; INDEX(_doName,3,2)</f>
        <v>EL 1: Tier 1</v>
      </c>
      <c r="D150" s="11"/>
      <c r="E150" s="33"/>
      <c r="F150" s="33">
        <f ca="1">SUMPRODUCT(OFFSET(doEff,0,0,1,1),OFFSET(INDEX(bcEff_Com,1,2),0,0,1,1)) + INDEX(doEff,2)*(INDEX(eff0BC_Com,2)+INDEX(pushBC_Com,1)) + SUMPRODUCT(doEff,INDEX(bcEff_Com,,1),N(_el&gt;1))</f>
        <v>2.5119112627986349</v>
      </c>
      <c r="G150" s="33">
        <f ca="1">SUMPRODUCT(OFFSET(doEff,0,0,1,1),OFFSET(INDEX(bcEff_Com,1,3),0,0,1,1)) + INDEX(doEff,2)*(INDEX(eff0BC_Com,2)+INDEX(pushBC_Com,1)) + SUMPRODUCT(doEff,INDEX(bcEff_Com,,2),N(_el&gt;1))</f>
        <v>2.5119112627986349</v>
      </c>
      <c r="H150" s="33">
        <f ca="1">SUMPRODUCT(OFFSET(doEff,0,0,1,1),OFFSET(INDEX(bcEff_Com,1,4),0,0,1,1)) + INDEX(doEff,2)*(INDEX(eff0BC_Com,2)+INDEX(pushBC_Com,1)) + SUMPRODUCT(doEff,INDEX(bcEff_Com,,3),N(_el&gt;1))</f>
        <v>2.5119112627986349</v>
      </c>
      <c r="I150" s="33">
        <f ca="1">SUMPRODUCT(OFFSET(doEff,0,0,1,1),OFFSET(INDEX(bcEff_Com,1,5),0,0,1,1)) + INDEX(doEff,2)*(INDEX(eff0BC_Com,2)+INDEX(pushBC_Com,1)) + SUMPRODUCT(doEff,INDEX(bcEff_Com,,4),N(_el&gt;1))</f>
        <v>2.5119112627986349</v>
      </c>
      <c r="J150" s="33">
        <f ca="1">SUMPRODUCT(OFFSET(doEff,0,0,1,1),OFFSET(INDEX(bcEff_Com,1,6),0,0,1,1)) + INDEX(doEff,2)*(INDEX(eff0BC_Com,2)+INDEX(pushBC_Com,1)) + SUMPRODUCT(doEff,INDEX(bcEff_Com,,5),N(_el&gt;1))</f>
        <v>2.5119112627986349</v>
      </c>
      <c r="K150" s="33">
        <f ca="1">SUMPRODUCT(OFFSET(doEff,0,0,1,1),OFFSET(INDEX(bcEff_Com,1,7),0,0,1,1)) + INDEX(doEff,2)*(INDEX(eff0BC_Com,2)+INDEX(pushBC_Com,1)) + SUMPRODUCT(doEff,INDEX(bcEff_Com,,6),N(_el&gt;1))</f>
        <v>2.5119112627986349</v>
      </c>
      <c r="L150" s="33">
        <f ca="1">SUMPRODUCT(OFFSET(doEff,0,0,1,1),OFFSET(INDEX(bcEff_Com,1,8),0,0,1,1)) + INDEX(doEff,2)*(INDEX(eff0BC_Com,2)+INDEX(pushBC_Com,1)) + SUMPRODUCT(doEff,INDEX(bcEff_Com,,7),N(_el&gt;1))</f>
        <v>2.5119112627986349</v>
      </c>
      <c r="M150" s="33">
        <f ca="1">SUMPRODUCT(OFFSET(doEff,0,0,1,1),OFFSET(INDEX(bcEff_Com,1,9),0,0,1,1)) + INDEX(doEff,2)*(INDEX(eff0BC_Com,2)+INDEX(pushBC_Com,1)) + SUMPRODUCT(doEff,INDEX(bcEff_Com,,8),N(_el&gt;1))</f>
        <v>2.5119112627986349</v>
      </c>
      <c r="N150" s="33">
        <f ca="1">SUMPRODUCT(OFFSET(doEff,0,0,1,1),OFFSET(INDEX(bcEff_Com,1,10),0,0,1,1)) + INDEX(doEff,2)*(INDEX(eff0BC_Com,2)+INDEX(pushBC_Com,1)) + SUMPRODUCT(doEff,INDEX(bcEff_Com,,9),N(_el&gt;1))</f>
        <v>2.5119112627986349</v>
      </c>
      <c r="O150" s="33">
        <f ca="1">SUMPRODUCT(OFFSET(doEff,0,0,1,1),OFFSET(INDEX(bcEff_Com,1,11),0,0,1,1)) + INDEX(doEff,2)*(INDEX(eff0BC_Com,2)+INDEX(pushBC_Com,1)) + SUMPRODUCT(doEff,INDEX(bcEff_Com,,10),N(_el&gt;1))</f>
        <v>2.5119112627986349</v>
      </c>
      <c r="P150" s="33">
        <f ca="1">SUMPRODUCT(OFFSET(doEff,0,0,1,1),OFFSET(INDEX(bcEff_Com,1,12),0,0,1,1)) + INDEX(doEff,2)*(INDEX(eff0BC_Com,2)+INDEX(pushBC_Com,1)) + SUMPRODUCT(doEff,INDEX(bcEff_Com,,11),N(_el&gt;1))</f>
        <v>2.5119112627986349</v>
      </c>
      <c r="Q150" s="33">
        <f ca="1">SUMPRODUCT(OFFSET(doEff,0,0,1,1),OFFSET(INDEX(bcEff_Com,1,13),0,0,1,1)) + INDEX(doEff,2)*(INDEX(eff0BC_Com,2)+INDEX(pushBC_Com,1)) + SUMPRODUCT(doEff,INDEX(bcEff_Com,,12),N(_el&gt;1))</f>
        <v>2.5119112627986349</v>
      </c>
      <c r="R150" s="33">
        <f ca="1">SUMPRODUCT(OFFSET(doEff,0,0,1,1),OFFSET(INDEX(bcEff_Com,1,14),0,0,1,1)) + INDEX(doEff,2)*(INDEX(eff0BC_Com,2)+INDEX(pushBC_Com,1)) + SUMPRODUCT(doEff,INDEX(bcEff_Com,,13),N(_el&gt;1))</f>
        <v>2.5119112627986349</v>
      </c>
      <c r="S150" s="33">
        <f ca="1">SUMPRODUCT(OFFSET(doEff,0,0,1,1),OFFSET(INDEX(bcEff_Com,1,15),0,0,1,1)) + INDEX(doEff,2)*(INDEX(eff0BC_Com,2)+INDEX(pushBC_Com,1)) + SUMPRODUCT(doEff,INDEX(bcEff_Com,,14),N(_el&gt;1))</f>
        <v>2.5119112627986349</v>
      </c>
      <c r="T150" s="33">
        <f ca="1">SUMPRODUCT(OFFSET(doEff,0,0,1,1),OFFSET(INDEX(bcEff_Com,1,16),0,0,1,1)) + INDEX(doEff,2)*(INDEX(eff0BC_Com,2)+INDEX(pushBC_Com,1)) + SUMPRODUCT(doEff,INDEX(bcEff_Com,,15),N(_el&gt;1))</f>
        <v>2.5119112627986349</v>
      </c>
      <c r="U150" s="33">
        <f ca="1">SUMPRODUCT(OFFSET(doEff,0,0,1,1),OFFSET(INDEX(bcEff_Com,1,17),0,0,1,1)) + INDEX(doEff,2)*(INDEX(eff0BC_Com,2)+INDEX(pushBC_Com,1)) + SUMPRODUCT(doEff,INDEX(bcEff_Com,,16),N(_el&gt;1))</f>
        <v>2.5119112627986349</v>
      </c>
      <c r="V150" s="33">
        <f ca="1">SUMPRODUCT(OFFSET(doEff,0,0,1,1),OFFSET(INDEX(bcEff_Com,1,18),0,0,1,1)) + INDEX(doEff,2)*(INDEX(eff0BC_Com,2)+INDEX(pushBC_Com,1)) + SUMPRODUCT(doEff,INDEX(bcEff_Com,,17),N(_el&gt;1))</f>
        <v>2.5119112627986349</v>
      </c>
      <c r="W150" s="33">
        <f ca="1">SUMPRODUCT(OFFSET(doEff,0,0,1,1),OFFSET(INDEX(bcEff_Com,1,19),0,0,1,1)) + INDEX(doEff,2)*(INDEX(eff0BC_Com,2)+INDEX(pushBC_Com,1)) + SUMPRODUCT(doEff,INDEX(bcEff_Com,,18),N(_el&gt;1))</f>
        <v>2.5119112627986349</v>
      </c>
      <c r="X150" s="33">
        <f ca="1">SUMPRODUCT(OFFSET(doEff,0,0,1,1),OFFSET(INDEX(bcEff_Com,1,20),0,0,1,1)) + INDEX(doEff,2)*(INDEX(eff0BC_Com,2)+INDEX(pushBC_Com,1)) + SUMPRODUCT(doEff,INDEX(bcEff_Com,,19),N(_el&gt;1))</f>
        <v>2.5119112627986349</v>
      </c>
      <c r="Y150" s="33">
        <f ca="1">SUMPRODUCT(OFFSET(doEff,0,0,1,1),OFFSET(INDEX(bcEff_Com,1,21),0,0,1,1)) + INDEX(doEff,2)*(INDEX(eff0BC_Com,2)+INDEX(pushBC_Com,1)) + SUMPRODUCT(doEff,INDEX(bcEff_Com,,20),N(_el&gt;1))</f>
        <v>2.5119112627986349</v>
      </c>
      <c r="Z150" s="33">
        <f ca="1">SUMPRODUCT(OFFSET(doEff,0,0,1,1),OFFSET(INDEX(bcEff_Com,1,22),0,0,1,1)) + INDEX(doEff,2)*(INDEX(eff0BC_Com,2)+INDEX(pushBC_Com,1)) + SUMPRODUCT(doEff,INDEX(bcEff_Com,,21),N(_el&gt;1))</f>
        <v>2.5119112627986349</v>
      </c>
      <c r="AA150" s="33">
        <f ca="1">SUMPRODUCT(OFFSET(doEff,0,0,1,1),OFFSET(INDEX(bcEff_Com,1,23),0,0,1,1)) + INDEX(doEff,2)*(INDEX(eff0BC_Com,2)+INDEX(pushBC_Com,1)) + SUMPRODUCT(doEff,INDEX(bcEff_Com,,22),N(_el&gt;1))</f>
        <v>2.5119112627986349</v>
      </c>
      <c r="AB150" s="33">
        <f ca="1">SUMPRODUCT(OFFSET(doEff,0,0,1,1),OFFSET(INDEX(bcEff_Com,1,24),0,0,1,1)) + INDEX(doEff,2)*(INDEX(eff0BC_Com,2)+INDEX(pushBC_Com,1)) + SUMPRODUCT(doEff,INDEX(bcEff_Com,,23),N(_el&gt;1))</f>
        <v>2.5119112627986349</v>
      </c>
      <c r="AC150" s="33">
        <f ca="1">SUMPRODUCT(OFFSET(doEff,0,0,1,1),OFFSET(INDEX(bcEff_Com,1,25),0,0,1,1)) + INDEX(doEff,2)*(INDEX(eff0BC_Com,2)+INDEX(pushBC_Com,1)) + SUMPRODUCT(doEff,INDEX(bcEff_Com,,24),N(_el&gt;1))</f>
        <v>2.5119112627986349</v>
      </c>
      <c r="AD150" s="33">
        <f ca="1">SUMPRODUCT(OFFSET(doEff,0,0,1,1),OFFSET(INDEX(bcEff_Com,1,26),0,0,1,1)) + INDEX(doEff,2)*(INDEX(eff0BC_Com,2)+INDEX(pushBC_Com,1)) + SUMPRODUCT(doEff,INDEX(bcEff_Com,,25),N(_el&gt;1))</f>
        <v>2.5119112627986349</v>
      </c>
      <c r="AE150" s="33">
        <f ca="1">SUMPRODUCT(OFFSET(doEff,0,0,1,1),OFFSET(INDEX(bcEff_Com,1,27),0,0,1,1)) + INDEX(doEff,2)*(INDEX(eff0BC_Com,2)+INDEX(pushBC_Com,1)) + SUMPRODUCT(doEff,INDEX(bcEff_Com,,26),N(_el&gt;1))</f>
        <v>2.5119112627986349</v>
      </c>
      <c r="AF150" s="33">
        <f ca="1">SUMPRODUCT(OFFSET(doEff,0,0,1,1),OFFSET(INDEX(bcEff_Com,1,28),0,0,1,1)) + INDEX(doEff,2)*(INDEX(eff0BC_Com,2)+INDEX(pushBC_Com,1)) + SUMPRODUCT(doEff,INDEX(bcEff_Com,,27),N(_el&gt;1))</f>
        <v>2.5119112627986349</v>
      </c>
      <c r="AG150" s="33">
        <f ca="1">SUMPRODUCT(OFFSET(doEff,0,0,1,1),OFFSET(INDEX(bcEff_Com,1,29),0,0,1,1)) + INDEX(doEff,2)*(INDEX(eff0BC_Com,2)+INDEX(pushBC_Com,1)) + SUMPRODUCT(doEff,INDEX(bcEff_Com,,28),N(_el&gt;1))</f>
        <v>2.5119112627986349</v>
      </c>
      <c r="AH150" s="33">
        <f ca="1">SUMPRODUCT(OFFSET(doEff,0,0,1,1),OFFSET(INDEX(bcEff_Com,1,30),0,0,1,1)) + INDEX(doEff,2)*(INDEX(eff0BC_Com,2)+INDEX(pushBC_Com,1)) + SUMPRODUCT(doEff,INDEX(bcEff_Com,,29),N(_el&gt;1))</f>
        <v>2.5119112627986349</v>
      </c>
      <c r="AI150" s="33">
        <f ca="1">SUMPRODUCT(OFFSET(doEff,0,0,1,1),OFFSET(INDEX(bcEff_Com,1,31),0,0,1,1)) + INDEX(doEff,2)*(INDEX(eff0BC_Com,2)+INDEX(pushBC_Com,1)) + SUMPRODUCT(doEff,INDEX(bcEff_Com,,30),N(_el&gt;1))</f>
        <v>2.5119112627986349</v>
      </c>
      <c r="AJ150" s="33">
        <f ca="1">SUMPRODUCT(OFFSET(doEff,0,0,1,1),OFFSET(INDEX(bcEff_Com,1,32),0,0,1,1)) + INDEX(doEff,2)*(INDEX(eff0BC_Com,2)+INDEX(pushBC_Com,1)) + SUMPRODUCT(doEff,INDEX(bcEff_Com,,31),N(_el&gt;1))</f>
        <v>2.5119112627986349</v>
      </c>
      <c r="AK150" s="33">
        <f ca="1">SUMPRODUCT(OFFSET(doEff,0,0,1,1),OFFSET(INDEX(bcEff_Com,1,33),0,0,1,1)) + INDEX(doEff,2)*(INDEX(eff0BC_Com,2)+INDEX(pushBC_Com,1)) + SUMPRODUCT(doEff,INDEX(bcEff_Com,,32),N(_el&gt;1))</f>
        <v>2.5119112627986349</v>
      </c>
      <c r="AL150" s="33">
        <f ca="1">SUMPRODUCT(OFFSET(doEff,0,0,1,1),OFFSET(INDEX(bcEff_Com,1,34),0,0,1,1)) + INDEX(doEff,2)*(INDEX(eff0BC_Com,2)+INDEX(pushBC_Com,1)) + SUMPRODUCT(doEff,INDEX(bcEff_Com,,33),N(_el&gt;1))</f>
        <v>2.5119112627986349</v>
      </c>
      <c r="AM150" s="33">
        <f ca="1">SUMPRODUCT(OFFSET(doEff,0,0,1,1),OFFSET(INDEX(bcEff_Com,1,35),0,0,1,1)) + INDEX(doEff,2)*(INDEX(eff0BC_Com,2)+INDEX(pushBC_Com,1)) + SUMPRODUCT(doEff,INDEX(bcEff_Com,,34),N(_el&gt;1))</f>
        <v>2.5119112627986349</v>
      </c>
      <c r="AN150" s="34">
        <f ca="1">SUMPRODUCT(OFFSET(doEff,0,0,1,1),OFFSET(INDEX(bcEff_Com,1,36),0,0,1,1)) + INDEX(doEff,2)*(INDEX(eff0BC_Com,2)+INDEX(pushBC_Com,1)) + SUMPRODUCT(doEff,INDEX(bcEff_Com,,35),N(_el&gt;1))</f>
        <v>2.5119112627986349</v>
      </c>
      <c r="AO150" s="8"/>
    </row>
    <row r="151" spans="2:41" hidden="1" x14ac:dyDescent="0.35">
      <c r="B151" s="8"/>
      <c r="C151" s="19" t="str">
        <f>"EL 2: " &amp; INDEX(_doName,3,3)</f>
        <v>EL 2: Tier 2</v>
      </c>
      <c r="D151" s="11"/>
      <c r="E151" s="33"/>
      <c r="F151" s="33">
        <f ca="1">SUMPRODUCT(OFFSET(doEff,0,0,2,1),OFFSET(INDEX(bcEff_Com,1,2),0,0,2,1)) + INDEX(doEff,3)*(INDEX(eff0BC_Com,3)+INDEX(pushBC_Com,2)) + SUMPRODUCT(doEff,INDEX(bcEff_Com,,1),N(_el&gt;2))</f>
        <v>2.5119112627986349</v>
      </c>
      <c r="G151" s="33">
        <f ca="1">SUMPRODUCT(OFFSET(doEff,0,0,2,1),OFFSET(INDEX(bcEff_Com,1,3),0,0,2,1)) + INDEX(doEff,3)*(INDEX(eff0BC_Com,3)+INDEX(pushBC_Com,2)) + SUMPRODUCT(doEff,INDEX(bcEff_Com,,2),N(_el&gt;2))</f>
        <v>2.5119112627986349</v>
      </c>
      <c r="H151" s="33">
        <f ca="1">SUMPRODUCT(OFFSET(doEff,0,0,2,1),OFFSET(INDEX(bcEff_Com,1,4),0,0,2,1)) + INDEX(doEff,3)*(INDEX(eff0BC_Com,3)+INDEX(pushBC_Com,2)) + SUMPRODUCT(doEff,INDEX(bcEff_Com,,3),N(_el&gt;2))</f>
        <v>2.5119112627986349</v>
      </c>
      <c r="I151" s="33">
        <f ca="1">SUMPRODUCT(OFFSET(doEff,0,0,2,1),OFFSET(INDEX(bcEff_Com,1,5),0,0,2,1)) + INDEX(doEff,3)*(INDEX(eff0BC_Com,3)+INDEX(pushBC_Com,2)) + SUMPRODUCT(doEff,INDEX(bcEff_Com,,4),N(_el&gt;2))</f>
        <v>2.5119112627986349</v>
      </c>
      <c r="J151" s="33">
        <f ca="1">SUMPRODUCT(OFFSET(doEff,0,0,2,1),OFFSET(INDEX(bcEff_Com,1,6),0,0,2,1)) + INDEX(doEff,3)*(INDEX(eff0BC_Com,3)+INDEX(pushBC_Com,2)) + SUMPRODUCT(doEff,INDEX(bcEff_Com,,5),N(_el&gt;2))</f>
        <v>2.5119112627986349</v>
      </c>
      <c r="K151" s="33">
        <f ca="1">SUMPRODUCT(OFFSET(doEff,0,0,2,1),OFFSET(INDEX(bcEff_Com,1,7),0,0,2,1)) + INDEX(doEff,3)*(INDEX(eff0BC_Com,3)+INDEX(pushBC_Com,2)) + SUMPRODUCT(doEff,INDEX(bcEff_Com,,6),N(_el&gt;2))</f>
        <v>2.5119112627986349</v>
      </c>
      <c r="L151" s="33">
        <f ca="1">SUMPRODUCT(OFFSET(doEff,0,0,2,1),OFFSET(INDEX(bcEff_Com,1,8),0,0,2,1)) + INDEX(doEff,3)*(INDEX(eff0BC_Com,3)+INDEX(pushBC_Com,2)) + SUMPRODUCT(doEff,INDEX(bcEff_Com,,7),N(_el&gt;2))</f>
        <v>2.5119112627986349</v>
      </c>
      <c r="M151" s="33">
        <f ca="1">SUMPRODUCT(OFFSET(doEff,0,0,2,1),OFFSET(INDEX(bcEff_Com,1,9),0,0,2,1)) + INDEX(doEff,3)*(INDEX(eff0BC_Com,3)+INDEX(pushBC_Com,2)) + SUMPRODUCT(doEff,INDEX(bcEff_Com,,8),N(_el&gt;2))</f>
        <v>2.5119112627986349</v>
      </c>
      <c r="N151" s="33">
        <f ca="1">SUMPRODUCT(OFFSET(doEff,0,0,2,1),OFFSET(INDEX(bcEff_Com,1,10),0,0,2,1)) + INDEX(doEff,3)*(INDEX(eff0BC_Com,3)+INDEX(pushBC_Com,2)) + SUMPRODUCT(doEff,INDEX(bcEff_Com,,9),N(_el&gt;2))</f>
        <v>2.5119112627986349</v>
      </c>
      <c r="O151" s="33">
        <f ca="1">SUMPRODUCT(OFFSET(doEff,0,0,2,1),OFFSET(INDEX(bcEff_Com,1,11),0,0,2,1)) + INDEX(doEff,3)*(INDEX(eff0BC_Com,3)+INDEX(pushBC_Com,2)) + SUMPRODUCT(doEff,INDEX(bcEff_Com,,10),N(_el&gt;2))</f>
        <v>2.5119112627986349</v>
      </c>
      <c r="P151" s="33">
        <f ca="1">SUMPRODUCT(OFFSET(doEff,0,0,2,1),OFFSET(INDEX(bcEff_Com,1,12),0,0,2,1)) + INDEX(doEff,3)*(INDEX(eff0BC_Com,3)+INDEX(pushBC_Com,2)) + SUMPRODUCT(doEff,INDEX(bcEff_Com,,11),N(_el&gt;2))</f>
        <v>2.5119112627986349</v>
      </c>
      <c r="Q151" s="33">
        <f ca="1">SUMPRODUCT(OFFSET(doEff,0,0,2,1),OFFSET(INDEX(bcEff_Com,1,13),0,0,2,1)) + INDEX(doEff,3)*(INDEX(eff0BC_Com,3)+INDEX(pushBC_Com,2)) + SUMPRODUCT(doEff,INDEX(bcEff_Com,,12),N(_el&gt;2))</f>
        <v>2.5119112627986349</v>
      </c>
      <c r="R151" s="33">
        <f ca="1">SUMPRODUCT(OFFSET(doEff,0,0,2,1),OFFSET(INDEX(bcEff_Com,1,14),0,0,2,1)) + INDEX(doEff,3)*(INDEX(eff0BC_Com,3)+INDEX(pushBC_Com,2)) + SUMPRODUCT(doEff,INDEX(bcEff_Com,,13),N(_el&gt;2))</f>
        <v>2.5119112627986349</v>
      </c>
      <c r="S151" s="33">
        <f ca="1">SUMPRODUCT(OFFSET(doEff,0,0,2,1),OFFSET(INDEX(bcEff_Com,1,15),0,0,2,1)) + INDEX(doEff,3)*(INDEX(eff0BC_Com,3)+INDEX(pushBC_Com,2)) + SUMPRODUCT(doEff,INDEX(bcEff_Com,,14),N(_el&gt;2))</f>
        <v>2.5119112627986349</v>
      </c>
      <c r="T151" s="33">
        <f ca="1">SUMPRODUCT(OFFSET(doEff,0,0,2,1),OFFSET(INDEX(bcEff_Com,1,16),0,0,2,1)) + INDEX(doEff,3)*(INDEX(eff0BC_Com,3)+INDEX(pushBC_Com,2)) + SUMPRODUCT(doEff,INDEX(bcEff_Com,,15),N(_el&gt;2))</f>
        <v>2.5119112627986349</v>
      </c>
      <c r="U151" s="33">
        <f ca="1">SUMPRODUCT(OFFSET(doEff,0,0,2,1),OFFSET(INDEX(bcEff_Com,1,17),0,0,2,1)) + INDEX(doEff,3)*(INDEX(eff0BC_Com,3)+INDEX(pushBC_Com,2)) + SUMPRODUCT(doEff,INDEX(bcEff_Com,,16),N(_el&gt;2))</f>
        <v>2.5119112627986349</v>
      </c>
      <c r="V151" s="33">
        <f ca="1">SUMPRODUCT(OFFSET(doEff,0,0,2,1),OFFSET(INDEX(bcEff_Com,1,18),0,0,2,1)) + INDEX(doEff,3)*(INDEX(eff0BC_Com,3)+INDEX(pushBC_Com,2)) + SUMPRODUCT(doEff,INDEX(bcEff_Com,,17),N(_el&gt;2))</f>
        <v>2.5119112627986349</v>
      </c>
      <c r="W151" s="33">
        <f ca="1">SUMPRODUCT(OFFSET(doEff,0,0,2,1),OFFSET(INDEX(bcEff_Com,1,19),0,0,2,1)) + INDEX(doEff,3)*(INDEX(eff0BC_Com,3)+INDEX(pushBC_Com,2)) + SUMPRODUCT(doEff,INDEX(bcEff_Com,,18),N(_el&gt;2))</f>
        <v>2.5119112627986349</v>
      </c>
      <c r="X151" s="33">
        <f ca="1">SUMPRODUCT(OFFSET(doEff,0,0,2,1),OFFSET(INDEX(bcEff_Com,1,20),0,0,2,1)) + INDEX(doEff,3)*(INDEX(eff0BC_Com,3)+INDEX(pushBC_Com,2)) + SUMPRODUCT(doEff,INDEX(bcEff_Com,,19),N(_el&gt;2))</f>
        <v>2.5119112627986349</v>
      </c>
      <c r="Y151" s="33">
        <f ca="1">SUMPRODUCT(OFFSET(doEff,0,0,2,1),OFFSET(INDEX(bcEff_Com,1,21),0,0,2,1)) + INDEX(doEff,3)*(INDEX(eff0BC_Com,3)+INDEX(pushBC_Com,2)) + SUMPRODUCT(doEff,INDEX(bcEff_Com,,20),N(_el&gt;2))</f>
        <v>2.5119112627986349</v>
      </c>
      <c r="Z151" s="33">
        <f ca="1">SUMPRODUCT(OFFSET(doEff,0,0,2,1),OFFSET(INDEX(bcEff_Com,1,22),0,0,2,1)) + INDEX(doEff,3)*(INDEX(eff0BC_Com,3)+INDEX(pushBC_Com,2)) + SUMPRODUCT(doEff,INDEX(bcEff_Com,,21),N(_el&gt;2))</f>
        <v>2.5119112627986349</v>
      </c>
      <c r="AA151" s="33">
        <f ca="1">SUMPRODUCT(OFFSET(doEff,0,0,2,1),OFFSET(INDEX(bcEff_Com,1,23),0,0,2,1)) + INDEX(doEff,3)*(INDEX(eff0BC_Com,3)+INDEX(pushBC_Com,2)) + SUMPRODUCT(doEff,INDEX(bcEff_Com,,22),N(_el&gt;2))</f>
        <v>2.5119112627986349</v>
      </c>
      <c r="AB151" s="33">
        <f ca="1">SUMPRODUCT(OFFSET(doEff,0,0,2,1),OFFSET(INDEX(bcEff_Com,1,24),0,0,2,1)) + INDEX(doEff,3)*(INDEX(eff0BC_Com,3)+INDEX(pushBC_Com,2)) + SUMPRODUCT(doEff,INDEX(bcEff_Com,,23),N(_el&gt;2))</f>
        <v>2.5119112627986349</v>
      </c>
      <c r="AC151" s="33">
        <f ca="1">SUMPRODUCT(OFFSET(doEff,0,0,2,1),OFFSET(INDEX(bcEff_Com,1,25),0,0,2,1)) + INDEX(doEff,3)*(INDEX(eff0BC_Com,3)+INDEX(pushBC_Com,2)) + SUMPRODUCT(doEff,INDEX(bcEff_Com,,24),N(_el&gt;2))</f>
        <v>2.5119112627986349</v>
      </c>
      <c r="AD151" s="33">
        <f ca="1">SUMPRODUCT(OFFSET(doEff,0,0,2,1),OFFSET(INDEX(bcEff_Com,1,26),0,0,2,1)) + INDEX(doEff,3)*(INDEX(eff0BC_Com,3)+INDEX(pushBC_Com,2)) + SUMPRODUCT(doEff,INDEX(bcEff_Com,,25),N(_el&gt;2))</f>
        <v>2.5119112627986349</v>
      </c>
      <c r="AE151" s="33">
        <f ca="1">SUMPRODUCT(OFFSET(doEff,0,0,2,1),OFFSET(INDEX(bcEff_Com,1,27),0,0,2,1)) + INDEX(doEff,3)*(INDEX(eff0BC_Com,3)+INDEX(pushBC_Com,2)) + SUMPRODUCT(doEff,INDEX(bcEff_Com,,26),N(_el&gt;2))</f>
        <v>2.5119112627986349</v>
      </c>
      <c r="AF151" s="33">
        <f ca="1">SUMPRODUCT(OFFSET(doEff,0,0,2,1),OFFSET(INDEX(bcEff_Com,1,28),0,0,2,1)) + INDEX(doEff,3)*(INDEX(eff0BC_Com,3)+INDEX(pushBC_Com,2)) + SUMPRODUCT(doEff,INDEX(bcEff_Com,,27),N(_el&gt;2))</f>
        <v>2.5119112627986349</v>
      </c>
      <c r="AG151" s="33">
        <f ca="1">SUMPRODUCT(OFFSET(doEff,0,0,2,1),OFFSET(INDEX(bcEff_Com,1,29),0,0,2,1)) + INDEX(doEff,3)*(INDEX(eff0BC_Com,3)+INDEX(pushBC_Com,2)) + SUMPRODUCT(doEff,INDEX(bcEff_Com,,28),N(_el&gt;2))</f>
        <v>2.5119112627986349</v>
      </c>
      <c r="AH151" s="33">
        <f ca="1">SUMPRODUCT(OFFSET(doEff,0,0,2,1),OFFSET(INDEX(bcEff_Com,1,30),0,0,2,1)) + INDEX(doEff,3)*(INDEX(eff0BC_Com,3)+INDEX(pushBC_Com,2)) + SUMPRODUCT(doEff,INDEX(bcEff_Com,,29),N(_el&gt;2))</f>
        <v>2.5119112627986349</v>
      </c>
      <c r="AI151" s="33">
        <f ca="1">SUMPRODUCT(OFFSET(doEff,0,0,2,1),OFFSET(INDEX(bcEff_Com,1,31),0,0,2,1)) + INDEX(doEff,3)*(INDEX(eff0BC_Com,3)+INDEX(pushBC_Com,2)) + SUMPRODUCT(doEff,INDEX(bcEff_Com,,30),N(_el&gt;2))</f>
        <v>2.5119112627986349</v>
      </c>
      <c r="AJ151" s="33">
        <f ca="1">SUMPRODUCT(OFFSET(doEff,0,0,2,1),OFFSET(INDEX(bcEff_Com,1,32),0,0,2,1)) + INDEX(doEff,3)*(INDEX(eff0BC_Com,3)+INDEX(pushBC_Com,2)) + SUMPRODUCT(doEff,INDEX(bcEff_Com,,31),N(_el&gt;2))</f>
        <v>2.5119112627986349</v>
      </c>
      <c r="AK151" s="33">
        <f ca="1">SUMPRODUCT(OFFSET(doEff,0,0,2,1),OFFSET(INDEX(bcEff_Com,1,33),0,0,2,1)) + INDEX(doEff,3)*(INDEX(eff0BC_Com,3)+INDEX(pushBC_Com,2)) + SUMPRODUCT(doEff,INDEX(bcEff_Com,,32),N(_el&gt;2))</f>
        <v>2.5119112627986349</v>
      </c>
      <c r="AL151" s="33">
        <f ca="1">SUMPRODUCT(OFFSET(doEff,0,0,2,1),OFFSET(INDEX(bcEff_Com,1,34),0,0,2,1)) + INDEX(doEff,3)*(INDEX(eff0BC_Com,3)+INDEX(pushBC_Com,2)) + SUMPRODUCT(doEff,INDEX(bcEff_Com,,33),N(_el&gt;2))</f>
        <v>2.5119112627986349</v>
      </c>
      <c r="AM151" s="33">
        <f ca="1">SUMPRODUCT(OFFSET(doEff,0,0,2,1),OFFSET(INDEX(bcEff_Com,1,35),0,0,2,1)) + INDEX(doEff,3)*(INDEX(eff0BC_Com,3)+INDEX(pushBC_Com,2)) + SUMPRODUCT(doEff,INDEX(bcEff_Com,,34),N(_el&gt;2))</f>
        <v>2.5119112627986349</v>
      </c>
      <c r="AN151" s="34">
        <f ca="1">SUMPRODUCT(OFFSET(doEff,0,0,2,1),OFFSET(INDEX(bcEff_Com,1,36),0,0,2,1)) + INDEX(doEff,3)*(INDEX(eff0BC_Com,3)+INDEX(pushBC_Com,2)) + SUMPRODUCT(doEff,INDEX(bcEff_Com,,35),N(_el&gt;2))</f>
        <v>2.5119112627986349</v>
      </c>
      <c r="AO151" s="8"/>
    </row>
    <row r="152" spans="2:41" hidden="1" x14ac:dyDescent="0.35">
      <c r="B152" s="8"/>
      <c r="C152" s="19" t="str">
        <f>"EL 3: " &amp; INDEX(_doName,3,4)</f>
        <v>EL 3: EL 3</v>
      </c>
      <c r="D152" s="11"/>
      <c r="E152" s="33"/>
      <c r="F152" s="33">
        <f ca="1">SUMPRODUCT(OFFSET(doEff,0,0,3,1),OFFSET(INDEX(bcEff_Com,1,2),0,0,3,1)) + INDEX(doEff,4)*(INDEX(eff0BC_Com,4)+INDEX(pushBC_Com,3)) + SUMPRODUCT(doEff,INDEX(bcEff_Com,,1),N(_el&gt;3))</f>
        <v>2.5119112627986349</v>
      </c>
      <c r="G152" s="33">
        <f ca="1">SUMPRODUCT(OFFSET(doEff,0,0,3,1),OFFSET(INDEX(bcEff_Com,1,3),0,0,3,1)) + INDEX(doEff,4)*(INDEX(eff0BC_Com,4)+INDEX(pushBC_Com,3)) + SUMPRODUCT(doEff,INDEX(bcEff_Com,,2),N(_el&gt;3))</f>
        <v>2.5119112627986349</v>
      </c>
      <c r="H152" s="33">
        <f ca="1">SUMPRODUCT(OFFSET(doEff,0,0,3,1),OFFSET(INDEX(bcEff_Com,1,4),0,0,3,1)) + INDEX(doEff,4)*(INDEX(eff0BC_Com,4)+INDEX(pushBC_Com,3)) + SUMPRODUCT(doEff,INDEX(bcEff_Com,,3),N(_el&gt;3))</f>
        <v>2.5119112627986349</v>
      </c>
      <c r="I152" s="33">
        <f ca="1">SUMPRODUCT(OFFSET(doEff,0,0,3,1),OFFSET(INDEX(bcEff_Com,1,5),0,0,3,1)) + INDEX(doEff,4)*(INDEX(eff0BC_Com,4)+INDEX(pushBC_Com,3)) + SUMPRODUCT(doEff,INDEX(bcEff_Com,,4),N(_el&gt;3))</f>
        <v>2.5119112627986349</v>
      </c>
      <c r="J152" s="33">
        <f ca="1">SUMPRODUCT(OFFSET(doEff,0,0,3,1),OFFSET(INDEX(bcEff_Com,1,6),0,0,3,1)) + INDEX(doEff,4)*(INDEX(eff0BC_Com,4)+INDEX(pushBC_Com,3)) + SUMPRODUCT(doEff,INDEX(bcEff_Com,,5),N(_el&gt;3))</f>
        <v>2.5119112627986349</v>
      </c>
      <c r="K152" s="33">
        <f ca="1">SUMPRODUCT(OFFSET(doEff,0,0,3,1),OFFSET(INDEX(bcEff_Com,1,7),0,0,3,1)) + INDEX(doEff,4)*(INDEX(eff0BC_Com,4)+INDEX(pushBC_Com,3)) + SUMPRODUCT(doEff,INDEX(bcEff_Com,,6),N(_el&gt;3))</f>
        <v>2.5119112627986349</v>
      </c>
      <c r="L152" s="33">
        <f ca="1">SUMPRODUCT(OFFSET(doEff,0,0,3,1),OFFSET(INDEX(bcEff_Com,1,8),0,0,3,1)) + INDEX(doEff,4)*(INDEX(eff0BC_Com,4)+INDEX(pushBC_Com,3)) + SUMPRODUCT(doEff,INDEX(bcEff_Com,,7),N(_el&gt;3))</f>
        <v>2.5119112627986349</v>
      </c>
      <c r="M152" s="33">
        <f ca="1">SUMPRODUCT(OFFSET(doEff,0,0,3,1),OFFSET(INDEX(bcEff_Com,1,9),0,0,3,1)) + INDEX(doEff,4)*(INDEX(eff0BC_Com,4)+INDEX(pushBC_Com,3)) + SUMPRODUCT(doEff,INDEX(bcEff_Com,,8),N(_el&gt;3))</f>
        <v>2.5119112627986349</v>
      </c>
      <c r="N152" s="33">
        <f ca="1">SUMPRODUCT(OFFSET(doEff,0,0,3,1),OFFSET(INDEX(bcEff_Com,1,10),0,0,3,1)) + INDEX(doEff,4)*(INDEX(eff0BC_Com,4)+INDEX(pushBC_Com,3)) + SUMPRODUCT(doEff,INDEX(bcEff_Com,,9),N(_el&gt;3))</f>
        <v>2.5119112627986349</v>
      </c>
      <c r="O152" s="33">
        <f ca="1">SUMPRODUCT(OFFSET(doEff,0,0,3,1),OFFSET(INDEX(bcEff_Com,1,11),0,0,3,1)) + INDEX(doEff,4)*(INDEX(eff0BC_Com,4)+INDEX(pushBC_Com,3)) + SUMPRODUCT(doEff,INDEX(bcEff_Com,,10),N(_el&gt;3))</f>
        <v>2.5119112627986349</v>
      </c>
      <c r="P152" s="33">
        <f ca="1">SUMPRODUCT(OFFSET(doEff,0,0,3,1),OFFSET(INDEX(bcEff_Com,1,12),0,0,3,1)) + INDEX(doEff,4)*(INDEX(eff0BC_Com,4)+INDEX(pushBC_Com,3)) + SUMPRODUCT(doEff,INDEX(bcEff_Com,,11),N(_el&gt;3))</f>
        <v>2.5119112627986349</v>
      </c>
      <c r="Q152" s="33">
        <f ca="1">SUMPRODUCT(OFFSET(doEff,0,0,3,1),OFFSET(INDEX(bcEff_Com,1,13),0,0,3,1)) + INDEX(doEff,4)*(INDEX(eff0BC_Com,4)+INDEX(pushBC_Com,3)) + SUMPRODUCT(doEff,INDEX(bcEff_Com,,12),N(_el&gt;3))</f>
        <v>2.5119112627986349</v>
      </c>
      <c r="R152" s="33">
        <f ca="1">SUMPRODUCT(OFFSET(doEff,0,0,3,1),OFFSET(INDEX(bcEff_Com,1,14),0,0,3,1)) + INDEX(doEff,4)*(INDEX(eff0BC_Com,4)+INDEX(pushBC_Com,3)) + SUMPRODUCT(doEff,INDEX(bcEff_Com,,13),N(_el&gt;3))</f>
        <v>2.5119112627986349</v>
      </c>
      <c r="S152" s="33">
        <f ca="1">SUMPRODUCT(OFFSET(doEff,0,0,3,1),OFFSET(INDEX(bcEff_Com,1,15),0,0,3,1)) + INDEX(doEff,4)*(INDEX(eff0BC_Com,4)+INDEX(pushBC_Com,3)) + SUMPRODUCT(doEff,INDEX(bcEff_Com,,14),N(_el&gt;3))</f>
        <v>2.5119112627986349</v>
      </c>
      <c r="T152" s="33">
        <f ca="1">SUMPRODUCT(OFFSET(doEff,0,0,3,1),OFFSET(INDEX(bcEff_Com,1,16),0,0,3,1)) + INDEX(doEff,4)*(INDEX(eff0BC_Com,4)+INDEX(pushBC_Com,3)) + SUMPRODUCT(doEff,INDEX(bcEff_Com,,15),N(_el&gt;3))</f>
        <v>2.5119112627986349</v>
      </c>
      <c r="U152" s="33">
        <f ca="1">SUMPRODUCT(OFFSET(doEff,0,0,3,1),OFFSET(INDEX(bcEff_Com,1,17),0,0,3,1)) + INDEX(doEff,4)*(INDEX(eff0BC_Com,4)+INDEX(pushBC_Com,3)) + SUMPRODUCT(doEff,INDEX(bcEff_Com,,16),N(_el&gt;3))</f>
        <v>2.5119112627986349</v>
      </c>
      <c r="V152" s="33">
        <f ca="1">SUMPRODUCT(OFFSET(doEff,0,0,3,1),OFFSET(INDEX(bcEff_Com,1,18),0,0,3,1)) + INDEX(doEff,4)*(INDEX(eff0BC_Com,4)+INDEX(pushBC_Com,3)) + SUMPRODUCT(doEff,INDEX(bcEff_Com,,17),N(_el&gt;3))</f>
        <v>2.5119112627986349</v>
      </c>
      <c r="W152" s="33">
        <f ca="1">SUMPRODUCT(OFFSET(doEff,0,0,3,1),OFFSET(INDEX(bcEff_Com,1,19),0,0,3,1)) + INDEX(doEff,4)*(INDEX(eff0BC_Com,4)+INDEX(pushBC_Com,3)) + SUMPRODUCT(doEff,INDEX(bcEff_Com,,18),N(_el&gt;3))</f>
        <v>2.5119112627986349</v>
      </c>
      <c r="X152" s="33">
        <f ca="1">SUMPRODUCT(OFFSET(doEff,0,0,3,1),OFFSET(INDEX(bcEff_Com,1,20),0,0,3,1)) + INDEX(doEff,4)*(INDEX(eff0BC_Com,4)+INDEX(pushBC_Com,3)) + SUMPRODUCT(doEff,INDEX(bcEff_Com,,19),N(_el&gt;3))</f>
        <v>2.5119112627986349</v>
      </c>
      <c r="Y152" s="33">
        <f ca="1">SUMPRODUCT(OFFSET(doEff,0,0,3,1),OFFSET(INDEX(bcEff_Com,1,21),0,0,3,1)) + INDEX(doEff,4)*(INDEX(eff0BC_Com,4)+INDEX(pushBC_Com,3)) + SUMPRODUCT(doEff,INDEX(bcEff_Com,,20),N(_el&gt;3))</f>
        <v>2.5119112627986349</v>
      </c>
      <c r="Z152" s="33">
        <f ca="1">SUMPRODUCT(OFFSET(doEff,0,0,3,1),OFFSET(INDEX(bcEff_Com,1,22),0,0,3,1)) + INDEX(doEff,4)*(INDEX(eff0BC_Com,4)+INDEX(pushBC_Com,3)) + SUMPRODUCT(doEff,INDEX(bcEff_Com,,21),N(_el&gt;3))</f>
        <v>2.5119112627986349</v>
      </c>
      <c r="AA152" s="33">
        <f ca="1">SUMPRODUCT(OFFSET(doEff,0,0,3,1),OFFSET(INDEX(bcEff_Com,1,23),0,0,3,1)) + INDEX(doEff,4)*(INDEX(eff0BC_Com,4)+INDEX(pushBC_Com,3)) + SUMPRODUCT(doEff,INDEX(bcEff_Com,,22),N(_el&gt;3))</f>
        <v>2.5119112627986349</v>
      </c>
      <c r="AB152" s="33">
        <f ca="1">SUMPRODUCT(OFFSET(doEff,0,0,3,1),OFFSET(INDEX(bcEff_Com,1,24),0,0,3,1)) + INDEX(doEff,4)*(INDEX(eff0BC_Com,4)+INDEX(pushBC_Com,3)) + SUMPRODUCT(doEff,INDEX(bcEff_Com,,23),N(_el&gt;3))</f>
        <v>2.5119112627986349</v>
      </c>
      <c r="AC152" s="33">
        <f ca="1">SUMPRODUCT(OFFSET(doEff,0,0,3,1),OFFSET(INDEX(bcEff_Com,1,25),0,0,3,1)) + INDEX(doEff,4)*(INDEX(eff0BC_Com,4)+INDEX(pushBC_Com,3)) + SUMPRODUCT(doEff,INDEX(bcEff_Com,,24),N(_el&gt;3))</f>
        <v>2.5119112627986349</v>
      </c>
      <c r="AD152" s="33">
        <f ca="1">SUMPRODUCT(OFFSET(doEff,0,0,3,1),OFFSET(INDEX(bcEff_Com,1,26),0,0,3,1)) + INDEX(doEff,4)*(INDEX(eff0BC_Com,4)+INDEX(pushBC_Com,3)) + SUMPRODUCT(doEff,INDEX(bcEff_Com,,25),N(_el&gt;3))</f>
        <v>2.5119112627986349</v>
      </c>
      <c r="AE152" s="33">
        <f ca="1">SUMPRODUCT(OFFSET(doEff,0,0,3,1),OFFSET(INDEX(bcEff_Com,1,27),0,0,3,1)) + INDEX(doEff,4)*(INDEX(eff0BC_Com,4)+INDEX(pushBC_Com,3)) + SUMPRODUCT(doEff,INDEX(bcEff_Com,,26),N(_el&gt;3))</f>
        <v>2.5119112627986349</v>
      </c>
      <c r="AF152" s="33">
        <f ca="1">SUMPRODUCT(OFFSET(doEff,0,0,3,1),OFFSET(INDEX(bcEff_Com,1,28),0,0,3,1)) + INDEX(doEff,4)*(INDEX(eff0BC_Com,4)+INDEX(pushBC_Com,3)) + SUMPRODUCT(doEff,INDEX(bcEff_Com,,27),N(_el&gt;3))</f>
        <v>2.5119112627986349</v>
      </c>
      <c r="AG152" s="33">
        <f ca="1">SUMPRODUCT(OFFSET(doEff,0,0,3,1),OFFSET(INDEX(bcEff_Com,1,29),0,0,3,1)) + INDEX(doEff,4)*(INDEX(eff0BC_Com,4)+INDEX(pushBC_Com,3)) + SUMPRODUCT(doEff,INDEX(bcEff_Com,,28),N(_el&gt;3))</f>
        <v>2.5119112627986349</v>
      </c>
      <c r="AH152" s="33">
        <f ca="1">SUMPRODUCT(OFFSET(doEff,0,0,3,1),OFFSET(INDEX(bcEff_Com,1,30),0,0,3,1)) + INDEX(doEff,4)*(INDEX(eff0BC_Com,4)+INDEX(pushBC_Com,3)) + SUMPRODUCT(doEff,INDEX(bcEff_Com,,29),N(_el&gt;3))</f>
        <v>2.5119112627986349</v>
      </c>
      <c r="AI152" s="33">
        <f ca="1">SUMPRODUCT(OFFSET(doEff,0,0,3,1),OFFSET(INDEX(bcEff_Com,1,31),0,0,3,1)) + INDEX(doEff,4)*(INDEX(eff0BC_Com,4)+INDEX(pushBC_Com,3)) + SUMPRODUCT(doEff,INDEX(bcEff_Com,,30),N(_el&gt;3))</f>
        <v>2.5119112627986349</v>
      </c>
      <c r="AJ152" s="33">
        <f ca="1">SUMPRODUCT(OFFSET(doEff,0,0,3,1),OFFSET(INDEX(bcEff_Com,1,32),0,0,3,1)) + INDEX(doEff,4)*(INDEX(eff0BC_Com,4)+INDEX(pushBC_Com,3)) + SUMPRODUCT(doEff,INDEX(bcEff_Com,,31),N(_el&gt;3))</f>
        <v>2.5119112627986349</v>
      </c>
      <c r="AK152" s="33">
        <f ca="1">SUMPRODUCT(OFFSET(doEff,0,0,3,1),OFFSET(INDEX(bcEff_Com,1,33),0,0,3,1)) + INDEX(doEff,4)*(INDEX(eff0BC_Com,4)+INDEX(pushBC_Com,3)) + SUMPRODUCT(doEff,INDEX(bcEff_Com,,32),N(_el&gt;3))</f>
        <v>2.5119112627986349</v>
      </c>
      <c r="AL152" s="33">
        <f ca="1">SUMPRODUCT(OFFSET(doEff,0,0,3,1),OFFSET(INDEX(bcEff_Com,1,34),0,0,3,1)) + INDEX(doEff,4)*(INDEX(eff0BC_Com,4)+INDEX(pushBC_Com,3)) + SUMPRODUCT(doEff,INDEX(bcEff_Com,,33),N(_el&gt;3))</f>
        <v>2.5119112627986349</v>
      </c>
      <c r="AM152" s="33">
        <f ca="1">SUMPRODUCT(OFFSET(doEff,0,0,3,1),OFFSET(INDEX(bcEff_Com,1,35),0,0,3,1)) + INDEX(doEff,4)*(INDEX(eff0BC_Com,4)+INDEX(pushBC_Com,3)) + SUMPRODUCT(doEff,INDEX(bcEff_Com,,34),N(_el&gt;3))</f>
        <v>2.5119112627986349</v>
      </c>
      <c r="AN152" s="34">
        <f ca="1">SUMPRODUCT(OFFSET(doEff,0,0,3,1),OFFSET(INDEX(bcEff_Com,1,36),0,0,3,1)) + INDEX(doEff,4)*(INDEX(eff0BC_Com,4)+INDEX(pushBC_Com,3)) + SUMPRODUCT(doEff,INDEX(bcEff_Com,,35),N(_el&gt;3))</f>
        <v>2.5119112627986349</v>
      </c>
      <c r="AO152" s="8"/>
    </row>
    <row r="153" spans="2:41" hidden="1" x14ac:dyDescent="0.35">
      <c r="B153" s="8"/>
      <c r="C153" s="35" t="str">
        <f>"EL 4: " &amp; INDEX(_doName,3,5)</f>
        <v>EL 4: EL 4</v>
      </c>
      <c r="D153" s="15"/>
      <c r="E153" s="21"/>
      <c r="F153" s="21">
        <f ca="1">SUMPRODUCT(OFFSET(doEff,0,0,4,1),OFFSET(INDEX(bcEff_Com,1,2),0,0,4,1)) + INDEX(doEff,5)*(INDEX(eff0BC_Com,5)+INDEX(pushBC_Com,4)) + 0</f>
        <v>2.5119112627986349</v>
      </c>
      <c r="G153" s="21">
        <f ca="1">SUMPRODUCT(OFFSET(doEff,0,0,4,1),OFFSET(INDEX(bcEff_Com,1,3),0,0,4,1)) + INDEX(doEff,5)*(INDEX(eff0BC_Com,5)+INDEX(pushBC_Com,4)) + 0</f>
        <v>2.5119112627986349</v>
      </c>
      <c r="H153" s="21">
        <f ca="1">SUMPRODUCT(OFFSET(doEff,0,0,4,1),OFFSET(INDEX(bcEff_Com,1,4),0,0,4,1)) + INDEX(doEff,5)*(INDEX(eff0BC_Com,5)+INDEX(pushBC_Com,4)) + 0</f>
        <v>2.5119112627986349</v>
      </c>
      <c r="I153" s="21">
        <f ca="1">SUMPRODUCT(OFFSET(doEff,0,0,4,1),OFFSET(INDEX(bcEff_Com,1,5),0,0,4,1)) + INDEX(doEff,5)*(INDEX(eff0BC_Com,5)+INDEX(pushBC_Com,4)) + 0</f>
        <v>2.5119112627986349</v>
      </c>
      <c r="J153" s="21">
        <f ca="1">SUMPRODUCT(OFFSET(doEff,0,0,4,1),OFFSET(INDEX(bcEff_Com,1,6),0,0,4,1)) + INDEX(doEff,5)*(INDEX(eff0BC_Com,5)+INDEX(pushBC_Com,4)) + 0</f>
        <v>2.5119112627986349</v>
      </c>
      <c r="K153" s="21">
        <f ca="1">SUMPRODUCT(OFFSET(doEff,0,0,4,1),OFFSET(INDEX(bcEff_Com,1,7),0,0,4,1)) + INDEX(doEff,5)*(INDEX(eff0BC_Com,5)+INDEX(pushBC_Com,4)) + 0</f>
        <v>2.5119112627986349</v>
      </c>
      <c r="L153" s="21">
        <f ca="1">SUMPRODUCT(OFFSET(doEff,0,0,4,1),OFFSET(INDEX(bcEff_Com,1,8),0,0,4,1)) + INDEX(doEff,5)*(INDEX(eff0BC_Com,5)+INDEX(pushBC_Com,4)) + 0</f>
        <v>2.5119112627986349</v>
      </c>
      <c r="M153" s="21">
        <f ca="1">SUMPRODUCT(OFFSET(doEff,0,0,4,1),OFFSET(INDEX(bcEff_Com,1,9),0,0,4,1)) + INDEX(doEff,5)*(INDEX(eff0BC_Com,5)+INDEX(pushBC_Com,4)) + 0</f>
        <v>2.5119112627986349</v>
      </c>
      <c r="N153" s="21">
        <f ca="1">SUMPRODUCT(OFFSET(doEff,0,0,4,1),OFFSET(INDEX(bcEff_Com,1,10),0,0,4,1)) + INDEX(doEff,5)*(INDEX(eff0BC_Com,5)+INDEX(pushBC_Com,4)) + 0</f>
        <v>2.5119112627986349</v>
      </c>
      <c r="O153" s="21">
        <f ca="1">SUMPRODUCT(OFFSET(doEff,0,0,4,1),OFFSET(INDEX(bcEff_Com,1,11),0,0,4,1)) + INDEX(doEff,5)*(INDEX(eff0BC_Com,5)+INDEX(pushBC_Com,4)) + 0</f>
        <v>2.5119112627986349</v>
      </c>
      <c r="P153" s="21">
        <f ca="1">SUMPRODUCT(OFFSET(doEff,0,0,4,1),OFFSET(INDEX(bcEff_Com,1,12),0,0,4,1)) + INDEX(doEff,5)*(INDEX(eff0BC_Com,5)+INDEX(pushBC_Com,4)) + 0</f>
        <v>2.5119112627986349</v>
      </c>
      <c r="Q153" s="21">
        <f ca="1">SUMPRODUCT(OFFSET(doEff,0,0,4,1),OFFSET(INDEX(bcEff_Com,1,13),0,0,4,1)) + INDEX(doEff,5)*(INDEX(eff0BC_Com,5)+INDEX(pushBC_Com,4)) + 0</f>
        <v>2.5119112627986349</v>
      </c>
      <c r="R153" s="21">
        <f ca="1">SUMPRODUCT(OFFSET(doEff,0,0,4,1),OFFSET(INDEX(bcEff_Com,1,14),0,0,4,1)) + INDEX(doEff,5)*(INDEX(eff0BC_Com,5)+INDEX(pushBC_Com,4)) + 0</f>
        <v>2.5119112627986349</v>
      </c>
      <c r="S153" s="21">
        <f ca="1">SUMPRODUCT(OFFSET(doEff,0,0,4,1),OFFSET(INDEX(bcEff_Com,1,15),0,0,4,1)) + INDEX(doEff,5)*(INDEX(eff0BC_Com,5)+INDEX(pushBC_Com,4)) + 0</f>
        <v>2.5119112627986349</v>
      </c>
      <c r="T153" s="21">
        <f ca="1">SUMPRODUCT(OFFSET(doEff,0,0,4,1),OFFSET(INDEX(bcEff_Com,1,16),0,0,4,1)) + INDEX(doEff,5)*(INDEX(eff0BC_Com,5)+INDEX(pushBC_Com,4)) + 0</f>
        <v>2.5119112627986349</v>
      </c>
      <c r="U153" s="21">
        <f ca="1">SUMPRODUCT(OFFSET(doEff,0,0,4,1),OFFSET(INDEX(bcEff_Com,1,17),0,0,4,1)) + INDEX(doEff,5)*(INDEX(eff0BC_Com,5)+INDEX(pushBC_Com,4)) + 0</f>
        <v>2.5119112627986349</v>
      </c>
      <c r="V153" s="21">
        <f ca="1">SUMPRODUCT(OFFSET(doEff,0,0,4,1),OFFSET(INDEX(bcEff_Com,1,18),0,0,4,1)) + INDEX(doEff,5)*(INDEX(eff0BC_Com,5)+INDEX(pushBC_Com,4)) + 0</f>
        <v>2.5119112627986349</v>
      </c>
      <c r="W153" s="21">
        <f ca="1">SUMPRODUCT(OFFSET(doEff,0,0,4,1),OFFSET(INDEX(bcEff_Com,1,19),0,0,4,1)) + INDEX(doEff,5)*(INDEX(eff0BC_Com,5)+INDEX(pushBC_Com,4)) + 0</f>
        <v>2.5119112627986349</v>
      </c>
      <c r="X153" s="21">
        <f ca="1">SUMPRODUCT(OFFSET(doEff,0,0,4,1),OFFSET(INDEX(bcEff_Com,1,20),0,0,4,1)) + INDEX(doEff,5)*(INDEX(eff0BC_Com,5)+INDEX(pushBC_Com,4)) + 0</f>
        <v>2.5119112627986349</v>
      </c>
      <c r="Y153" s="21">
        <f ca="1">SUMPRODUCT(OFFSET(doEff,0,0,4,1),OFFSET(INDEX(bcEff_Com,1,21),0,0,4,1)) + INDEX(doEff,5)*(INDEX(eff0BC_Com,5)+INDEX(pushBC_Com,4)) + 0</f>
        <v>2.5119112627986349</v>
      </c>
      <c r="Z153" s="21">
        <f ca="1">SUMPRODUCT(OFFSET(doEff,0,0,4,1),OFFSET(INDEX(bcEff_Com,1,22),0,0,4,1)) + INDEX(doEff,5)*(INDEX(eff0BC_Com,5)+INDEX(pushBC_Com,4)) + 0</f>
        <v>2.5119112627986349</v>
      </c>
      <c r="AA153" s="21">
        <f ca="1">SUMPRODUCT(OFFSET(doEff,0,0,4,1),OFFSET(INDEX(bcEff_Com,1,23),0,0,4,1)) + INDEX(doEff,5)*(INDEX(eff0BC_Com,5)+INDEX(pushBC_Com,4)) + 0</f>
        <v>2.5119112627986349</v>
      </c>
      <c r="AB153" s="21">
        <f ca="1">SUMPRODUCT(OFFSET(doEff,0,0,4,1),OFFSET(INDEX(bcEff_Com,1,24),0,0,4,1)) + INDEX(doEff,5)*(INDEX(eff0BC_Com,5)+INDEX(pushBC_Com,4)) + 0</f>
        <v>2.5119112627986349</v>
      </c>
      <c r="AC153" s="21">
        <f ca="1">SUMPRODUCT(OFFSET(doEff,0,0,4,1),OFFSET(INDEX(bcEff_Com,1,25),0,0,4,1)) + INDEX(doEff,5)*(INDEX(eff0BC_Com,5)+INDEX(pushBC_Com,4)) + 0</f>
        <v>2.5119112627986349</v>
      </c>
      <c r="AD153" s="21">
        <f ca="1">SUMPRODUCT(OFFSET(doEff,0,0,4,1),OFFSET(INDEX(bcEff_Com,1,26),0,0,4,1)) + INDEX(doEff,5)*(INDEX(eff0BC_Com,5)+INDEX(pushBC_Com,4)) + 0</f>
        <v>2.5119112627986349</v>
      </c>
      <c r="AE153" s="21">
        <f ca="1">SUMPRODUCT(OFFSET(doEff,0,0,4,1),OFFSET(INDEX(bcEff_Com,1,27),0,0,4,1)) + INDEX(doEff,5)*(INDEX(eff0BC_Com,5)+INDEX(pushBC_Com,4)) + 0</f>
        <v>2.5119112627986349</v>
      </c>
      <c r="AF153" s="21">
        <f ca="1">SUMPRODUCT(OFFSET(doEff,0,0,4,1),OFFSET(INDEX(bcEff_Com,1,28),0,0,4,1)) + INDEX(doEff,5)*(INDEX(eff0BC_Com,5)+INDEX(pushBC_Com,4)) + 0</f>
        <v>2.5119112627986349</v>
      </c>
      <c r="AG153" s="21">
        <f ca="1">SUMPRODUCT(OFFSET(doEff,0,0,4,1),OFFSET(INDEX(bcEff_Com,1,29),0,0,4,1)) + INDEX(doEff,5)*(INDEX(eff0BC_Com,5)+INDEX(pushBC_Com,4)) + 0</f>
        <v>2.5119112627986349</v>
      </c>
      <c r="AH153" s="21">
        <f ca="1">SUMPRODUCT(OFFSET(doEff,0,0,4,1),OFFSET(INDEX(bcEff_Com,1,30),0,0,4,1)) + INDEX(doEff,5)*(INDEX(eff0BC_Com,5)+INDEX(pushBC_Com,4)) + 0</f>
        <v>2.5119112627986349</v>
      </c>
      <c r="AI153" s="21">
        <f ca="1">SUMPRODUCT(OFFSET(doEff,0,0,4,1),OFFSET(INDEX(bcEff_Com,1,31),0,0,4,1)) + INDEX(doEff,5)*(INDEX(eff0BC_Com,5)+INDEX(pushBC_Com,4)) + 0</f>
        <v>2.5119112627986349</v>
      </c>
      <c r="AJ153" s="21">
        <f ca="1">SUMPRODUCT(OFFSET(doEff,0,0,4,1),OFFSET(INDEX(bcEff_Com,1,32),0,0,4,1)) + INDEX(doEff,5)*(INDEX(eff0BC_Com,5)+INDEX(pushBC_Com,4)) + 0</f>
        <v>2.5119112627986349</v>
      </c>
      <c r="AK153" s="21">
        <f ca="1">SUMPRODUCT(OFFSET(doEff,0,0,4,1),OFFSET(INDEX(bcEff_Com,1,33),0,0,4,1)) + INDEX(doEff,5)*(INDEX(eff0BC_Com,5)+INDEX(pushBC_Com,4)) + 0</f>
        <v>2.5119112627986349</v>
      </c>
      <c r="AL153" s="21">
        <f ca="1">SUMPRODUCT(OFFSET(doEff,0,0,4,1),OFFSET(INDEX(bcEff_Com,1,34),0,0,4,1)) + INDEX(doEff,5)*(INDEX(eff0BC_Com,5)+INDEX(pushBC_Com,4)) + 0</f>
        <v>2.5119112627986349</v>
      </c>
      <c r="AM153" s="21">
        <f ca="1">SUMPRODUCT(OFFSET(doEff,0,0,4,1),OFFSET(INDEX(bcEff_Com,1,35),0,0,4,1)) + INDEX(doEff,5)*(INDEX(eff0BC_Com,5)+INDEX(pushBC_Com,4)) + 0</f>
        <v>2.5119112627986349</v>
      </c>
      <c r="AN153" s="22">
        <f ca="1">SUMPRODUCT(OFFSET(doEff,0,0,4,1),OFFSET(INDEX(bcEff_Com,1,36),0,0,4,1)) + INDEX(doEff,5)*(INDEX(eff0BC_Com,5)+INDEX(pushBC_Com,4)) + 0</f>
        <v>2.5119112627986349</v>
      </c>
      <c r="AO153" s="8"/>
    </row>
    <row r="154" spans="2:41" hidden="1" x14ac:dyDescent="0.3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</row>
    <row r="155" spans="2:41" x14ac:dyDescent="0.35">
      <c r="B155" s="8"/>
      <c r="C155" s="23" t="s">
        <v>73</v>
      </c>
      <c r="D155" s="24"/>
      <c r="E155" s="25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</row>
    <row r="156" spans="2:41" x14ac:dyDescent="0.35">
      <c r="B156" s="8"/>
      <c r="C156" s="19" t="str">
        <f>"EL 0: " &amp; INDEX(_doName,3,1)</f>
        <v>EL 0: Baseline</v>
      </c>
      <c r="D156" s="11" t="s">
        <v>74</v>
      </c>
      <c r="E156" s="34">
        <f t="array" ref="E156:E160">TRANSPOSE(efflrg)</f>
        <v>1.2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</row>
    <row r="157" spans="2:41" x14ac:dyDescent="0.35">
      <c r="B157" s="8"/>
      <c r="C157" s="19" t="str">
        <f>"EL 1: " &amp; INDEX(_doName,3,2)</f>
        <v>EL 1: Tier 1</v>
      </c>
      <c r="D157" s="11" t="s">
        <v>74</v>
      </c>
      <c r="E157" s="34">
        <v>2.0099999999999998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</row>
    <row r="158" spans="2:41" x14ac:dyDescent="0.35">
      <c r="B158" s="8"/>
      <c r="C158" s="19" t="str">
        <f>"EL 2: " &amp; INDEX(_doName,3,3)</f>
        <v>EL 2: Tier 2</v>
      </c>
      <c r="D158" s="11" t="s">
        <v>74</v>
      </c>
      <c r="E158" s="34">
        <v>2.91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</row>
    <row r="159" spans="2:41" x14ac:dyDescent="0.35">
      <c r="B159" s="8"/>
      <c r="C159" s="19" t="str">
        <f>"EL 3: " &amp; INDEX(_doName,3,4)</f>
        <v>EL 3: EL 3</v>
      </c>
      <c r="D159" s="11" t="s">
        <v>74</v>
      </c>
      <c r="E159" s="34">
        <v>6.55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</row>
    <row r="160" spans="2:41" x14ac:dyDescent="0.35">
      <c r="B160" s="8"/>
      <c r="C160" s="35" t="str">
        <f>"EL 4: " &amp; INDEX(_doName,3,5)</f>
        <v>EL 4: EL 4</v>
      </c>
      <c r="D160" s="15" t="s">
        <v>74</v>
      </c>
      <c r="E160" s="22">
        <v>7.41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</row>
    <row r="161" spans="2:41" x14ac:dyDescent="0.3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</row>
    <row r="162" spans="2:41" hidden="1" x14ac:dyDescent="0.35">
      <c r="B162" s="8"/>
      <c r="C162" s="23" t="s">
        <v>86</v>
      </c>
      <c r="D162" s="24"/>
      <c r="E162" s="26">
        <f t="array" ref="E162:AN162">_yS</f>
        <v>2024</v>
      </c>
      <c r="F162" s="26">
        <v>2025</v>
      </c>
      <c r="G162" s="26">
        <v>2026</v>
      </c>
      <c r="H162" s="26">
        <v>2027</v>
      </c>
      <c r="I162" s="26">
        <v>2028</v>
      </c>
      <c r="J162" s="26">
        <v>2029</v>
      </c>
      <c r="K162" s="26">
        <v>2030</v>
      </c>
      <c r="L162" s="26">
        <v>2031</v>
      </c>
      <c r="M162" s="26">
        <v>2032</v>
      </c>
      <c r="N162" s="26">
        <v>2033</v>
      </c>
      <c r="O162" s="26">
        <v>2034</v>
      </c>
      <c r="P162" s="26">
        <v>2035</v>
      </c>
      <c r="Q162" s="26">
        <v>2036</v>
      </c>
      <c r="R162" s="26">
        <v>2037</v>
      </c>
      <c r="S162" s="26">
        <v>2038</v>
      </c>
      <c r="T162" s="26">
        <v>2039</v>
      </c>
      <c r="U162" s="26">
        <v>2040</v>
      </c>
      <c r="V162" s="26">
        <v>2041</v>
      </c>
      <c r="W162" s="26">
        <v>2042</v>
      </c>
      <c r="X162" s="26">
        <v>2043</v>
      </c>
      <c r="Y162" s="26">
        <v>2044</v>
      </c>
      <c r="Z162" s="26">
        <v>2045</v>
      </c>
      <c r="AA162" s="26">
        <v>2046</v>
      </c>
      <c r="AB162" s="26">
        <v>2047</v>
      </c>
      <c r="AC162" s="26">
        <v>2048</v>
      </c>
      <c r="AD162" s="26">
        <v>2049</v>
      </c>
      <c r="AE162" s="26">
        <v>2050</v>
      </c>
      <c r="AF162" s="26">
        <v>2051</v>
      </c>
      <c r="AG162" s="26">
        <v>2052</v>
      </c>
      <c r="AH162" s="26">
        <v>2053</v>
      </c>
      <c r="AI162" s="26">
        <v>2054</v>
      </c>
      <c r="AJ162" s="26">
        <v>2055</v>
      </c>
      <c r="AK162" s="26">
        <v>2056</v>
      </c>
      <c r="AL162" s="26">
        <v>2057</v>
      </c>
      <c r="AM162" s="26">
        <v>2058</v>
      </c>
      <c r="AN162" s="27">
        <v>2059</v>
      </c>
      <c r="AO162" s="8"/>
    </row>
    <row r="163" spans="2:41" hidden="1" x14ac:dyDescent="0.35">
      <c r="B163" s="8"/>
      <c r="C163" s="19" t="str">
        <f>"EL 0: " &amp; INDEX(_doName,3,1)</f>
        <v>EL 0: Baseline</v>
      </c>
      <c r="D163" s="11"/>
      <c r="E163" s="32">
        <f t="array" ref="E163:AN163">tlccQu0_Res</f>
        <v>149.74619006406289</v>
      </c>
      <c r="F163" s="32">
        <v>148.72762501415832</v>
      </c>
      <c r="G163" s="32">
        <v>147.75545668923712</v>
      </c>
      <c r="H163" s="32">
        <v>146.82209235120754</v>
      </c>
      <c r="I163" s="32">
        <v>145.92208766309017</v>
      </c>
      <c r="J163" s="32">
        <v>145.05177382435113</v>
      </c>
      <c r="K163" s="32">
        <v>144.20861870746606</v>
      </c>
      <c r="L163" s="32">
        <v>143.39076411532616</v>
      </c>
      <c r="M163" s="32">
        <v>142.59659606629779</v>
      </c>
      <c r="N163" s="32">
        <v>141.8245391396475</v>
      </c>
      <c r="O163" s="32">
        <v>141.07300755414559</v>
      </c>
      <c r="P163" s="32">
        <v>140.34041275386332</v>
      </c>
      <c r="Q163" s="32">
        <v>139.62523543160938</v>
      </c>
      <c r="R163" s="32">
        <v>138.92610086926678</v>
      </c>
      <c r="S163" s="32">
        <v>138.24175667161651</v>
      </c>
      <c r="T163" s="32">
        <v>137.57122539564602</v>
      </c>
      <c r="U163" s="32">
        <v>136.9136015233274</v>
      </c>
      <c r="V163" s="32">
        <v>136.26809805398193</v>
      </c>
      <c r="W163" s="32">
        <v>135.63401352460554</v>
      </c>
      <c r="X163" s="32">
        <v>135.0107069104757</v>
      </c>
      <c r="Y163" s="32">
        <v>134.39758505782055</v>
      </c>
      <c r="Z163" s="32">
        <v>133.79409252419381</v>
      </c>
      <c r="AA163" s="32">
        <v>133.19971183290127</v>
      </c>
      <c r="AB163" s="32">
        <v>132.61396333919907</v>
      </c>
      <c r="AC163" s="32">
        <v>132.0364048175756</v>
      </c>
      <c r="AD163" s="32">
        <v>131.46662997252491</v>
      </c>
      <c r="AE163" s="32">
        <v>130.90426563406254</v>
      </c>
      <c r="AF163" s="32">
        <v>130.34896826762983</v>
      </c>
      <c r="AG163" s="32">
        <v>129.80042036511679</v>
      </c>
      <c r="AH163" s="32">
        <v>129.25832717090395</v>
      </c>
      <c r="AI163" s="32">
        <v>128.72241404112171</v>
      </c>
      <c r="AJ163" s="32">
        <v>128.19242443039653</v>
      </c>
      <c r="AK163" s="32">
        <v>127.66811832867829</v>
      </c>
      <c r="AL163" s="32">
        <v>127.14927118250681</v>
      </c>
      <c r="AM163" s="32">
        <v>126.63567269929729</v>
      </c>
      <c r="AN163" s="55">
        <v>126.12712597367637</v>
      </c>
      <c r="AO163" s="8"/>
    </row>
    <row r="164" spans="2:41" hidden="1" x14ac:dyDescent="0.35">
      <c r="B164" s="8"/>
      <c r="C164" s="19" t="str">
        <f>"EL 1: " &amp; INDEX(_doName,3,2)</f>
        <v>EL 1: Tier 1</v>
      </c>
      <c r="D164" s="11"/>
      <c r="E164" s="32">
        <f t="array" ref="E164:AN164">tlccQu1_Res</f>
        <v>151.78372976141856</v>
      </c>
      <c r="F164" s="32">
        <v>150.74413820865459</v>
      </c>
      <c r="G164" s="32">
        <v>149.75190116051766</v>
      </c>
      <c r="H164" s="32">
        <v>148.79926914005173</v>
      </c>
      <c r="I164" s="32">
        <v>147.88068542141497</v>
      </c>
      <c r="J164" s="32">
        <v>146.99240546807135</v>
      </c>
      <c r="K164" s="32">
        <v>146.13184488113043</v>
      </c>
      <c r="L164" s="32">
        <v>145.29710710423785</v>
      </c>
      <c r="M164" s="32">
        <v>144.48654483791796</v>
      </c>
      <c r="N164" s="32">
        <v>143.69855013961788</v>
      </c>
      <c r="O164" s="32">
        <v>142.93150449241426</v>
      </c>
      <c r="P164" s="32">
        <v>142.18378654740565</v>
      </c>
      <c r="Q164" s="32">
        <v>141.45384563394785</v>
      </c>
      <c r="R164" s="32">
        <v>140.74027865526074</v>
      </c>
      <c r="S164" s="32">
        <v>140.0418073626056</v>
      </c>
      <c r="T164" s="32">
        <v>139.35743413535982</v>
      </c>
      <c r="U164" s="32">
        <v>138.68623476265174</v>
      </c>
      <c r="V164" s="32">
        <v>138.02740599754316</v>
      </c>
      <c r="W164" s="32">
        <v>137.38023189654712</v>
      </c>
      <c r="X164" s="32">
        <v>136.74405820210123</v>
      </c>
      <c r="Y164" s="32">
        <v>136.11827951580622</v>
      </c>
      <c r="Z164" s="32">
        <v>135.50232892907323</v>
      </c>
      <c r="AA164" s="32">
        <v>134.89567828280218</v>
      </c>
      <c r="AB164" s="32">
        <v>134.29783803081821</v>
      </c>
      <c r="AC164" s="32">
        <v>133.70835681863366</v>
      </c>
      <c r="AD164" s="32">
        <v>133.12681996347885</v>
      </c>
      <c r="AE164" s="32">
        <v>132.55284659192452</v>
      </c>
      <c r="AF164" s="32">
        <v>131.9860860777388</v>
      </c>
      <c r="AG164" s="32">
        <v>131.42621435840942</v>
      </c>
      <c r="AH164" s="32">
        <v>130.87293059359999</v>
      </c>
      <c r="AI164" s="32">
        <v>130.32595446989629</v>
      </c>
      <c r="AJ164" s="32">
        <v>129.78502414599188</v>
      </c>
      <c r="AK164" s="32">
        <v>129.24989465724701</v>
      </c>
      <c r="AL164" s="32">
        <v>128.72033681468594</v>
      </c>
      <c r="AM164" s="32">
        <v>128.19613598459955</v>
      </c>
      <c r="AN164" s="55">
        <v>127.67709119684564</v>
      </c>
      <c r="AO164" s="8"/>
    </row>
    <row r="165" spans="2:41" hidden="1" x14ac:dyDescent="0.35">
      <c r="B165" s="8"/>
      <c r="C165" s="19" t="str">
        <f>"EL 2: " &amp; INDEX(_doName,3,3)</f>
        <v>EL 2: Tier 2</v>
      </c>
      <c r="D165" s="11"/>
      <c r="E165" s="32">
        <f t="array" ref="E165:AN165">tlccQu2_Res</f>
        <v>153.23973859668436</v>
      </c>
      <c r="F165" s="32">
        <v>152.18351640378921</v>
      </c>
      <c r="G165" s="32">
        <v>151.17540625892644</v>
      </c>
      <c r="H165" s="32">
        <v>150.20753471456504</v>
      </c>
      <c r="I165" s="32">
        <v>149.27425615234824</v>
      </c>
      <c r="J165" s="32">
        <v>148.37176613332977</v>
      </c>
      <c r="K165" s="32">
        <v>147.49743891525907</v>
      </c>
      <c r="L165" s="32">
        <v>146.6493476020334</v>
      </c>
      <c r="M165" s="32">
        <v>145.82581854186139</v>
      </c>
      <c r="N165" s="32">
        <v>145.02521806947834</v>
      </c>
      <c r="O165" s="32">
        <v>144.24590177608783</v>
      </c>
      <c r="P165" s="32">
        <v>143.48622237561142</v>
      </c>
      <c r="Q165" s="32">
        <v>142.74460439088801</v>
      </c>
      <c r="R165" s="32">
        <v>142.0196222794014</v>
      </c>
      <c r="S165" s="32">
        <v>141.30997734390621</v>
      </c>
      <c r="T165" s="32">
        <v>140.61465600456054</v>
      </c>
      <c r="U165" s="32">
        <v>139.93271926562997</v>
      </c>
      <c r="V165" s="32">
        <v>139.26335103040793</v>
      </c>
      <c r="W165" s="32">
        <v>138.60582390225687</v>
      </c>
      <c r="X165" s="32">
        <v>137.95947315727113</v>
      </c>
      <c r="Y165" s="32">
        <v>137.32368371232204</v>
      </c>
      <c r="Z165" s="32">
        <v>136.69787958982366</v>
      </c>
      <c r="AA165" s="32">
        <v>136.08152418156538</v>
      </c>
      <c r="AB165" s="32">
        <v>135.47412010996376</v>
      </c>
      <c r="AC165" s="32">
        <v>134.87520880008563</v>
      </c>
      <c r="AD165" s="32">
        <v>134.28436893536389</v>
      </c>
      <c r="AE165" s="32">
        <v>133.70121354942916</v>
      </c>
      <c r="AF165" s="32">
        <v>133.12538640698261</v>
      </c>
      <c r="AG165" s="32">
        <v>132.5565582613923</v>
      </c>
      <c r="AH165" s="32">
        <v>131.99442345969391</v>
      </c>
      <c r="AI165" s="32">
        <v>131.4386972042202</v>
      </c>
      <c r="AJ165" s="32">
        <v>130.88911346491534</v>
      </c>
      <c r="AK165" s="32">
        <v>130.34542335837082</v>
      </c>
      <c r="AL165" s="32">
        <v>129.80739402921017</v>
      </c>
      <c r="AM165" s="32">
        <v>129.27480741016805</v>
      </c>
      <c r="AN165" s="55">
        <v>128.74745931612605</v>
      </c>
      <c r="AO165" s="8"/>
    </row>
    <row r="166" spans="2:41" hidden="1" x14ac:dyDescent="0.35">
      <c r="B166" s="8"/>
      <c r="C166" s="19" t="str">
        <f>"EL 3: " &amp; INDEX(_doName,3,4)</f>
        <v>EL 3: EL 3</v>
      </c>
      <c r="D166" s="11"/>
      <c r="E166" s="32">
        <f t="array" ref="E166:AN166">tlccQu3_Res</f>
        <v>156.65458575353455</v>
      </c>
      <c r="F166" s="32">
        <v>155.6236936262419</v>
      </c>
      <c r="G166" s="32">
        <v>154.63975973546243</v>
      </c>
      <c r="H166" s="32">
        <v>153.69509945278284</v>
      </c>
      <c r="I166" s="32">
        <v>152.78420255170266</v>
      </c>
      <c r="J166" s="32">
        <v>151.90335583041178</v>
      </c>
      <c r="K166" s="32">
        <v>151.04999651657633</v>
      </c>
      <c r="L166" s="32">
        <v>150.22224392445062</v>
      </c>
      <c r="M166" s="32">
        <v>149.41846453935645</v>
      </c>
      <c r="N166" s="32">
        <v>148.63706387419506</v>
      </c>
      <c r="O166" s="32">
        <v>147.87643695598473</v>
      </c>
      <c r="P166" s="32">
        <v>147.13497600346403</v>
      </c>
      <c r="Q166" s="32">
        <v>146.41114332218473</v>
      </c>
      <c r="R166" s="32">
        <v>145.70354755664698</v>
      </c>
      <c r="S166" s="32">
        <v>145.01092115464925</v>
      </c>
      <c r="T166" s="32">
        <v>144.33227484377667</v>
      </c>
      <c r="U166" s="32">
        <v>143.6666921470638</v>
      </c>
      <c r="V166" s="32">
        <v>143.01337653923815</v>
      </c>
      <c r="W166" s="32">
        <v>142.37161806791281</v>
      </c>
      <c r="X166" s="32">
        <v>141.7407679504303</v>
      </c>
      <c r="Y166" s="32">
        <v>141.120225854437</v>
      </c>
      <c r="Z166" s="32">
        <v>140.50942961530237</v>
      </c>
      <c r="AA166" s="32">
        <v>139.90785549362437</v>
      </c>
      <c r="AB166" s="32">
        <v>139.31501803980862</v>
      </c>
      <c r="AC166" s="32">
        <v>138.73046967635537</v>
      </c>
      <c r="AD166" s="32">
        <v>138.15379919060956</v>
      </c>
      <c r="AE166" s="32">
        <v>137.58462889633594</v>
      </c>
      <c r="AF166" s="32">
        <v>137.02261110138465</v>
      </c>
      <c r="AG166" s="32">
        <v>136.46742445503688</v>
      </c>
      <c r="AH166" s="32">
        <v>135.91877063442394</v>
      </c>
      <c r="AI166" s="32">
        <v>135.37637167182746</v>
      </c>
      <c r="AJ166" s="32">
        <v>134.83996791706019</v>
      </c>
      <c r="AK166" s="32">
        <v>134.30931645537549</v>
      </c>
      <c r="AL166" s="32">
        <v>133.78419001567823</v>
      </c>
      <c r="AM166" s="32">
        <v>133.26437576033956</v>
      </c>
      <c r="AN166" s="55">
        <v>132.74967440095935</v>
      </c>
      <c r="AO166" s="8"/>
    </row>
    <row r="167" spans="2:41" hidden="1" x14ac:dyDescent="0.35">
      <c r="B167" s="8"/>
      <c r="C167" s="35" t="str">
        <f>"EL 4: " &amp; INDEX(_doName,3,5)</f>
        <v>EL 4: EL 4</v>
      </c>
      <c r="D167" s="15"/>
      <c r="E167" s="59">
        <f t="array" ref="E167:AN167">tlccQu4_Res</f>
        <v>157.17463433051583</v>
      </c>
      <c r="F167" s="59">
        <v>156.14785380741077</v>
      </c>
      <c r="G167" s="59">
        <v>155.16784423286049</v>
      </c>
      <c r="H167" s="59">
        <v>154.2269516277791</v>
      </c>
      <c r="I167" s="59">
        <v>153.31968774262151</v>
      </c>
      <c r="J167" s="59">
        <v>152.44235418529027</v>
      </c>
      <c r="K167" s="59">
        <v>151.59239840479785</v>
      </c>
      <c r="L167" s="59">
        <v>150.7679472163147</v>
      </c>
      <c r="M167" s="59">
        <v>149.967373620263</v>
      </c>
      <c r="N167" s="59">
        <v>149.18908948898721</v>
      </c>
      <c r="O167" s="59">
        <v>148.43149625077046</v>
      </c>
      <c r="P167" s="59">
        <v>147.69299253681683</v>
      </c>
      <c r="Q167" s="59">
        <v>146.97204678560973</v>
      </c>
      <c r="R167" s="59">
        <v>146.26727319092356</v>
      </c>
      <c r="S167" s="59">
        <v>145.57740925605452</v>
      </c>
      <c r="T167" s="59">
        <v>144.90146965419623</v>
      </c>
      <c r="U167" s="59">
        <v>144.23854156365459</v>
      </c>
      <c r="V167" s="59">
        <v>143.58783163601399</v>
      </c>
      <c r="W167" s="59">
        <v>142.94863275045739</v>
      </c>
      <c r="X167" s="59">
        <v>142.32029871192836</v>
      </c>
      <c r="Y167" s="59">
        <v>141.70223158243536</v>
      </c>
      <c r="Z167" s="59">
        <v>141.093871439482</v>
      </c>
      <c r="AA167" s="59">
        <v>140.49469663254541</v>
      </c>
      <c r="AB167" s="59">
        <v>139.90422364819565</v>
      </c>
      <c r="AC167" s="59">
        <v>139.32200669404835</v>
      </c>
      <c r="AD167" s="59">
        <v>138.74763619752676</v>
      </c>
      <c r="AE167" s="59">
        <v>138.1807359787571</v>
      </c>
      <c r="AF167" s="59">
        <v>137.62095973232292</v>
      </c>
      <c r="AG167" s="59">
        <v>137.06798738917874</v>
      </c>
      <c r="AH167" s="59">
        <v>136.52152181628512</v>
      </c>
      <c r="AI167" s="59">
        <v>135.98128615456844</v>
      </c>
      <c r="AJ167" s="59">
        <v>135.44702178942882</v>
      </c>
      <c r="AK167" s="59">
        <v>134.91848677495938</v>
      </c>
      <c r="AL167" s="59">
        <v>134.39545474651166</v>
      </c>
      <c r="AM167" s="59">
        <v>133.87771371533722</v>
      </c>
      <c r="AN167" s="60">
        <v>133.36506518787664</v>
      </c>
      <c r="AO167" s="8"/>
    </row>
    <row r="168" spans="2:41" hidden="1" x14ac:dyDescent="0.3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</row>
    <row r="169" spans="2:41" hidden="1" x14ac:dyDescent="0.35">
      <c r="B169" s="8"/>
      <c r="C169" s="23" t="s">
        <v>85</v>
      </c>
      <c r="D169" s="24"/>
      <c r="E169" s="26">
        <f t="array" ref="E169:AN169">_yS</f>
        <v>2024</v>
      </c>
      <c r="F169" s="26">
        <v>2025</v>
      </c>
      <c r="G169" s="26">
        <v>2026</v>
      </c>
      <c r="H169" s="26">
        <v>2027</v>
      </c>
      <c r="I169" s="26">
        <v>2028</v>
      </c>
      <c r="J169" s="26">
        <v>2029</v>
      </c>
      <c r="K169" s="26">
        <v>2030</v>
      </c>
      <c r="L169" s="26">
        <v>2031</v>
      </c>
      <c r="M169" s="26">
        <v>2032</v>
      </c>
      <c r="N169" s="26">
        <v>2033</v>
      </c>
      <c r="O169" s="26">
        <v>2034</v>
      </c>
      <c r="P169" s="26">
        <v>2035</v>
      </c>
      <c r="Q169" s="26">
        <v>2036</v>
      </c>
      <c r="R169" s="26">
        <v>2037</v>
      </c>
      <c r="S169" s="26">
        <v>2038</v>
      </c>
      <c r="T169" s="26">
        <v>2039</v>
      </c>
      <c r="U169" s="26">
        <v>2040</v>
      </c>
      <c r="V169" s="26">
        <v>2041</v>
      </c>
      <c r="W169" s="26">
        <v>2042</v>
      </c>
      <c r="X169" s="26">
        <v>2043</v>
      </c>
      <c r="Y169" s="26">
        <v>2044</v>
      </c>
      <c r="Z169" s="26">
        <v>2045</v>
      </c>
      <c r="AA169" s="26">
        <v>2046</v>
      </c>
      <c r="AB169" s="26">
        <v>2047</v>
      </c>
      <c r="AC169" s="26">
        <v>2048</v>
      </c>
      <c r="AD169" s="26">
        <v>2049</v>
      </c>
      <c r="AE169" s="26">
        <v>2050</v>
      </c>
      <c r="AF169" s="26">
        <v>2051</v>
      </c>
      <c r="AG169" s="26">
        <v>2052</v>
      </c>
      <c r="AH169" s="26">
        <v>2053</v>
      </c>
      <c r="AI169" s="26">
        <v>2054</v>
      </c>
      <c r="AJ169" s="26">
        <v>2055</v>
      </c>
      <c r="AK169" s="26">
        <v>2056</v>
      </c>
      <c r="AL169" s="26">
        <v>2057</v>
      </c>
      <c r="AM169" s="26">
        <v>2058</v>
      </c>
      <c r="AN169" s="27">
        <v>2059</v>
      </c>
      <c r="AO169" s="8"/>
    </row>
    <row r="170" spans="2:41" hidden="1" x14ac:dyDescent="0.35">
      <c r="B170" s="8"/>
      <c r="C170" s="19" t="str">
        <f>"EL 0: " &amp; INDEX(_doName,3,1)</f>
        <v>EL 0: Baseline</v>
      </c>
      <c r="D170" s="11"/>
      <c r="E170" s="32">
        <f t="array" ref="E170:AN170">tlccQu0_Com</f>
        <v>144.64147251229369</v>
      </c>
      <c r="F170" s="32">
        <v>143.65762946022855</v>
      </c>
      <c r="G170" s="32">
        <v>142.71860150909166</v>
      </c>
      <c r="H170" s="32">
        <v>141.81705475063791</v>
      </c>
      <c r="I170" s="32">
        <v>140.94773044060653</v>
      </c>
      <c r="J170" s="32">
        <v>140.10708484468728</v>
      </c>
      <c r="K170" s="32">
        <v>139.29267215338371</v>
      </c>
      <c r="L170" s="32">
        <v>138.50269751391244</v>
      </c>
      <c r="M170" s="32">
        <v>137.7356019638718</v>
      </c>
      <c r="N170" s="32">
        <v>136.9898637872528</v>
      </c>
      <c r="O170" s="32">
        <v>136.26395126073049</v>
      </c>
      <c r="P170" s="32">
        <v>135.5563299808679</v>
      </c>
      <c r="Q170" s="32">
        <v>134.86553243233627</v>
      </c>
      <c r="R170" s="32">
        <v>134.19023075996509</v>
      </c>
      <c r="S170" s="32">
        <v>133.52921526160063</v>
      </c>
      <c r="T170" s="32">
        <v>132.88154181441359</v>
      </c>
      <c r="U170" s="32">
        <v>132.24633576869911</v>
      </c>
      <c r="V170" s="32">
        <v>131.62283695194802</v>
      </c>
      <c r="W170" s="32">
        <v>131.01036781342086</v>
      </c>
      <c r="X170" s="32">
        <v>130.40830918037102</v>
      </c>
      <c r="Y170" s="32">
        <v>129.81608811912349</v>
      </c>
      <c r="Z170" s="32">
        <v>129.23316812178265</v>
      </c>
      <c r="AA170" s="32">
        <v>128.65904935198523</v>
      </c>
      <c r="AB170" s="32">
        <v>128.09326851566016</v>
      </c>
      <c r="AC170" s="32">
        <v>127.53539846237931</v>
      </c>
      <c r="AD170" s="32">
        <v>126.98504674689767</v>
      </c>
      <c r="AE170" s="32">
        <v>126.44185292027142</v>
      </c>
      <c r="AF170" s="32">
        <v>125.90548515873662</v>
      </c>
      <c r="AG170" s="32">
        <v>125.37563677775898</v>
      </c>
      <c r="AH170" s="32">
        <v>124.85202306968205</v>
      </c>
      <c r="AI170" s="32">
        <v>124.33437875300719</v>
      </c>
      <c r="AJ170" s="32">
        <v>123.8224560277698</v>
      </c>
      <c r="AK170" s="32">
        <v>123.31602306565397</v>
      </c>
      <c r="AL170" s="32">
        <v>122.81486296803186</v>
      </c>
      <c r="AM170" s="32">
        <v>122.31877261101025</v>
      </c>
      <c r="AN170" s="55">
        <v>121.82756180154895</v>
      </c>
      <c r="AO170" s="8"/>
    </row>
    <row r="171" spans="2:41" hidden="1" x14ac:dyDescent="0.35">
      <c r="B171" s="8"/>
      <c r="C171" s="19" t="str">
        <f>"EL 1: " &amp; INDEX(_doName,3,2)</f>
        <v>EL 1: Tier 1</v>
      </c>
      <c r="D171" s="11"/>
      <c r="E171" s="32">
        <f t="array" ref="E171:AN171">tlccQu1_Com</f>
        <v>146.66110451253024</v>
      </c>
      <c r="F171" s="32">
        <v>145.65659865666601</v>
      </c>
      <c r="G171" s="32">
        <v>144.69784911449338</v>
      </c>
      <c r="H171" s="32">
        <v>143.77736795004219</v>
      </c>
      <c r="I171" s="32">
        <v>142.88978597419896</v>
      </c>
      <c r="J171" s="32">
        <v>142.03148502666997</v>
      </c>
      <c r="K171" s="32">
        <v>141.19996793073949</v>
      </c>
      <c r="L171" s="32">
        <v>140.39340213788523</v>
      </c>
      <c r="M171" s="32">
        <v>139.61019594416791</v>
      </c>
      <c r="N171" s="32">
        <v>138.84879567429471</v>
      </c>
      <c r="O171" s="32">
        <v>138.10763743548188</v>
      </c>
      <c r="P171" s="32">
        <v>137.38515459854557</v>
      </c>
      <c r="Q171" s="32">
        <v>136.67984882720319</v>
      </c>
      <c r="R171" s="32">
        <v>135.99036437849173</v>
      </c>
      <c r="S171" s="32">
        <v>135.31546614393051</v>
      </c>
      <c r="T171" s="32">
        <v>134.65419017209584</v>
      </c>
      <c r="U171" s="32">
        <v>134.00564344377247</v>
      </c>
      <c r="V171" s="32">
        <v>133.36904982120615</v>
      </c>
      <c r="W171" s="32">
        <v>132.74371752364584</v>
      </c>
      <c r="X171" s="32">
        <v>132.12901437439587</v>
      </c>
      <c r="Y171" s="32">
        <v>131.52435540695129</v>
      </c>
      <c r="Z171" s="32">
        <v>130.92919284560563</v>
      </c>
      <c r="AA171" s="32">
        <v>130.3430163563653</v>
      </c>
      <c r="AB171" s="32">
        <v>129.76535291499488</v>
      </c>
      <c r="AC171" s="32">
        <v>129.19576639999576</v>
      </c>
      <c r="AD171" s="32">
        <v>128.63385612393517</v>
      </c>
      <c r="AE171" s="32">
        <v>128.07925406767222</v>
      </c>
      <c r="AF171" s="32">
        <v>127.53162143843575</v>
      </c>
      <c r="AG171" s="32">
        <v>126.99064511066173</v>
      </c>
      <c r="AH171" s="32">
        <v>126.45603439722525</v>
      </c>
      <c r="AI171" s="32">
        <v>125.92751844515013</v>
      </c>
      <c r="AJ171" s="32">
        <v>125.4048442501436</v>
      </c>
      <c r="AK171" s="32">
        <v>124.88777511500037</v>
      </c>
      <c r="AL171" s="32">
        <v>124.37608958575849</v>
      </c>
      <c r="AM171" s="32">
        <v>123.86958027248953</v>
      </c>
      <c r="AN171" s="55">
        <v>123.3680529876935</v>
      </c>
      <c r="AO171" s="8"/>
    </row>
    <row r="172" spans="2:41" hidden="1" x14ac:dyDescent="0.35">
      <c r="B172" s="8"/>
      <c r="C172" s="19" t="str">
        <f>"EL 2: " &amp; INDEX(_doName,3,3)</f>
        <v>EL 2: Tier 2</v>
      </c>
      <c r="D172" s="11"/>
      <c r="E172" s="32">
        <f t="array" ref="E172:AN172">tlccQu2_Com</f>
        <v>148.10417280529734</v>
      </c>
      <c r="F172" s="32">
        <v>147.08334807921864</v>
      </c>
      <c r="G172" s="32">
        <v>146.10902300878448</v>
      </c>
      <c r="H172" s="32">
        <v>145.17358801149106</v>
      </c>
      <c r="I172" s="32">
        <v>144.27158667215292</v>
      </c>
      <c r="J172" s="32">
        <v>143.39934205103961</v>
      </c>
      <c r="K172" s="32">
        <v>142.55431640312767</v>
      </c>
      <c r="L172" s="32">
        <v>141.73464740891706</v>
      </c>
      <c r="M172" s="32">
        <v>140.93871750617222</v>
      </c>
      <c r="N172" s="32">
        <v>140.16494777910489</v>
      </c>
      <c r="O172" s="32">
        <v>139.411748928446</v>
      </c>
      <c r="P172" s="32">
        <v>138.67752887407158</v>
      </c>
      <c r="Q172" s="32">
        <v>137.96076493822284</v>
      </c>
      <c r="R172" s="32">
        <v>137.26007935298466</v>
      </c>
      <c r="S172" s="32">
        <v>136.57421694471208</v>
      </c>
      <c r="T172" s="32">
        <v>135.90219810194509</v>
      </c>
      <c r="U172" s="32">
        <v>135.2431152977733</v>
      </c>
      <c r="V172" s="32">
        <v>134.59617978556506</v>
      </c>
      <c r="W172" s="32">
        <v>133.96068854612773</v>
      </c>
      <c r="X172" s="32">
        <v>133.33599913263203</v>
      </c>
      <c r="Y172" s="32">
        <v>132.72151707540041</v>
      </c>
      <c r="Z172" s="32">
        <v>132.11668569974333</v>
      </c>
      <c r="AA172" s="32">
        <v>131.52098638094964</v>
      </c>
      <c r="AB172" s="32">
        <v>130.93393841018866</v>
      </c>
      <c r="AC172" s="32">
        <v>130.3550985808759</v>
      </c>
      <c r="AD172" s="32">
        <v>129.78405969614303</v>
      </c>
      <c r="AE172" s="32">
        <v>129.22044775813174</v>
      </c>
      <c r="AF172" s="32">
        <v>128.66391847015549</v>
      </c>
      <c r="AG172" s="32">
        <v>128.11415361971581</v>
      </c>
      <c r="AH172" s="32">
        <v>127.57085779728079</v>
      </c>
      <c r="AI172" s="32">
        <v>127.03375574968632</v>
      </c>
      <c r="AJ172" s="32">
        <v>126.50259036241549</v>
      </c>
      <c r="AK172" s="32">
        <v>125.97712109295838</v>
      </c>
      <c r="AL172" s="32">
        <v>125.45712288968521</v>
      </c>
      <c r="AM172" s="32">
        <v>124.94238499347927</v>
      </c>
      <c r="AN172" s="55">
        <v>124.4327100621346</v>
      </c>
      <c r="AO172" s="8"/>
    </row>
    <row r="173" spans="2:41" hidden="1" x14ac:dyDescent="0.35">
      <c r="B173" s="8"/>
      <c r="C173" s="19" t="str">
        <f>"EL 3: " &amp; INDEX(_doName,3,4)</f>
        <v>EL 3: EL 3</v>
      </c>
      <c r="D173" s="11"/>
      <c r="E173" s="32">
        <f t="array" ref="E173:AN173">tlccQu3_Com</f>
        <v>151.4947910729116</v>
      </c>
      <c r="F173" s="32">
        <v>150.49785385149747</v>
      </c>
      <c r="G173" s="32">
        <v>149.54632818439882</v>
      </c>
      <c r="H173" s="32">
        <v>148.63278255487873</v>
      </c>
      <c r="I173" s="32">
        <v>147.75188822896851</v>
      </c>
      <c r="J173" s="32">
        <v>146.90005430806966</v>
      </c>
      <c r="K173" s="32">
        <v>146.07480243090455</v>
      </c>
      <c r="L173" s="32">
        <v>145.27431385662535</v>
      </c>
      <c r="M173" s="32">
        <v>144.49700887427946</v>
      </c>
      <c r="N173" s="32">
        <v>143.74134551502675</v>
      </c>
      <c r="O173" s="32">
        <v>143.00577166952183</v>
      </c>
      <c r="P173" s="32">
        <v>142.28873251263707</v>
      </c>
      <c r="Q173" s="32">
        <v>141.58874099758063</v>
      </c>
      <c r="R173" s="32">
        <v>140.90445159648471</v>
      </c>
      <c r="S173" s="32">
        <v>140.23463850702103</v>
      </c>
      <c r="T173" s="32">
        <v>139.57834504083553</v>
      </c>
      <c r="U173" s="32">
        <v>138.93468490733068</v>
      </c>
      <c r="V173" s="32">
        <v>138.30288781670524</v>
      </c>
      <c r="W173" s="32">
        <v>137.68226720055765</v>
      </c>
      <c r="X173" s="32">
        <v>137.07219564544405</v>
      </c>
      <c r="Y173" s="32">
        <v>136.47209259239742</v>
      </c>
      <c r="Z173" s="32">
        <v>135.88141439302825</v>
      </c>
      <c r="AA173" s="32">
        <v>135.29965455854844</v>
      </c>
      <c r="AB173" s="32">
        <v>134.72634362881087</v>
      </c>
      <c r="AC173" s="32">
        <v>134.1610487683547</v>
      </c>
      <c r="AD173" s="32">
        <v>133.6033723088004</v>
      </c>
      <c r="AE173" s="32">
        <v>133.05294900391519</v>
      </c>
      <c r="AF173" s="32">
        <v>132.50944261362437</v>
      </c>
      <c r="AG173" s="32">
        <v>131.97254237166621</v>
      </c>
      <c r="AH173" s="32">
        <v>131.44195978115155</v>
      </c>
      <c r="AI173" s="32">
        <v>130.91742602989581</v>
      </c>
      <c r="AJ173" s="32">
        <v>130.39869001991369</v>
      </c>
      <c r="AK173" s="32">
        <v>129.88551683743856</v>
      </c>
      <c r="AL173" s="32">
        <v>129.37768669709425</v>
      </c>
      <c r="AM173" s="32">
        <v>128.87499377156988</v>
      </c>
      <c r="AN173" s="55">
        <v>128.37724533650697</v>
      </c>
      <c r="AO173" s="8"/>
    </row>
    <row r="174" spans="2:41" hidden="1" x14ac:dyDescent="0.35">
      <c r="B174" s="8"/>
      <c r="C174" s="35" t="str">
        <f>"EL 4: " &amp; INDEX(_doName,3,5)</f>
        <v>EL 4: EL 4</v>
      </c>
      <c r="D174" s="15"/>
      <c r="E174" s="59">
        <f t="array" ref="E174:AN174">tlccQu4_Com</f>
        <v>152.01115515714707</v>
      </c>
      <c r="F174" s="59">
        <v>151.0181062846309</v>
      </c>
      <c r="G174" s="59">
        <v>150.07029184798853</v>
      </c>
      <c r="H174" s="59">
        <v>149.1603093155878</v>
      </c>
      <c r="I174" s="59">
        <v>148.28285073709253</v>
      </c>
      <c r="J174" s="59">
        <v>147.43433921946684</v>
      </c>
      <c r="K174" s="59">
        <v>146.61230606777232</v>
      </c>
      <c r="L174" s="59">
        <v>145.81493963478627</v>
      </c>
      <c r="M174" s="59">
        <v>145.04066637089423</v>
      </c>
      <c r="N174" s="59">
        <v>144.28795032138888</v>
      </c>
      <c r="O174" s="59">
        <v>143.55524543060861</v>
      </c>
      <c r="P174" s="59">
        <v>142.84100293770186</v>
      </c>
      <c r="Q174" s="59">
        <v>142.14374159579748</v>
      </c>
      <c r="R174" s="59">
        <v>141.46212112498273</v>
      </c>
      <c r="S174" s="59">
        <v>140.79492050391954</v>
      </c>
      <c r="T174" s="59">
        <v>140.14118677562041</v>
      </c>
      <c r="U174" s="59">
        <v>139.50003710628226</v>
      </c>
      <c r="V174" s="59">
        <v>138.87070421046099</v>
      </c>
      <c r="W174" s="59">
        <v>138.2525041975741</v>
      </c>
      <c r="X174" s="59">
        <v>137.64481210127502</v>
      </c>
      <c r="Y174" s="59">
        <v>137.04704962694774</v>
      </c>
      <c r="Z174" s="59">
        <v>136.45867524659167</v>
      </c>
      <c r="AA174" s="59">
        <v>135.87918444687423</v>
      </c>
      <c r="AB174" s="59">
        <v>135.3081095986812</v>
      </c>
      <c r="AC174" s="59">
        <v>134.7450195547375</v>
      </c>
      <c r="AD174" s="59">
        <v>134.18951819768751</v>
      </c>
      <c r="AE174" s="59">
        <v>133.64124170586632</v>
      </c>
      <c r="AF174" s="59">
        <v>133.09985515063465</v>
      </c>
      <c r="AG174" s="59">
        <v>132.56504897781076</v>
      </c>
      <c r="AH174" s="59">
        <v>132.03653581572831</v>
      </c>
      <c r="AI174" s="59">
        <v>131.51404790064944</v>
      </c>
      <c r="AJ174" s="59">
        <v>130.99733511394498</v>
      </c>
      <c r="AK174" s="59">
        <v>130.48616345808128</v>
      </c>
      <c r="AL174" s="59">
        <v>129.98031400490979</v>
      </c>
      <c r="AM174" s="59">
        <v>129.47958172990684</v>
      </c>
      <c r="AN174" s="60">
        <v>128.98377466039571</v>
      </c>
      <c r="AO174" s="8"/>
    </row>
    <row r="175" spans="2:41" hidden="1" x14ac:dyDescent="0.3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</row>
    <row r="176" spans="2:41" hidden="1" x14ac:dyDescent="0.35">
      <c r="B176" s="8"/>
      <c r="C176" s="23" t="s">
        <v>84</v>
      </c>
      <c r="D176" s="24"/>
      <c r="E176" s="26">
        <f t="array" ref="E176:AN176">_yS</f>
        <v>2024</v>
      </c>
      <c r="F176" s="26">
        <v>2025</v>
      </c>
      <c r="G176" s="26">
        <v>2026</v>
      </c>
      <c r="H176" s="26">
        <v>2027</v>
      </c>
      <c r="I176" s="26">
        <v>2028</v>
      </c>
      <c r="J176" s="26">
        <v>2029</v>
      </c>
      <c r="K176" s="26">
        <v>2030</v>
      </c>
      <c r="L176" s="26">
        <v>2031</v>
      </c>
      <c r="M176" s="26">
        <v>2032</v>
      </c>
      <c r="N176" s="26">
        <v>2033</v>
      </c>
      <c r="O176" s="26">
        <v>2034</v>
      </c>
      <c r="P176" s="26">
        <v>2035</v>
      </c>
      <c r="Q176" s="26">
        <v>2036</v>
      </c>
      <c r="R176" s="26">
        <v>2037</v>
      </c>
      <c r="S176" s="26">
        <v>2038</v>
      </c>
      <c r="T176" s="26">
        <v>2039</v>
      </c>
      <c r="U176" s="26">
        <v>2040</v>
      </c>
      <c r="V176" s="26">
        <v>2041</v>
      </c>
      <c r="W176" s="26">
        <v>2042</v>
      </c>
      <c r="X176" s="26">
        <v>2043</v>
      </c>
      <c r="Y176" s="26">
        <v>2044</v>
      </c>
      <c r="Z176" s="26">
        <v>2045</v>
      </c>
      <c r="AA176" s="26">
        <v>2046</v>
      </c>
      <c r="AB176" s="26">
        <v>2047</v>
      </c>
      <c r="AC176" s="26">
        <v>2048</v>
      </c>
      <c r="AD176" s="26">
        <v>2049</v>
      </c>
      <c r="AE176" s="26">
        <v>2050</v>
      </c>
      <c r="AF176" s="26">
        <v>2051</v>
      </c>
      <c r="AG176" s="26">
        <v>2052</v>
      </c>
      <c r="AH176" s="26">
        <v>2053</v>
      </c>
      <c r="AI176" s="26">
        <v>2054</v>
      </c>
      <c r="AJ176" s="26">
        <v>2055</v>
      </c>
      <c r="AK176" s="26">
        <v>2056</v>
      </c>
      <c r="AL176" s="26">
        <v>2057</v>
      </c>
      <c r="AM176" s="26">
        <v>2058</v>
      </c>
      <c r="AN176" s="27">
        <v>2059</v>
      </c>
      <c r="AO176" s="8"/>
    </row>
    <row r="177" spans="2:41" hidden="1" x14ac:dyDescent="0.35">
      <c r="B177" s="8"/>
      <c r="C177" s="19" t="str">
        <f>"EL 0: " &amp; INDEX(_doName,3,1)</f>
        <v>EL 0: Baseline</v>
      </c>
      <c r="D177" s="11"/>
      <c r="E177" s="32">
        <f t="array" aca="1" ref="E177:AN177" ca="1">tlccEu0_Res</f>
        <v>401.43243822275895</v>
      </c>
      <c r="F177" s="32">
        <f ca="1"/>
        <v>401.798392325637</v>
      </c>
      <c r="G177" s="32">
        <f ca="1"/>
        <v>402.3737532602596</v>
      </c>
      <c r="H177" s="32">
        <f ca="1"/>
        <v>403.04065573499338</v>
      </c>
      <c r="I177" s="32">
        <f ca="1"/>
        <v>403.66617712158893</v>
      </c>
      <c r="J177" s="32">
        <f ca="1"/>
        <v>404.19088557981519</v>
      </c>
      <c r="K177" s="32">
        <f ca="1"/>
        <v>404.59768693736351</v>
      </c>
      <c r="L177" s="32">
        <f ca="1"/>
        <v>404.92153802735049</v>
      </c>
      <c r="M177" s="32">
        <f ca="1"/>
        <v>405.08795809165792</v>
      </c>
      <c r="N177" s="32">
        <f ca="1"/>
        <v>405.11833768558301</v>
      </c>
      <c r="O177" s="32">
        <f ca="1"/>
        <v>404.90161144511376</v>
      </c>
      <c r="P177" s="32">
        <f ca="1"/>
        <v>404.48111079979282</v>
      </c>
      <c r="Q177" s="32">
        <f ca="1"/>
        <v>404.14651852391876</v>
      </c>
      <c r="R177" s="32">
        <f ca="1"/>
        <v>403.79898458544619</v>
      </c>
      <c r="S177" s="32">
        <f ca="1"/>
        <v>403.53393362068721</v>
      </c>
      <c r="T177" s="32">
        <f ca="1"/>
        <v>403.35858977882106</v>
      </c>
      <c r="U177" s="32">
        <f ca="1"/>
        <v>403.11084771835311</v>
      </c>
      <c r="V177" s="32">
        <f ca="1"/>
        <v>402.8058480190773</v>
      </c>
      <c r="W177" s="32">
        <f ca="1"/>
        <v>402.53505529761566</v>
      </c>
      <c r="X177" s="32">
        <f ca="1"/>
        <v>402.20202505727713</v>
      </c>
      <c r="Y177" s="32">
        <f ca="1"/>
        <v>401.87894467694366</v>
      </c>
      <c r="Z177" s="32">
        <f ca="1"/>
        <v>401.70324106117613</v>
      </c>
      <c r="AA177" s="32">
        <f ca="1"/>
        <v>401.47257602385241</v>
      </c>
      <c r="AB177" s="32">
        <f ca="1"/>
        <v>401.24877549639018</v>
      </c>
      <c r="AC177" s="32">
        <f ca="1"/>
        <v>401.06589820342936</v>
      </c>
      <c r="AD177" s="32">
        <f ca="1"/>
        <v>400.81703315685957</v>
      </c>
      <c r="AE177" s="32">
        <f ca="1"/>
        <v>400.61632349484631</v>
      </c>
      <c r="AF177" s="32">
        <f ca="1"/>
        <v>400.61632349484631</v>
      </c>
      <c r="AG177" s="32">
        <f ca="1"/>
        <v>400.61632349484631</v>
      </c>
      <c r="AH177" s="32">
        <f ca="1"/>
        <v>400.61632349484631</v>
      </c>
      <c r="AI177" s="32">
        <f ca="1"/>
        <v>400.61632349484631</v>
      </c>
      <c r="AJ177" s="32">
        <f ca="1"/>
        <v>400.61632349484631</v>
      </c>
      <c r="AK177" s="32">
        <f ca="1"/>
        <v>400.61632349484631</v>
      </c>
      <c r="AL177" s="32">
        <f ca="1"/>
        <v>400.61632349484631</v>
      </c>
      <c r="AM177" s="32">
        <f ca="1"/>
        <v>400.61632349484631</v>
      </c>
      <c r="AN177" s="55">
        <f ca="1"/>
        <v>400.61632349484631</v>
      </c>
      <c r="AO177" s="8"/>
    </row>
    <row r="178" spans="2:41" hidden="1" x14ac:dyDescent="0.35">
      <c r="B178" s="8"/>
      <c r="C178" s="19" t="str">
        <f>"EL 1: " &amp; INDEX(_doName,3,2)</f>
        <v>EL 1: Tier 1</v>
      </c>
      <c r="D178" s="11"/>
      <c r="E178" s="32">
        <f t="array" aca="1" ref="E178:AN178" ca="1">tlccEu1_Res</f>
        <v>316.76969019401162</v>
      </c>
      <c r="F178" s="32">
        <f ca="1"/>
        <v>316.98958738814792</v>
      </c>
      <c r="G178" s="32">
        <f ca="1"/>
        <v>317.33531450022042</v>
      </c>
      <c r="H178" s="32">
        <f ca="1"/>
        <v>317.73604776650484</v>
      </c>
      <c r="I178" s="32">
        <f ca="1"/>
        <v>318.11191566005442</v>
      </c>
      <c r="J178" s="32">
        <f ca="1"/>
        <v>318.42720633939405</v>
      </c>
      <c r="K178" s="32">
        <f ca="1"/>
        <v>318.6716481324828</v>
      </c>
      <c r="L178" s="32">
        <f ca="1"/>
        <v>318.86624615842663</v>
      </c>
      <c r="M178" s="32">
        <f ca="1"/>
        <v>318.96624587123591</v>
      </c>
      <c r="N178" s="32">
        <f ca="1"/>
        <v>318.98450058517562</v>
      </c>
      <c r="O178" s="32">
        <f ca="1"/>
        <v>318.85427252706654</v>
      </c>
      <c r="P178" s="32">
        <f ca="1"/>
        <v>318.60159900513753</v>
      </c>
      <c r="Q178" s="32">
        <f ca="1"/>
        <v>318.40054673638099</v>
      </c>
      <c r="R178" s="32">
        <f ca="1"/>
        <v>318.19171798617378</v>
      </c>
      <c r="S178" s="32">
        <f ca="1"/>
        <v>318.0324522121457</v>
      </c>
      <c r="T178" s="32">
        <f ca="1"/>
        <v>317.9270903142131</v>
      </c>
      <c r="U178" s="32">
        <f ca="1"/>
        <v>317.77822524195955</v>
      </c>
      <c r="V178" s="32">
        <f ca="1"/>
        <v>317.59495477838038</v>
      </c>
      <c r="W178" s="32">
        <f ca="1"/>
        <v>317.43223885533524</v>
      </c>
      <c r="X178" s="32">
        <f ca="1"/>
        <v>317.23212519398527</v>
      </c>
      <c r="Y178" s="32">
        <f ca="1"/>
        <v>317.03799027772914</v>
      </c>
      <c r="Z178" s="32">
        <f ca="1"/>
        <v>316.93241219620739</v>
      </c>
      <c r="AA178" s="32">
        <f ca="1"/>
        <v>316.79380849127847</v>
      </c>
      <c r="AB178" s="32">
        <f ca="1"/>
        <v>316.65932958354631</v>
      </c>
      <c r="AC178" s="32">
        <f ca="1"/>
        <v>316.54944093008658</v>
      </c>
      <c r="AD178" s="32">
        <f ca="1"/>
        <v>316.39990106968082</v>
      </c>
      <c r="AE178" s="32">
        <f ca="1"/>
        <v>316.27929717108907</v>
      </c>
      <c r="AF178" s="32">
        <f ca="1"/>
        <v>316.27929717108907</v>
      </c>
      <c r="AG178" s="32">
        <f ca="1"/>
        <v>316.27929717108907</v>
      </c>
      <c r="AH178" s="32">
        <f ca="1"/>
        <v>316.27929717108907</v>
      </c>
      <c r="AI178" s="32">
        <f ca="1"/>
        <v>316.27929717108907</v>
      </c>
      <c r="AJ178" s="32">
        <f ca="1"/>
        <v>316.27929717108907</v>
      </c>
      <c r="AK178" s="32">
        <f ca="1"/>
        <v>316.27929717108907</v>
      </c>
      <c r="AL178" s="32">
        <f ca="1"/>
        <v>316.27929717108907</v>
      </c>
      <c r="AM178" s="32">
        <f ca="1"/>
        <v>316.27929717108907</v>
      </c>
      <c r="AN178" s="55">
        <f ca="1"/>
        <v>316.27929717108907</v>
      </c>
      <c r="AO178" s="8"/>
    </row>
    <row r="179" spans="2:41" hidden="1" x14ac:dyDescent="0.35">
      <c r="B179" s="8"/>
      <c r="C179" s="19" t="str">
        <f>"EL 2: " &amp; INDEX(_doName,3,3)</f>
        <v>EL 2: Tier 2</v>
      </c>
      <c r="D179" s="11"/>
      <c r="E179" s="32">
        <f t="array" aca="1" ref="E179:AN179" ca="1">tlccEu2_Res</f>
        <v>273.72199290788245</v>
      </c>
      <c r="F179" s="32">
        <f ca="1"/>
        <v>273.87467075238169</v>
      </c>
      <c r="G179" s="32">
        <f ca="1"/>
        <v>274.11471415295136</v>
      </c>
      <c r="H179" s="32">
        <f ca="1"/>
        <v>274.39294913250978</v>
      </c>
      <c r="I179" s="32">
        <f ca="1"/>
        <v>274.65391971937441</v>
      </c>
      <c r="J179" s="32">
        <f ca="1"/>
        <v>274.87283065864926</v>
      </c>
      <c r="K179" s="32">
        <f ca="1"/>
        <v>275.04255017790427</v>
      </c>
      <c r="L179" s="32">
        <f ca="1"/>
        <v>275.17766243916628</v>
      </c>
      <c r="M179" s="32">
        <f ca="1"/>
        <v>275.2470937052733</v>
      </c>
      <c r="N179" s="32">
        <f ca="1"/>
        <v>275.25976822068594</v>
      </c>
      <c r="O179" s="32">
        <f ca="1"/>
        <v>275.16934897143847</v>
      </c>
      <c r="P179" s="32">
        <f ca="1"/>
        <v>274.99391404221308</v>
      </c>
      <c r="Q179" s="32">
        <f ca="1"/>
        <v>274.85432050557881</v>
      </c>
      <c r="R179" s="32">
        <f ca="1"/>
        <v>274.70932764390835</v>
      </c>
      <c r="S179" s="32">
        <f ca="1"/>
        <v>274.59874708294836</v>
      </c>
      <c r="T179" s="32">
        <f ca="1"/>
        <v>274.52559277312696</v>
      </c>
      <c r="U179" s="32">
        <f ca="1"/>
        <v>274.42223357183212</v>
      </c>
      <c r="V179" s="32">
        <f ca="1"/>
        <v>274.2949862031262</v>
      </c>
      <c r="W179" s="32">
        <f ca="1"/>
        <v>274.1820101531415</v>
      </c>
      <c r="X179" s="32">
        <f ca="1"/>
        <v>274.04306830538496</v>
      </c>
      <c r="Y179" s="32">
        <f ca="1"/>
        <v>273.9082775879661</v>
      </c>
      <c r="Z179" s="32">
        <f ca="1"/>
        <v>273.83497317871053</v>
      </c>
      <c r="AA179" s="32">
        <f ca="1"/>
        <v>273.73873859513037</v>
      </c>
      <c r="AB179" s="32">
        <f ca="1"/>
        <v>273.64536791869301</v>
      </c>
      <c r="AC179" s="32">
        <f ca="1"/>
        <v>273.5690706161692</v>
      </c>
      <c r="AD179" s="32">
        <f ca="1"/>
        <v>273.46524289957119</v>
      </c>
      <c r="AE179" s="32">
        <f ca="1"/>
        <v>273.38150584531945</v>
      </c>
      <c r="AF179" s="32">
        <f ca="1"/>
        <v>273.38150584531945</v>
      </c>
      <c r="AG179" s="32">
        <f ca="1"/>
        <v>273.38150584531945</v>
      </c>
      <c r="AH179" s="32">
        <f ca="1"/>
        <v>273.38150584531945</v>
      </c>
      <c r="AI179" s="32">
        <f ca="1"/>
        <v>273.38150584531945</v>
      </c>
      <c r="AJ179" s="32">
        <f ca="1"/>
        <v>273.38150584531945</v>
      </c>
      <c r="AK179" s="32">
        <f ca="1"/>
        <v>273.38150584531945</v>
      </c>
      <c r="AL179" s="32">
        <f ca="1"/>
        <v>273.38150584531945</v>
      </c>
      <c r="AM179" s="32">
        <f ca="1"/>
        <v>273.38150584531945</v>
      </c>
      <c r="AN179" s="55">
        <f ca="1"/>
        <v>273.38150584531945</v>
      </c>
      <c r="AO179" s="8"/>
    </row>
    <row r="180" spans="2:41" hidden="1" x14ac:dyDescent="0.35">
      <c r="B180" s="8"/>
      <c r="C180" s="19" t="str">
        <f>"EL 3: " &amp; INDEX(_doName,3,4)</f>
        <v>EL 3: EL 3</v>
      </c>
      <c r="D180" s="11"/>
      <c r="E180" s="32">
        <f t="array" aca="1" ref="E180:AN180" ca="1">tlccEu3_Res</f>
        <v>302.74775908745141</v>
      </c>
      <c r="F180" s="32">
        <f ca="1"/>
        <v>302.81838636983213</v>
      </c>
      <c r="G180" s="32">
        <f ca="1"/>
        <v>302.92942810670786</v>
      </c>
      <c r="H180" s="32">
        <f ca="1"/>
        <v>303.05813689568703</v>
      </c>
      <c r="I180" s="32">
        <f ca="1"/>
        <v>303.17885934491983</v>
      </c>
      <c r="J180" s="32">
        <f ca="1"/>
        <v>303.2801254112249</v>
      </c>
      <c r="K180" s="32">
        <f ca="1"/>
        <v>303.35863600620513</v>
      </c>
      <c r="L180" s="32">
        <f ca="1"/>
        <v>303.42113762103037</v>
      </c>
      <c r="M180" s="32">
        <f ca="1"/>
        <v>303.45325584783313</v>
      </c>
      <c r="N180" s="32">
        <f ca="1"/>
        <v>303.45911895509681</v>
      </c>
      <c r="O180" s="32">
        <f ca="1"/>
        <v>303.41729189190897</v>
      </c>
      <c r="P180" s="32">
        <f ca="1"/>
        <v>303.3361374039971</v>
      </c>
      <c r="Q180" s="32">
        <f ca="1"/>
        <v>303.27156279487343</v>
      </c>
      <c r="R180" s="32">
        <f ca="1"/>
        <v>303.20449051062707</v>
      </c>
      <c r="S180" s="32">
        <f ca="1"/>
        <v>303.15333702119739</v>
      </c>
      <c r="T180" s="32">
        <f ca="1"/>
        <v>303.11949655066906</v>
      </c>
      <c r="U180" s="32">
        <f ca="1"/>
        <v>303.0716835918181</v>
      </c>
      <c r="V180" s="32">
        <f ca="1"/>
        <v>303.01282019961303</v>
      </c>
      <c r="W180" s="32">
        <f ca="1"/>
        <v>302.96055858031457</v>
      </c>
      <c r="X180" s="32">
        <f ca="1"/>
        <v>302.89628543611235</v>
      </c>
      <c r="Y180" s="32">
        <f ca="1"/>
        <v>302.83393256433413</v>
      </c>
      <c r="Z180" s="32">
        <f ca="1"/>
        <v>302.80002265927084</v>
      </c>
      <c r="AA180" s="32">
        <f ca="1"/>
        <v>302.75550547911553</v>
      </c>
      <c r="AB180" s="32">
        <f ca="1"/>
        <v>302.71231311448366</v>
      </c>
      <c r="AC180" s="32">
        <f ca="1"/>
        <v>302.67701872617278</v>
      </c>
      <c r="AD180" s="32">
        <f ca="1"/>
        <v>302.62898903671027</v>
      </c>
      <c r="AE180" s="32">
        <f ca="1"/>
        <v>302.59025309178151</v>
      </c>
      <c r="AF180" s="32">
        <f ca="1"/>
        <v>302.59025309178151</v>
      </c>
      <c r="AG180" s="32">
        <f ca="1"/>
        <v>302.59025309178151</v>
      </c>
      <c r="AH180" s="32">
        <f ca="1"/>
        <v>302.59025309178151</v>
      </c>
      <c r="AI180" s="32">
        <f ca="1"/>
        <v>302.59025309178151</v>
      </c>
      <c r="AJ180" s="32">
        <f ca="1"/>
        <v>302.59025309178151</v>
      </c>
      <c r="AK180" s="32">
        <f ca="1"/>
        <v>302.59025309178151</v>
      </c>
      <c r="AL180" s="32">
        <f ca="1"/>
        <v>302.59025309178151</v>
      </c>
      <c r="AM180" s="32">
        <f ca="1"/>
        <v>302.59025309178151</v>
      </c>
      <c r="AN180" s="55">
        <f ca="1"/>
        <v>302.59025309178151</v>
      </c>
      <c r="AO180" s="8"/>
    </row>
    <row r="181" spans="2:41" hidden="1" x14ac:dyDescent="0.35">
      <c r="B181" s="8"/>
      <c r="C181" s="35" t="str">
        <f>"EL 4: " &amp; INDEX(_doName,3,5)</f>
        <v>EL 4: EL 4</v>
      </c>
      <c r="D181" s="15"/>
      <c r="E181" s="59">
        <f t="array" aca="1" ref="E181:AN181" ca="1">tlccEu4_Res</f>
        <v>309.82501173884719</v>
      </c>
      <c r="F181" s="59">
        <f ca="1"/>
        <v>309.88753145303906</v>
      </c>
      <c r="G181" s="59">
        <f ca="1"/>
        <v>309.98582629631812</v>
      </c>
      <c r="H181" s="59">
        <f ca="1"/>
        <v>310.09976012514062</v>
      </c>
      <c r="I181" s="59">
        <f ca="1"/>
        <v>310.2066243958327</v>
      </c>
      <c r="J181" s="59">
        <f ca="1"/>
        <v>310.29626575409145</v>
      </c>
      <c r="K181" s="59">
        <f ca="1"/>
        <v>310.36576382613583</v>
      </c>
      <c r="L181" s="59">
        <f ca="1"/>
        <v>310.42109064834517</v>
      </c>
      <c r="M181" s="59">
        <f ca="1"/>
        <v>310.44952190454495</v>
      </c>
      <c r="N181" s="59">
        <f ca="1"/>
        <v>310.45471196393908</v>
      </c>
      <c r="O181" s="59">
        <f ca="1"/>
        <v>310.41768638476003</v>
      </c>
      <c r="P181" s="59">
        <f ca="1"/>
        <v>310.34584792207795</v>
      </c>
      <c r="Q181" s="59">
        <f ca="1"/>
        <v>310.28868607228884</v>
      </c>
      <c r="R181" s="59">
        <f ca="1"/>
        <v>310.22931326478539</v>
      </c>
      <c r="S181" s="59">
        <f ca="1"/>
        <v>310.18403187448894</v>
      </c>
      <c r="T181" s="59">
        <f ca="1"/>
        <v>310.1540760773205</v>
      </c>
      <c r="U181" s="59">
        <f ca="1"/>
        <v>310.11175174568456</v>
      </c>
      <c r="V181" s="59">
        <f ca="1"/>
        <v>310.05964550100151</v>
      </c>
      <c r="W181" s="59">
        <f ca="1"/>
        <v>310.01338318718166</v>
      </c>
      <c r="X181" s="59">
        <f ca="1"/>
        <v>309.95648819603537</v>
      </c>
      <c r="Y181" s="59">
        <f ca="1"/>
        <v>309.90129304210598</v>
      </c>
      <c r="Z181" s="59">
        <f ca="1"/>
        <v>309.87127578105094</v>
      </c>
      <c r="AA181" s="59">
        <f ca="1"/>
        <v>309.83186889342727</v>
      </c>
      <c r="AB181" s="59">
        <f ca="1"/>
        <v>309.79363474083033</v>
      </c>
      <c r="AC181" s="59">
        <f ca="1"/>
        <v>309.76239192650422</v>
      </c>
      <c r="AD181" s="59">
        <f ca="1"/>
        <v>309.71987574356893</v>
      </c>
      <c r="AE181" s="59">
        <f ca="1"/>
        <v>309.68558644169769</v>
      </c>
      <c r="AF181" s="59">
        <f ca="1"/>
        <v>309.68558644169769</v>
      </c>
      <c r="AG181" s="59">
        <f ca="1"/>
        <v>309.68558644169769</v>
      </c>
      <c r="AH181" s="59">
        <f ca="1"/>
        <v>309.68558644169769</v>
      </c>
      <c r="AI181" s="59">
        <f ca="1"/>
        <v>309.68558644169769</v>
      </c>
      <c r="AJ181" s="59">
        <f ca="1"/>
        <v>309.68558644169769</v>
      </c>
      <c r="AK181" s="59">
        <f ca="1"/>
        <v>309.68558644169769</v>
      </c>
      <c r="AL181" s="59">
        <f ca="1"/>
        <v>309.68558644169769</v>
      </c>
      <c r="AM181" s="59">
        <f ca="1"/>
        <v>309.68558644169769</v>
      </c>
      <c r="AN181" s="60">
        <f ca="1"/>
        <v>309.68558644169769</v>
      </c>
      <c r="AO181" s="8"/>
    </row>
    <row r="182" spans="2:41" hidden="1" x14ac:dyDescent="0.3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</row>
    <row r="183" spans="2:41" hidden="1" x14ac:dyDescent="0.35">
      <c r="B183" s="8"/>
      <c r="C183" s="23" t="s">
        <v>83</v>
      </c>
      <c r="D183" s="24"/>
      <c r="E183" s="26">
        <f t="array" ref="E183:AN183">_yS</f>
        <v>2024</v>
      </c>
      <c r="F183" s="26">
        <v>2025</v>
      </c>
      <c r="G183" s="26">
        <v>2026</v>
      </c>
      <c r="H183" s="26">
        <v>2027</v>
      </c>
      <c r="I183" s="26">
        <v>2028</v>
      </c>
      <c r="J183" s="26">
        <v>2029</v>
      </c>
      <c r="K183" s="26">
        <v>2030</v>
      </c>
      <c r="L183" s="26">
        <v>2031</v>
      </c>
      <c r="M183" s="26">
        <v>2032</v>
      </c>
      <c r="N183" s="26">
        <v>2033</v>
      </c>
      <c r="O183" s="26">
        <v>2034</v>
      </c>
      <c r="P183" s="26">
        <v>2035</v>
      </c>
      <c r="Q183" s="26">
        <v>2036</v>
      </c>
      <c r="R183" s="26">
        <v>2037</v>
      </c>
      <c r="S183" s="26">
        <v>2038</v>
      </c>
      <c r="T183" s="26">
        <v>2039</v>
      </c>
      <c r="U183" s="26">
        <v>2040</v>
      </c>
      <c r="V183" s="26">
        <v>2041</v>
      </c>
      <c r="W183" s="26">
        <v>2042</v>
      </c>
      <c r="X183" s="26">
        <v>2043</v>
      </c>
      <c r="Y183" s="26">
        <v>2044</v>
      </c>
      <c r="Z183" s="26">
        <v>2045</v>
      </c>
      <c r="AA183" s="26">
        <v>2046</v>
      </c>
      <c r="AB183" s="26">
        <v>2047</v>
      </c>
      <c r="AC183" s="26">
        <v>2048</v>
      </c>
      <c r="AD183" s="26">
        <v>2049</v>
      </c>
      <c r="AE183" s="26">
        <v>2050</v>
      </c>
      <c r="AF183" s="26">
        <v>2051</v>
      </c>
      <c r="AG183" s="26">
        <v>2052</v>
      </c>
      <c r="AH183" s="26">
        <v>2053</v>
      </c>
      <c r="AI183" s="26">
        <v>2054</v>
      </c>
      <c r="AJ183" s="26">
        <v>2055</v>
      </c>
      <c r="AK183" s="26">
        <v>2056</v>
      </c>
      <c r="AL183" s="26">
        <v>2057</v>
      </c>
      <c r="AM183" s="26">
        <v>2058</v>
      </c>
      <c r="AN183" s="27">
        <v>2059</v>
      </c>
      <c r="AO183" s="8"/>
    </row>
    <row r="184" spans="2:41" hidden="1" x14ac:dyDescent="0.35">
      <c r="B184" s="8"/>
      <c r="C184" s="19" t="str">
        <f>"EL 0: " &amp; INDEX(_doName,3,1)</f>
        <v>EL 0: Baseline</v>
      </c>
      <c r="D184" s="11"/>
      <c r="E184" s="32">
        <f t="array" aca="1" ref="E184:AN184" ca="1">tlccEu0_Com</f>
        <v>519.47650853261553</v>
      </c>
      <c r="F184" s="32">
        <f ca="1"/>
        <v>519.35311534967138</v>
      </c>
      <c r="G184" s="32">
        <f ca="1"/>
        <v>519.44425983910435</v>
      </c>
      <c r="H184" s="32">
        <f ca="1"/>
        <v>519.6529653064722</v>
      </c>
      <c r="I184" s="32">
        <f ca="1"/>
        <v>519.78837864802892</v>
      </c>
      <c r="J184" s="32">
        <f ca="1"/>
        <v>519.78092468221712</v>
      </c>
      <c r="K184" s="32">
        <f ca="1"/>
        <v>519.59273972910819</v>
      </c>
      <c r="L184" s="32">
        <f ca="1"/>
        <v>519.29734677986539</v>
      </c>
      <c r="M184" s="32">
        <f ca="1"/>
        <v>518.72593521331737</v>
      </c>
      <c r="N184" s="32">
        <f ca="1"/>
        <v>518.03141080892442</v>
      </c>
      <c r="O184" s="32">
        <f ca="1"/>
        <v>516.91778472024237</v>
      </c>
      <c r="P184" s="32">
        <f ca="1"/>
        <v>515.50538757114055</v>
      </c>
      <c r="Q184" s="32">
        <f ca="1"/>
        <v>514.28223575395532</v>
      </c>
      <c r="R184" s="32">
        <f ca="1"/>
        <v>513.07315885435628</v>
      </c>
      <c r="S184" s="32">
        <f ca="1"/>
        <v>512.00995328623321</v>
      </c>
      <c r="T184" s="32">
        <f ca="1"/>
        <v>511.14030173623826</v>
      </c>
      <c r="U184" s="32">
        <f ca="1"/>
        <v>510.11128047098214</v>
      </c>
      <c r="V184" s="32">
        <f ca="1"/>
        <v>509.01459088353772</v>
      </c>
      <c r="W184" s="32">
        <f ca="1"/>
        <v>508.06093945820021</v>
      </c>
      <c r="X184" s="32">
        <f ca="1"/>
        <v>507.05422614621358</v>
      </c>
      <c r="Y184" s="32">
        <f ca="1"/>
        <v>506.05306125148394</v>
      </c>
      <c r="Z184" s="32">
        <f ca="1"/>
        <v>505.40885652967575</v>
      </c>
      <c r="AA184" s="32">
        <f ca="1"/>
        <v>504.7162924424324</v>
      </c>
      <c r="AB184" s="32">
        <f ca="1"/>
        <v>504.0760660657661</v>
      </c>
      <c r="AC184" s="32">
        <f ca="1"/>
        <v>503.63277336452597</v>
      </c>
      <c r="AD184" s="32">
        <f ca="1"/>
        <v>503.11872574628188</v>
      </c>
      <c r="AE184" s="32">
        <f ca="1"/>
        <v>502.71668452564899</v>
      </c>
      <c r="AF184" s="32">
        <f ca="1"/>
        <v>502.71668452564899</v>
      </c>
      <c r="AG184" s="32">
        <f ca="1"/>
        <v>502.71668452564899</v>
      </c>
      <c r="AH184" s="32">
        <f ca="1"/>
        <v>502.71668452564899</v>
      </c>
      <c r="AI184" s="32">
        <f ca="1"/>
        <v>502.71668452564899</v>
      </c>
      <c r="AJ184" s="32">
        <f ca="1"/>
        <v>502.71668452564899</v>
      </c>
      <c r="AK184" s="32">
        <f ca="1"/>
        <v>502.71668452564899</v>
      </c>
      <c r="AL184" s="32">
        <f ca="1"/>
        <v>502.71668452564899</v>
      </c>
      <c r="AM184" s="32">
        <f ca="1"/>
        <v>502.71668452564899</v>
      </c>
      <c r="AN184" s="55">
        <f ca="1"/>
        <v>502.71668452564899</v>
      </c>
      <c r="AO184" s="8"/>
    </row>
    <row r="185" spans="2:41" hidden="1" x14ac:dyDescent="0.35">
      <c r="B185" s="8"/>
      <c r="C185" s="19" t="str">
        <f>"EL 1: " &amp; INDEX(_doName,3,2)</f>
        <v>EL 1: Tier 1</v>
      </c>
      <c r="D185" s="11"/>
      <c r="E185" s="32">
        <f t="array" aca="1" ref="E185:AN185" ca="1">tlccEu1_Com</f>
        <v>397.36664431404472</v>
      </c>
      <c r="F185" s="32">
        <f ca="1"/>
        <v>397.29289339686977</v>
      </c>
      <c r="G185" s="32">
        <f ca="1"/>
        <v>397.3473695804866</v>
      </c>
      <c r="H185" s="32">
        <f ca="1"/>
        <v>397.47211082850811</v>
      </c>
      <c r="I185" s="32">
        <f ca="1"/>
        <v>397.55304607873217</v>
      </c>
      <c r="J185" s="32">
        <f ca="1"/>
        <v>397.54859091514777</v>
      </c>
      <c r="K185" s="32">
        <f ca="1"/>
        <v>397.43611458088719</v>
      </c>
      <c r="L185" s="32">
        <f ca="1"/>
        <v>397.25956105974558</v>
      </c>
      <c r="M185" s="32">
        <f ca="1"/>
        <v>396.91803386908737</v>
      </c>
      <c r="N185" s="32">
        <f ca="1"/>
        <v>396.50292332082063</v>
      </c>
      <c r="O185" s="32">
        <f ca="1"/>
        <v>395.83731973178453</v>
      </c>
      <c r="P185" s="32">
        <f ca="1"/>
        <v>394.99314355708714</v>
      </c>
      <c r="Q185" s="32">
        <f ca="1"/>
        <v>394.26207749485241</v>
      </c>
      <c r="R185" s="32">
        <f ca="1"/>
        <v>393.53942387531828</v>
      </c>
      <c r="S185" s="32">
        <f ca="1"/>
        <v>392.90395614587283</v>
      </c>
      <c r="T185" s="32">
        <f ca="1"/>
        <v>392.38417378914608</v>
      </c>
      <c r="U185" s="32">
        <f ca="1"/>
        <v>391.76913768833094</v>
      </c>
      <c r="V185" s="32">
        <f ca="1"/>
        <v>391.11365688298673</v>
      </c>
      <c r="W185" s="32">
        <f ca="1"/>
        <v>390.54366860968275</v>
      </c>
      <c r="X185" s="32">
        <f ca="1"/>
        <v>389.9419657577123</v>
      </c>
      <c r="Y185" s="32">
        <f ca="1"/>
        <v>389.34357914130521</v>
      </c>
      <c r="Z185" s="32">
        <f ca="1"/>
        <v>388.95854418274291</v>
      </c>
      <c r="AA185" s="32">
        <f ca="1"/>
        <v>388.54460529715857</v>
      </c>
      <c r="AB185" s="32">
        <f ca="1"/>
        <v>388.16194815717631</v>
      </c>
      <c r="AC185" s="32">
        <f ca="1"/>
        <v>387.8969963785338</v>
      </c>
      <c r="AD185" s="32">
        <f ca="1"/>
        <v>387.58975506736465</v>
      </c>
      <c r="AE185" s="32">
        <f ca="1"/>
        <v>387.34945890143126</v>
      </c>
      <c r="AF185" s="32">
        <f ca="1"/>
        <v>387.34945890143126</v>
      </c>
      <c r="AG185" s="32">
        <f ca="1"/>
        <v>387.34945890143126</v>
      </c>
      <c r="AH185" s="32">
        <f ca="1"/>
        <v>387.34945890143126</v>
      </c>
      <c r="AI185" s="32">
        <f ca="1"/>
        <v>387.34945890143126</v>
      </c>
      <c r="AJ185" s="32">
        <f ca="1"/>
        <v>387.34945890143126</v>
      </c>
      <c r="AK185" s="32">
        <f ca="1"/>
        <v>387.34945890143126</v>
      </c>
      <c r="AL185" s="32">
        <f ca="1"/>
        <v>387.34945890143126</v>
      </c>
      <c r="AM185" s="32">
        <f ca="1"/>
        <v>387.34945890143126</v>
      </c>
      <c r="AN185" s="55">
        <f ca="1"/>
        <v>387.34945890143126</v>
      </c>
      <c r="AO185" s="8"/>
    </row>
    <row r="186" spans="2:41" hidden="1" x14ac:dyDescent="0.35">
      <c r="B186" s="8"/>
      <c r="C186" s="19" t="str">
        <f>"EL 2: " &amp; INDEX(_doName,3,3)</f>
        <v>EL 2: Tier 2</v>
      </c>
      <c r="D186" s="11"/>
      <c r="E186" s="32">
        <f t="array" aca="1" ref="E186:AN186" ca="1">tlccEu2_Com</f>
        <v>336.56929775018148</v>
      </c>
      <c r="F186" s="32">
        <f ca="1"/>
        <v>336.51830992765895</v>
      </c>
      <c r="G186" s="32">
        <f ca="1"/>
        <v>336.55597213022349</v>
      </c>
      <c r="H186" s="32">
        <f ca="1"/>
        <v>336.64221220504561</v>
      </c>
      <c r="I186" s="32">
        <f ca="1"/>
        <v>336.69816692848934</v>
      </c>
      <c r="J186" s="32">
        <f ca="1"/>
        <v>336.69508684353787</v>
      </c>
      <c r="K186" s="32">
        <f ca="1"/>
        <v>336.61732613778736</v>
      </c>
      <c r="L186" s="32">
        <f ca="1"/>
        <v>336.49526555947131</v>
      </c>
      <c r="M186" s="32">
        <f ca="1"/>
        <v>336.25915015303366</v>
      </c>
      <c r="N186" s="32">
        <f ca="1"/>
        <v>335.97216276666563</v>
      </c>
      <c r="O186" s="32">
        <f ca="1"/>
        <v>335.51199658883127</v>
      </c>
      <c r="P186" s="32">
        <f ca="1"/>
        <v>334.92837394897765</v>
      </c>
      <c r="Q186" s="32">
        <f ca="1"/>
        <v>334.42295017851677</v>
      </c>
      <c r="R186" s="32">
        <f ca="1"/>
        <v>333.92334236468162</v>
      </c>
      <c r="S186" s="32">
        <f ca="1"/>
        <v>333.48401066483387</v>
      </c>
      <c r="T186" s="32">
        <f ca="1"/>
        <v>333.12465824495433</v>
      </c>
      <c r="U186" s="32">
        <f ca="1"/>
        <v>332.69945198644825</v>
      </c>
      <c r="V186" s="32">
        <f ca="1"/>
        <v>332.24628421240453</v>
      </c>
      <c r="W186" s="32">
        <f ca="1"/>
        <v>331.85222184636996</v>
      </c>
      <c r="X186" s="32">
        <f ca="1"/>
        <v>331.4362335522199</v>
      </c>
      <c r="Y186" s="32">
        <f ca="1"/>
        <v>331.02253794318926</v>
      </c>
      <c r="Z186" s="32">
        <f ca="1"/>
        <v>330.7563433671192</v>
      </c>
      <c r="AA186" s="32">
        <f ca="1"/>
        <v>330.47016601174732</v>
      </c>
      <c r="AB186" s="32">
        <f ca="1"/>
        <v>330.2056153446128</v>
      </c>
      <c r="AC186" s="32">
        <f ca="1"/>
        <v>330.02244048002876</v>
      </c>
      <c r="AD186" s="32">
        <f ca="1"/>
        <v>329.81002867492083</v>
      </c>
      <c r="AE186" s="32">
        <f ca="1"/>
        <v>329.64389951028403</v>
      </c>
      <c r="AF186" s="32">
        <f ca="1"/>
        <v>329.64389951028403</v>
      </c>
      <c r="AG186" s="32">
        <f ca="1"/>
        <v>329.64389951028403</v>
      </c>
      <c r="AH186" s="32">
        <f ca="1"/>
        <v>329.64389951028403</v>
      </c>
      <c r="AI186" s="32">
        <f ca="1"/>
        <v>329.64389951028403</v>
      </c>
      <c r="AJ186" s="32">
        <f ca="1"/>
        <v>329.64389951028403</v>
      </c>
      <c r="AK186" s="32">
        <f ca="1"/>
        <v>329.64389951028403</v>
      </c>
      <c r="AL186" s="32">
        <f ca="1"/>
        <v>329.64389951028403</v>
      </c>
      <c r="AM186" s="32">
        <f ca="1"/>
        <v>329.64389951028403</v>
      </c>
      <c r="AN186" s="55">
        <f ca="1"/>
        <v>329.64389951028403</v>
      </c>
      <c r="AO186" s="8"/>
    </row>
    <row r="187" spans="2:41" hidden="1" x14ac:dyDescent="0.35">
      <c r="B187" s="8"/>
      <c r="C187" s="19" t="str">
        <f>"EL 3: " &amp; INDEX(_doName,3,4)</f>
        <v>EL 3: EL 3</v>
      </c>
      <c r="D187" s="11"/>
      <c r="E187" s="32">
        <f t="array" aca="1" ref="E187:AN187" ca="1">tlccEu3_Com</f>
        <v>357.16843357495009</v>
      </c>
      <c r="F187" s="32">
        <f ca="1"/>
        <v>357.14561650848407</v>
      </c>
      <c r="G187" s="32">
        <f ca="1"/>
        <v>357.16247035586679</v>
      </c>
      <c r="H187" s="32">
        <f ca="1"/>
        <v>357.20106281622094</v>
      </c>
      <c r="I187" s="32">
        <f ca="1"/>
        <v>357.22610257239671</v>
      </c>
      <c r="J187" s="32">
        <f ca="1"/>
        <v>357.22472423342123</v>
      </c>
      <c r="K187" s="32">
        <f ca="1"/>
        <v>357.18992629336867</v>
      </c>
      <c r="L187" s="32">
        <f ca="1"/>
        <v>357.13530414653985</v>
      </c>
      <c r="M187" s="32">
        <f ca="1"/>
        <v>357.02964242858855</v>
      </c>
      <c r="N187" s="32">
        <f ca="1"/>
        <v>356.90121548376743</v>
      </c>
      <c r="O187" s="32">
        <f ca="1"/>
        <v>356.69529097580488</v>
      </c>
      <c r="P187" s="32">
        <f ca="1"/>
        <v>356.43411966262136</v>
      </c>
      <c r="Q187" s="32">
        <f ca="1"/>
        <v>356.20794236785684</v>
      </c>
      <c r="R187" s="32">
        <f ca="1"/>
        <v>355.98436771549444</v>
      </c>
      <c r="S187" s="32">
        <f ca="1"/>
        <v>355.78776664292269</v>
      </c>
      <c r="T187" s="32">
        <f ca="1"/>
        <v>355.62695632305719</v>
      </c>
      <c r="U187" s="32">
        <f ca="1"/>
        <v>355.43667638988711</v>
      </c>
      <c r="V187" s="32">
        <f ca="1"/>
        <v>355.23388366980151</v>
      </c>
      <c r="W187" s="32">
        <f ca="1"/>
        <v>355.05754063821649</v>
      </c>
      <c r="X187" s="32">
        <f ca="1"/>
        <v>354.87138574696792</v>
      </c>
      <c r="Y187" s="32">
        <f ca="1"/>
        <v>354.68625683302469</v>
      </c>
      <c r="Z187" s="32">
        <f ca="1"/>
        <v>354.56713467729065</v>
      </c>
      <c r="AA187" s="32">
        <f ca="1"/>
        <v>354.43907022159271</v>
      </c>
      <c r="AB187" s="32">
        <f ca="1"/>
        <v>354.32068371561951</v>
      </c>
      <c r="AC187" s="32">
        <f ca="1"/>
        <v>354.23871290664334</v>
      </c>
      <c r="AD187" s="32">
        <f ca="1"/>
        <v>354.14365855767284</v>
      </c>
      <c r="AE187" s="32">
        <f ca="1"/>
        <v>354.06931570473427</v>
      </c>
      <c r="AF187" s="32">
        <f ca="1"/>
        <v>354.06931570473427</v>
      </c>
      <c r="AG187" s="32">
        <f ca="1"/>
        <v>354.06931570473427</v>
      </c>
      <c r="AH187" s="32">
        <f ca="1"/>
        <v>354.06931570473427</v>
      </c>
      <c r="AI187" s="32">
        <f ca="1"/>
        <v>354.06931570473427</v>
      </c>
      <c r="AJ187" s="32">
        <f ca="1"/>
        <v>354.06931570473427</v>
      </c>
      <c r="AK187" s="32">
        <f ca="1"/>
        <v>354.06931570473427</v>
      </c>
      <c r="AL187" s="32">
        <f ca="1"/>
        <v>354.06931570473427</v>
      </c>
      <c r="AM187" s="32">
        <f ca="1"/>
        <v>354.06931570473427</v>
      </c>
      <c r="AN187" s="55">
        <f ca="1"/>
        <v>354.06931570473427</v>
      </c>
      <c r="AO187" s="8"/>
    </row>
    <row r="188" spans="2:41" hidden="1" x14ac:dyDescent="0.35">
      <c r="B188" s="8"/>
      <c r="C188" s="35" t="str">
        <f>"EL 4: " &amp; INDEX(_doName,3,5)</f>
        <v>EL 4: EL 4</v>
      </c>
      <c r="D188" s="15"/>
      <c r="E188" s="59">
        <f t="array" aca="1" ref="E188:AN188" ca="1">tlccEu4_Com</f>
        <v>364.46392944189296</v>
      </c>
      <c r="F188" s="59">
        <f ca="1"/>
        <v>364.44375525271658</v>
      </c>
      <c r="G188" s="59">
        <f ca="1"/>
        <v>364.45865693632936</v>
      </c>
      <c r="H188" s="59">
        <f ca="1"/>
        <v>364.49277927178071</v>
      </c>
      <c r="I188" s="59">
        <f ca="1"/>
        <v>364.51491869880891</v>
      </c>
      <c r="J188" s="59">
        <f ca="1"/>
        <v>364.51370001141618</v>
      </c>
      <c r="K188" s="59">
        <f ca="1"/>
        <v>364.48293268089122</v>
      </c>
      <c r="L188" s="59">
        <f ca="1"/>
        <v>364.4346373610266</v>
      </c>
      <c r="M188" s="59">
        <f ca="1"/>
        <v>364.3412143309526</v>
      </c>
      <c r="N188" s="59">
        <f ca="1"/>
        <v>364.22766294677132</v>
      </c>
      <c r="O188" s="59">
        <f ca="1"/>
        <v>364.04559046230509</v>
      </c>
      <c r="P188" s="59">
        <f ca="1"/>
        <v>363.81467035311977</v>
      </c>
      <c r="Q188" s="59">
        <f ca="1"/>
        <v>363.61469094127079</v>
      </c>
      <c r="R188" s="59">
        <f ca="1"/>
        <v>363.41701271043723</v>
      </c>
      <c r="S188" s="59">
        <f ca="1"/>
        <v>363.24318373745075</v>
      </c>
      <c r="T188" s="59">
        <f ca="1"/>
        <v>363.10099991117664</v>
      </c>
      <c r="U188" s="59">
        <f ca="1"/>
        <v>362.93275990653063</v>
      </c>
      <c r="V188" s="59">
        <f ca="1"/>
        <v>362.75345645817964</v>
      </c>
      <c r="W188" s="59">
        <f ca="1"/>
        <v>362.59753905817382</v>
      </c>
      <c r="X188" s="59">
        <f ca="1"/>
        <v>362.43294629609551</v>
      </c>
      <c r="Y188" s="59">
        <f ca="1"/>
        <v>362.26926067342879</v>
      </c>
      <c r="Z188" s="59">
        <f ca="1"/>
        <v>362.16393631420578</v>
      </c>
      <c r="AA188" s="59">
        <f ca="1"/>
        <v>362.05070543240618</v>
      </c>
      <c r="AB188" s="59">
        <f ca="1"/>
        <v>361.94603151339049</v>
      </c>
      <c r="AC188" s="59">
        <f ca="1"/>
        <v>361.87355529872485</v>
      </c>
      <c r="AD188" s="59">
        <f ca="1"/>
        <v>361.78951099701635</v>
      </c>
      <c r="AE188" s="59">
        <f ca="1"/>
        <v>361.72377920010319</v>
      </c>
      <c r="AF188" s="59">
        <f ca="1"/>
        <v>361.72377920010319</v>
      </c>
      <c r="AG188" s="59">
        <f ca="1"/>
        <v>361.72377920010319</v>
      </c>
      <c r="AH188" s="59">
        <f ca="1"/>
        <v>361.72377920010319</v>
      </c>
      <c r="AI188" s="59">
        <f ca="1"/>
        <v>361.72377920010319</v>
      </c>
      <c r="AJ188" s="59">
        <f ca="1"/>
        <v>361.72377920010319</v>
      </c>
      <c r="AK188" s="59">
        <f ca="1"/>
        <v>361.72377920010319</v>
      </c>
      <c r="AL188" s="59">
        <f ca="1"/>
        <v>361.72377920010319</v>
      </c>
      <c r="AM188" s="59">
        <f ca="1"/>
        <v>361.72377920010319</v>
      </c>
      <c r="AN188" s="60">
        <f ca="1"/>
        <v>361.72377920010319</v>
      </c>
      <c r="AO188" s="8"/>
    </row>
    <row r="189" spans="2:41" hidden="1" x14ac:dyDescent="0.3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</row>
    <row r="190" spans="2:41" hidden="1" x14ac:dyDescent="0.35">
      <c r="B190" s="8"/>
      <c r="C190" s="23" t="s">
        <v>82</v>
      </c>
      <c r="D190" s="24"/>
      <c r="E190" s="26">
        <f t="array" ref="E190:AN190">_yS</f>
        <v>2024</v>
      </c>
      <c r="F190" s="26">
        <v>2025</v>
      </c>
      <c r="G190" s="26">
        <v>2026</v>
      </c>
      <c r="H190" s="26">
        <v>2027</v>
      </c>
      <c r="I190" s="26">
        <v>2028</v>
      </c>
      <c r="J190" s="26">
        <v>2029</v>
      </c>
      <c r="K190" s="26">
        <v>2030</v>
      </c>
      <c r="L190" s="26">
        <v>2031</v>
      </c>
      <c r="M190" s="26">
        <v>2032</v>
      </c>
      <c r="N190" s="26">
        <v>2033</v>
      </c>
      <c r="O190" s="26">
        <v>2034</v>
      </c>
      <c r="P190" s="26">
        <v>2035</v>
      </c>
      <c r="Q190" s="26">
        <v>2036</v>
      </c>
      <c r="R190" s="26">
        <v>2037</v>
      </c>
      <c r="S190" s="26">
        <v>2038</v>
      </c>
      <c r="T190" s="26">
        <v>2039</v>
      </c>
      <c r="U190" s="26">
        <v>2040</v>
      </c>
      <c r="V190" s="26">
        <v>2041</v>
      </c>
      <c r="W190" s="26">
        <v>2042</v>
      </c>
      <c r="X190" s="26">
        <v>2043</v>
      </c>
      <c r="Y190" s="26">
        <v>2044</v>
      </c>
      <c r="Z190" s="26">
        <v>2045</v>
      </c>
      <c r="AA190" s="26">
        <v>2046</v>
      </c>
      <c r="AB190" s="26">
        <v>2047</v>
      </c>
      <c r="AC190" s="26">
        <v>2048</v>
      </c>
      <c r="AD190" s="26">
        <v>2049</v>
      </c>
      <c r="AE190" s="26">
        <v>2050</v>
      </c>
      <c r="AF190" s="26">
        <v>2051</v>
      </c>
      <c r="AG190" s="26">
        <v>2052</v>
      </c>
      <c r="AH190" s="26">
        <v>2053</v>
      </c>
      <c r="AI190" s="26">
        <v>2054</v>
      </c>
      <c r="AJ190" s="26">
        <v>2055</v>
      </c>
      <c r="AK190" s="26">
        <v>2056</v>
      </c>
      <c r="AL190" s="26">
        <v>2057</v>
      </c>
      <c r="AM190" s="26">
        <v>2058</v>
      </c>
      <c r="AN190" s="27">
        <v>2059</v>
      </c>
      <c r="AO190" s="8"/>
    </row>
    <row r="191" spans="2:41" hidden="1" x14ac:dyDescent="0.35">
      <c r="B191" s="8"/>
      <c r="C191" s="19" t="str">
        <f>"EL 0: " &amp; INDEX(_doName,3,1)</f>
        <v>EL 0: Baseline</v>
      </c>
      <c r="D191" s="11"/>
      <c r="E191" s="32">
        <f t="array" aca="1" ref="E191:AN191" ca="1">tlccFuElec0_Res</f>
        <v>16.075094392276625</v>
      </c>
      <c r="F191" s="32">
        <f ca="1"/>
        <v>15.995646793976352</v>
      </c>
      <c r="G191" s="32">
        <f ca="1"/>
        <v>15.93801945509189</v>
      </c>
      <c r="H191" s="32">
        <f ca="1"/>
        <v>15.89294698690769</v>
      </c>
      <c r="I191" s="32">
        <f ca="1"/>
        <v>15.861578277160916</v>
      </c>
      <c r="J191" s="32">
        <f ca="1"/>
        <v>15.836836853013684</v>
      </c>
      <c r="K191" s="32">
        <f ca="1"/>
        <v>15.815402059466685</v>
      </c>
      <c r="L191" s="32">
        <f ca="1"/>
        <v>15.792276811015652</v>
      </c>
      <c r="M191" s="32">
        <f ca="1"/>
        <v>15.77002037459834</v>
      </c>
      <c r="N191" s="32">
        <f ca="1"/>
        <v>15.748939424602973</v>
      </c>
      <c r="O191" s="32">
        <f ca="1"/>
        <v>15.726924248673162</v>
      </c>
      <c r="P191" s="32">
        <f ca="1"/>
        <v>15.708321425456999</v>
      </c>
      <c r="Q191" s="32">
        <f ca="1"/>
        <v>15.689237466831507</v>
      </c>
      <c r="R191" s="32">
        <f ca="1"/>
        <v>15.67260341476627</v>
      </c>
      <c r="S191" s="32">
        <f ca="1"/>
        <v>15.65859148371273</v>
      </c>
      <c r="T191" s="32">
        <f ca="1"/>
        <v>15.64554565778055</v>
      </c>
      <c r="U191" s="32">
        <f ca="1"/>
        <v>15.632138291789191</v>
      </c>
      <c r="V191" s="32">
        <f ca="1"/>
        <v>15.620130767068957</v>
      </c>
      <c r="W191" s="32">
        <f ca="1"/>
        <v>15.610309309416357</v>
      </c>
      <c r="X191" s="32">
        <f ca="1"/>
        <v>15.602004653909162</v>
      </c>
      <c r="Y191" s="32">
        <f ca="1"/>
        <v>15.595324356344516</v>
      </c>
      <c r="Z191" s="32">
        <f ca="1"/>
        <v>15.592734342210804</v>
      </c>
      <c r="AA191" s="32">
        <f ca="1"/>
        <v>15.592665033565162</v>
      </c>
      <c r="AB191" s="32">
        <f ca="1"/>
        <v>15.59337780633588</v>
      </c>
      <c r="AC191" s="32">
        <f ca="1"/>
        <v>15.594904106593752</v>
      </c>
      <c r="AD191" s="32">
        <f ca="1"/>
        <v>15.596185236323468</v>
      </c>
      <c r="AE191" s="32">
        <f ca="1"/>
        <v>15.596487598161634</v>
      </c>
      <c r="AF191" s="32">
        <f ca="1"/>
        <v>15.596487598161634</v>
      </c>
      <c r="AG191" s="32">
        <f ca="1"/>
        <v>15.596487598161634</v>
      </c>
      <c r="AH191" s="32">
        <f ca="1"/>
        <v>15.596487598161634</v>
      </c>
      <c r="AI191" s="32">
        <f ca="1"/>
        <v>15.596487598161634</v>
      </c>
      <c r="AJ191" s="32">
        <f ca="1"/>
        <v>15.596487598161634</v>
      </c>
      <c r="AK191" s="32">
        <f ca="1"/>
        <v>15.596487598161634</v>
      </c>
      <c r="AL191" s="32">
        <f ca="1"/>
        <v>15.596487598161634</v>
      </c>
      <c r="AM191" s="32">
        <f ca="1"/>
        <v>15.596487598161634</v>
      </c>
      <c r="AN191" s="55">
        <f ca="1"/>
        <v>15.596487598161634</v>
      </c>
      <c r="AO191" s="8"/>
    </row>
    <row r="192" spans="2:41" hidden="1" x14ac:dyDescent="0.35">
      <c r="B192" s="8"/>
      <c r="C192" s="19" t="str">
        <f>"EL 1: " &amp; INDEX(_doName,3,2)</f>
        <v>EL 1: Tier 1</v>
      </c>
      <c r="D192" s="11"/>
      <c r="E192" s="32">
        <f t="array" aca="1" ref="E192:AN192" ca="1">tlccFuElec1_Res</f>
        <v>9.65932100374736</v>
      </c>
      <c r="F192" s="32">
        <f ca="1"/>
        <v>9.6115819462816852</v>
      </c>
      <c r="G192" s="32">
        <f ca="1"/>
        <v>9.5769544068537229</v>
      </c>
      <c r="H192" s="32">
        <f ca="1"/>
        <v>9.5498709305146008</v>
      </c>
      <c r="I192" s="32">
        <f ca="1"/>
        <v>9.5310218693816822</v>
      </c>
      <c r="J192" s="32">
        <f ca="1"/>
        <v>9.5161550603853495</v>
      </c>
      <c r="K192" s="32">
        <f ca="1"/>
        <v>9.5032751639152533</v>
      </c>
      <c r="L192" s="32">
        <f ca="1"/>
        <v>9.4893794944635559</v>
      </c>
      <c r="M192" s="32">
        <f ca="1"/>
        <v>9.4760058831796581</v>
      </c>
      <c r="N192" s="32">
        <f ca="1"/>
        <v>9.4633386068265519</v>
      </c>
      <c r="O192" s="32">
        <f ca="1"/>
        <v>9.4501099659196441</v>
      </c>
      <c r="P192" s="32">
        <f ca="1"/>
        <v>9.4389317646204276</v>
      </c>
      <c r="Q192" s="32">
        <f ca="1"/>
        <v>9.4274644551361071</v>
      </c>
      <c r="R192" s="32">
        <f ca="1"/>
        <v>9.4174692635328512</v>
      </c>
      <c r="S192" s="32">
        <f ca="1"/>
        <v>9.4090496712974527</v>
      </c>
      <c r="T192" s="32">
        <f ca="1"/>
        <v>9.4012105994162649</v>
      </c>
      <c r="U192" s="32">
        <f ca="1"/>
        <v>9.3931542826840015</v>
      </c>
      <c r="V192" s="32">
        <f ca="1"/>
        <v>9.3859391128751763</v>
      </c>
      <c r="W192" s="32">
        <f ca="1"/>
        <v>9.3800375231316799</v>
      </c>
      <c r="X192" s="32">
        <f ca="1"/>
        <v>9.3750473606223945</v>
      </c>
      <c r="Y192" s="32">
        <f ca="1"/>
        <v>9.3710332542661376</v>
      </c>
      <c r="Z192" s="32">
        <f ca="1"/>
        <v>9.3694769475153805</v>
      </c>
      <c r="AA192" s="32">
        <f ca="1"/>
        <v>9.3694353008263924</v>
      </c>
      <c r="AB192" s="32">
        <f ca="1"/>
        <v>9.369863596973655</v>
      </c>
      <c r="AC192" s="32">
        <f ca="1"/>
        <v>9.3707807315035758</v>
      </c>
      <c r="AD192" s="32">
        <f ca="1"/>
        <v>9.3715505461624993</v>
      </c>
      <c r="AE192" s="32">
        <f ca="1"/>
        <v>9.3717322315686857</v>
      </c>
      <c r="AF192" s="32">
        <f ca="1"/>
        <v>9.3717322315686857</v>
      </c>
      <c r="AG192" s="32">
        <f ca="1"/>
        <v>9.3717322315686857</v>
      </c>
      <c r="AH192" s="32">
        <f ca="1"/>
        <v>9.3717322315686857</v>
      </c>
      <c r="AI192" s="32">
        <f ca="1"/>
        <v>9.3717322315686857</v>
      </c>
      <c r="AJ192" s="32">
        <f ca="1"/>
        <v>9.3717322315686857</v>
      </c>
      <c r="AK192" s="32">
        <f ca="1"/>
        <v>9.3717322315686857</v>
      </c>
      <c r="AL192" s="32">
        <f ca="1"/>
        <v>9.3717322315686857</v>
      </c>
      <c r="AM192" s="32">
        <f ca="1"/>
        <v>9.3717322315686857</v>
      </c>
      <c r="AN192" s="55">
        <f ca="1"/>
        <v>9.3717322315686857</v>
      </c>
      <c r="AO192" s="8"/>
    </row>
    <row r="193" spans="2:41" hidden="1" x14ac:dyDescent="0.35">
      <c r="B193" s="8"/>
      <c r="C193" s="19" t="str">
        <f>"EL 2: " &amp; INDEX(_doName,3,3)</f>
        <v>EL 2: Tier 2</v>
      </c>
      <c r="D193" s="11"/>
      <c r="E193" s="32">
        <f t="array" aca="1" ref="E193:AN193" ca="1">tlccFuElec2_Res</f>
        <v>6.7066081310013352</v>
      </c>
      <c r="F193" s="32">
        <f ca="1"/>
        <v>6.6734622037833189</v>
      </c>
      <c r="G193" s="32">
        <f ca="1"/>
        <v>6.6494197956892069</v>
      </c>
      <c r="H193" s="32">
        <f ca="1"/>
        <v>6.6306153411565045</v>
      </c>
      <c r="I193" s="32">
        <f ca="1"/>
        <v>6.6175281617774644</v>
      </c>
      <c r="J193" s="32">
        <f ca="1"/>
        <v>6.6072059184170708</v>
      </c>
      <c r="K193" s="32">
        <f ca="1"/>
        <v>6.5982632175419997</v>
      </c>
      <c r="L193" s="32">
        <f ca="1"/>
        <v>6.5886152505995721</v>
      </c>
      <c r="M193" s="32">
        <f ca="1"/>
        <v>6.5793297562938484</v>
      </c>
      <c r="N193" s="32">
        <f ca="1"/>
        <v>6.570534680681968</v>
      </c>
      <c r="O193" s="32">
        <f ca="1"/>
        <v>6.5613498414335441</v>
      </c>
      <c r="P193" s="32">
        <f ca="1"/>
        <v>6.5535886524540858</v>
      </c>
      <c r="Q193" s="32">
        <f ca="1"/>
        <v>6.5456267314248118</v>
      </c>
      <c r="R193" s="32">
        <f ca="1"/>
        <v>6.538686923414363</v>
      </c>
      <c r="S193" s="32">
        <f ca="1"/>
        <v>6.5328410771355498</v>
      </c>
      <c r="T193" s="32">
        <f ca="1"/>
        <v>6.5273982946462326</v>
      </c>
      <c r="U193" s="32">
        <f ca="1"/>
        <v>6.5218046758730734</v>
      </c>
      <c r="V193" s="32">
        <f ca="1"/>
        <v>6.5167950777359316</v>
      </c>
      <c r="W193" s="32">
        <f ca="1"/>
        <v>6.5126975174887667</v>
      </c>
      <c r="X193" s="32">
        <f ca="1"/>
        <v>6.5092327745273515</v>
      </c>
      <c r="Y193" s="32">
        <f ca="1"/>
        <v>6.5064457216571618</v>
      </c>
      <c r="Z193" s="32">
        <f ca="1"/>
        <v>6.5053651550723144</v>
      </c>
      <c r="AA193" s="32">
        <f ca="1"/>
        <v>6.5053362391658149</v>
      </c>
      <c r="AB193" s="32">
        <f ca="1"/>
        <v>6.505633611457573</v>
      </c>
      <c r="AC193" s="32">
        <f ca="1"/>
        <v>6.5062703914023743</v>
      </c>
      <c r="AD193" s="32">
        <f ca="1"/>
        <v>6.5068048850017588</v>
      </c>
      <c r="AE193" s="32">
        <f ca="1"/>
        <v>6.5069310318418871</v>
      </c>
      <c r="AF193" s="32">
        <f ca="1"/>
        <v>6.5069310318418871</v>
      </c>
      <c r="AG193" s="32">
        <f ca="1"/>
        <v>6.5069310318418871</v>
      </c>
      <c r="AH193" s="32">
        <f ca="1"/>
        <v>6.5069310318418871</v>
      </c>
      <c r="AI193" s="32">
        <f ca="1"/>
        <v>6.5069310318418871</v>
      </c>
      <c r="AJ193" s="32">
        <f ca="1"/>
        <v>6.5069310318418871</v>
      </c>
      <c r="AK193" s="32">
        <f ca="1"/>
        <v>6.5069310318418871</v>
      </c>
      <c r="AL193" s="32">
        <f ca="1"/>
        <v>6.5069310318418871</v>
      </c>
      <c r="AM193" s="32">
        <f ca="1"/>
        <v>6.5069310318418871</v>
      </c>
      <c r="AN193" s="55">
        <f ca="1"/>
        <v>6.5069310318418871</v>
      </c>
      <c r="AO193" s="8"/>
    </row>
    <row r="194" spans="2:41" hidden="1" x14ac:dyDescent="0.35">
      <c r="B194" s="8"/>
      <c r="C194" s="19" t="str">
        <f>"EL 3: " &amp; INDEX(_doName,3,4)</f>
        <v>EL 3: EL 3</v>
      </c>
      <c r="D194" s="11"/>
      <c r="E194" s="32">
        <f t="array" aca="1" ref="E194:AN194" ca="1">tlccFuElec3_Res</f>
        <v>3.1024115374312515</v>
      </c>
      <c r="F194" s="32">
        <f ca="1"/>
        <v>3.087078554646006</v>
      </c>
      <c r="G194" s="32">
        <f ca="1"/>
        <v>3.0759567710555773</v>
      </c>
      <c r="H194" s="32">
        <f ca="1"/>
        <v>3.067258013716875</v>
      </c>
      <c r="I194" s="32">
        <f ca="1"/>
        <v>3.0612040121254758</v>
      </c>
      <c r="J194" s="32">
        <f ca="1"/>
        <v>3.0564290429804277</v>
      </c>
      <c r="K194" s="32">
        <f ca="1"/>
        <v>3.052292236739675</v>
      </c>
      <c r="L194" s="32">
        <f ca="1"/>
        <v>3.0478291812919309</v>
      </c>
      <c r="M194" s="32">
        <f ca="1"/>
        <v>3.0435338021521137</v>
      </c>
      <c r="N194" s="32">
        <f ca="1"/>
        <v>3.0394652859188871</v>
      </c>
      <c r="O194" s="32">
        <f ca="1"/>
        <v>3.0352164688272718</v>
      </c>
      <c r="P194" s="32">
        <f ca="1"/>
        <v>3.0316262184706488</v>
      </c>
      <c r="Q194" s="32">
        <f ca="1"/>
        <v>3.0279431114247557</v>
      </c>
      <c r="R194" s="32">
        <f ca="1"/>
        <v>3.0247328238966018</v>
      </c>
      <c r="S194" s="32">
        <f ca="1"/>
        <v>3.0220285924002646</v>
      </c>
      <c r="T194" s="32">
        <f ca="1"/>
        <v>3.0195108142834055</v>
      </c>
      <c r="U194" s="32">
        <f ca="1"/>
        <v>3.0169232607721717</v>
      </c>
      <c r="V194" s="32">
        <f ca="1"/>
        <v>3.0146058695134341</v>
      </c>
      <c r="W194" s="32">
        <f ca="1"/>
        <v>3.0127103780909725</v>
      </c>
      <c r="X194" s="32">
        <f ca="1"/>
        <v>3.0111076217754449</v>
      </c>
      <c r="Y194" s="32">
        <f ca="1"/>
        <v>3.0098183582891922</v>
      </c>
      <c r="Z194" s="32">
        <f ca="1"/>
        <v>3.0093184987216861</v>
      </c>
      <c r="AA194" s="32">
        <f ca="1"/>
        <v>3.0093051225052463</v>
      </c>
      <c r="AB194" s="32">
        <f ca="1"/>
        <v>3.0094426840282753</v>
      </c>
      <c r="AC194" s="32">
        <f ca="1"/>
        <v>3.0097372522226542</v>
      </c>
      <c r="AD194" s="32">
        <f ca="1"/>
        <v>3.0099845037508524</v>
      </c>
      <c r="AE194" s="32">
        <f ca="1"/>
        <v>3.0100428580492666</v>
      </c>
      <c r="AF194" s="32">
        <f ca="1"/>
        <v>3.0100428580492666</v>
      </c>
      <c r="AG194" s="32">
        <f ca="1"/>
        <v>3.0100428580492666</v>
      </c>
      <c r="AH194" s="32">
        <f ca="1"/>
        <v>3.0100428580492666</v>
      </c>
      <c r="AI194" s="32">
        <f ca="1"/>
        <v>3.0100428580492666</v>
      </c>
      <c r="AJ194" s="32">
        <f ca="1"/>
        <v>3.0100428580492666</v>
      </c>
      <c r="AK194" s="32">
        <f ca="1"/>
        <v>3.0100428580492666</v>
      </c>
      <c r="AL194" s="32">
        <f ca="1"/>
        <v>3.0100428580492666</v>
      </c>
      <c r="AM194" s="32">
        <f ca="1"/>
        <v>3.0100428580492666</v>
      </c>
      <c r="AN194" s="55">
        <f ca="1"/>
        <v>3.0100428580492666</v>
      </c>
      <c r="AO194" s="8"/>
    </row>
    <row r="195" spans="2:41" hidden="1" x14ac:dyDescent="0.35">
      <c r="B195" s="8"/>
      <c r="C195" s="35" t="str">
        <f>"EL 4: " &amp; INDEX(_doName,3,5)</f>
        <v>EL 4: EL 4</v>
      </c>
      <c r="D195" s="15"/>
      <c r="E195" s="59">
        <f t="array" aca="1" ref="E195:AN195" ca="1">tlccFuElec4_Res</f>
        <v>2.7462741887795326</v>
      </c>
      <c r="F195" s="59">
        <f ca="1"/>
        <v>2.7327013360641295</v>
      </c>
      <c r="G195" s="59">
        <f ca="1"/>
        <v>2.7228562633395499</v>
      </c>
      <c r="H195" s="59">
        <f ca="1"/>
        <v>2.7151560686795224</v>
      </c>
      <c r="I195" s="59">
        <f ca="1"/>
        <v>2.7097970284269022</v>
      </c>
      <c r="J195" s="59">
        <f ca="1"/>
        <v>2.7055701957333511</v>
      </c>
      <c r="K195" s="59">
        <f ca="1"/>
        <v>2.7019082688529577</v>
      </c>
      <c r="L195" s="59">
        <f ca="1"/>
        <v>2.697957544124356</v>
      </c>
      <c r="M195" s="59">
        <f ca="1"/>
        <v>2.6941552475172235</v>
      </c>
      <c r="N195" s="59">
        <f ca="1"/>
        <v>2.6905537713806331</v>
      </c>
      <c r="O195" s="59">
        <f ca="1"/>
        <v>2.6867926917911698</v>
      </c>
      <c r="P195" s="59">
        <f ca="1"/>
        <v>2.6836145796140167</v>
      </c>
      <c r="Q195" s="59">
        <f ca="1"/>
        <v>2.6803542701120024</v>
      </c>
      <c r="R195" s="59">
        <f ca="1"/>
        <v>2.677512503418332</v>
      </c>
      <c r="S195" s="59">
        <f ca="1"/>
        <v>2.6751187007041297</v>
      </c>
      <c r="T195" s="59">
        <f ca="1"/>
        <v>2.6728899476931316</v>
      </c>
      <c r="U195" s="59">
        <f ca="1"/>
        <v>2.6705994290645578</v>
      </c>
      <c r="V195" s="59">
        <f ca="1"/>
        <v>2.6685480597596194</v>
      </c>
      <c r="W195" s="59">
        <f ca="1"/>
        <v>2.66687015884101</v>
      </c>
      <c r="X195" s="59">
        <f ca="1"/>
        <v>2.6654513888786346</v>
      </c>
      <c r="Y195" s="59">
        <f ca="1"/>
        <v>2.6643101247387508</v>
      </c>
      <c r="Z195" s="59">
        <f ca="1"/>
        <v>2.6638676459084305</v>
      </c>
      <c r="AA195" s="59">
        <f ca="1"/>
        <v>2.66385580519758</v>
      </c>
      <c r="AB195" s="59">
        <f ca="1"/>
        <v>2.6639775755222153</v>
      </c>
      <c r="AC195" s="59">
        <f ca="1"/>
        <v>2.6642383291389735</v>
      </c>
      <c r="AD195" s="59">
        <f ca="1"/>
        <v>2.6644571977454863</v>
      </c>
      <c r="AE195" s="59">
        <f ca="1"/>
        <v>2.6645088533371464</v>
      </c>
      <c r="AF195" s="59">
        <f ca="1"/>
        <v>2.6645088533371464</v>
      </c>
      <c r="AG195" s="59">
        <f ca="1"/>
        <v>2.6645088533371464</v>
      </c>
      <c r="AH195" s="59">
        <f ca="1"/>
        <v>2.6645088533371464</v>
      </c>
      <c r="AI195" s="59">
        <f ca="1"/>
        <v>2.6645088533371464</v>
      </c>
      <c r="AJ195" s="59">
        <f ca="1"/>
        <v>2.6645088533371464</v>
      </c>
      <c r="AK195" s="59">
        <f ca="1"/>
        <v>2.6645088533371464</v>
      </c>
      <c r="AL195" s="59">
        <f ca="1"/>
        <v>2.6645088533371464</v>
      </c>
      <c r="AM195" s="59">
        <f ca="1"/>
        <v>2.6645088533371464</v>
      </c>
      <c r="AN195" s="60">
        <f ca="1"/>
        <v>2.6645088533371464</v>
      </c>
      <c r="AO195" s="8"/>
    </row>
    <row r="196" spans="2:41" hidden="1" x14ac:dyDescent="0.3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</row>
    <row r="197" spans="2:41" hidden="1" x14ac:dyDescent="0.35">
      <c r="B197" s="8"/>
      <c r="C197" s="23" t="s">
        <v>81</v>
      </c>
      <c r="D197" s="24"/>
      <c r="E197" s="26">
        <f t="array" ref="E197:AN197">_yS</f>
        <v>2024</v>
      </c>
      <c r="F197" s="26">
        <v>2025</v>
      </c>
      <c r="G197" s="26">
        <v>2026</v>
      </c>
      <c r="H197" s="26">
        <v>2027</v>
      </c>
      <c r="I197" s="26">
        <v>2028</v>
      </c>
      <c r="J197" s="26">
        <v>2029</v>
      </c>
      <c r="K197" s="26">
        <v>2030</v>
      </c>
      <c r="L197" s="26">
        <v>2031</v>
      </c>
      <c r="M197" s="26">
        <v>2032</v>
      </c>
      <c r="N197" s="26">
        <v>2033</v>
      </c>
      <c r="O197" s="26">
        <v>2034</v>
      </c>
      <c r="P197" s="26">
        <v>2035</v>
      </c>
      <c r="Q197" s="26">
        <v>2036</v>
      </c>
      <c r="R197" s="26">
        <v>2037</v>
      </c>
      <c r="S197" s="26">
        <v>2038</v>
      </c>
      <c r="T197" s="26">
        <v>2039</v>
      </c>
      <c r="U197" s="26">
        <v>2040</v>
      </c>
      <c r="V197" s="26">
        <v>2041</v>
      </c>
      <c r="W197" s="26">
        <v>2042</v>
      </c>
      <c r="X197" s="26">
        <v>2043</v>
      </c>
      <c r="Y197" s="26">
        <v>2044</v>
      </c>
      <c r="Z197" s="26">
        <v>2045</v>
      </c>
      <c r="AA197" s="26">
        <v>2046</v>
      </c>
      <c r="AB197" s="26">
        <v>2047</v>
      </c>
      <c r="AC197" s="26">
        <v>2048</v>
      </c>
      <c r="AD197" s="26">
        <v>2049</v>
      </c>
      <c r="AE197" s="26">
        <v>2050</v>
      </c>
      <c r="AF197" s="26">
        <v>2051</v>
      </c>
      <c r="AG197" s="26">
        <v>2052</v>
      </c>
      <c r="AH197" s="26">
        <v>2053</v>
      </c>
      <c r="AI197" s="26">
        <v>2054</v>
      </c>
      <c r="AJ197" s="26">
        <v>2055</v>
      </c>
      <c r="AK197" s="26">
        <v>2056</v>
      </c>
      <c r="AL197" s="26">
        <v>2057</v>
      </c>
      <c r="AM197" s="26">
        <v>2058</v>
      </c>
      <c r="AN197" s="27">
        <v>2059</v>
      </c>
      <c r="AO197" s="8"/>
    </row>
    <row r="198" spans="2:41" hidden="1" x14ac:dyDescent="0.35">
      <c r="B198" s="8"/>
      <c r="C198" s="19" t="str">
        <f>"EL 0: " &amp; INDEX(_doName,3,1)</f>
        <v>EL 0: Baseline</v>
      </c>
      <c r="D198" s="11"/>
      <c r="E198" s="32">
        <f t="array" aca="1" ref="E198:AN198" ca="1">tlccFuElec0_Com</f>
        <v>33.091236818558535</v>
      </c>
      <c r="F198" s="32">
        <f ca="1"/>
        <v>32.921389087866643</v>
      </c>
      <c r="G198" s="32">
        <f ca="1"/>
        <v>32.799926196514839</v>
      </c>
      <c r="H198" s="32">
        <f ca="1"/>
        <v>32.706551760983807</v>
      </c>
      <c r="I198" s="32">
        <f ca="1"/>
        <v>32.64427685517191</v>
      </c>
      <c r="J198" s="32">
        <f ca="1"/>
        <v>32.59692145382796</v>
      </c>
      <c r="K198" s="32">
        <f ca="1"/>
        <v>32.556507290425188</v>
      </c>
      <c r="L198" s="32">
        <f ca="1"/>
        <v>32.513228520270957</v>
      </c>
      <c r="M198" s="32">
        <f ca="1"/>
        <v>32.472330797799906</v>
      </c>
      <c r="N198" s="32">
        <f ca="1"/>
        <v>32.433784844801202</v>
      </c>
      <c r="O198" s="32">
        <f ca="1"/>
        <v>32.39393939882018</v>
      </c>
      <c r="P198" s="32">
        <f ca="1"/>
        <v>32.359757962637673</v>
      </c>
      <c r="Q198" s="32">
        <f ca="1"/>
        <v>32.32415461518233</v>
      </c>
      <c r="R198" s="32">
        <f ca="1"/>
        <v>32.293111718227607</v>
      </c>
      <c r="S198" s="32">
        <f ca="1"/>
        <v>32.267326076379639</v>
      </c>
      <c r="T198" s="32">
        <f ca="1"/>
        <v>32.24369323964256</v>
      </c>
      <c r="U198" s="32">
        <f ca="1"/>
        <v>32.219338872104636</v>
      </c>
      <c r="V198" s="32">
        <f ca="1"/>
        <v>32.1974172572017</v>
      </c>
      <c r="W198" s="32">
        <f ca="1"/>
        <v>32.179703491719188</v>
      </c>
      <c r="X198" s="32">
        <f ca="1"/>
        <v>32.164895374596234</v>
      </c>
      <c r="Y198" s="32">
        <f ca="1"/>
        <v>32.15302378409416</v>
      </c>
      <c r="Z198" s="32">
        <f ca="1"/>
        <v>32.149063843507491</v>
      </c>
      <c r="AA198" s="32">
        <f ca="1"/>
        <v>32.149895052338273</v>
      </c>
      <c r="AB198" s="32">
        <f ca="1"/>
        <v>32.152139614693404</v>
      </c>
      <c r="AC198" s="32">
        <f ca="1"/>
        <v>32.155697383044668</v>
      </c>
      <c r="AD198" s="32">
        <f ca="1"/>
        <v>32.158542723636728</v>
      </c>
      <c r="AE198" s="32">
        <f ca="1"/>
        <v>32.159283918364231</v>
      </c>
      <c r="AF198" s="32">
        <f ca="1"/>
        <v>32.159283918364231</v>
      </c>
      <c r="AG198" s="32">
        <f ca="1"/>
        <v>32.159283918364231</v>
      </c>
      <c r="AH198" s="32">
        <f ca="1"/>
        <v>32.159283918364231</v>
      </c>
      <c r="AI198" s="32">
        <f ca="1"/>
        <v>32.159283918364231</v>
      </c>
      <c r="AJ198" s="32">
        <f ca="1"/>
        <v>32.159283918364231</v>
      </c>
      <c r="AK198" s="32">
        <f ca="1"/>
        <v>32.159283918364231</v>
      </c>
      <c r="AL198" s="32">
        <f ca="1"/>
        <v>32.159283918364231</v>
      </c>
      <c r="AM198" s="32">
        <f ca="1"/>
        <v>32.159283918364231</v>
      </c>
      <c r="AN198" s="55">
        <f ca="1"/>
        <v>32.159283918364231</v>
      </c>
      <c r="AO198" s="8"/>
    </row>
    <row r="199" spans="2:41" hidden="1" x14ac:dyDescent="0.35">
      <c r="B199" s="8"/>
      <c r="C199" s="19" t="str">
        <f>"EL 1: " &amp; INDEX(_doName,3,2)</f>
        <v>EL 1: Tier 1</v>
      </c>
      <c r="D199" s="11"/>
      <c r="E199" s="32">
        <f t="array" aca="1" ref="E199:AN199" ca="1">tlccFuElec1_Com</f>
        <v>19.778313579332206</v>
      </c>
      <c r="F199" s="32">
        <f ca="1"/>
        <v>19.676797226323668</v>
      </c>
      <c r="G199" s="32">
        <f ca="1"/>
        <v>19.604200025844865</v>
      </c>
      <c r="H199" s="32">
        <f ca="1"/>
        <v>19.548391024919582</v>
      </c>
      <c r="I199" s="32">
        <f ca="1"/>
        <v>19.511169913420346</v>
      </c>
      <c r="J199" s="32">
        <f ca="1"/>
        <v>19.482866046067453</v>
      </c>
      <c r="K199" s="32">
        <f ca="1"/>
        <v>19.458710889788186</v>
      </c>
      <c r="L199" s="32">
        <f ca="1"/>
        <v>19.432843585639592</v>
      </c>
      <c r="M199" s="32">
        <f ca="1"/>
        <v>19.408399410761888</v>
      </c>
      <c r="N199" s="32">
        <f ca="1"/>
        <v>19.385360865850348</v>
      </c>
      <c r="O199" s="32">
        <f ca="1"/>
        <v>19.361545626497346</v>
      </c>
      <c r="P199" s="32">
        <f ca="1"/>
        <v>19.341115711256752</v>
      </c>
      <c r="Q199" s="32">
        <f ca="1"/>
        <v>19.319835933341327</v>
      </c>
      <c r="R199" s="32">
        <f ca="1"/>
        <v>19.301281892773194</v>
      </c>
      <c r="S199" s="32">
        <f ca="1"/>
        <v>19.285870062955233</v>
      </c>
      <c r="T199" s="32">
        <f ca="1"/>
        <v>19.271744944020632</v>
      </c>
      <c r="U199" s="32">
        <f ca="1"/>
        <v>19.257188573074675</v>
      </c>
      <c r="V199" s="32">
        <f ca="1"/>
        <v>19.244086234951361</v>
      </c>
      <c r="W199" s="32">
        <f ca="1"/>
        <v>19.233498887905228</v>
      </c>
      <c r="X199" s="32">
        <f ca="1"/>
        <v>19.224648218902338</v>
      </c>
      <c r="Y199" s="32">
        <f ca="1"/>
        <v>19.217552683582131</v>
      </c>
      <c r="Z199" s="32">
        <f ca="1"/>
        <v>19.215185865227529</v>
      </c>
      <c r="AA199" s="32">
        <f ca="1"/>
        <v>19.215682670741181</v>
      </c>
      <c r="AB199" s="32">
        <f ca="1"/>
        <v>19.217024224045808</v>
      </c>
      <c r="AC199" s="32">
        <f ca="1"/>
        <v>19.219150667928211</v>
      </c>
      <c r="AD199" s="32">
        <f ca="1"/>
        <v>19.22085130059958</v>
      </c>
      <c r="AE199" s="32">
        <f ca="1"/>
        <v>19.22129430555054</v>
      </c>
      <c r="AF199" s="32">
        <f ca="1"/>
        <v>19.22129430555054</v>
      </c>
      <c r="AG199" s="32">
        <f ca="1"/>
        <v>19.22129430555054</v>
      </c>
      <c r="AH199" s="32">
        <f ca="1"/>
        <v>19.22129430555054</v>
      </c>
      <c r="AI199" s="32">
        <f ca="1"/>
        <v>19.22129430555054</v>
      </c>
      <c r="AJ199" s="32">
        <f ca="1"/>
        <v>19.22129430555054</v>
      </c>
      <c r="AK199" s="32">
        <f ca="1"/>
        <v>19.22129430555054</v>
      </c>
      <c r="AL199" s="32">
        <f ca="1"/>
        <v>19.22129430555054</v>
      </c>
      <c r="AM199" s="32">
        <f ca="1"/>
        <v>19.22129430555054</v>
      </c>
      <c r="AN199" s="55">
        <f ca="1"/>
        <v>19.22129430555054</v>
      </c>
      <c r="AO199" s="8"/>
    </row>
    <row r="200" spans="2:41" hidden="1" x14ac:dyDescent="0.35">
      <c r="B200" s="8"/>
      <c r="C200" s="19" t="str">
        <f>"EL 2: " &amp; INDEX(_doName,3,3)</f>
        <v>EL 2: Tier 2</v>
      </c>
      <c r="D200" s="11"/>
      <c r="E200" s="32">
        <f t="array" aca="1" ref="E200:AN200" ca="1">tlccFuElec2_Com</f>
        <v>13.673770865614037</v>
      </c>
      <c r="F200" s="32">
        <f ca="1"/>
        <v>13.603587361616903</v>
      </c>
      <c r="G200" s="32">
        <f ca="1"/>
        <v>13.553397163102231</v>
      </c>
      <c r="H200" s="32">
        <f ca="1"/>
        <v>13.514813515015632</v>
      </c>
      <c r="I200" s="32">
        <f ca="1"/>
        <v>13.489080636023571</v>
      </c>
      <c r="J200" s="32">
        <f ca="1"/>
        <v>13.46951270899876</v>
      </c>
      <c r="K200" s="32">
        <f ca="1"/>
        <v>13.452813000458852</v>
      </c>
      <c r="L200" s="32">
        <f ca="1"/>
        <v>13.434929595565908</v>
      </c>
      <c r="M200" s="32">
        <f ca="1"/>
        <v>13.418030073524438</v>
      </c>
      <c r="N200" s="32">
        <f ca="1"/>
        <v>13.402102336160286</v>
      </c>
      <c r="O200" s="32">
        <f ca="1"/>
        <v>13.38563762976778</v>
      </c>
      <c r="P200" s="32">
        <f ca="1"/>
        <v>13.371513372981005</v>
      </c>
      <c r="Q200" s="32">
        <f ca="1"/>
        <v>13.356801562182801</v>
      </c>
      <c r="R200" s="32">
        <f ca="1"/>
        <v>13.343974194553992</v>
      </c>
      <c r="S200" s="32">
        <f ca="1"/>
        <v>13.333319199692811</v>
      </c>
      <c r="T200" s="32">
        <f ca="1"/>
        <v>13.323553774597968</v>
      </c>
      <c r="U200" s="32">
        <f ca="1"/>
        <v>13.313490202688687</v>
      </c>
      <c r="V200" s="32">
        <f ca="1"/>
        <v>13.30443187885418</v>
      </c>
      <c r="W200" s="32">
        <f ca="1"/>
        <v>13.297112298395364</v>
      </c>
      <c r="X200" s="32">
        <f ca="1"/>
        <v>13.290993373267222</v>
      </c>
      <c r="Y200" s="32">
        <f ca="1"/>
        <v>13.286087862807582</v>
      </c>
      <c r="Z200" s="32">
        <f ca="1"/>
        <v>13.284451558896658</v>
      </c>
      <c r="AA200" s="32">
        <f ca="1"/>
        <v>13.284795026236845</v>
      </c>
      <c r="AB200" s="32">
        <f ca="1"/>
        <v>13.285722511404773</v>
      </c>
      <c r="AC200" s="32">
        <f ca="1"/>
        <v>13.287192632013889</v>
      </c>
      <c r="AD200" s="32">
        <f ca="1"/>
        <v>13.288368367315167</v>
      </c>
      <c r="AE200" s="32">
        <f ca="1"/>
        <v>13.288674639544466</v>
      </c>
      <c r="AF200" s="32">
        <f ca="1"/>
        <v>13.288674639544466</v>
      </c>
      <c r="AG200" s="32">
        <f ca="1"/>
        <v>13.288674639544466</v>
      </c>
      <c r="AH200" s="32">
        <f ca="1"/>
        <v>13.288674639544466</v>
      </c>
      <c r="AI200" s="32">
        <f ca="1"/>
        <v>13.288674639544466</v>
      </c>
      <c r="AJ200" s="32">
        <f ca="1"/>
        <v>13.288674639544466</v>
      </c>
      <c r="AK200" s="32">
        <f ca="1"/>
        <v>13.288674639544466</v>
      </c>
      <c r="AL200" s="32">
        <f ca="1"/>
        <v>13.288674639544466</v>
      </c>
      <c r="AM200" s="32">
        <f ca="1"/>
        <v>13.288674639544466</v>
      </c>
      <c r="AN200" s="55">
        <f ca="1"/>
        <v>13.288674639544466</v>
      </c>
      <c r="AO200" s="8"/>
    </row>
    <row r="201" spans="2:41" hidden="1" x14ac:dyDescent="0.35">
      <c r="B201" s="8"/>
      <c r="C201" s="19" t="str">
        <f>"EL 3: " &amp; INDEX(_doName,3,4)</f>
        <v>EL 3: EL 3</v>
      </c>
      <c r="D201" s="11"/>
      <c r="E201" s="32">
        <f t="array" aca="1" ref="E201:AN201" ca="1">tlccFuElec3_Com</f>
        <v>6.1190167229268697</v>
      </c>
      <c r="F201" s="32">
        <f ca="1"/>
        <v>6.0876095830199084</v>
      </c>
      <c r="G201" s="32">
        <f ca="1"/>
        <v>6.0651494535459971</v>
      </c>
      <c r="H201" s="32">
        <f ca="1"/>
        <v>6.0478832590050962</v>
      </c>
      <c r="I201" s="32">
        <f ca="1"/>
        <v>6.0363677876381265</v>
      </c>
      <c r="J201" s="32">
        <f ca="1"/>
        <v>6.0276111341974188</v>
      </c>
      <c r="K201" s="32">
        <f ca="1"/>
        <v>6.0201380094224044</v>
      </c>
      <c r="L201" s="32">
        <f ca="1"/>
        <v>6.0121351801605813</v>
      </c>
      <c r="M201" s="32">
        <f ca="1"/>
        <v>6.0045726387813572</v>
      </c>
      <c r="N201" s="32">
        <f ca="1"/>
        <v>5.9974449713480302</v>
      </c>
      <c r="O201" s="32">
        <f ca="1"/>
        <v>5.9900770101071981</v>
      </c>
      <c r="P201" s="32">
        <f ca="1"/>
        <v>5.9837564007941859</v>
      </c>
      <c r="Q201" s="32">
        <f ca="1"/>
        <v>5.9771728608779862</v>
      </c>
      <c r="R201" s="32">
        <f ca="1"/>
        <v>5.9714326098672572</v>
      </c>
      <c r="S201" s="32">
        <f ca="1"/>
        <v>5.9666644963469251</v>
      </c>
      <c r="T201" s="32">
        <f ca="1"/>
        <v>5.9622944655742067</v>
      </c>
      <c r="U201" s="32">
        <f ca="1"/>
        <v>5.9577910140091292</v>
      </c>
      <c r="V201" s="32">
        <f ca="1"/>
        <v>5.9537374112707342</v>
      </c>
      <c r="W201" s="32">
        <f ca="1"/>
        <v>5.9504618967347325</v>
      </c>
      <c r="X201" s="32">
        <f ca="1"/>
        <v>5.9477236758333119</v>
      </c>
      <c r="Y201" s="32">
        <f ca="1"/>
        <v>5.9455284583741319</v>
      </c>
      <c r="Z201" s="32">
        <f ca="1"/>
        <v>5.9447962118641415</v>
      </c>
      <c r="AA201" s="32">
        <f ca="1"/>
        <v>5.9449499136058961</v>
      </c>
      <c r="AB201" s="32">
        <f ca="1"/>
        <v>5.9453649635075356</v>
      </c>
      <c r="AC201" s="32">
        <f ca="1"/>
        <v>5.9460228429381852</v>
      </c>
      <c r="AD201" s="32">
        <f ca="1"/>
        <v>5.9465489848518489</v>
      </c>
      <c r="AE201" s="32">
        <f ca="1"/>
        <v>5.9466860417698904</v>
      </c>
      <c r="AF201" s="32">
        <f ca="1"/>
        <v>5.9466860417698904</v>
      </c>
      <c r="AG201" s="32">
        <f ca="1"/>
        <v>5.9466860417698904</v>
      </c>
      <c r="AH201" s="32">
        <f ca="1"/>
        <v>5.9466860417698904</v>
      </c>
      <c r="AI201" s="32">
        <f ca="1"/>
        <v>5.9466860417698904</v>
      </c>
      <c r="AJ201" s="32">
        <f ca="1"/>
        <v>5.9466860417698904</v>
      </c>
      <c r="AK201" s="32">
        <f ca="1"/>
        <v>5.9466860417698904</v>
      </c>
      <c r="AL201" s="32">
        <f ca="1"/>
        <v>5.9466860417698904</v>
      </c>
      <c r="AM201" s="32">
        <f ca="1"/>
        <v>5.9466860417698904</v>
      </c>
      <c r="AN201" s="55">
        <f ca="1"/>
        <v>5.9466860417698904</v>
      </c>
      <c r="AO201" s="8"/>
    </row>
    <row r="202" spans="2:41" hidden="1" x14ac:dyDescent="0.35">
      <c r="B202" s="8"/>
      <c r="C202" s="35" t="str">
        <f>"EL 4: " &amp; INDEX(_doName,3,5)</f>
        <v>EL 4: EL 4</v>
      </c>
      <c r="D202" s="15"/>
      <c r="E202" s="59">
        <f t="array" aca="1" ref="E202:AN202" ca="1">tlccFuElec4_Com</f>
        <v>5.4102573232157223</v>
      </c>
      <c r="F202" s="59">
        <f ca="1"/>
        <v>5.3824880399506148</v>
      </c>
      <c r="G202" s="59">
        <f ca="1"/>
        <v>5.3626294441224118</v>
      </c>
      <c r="H202" s="59">
        <f ca="1"/>
        <v>5.3473631750976907</v>
      </c>
      <c r="I202" s="59">
        <f ca="1"/>
        <v>5.3371815289093423</v>
      </c>
      <c r="J202" s="59">
        <f ca="1"/>
        <v>5.3294391496105664</v>
      </c>
      <c r="K202" s="59">
        <f ca="1"/>
        <v>5.3228316291751598</v>
      </c>
      <c r="L202" s="59">
        <f ca="1"/>
        <v>5.3157557593776472</v>
      </c>
      <c r="M202" s="59">
        <f ca="1"/>
        <v>5.3090691793711331</v>
      </c>
      <c r="N202" s="59">
        <f ca="1"/>
        <v>5.3027671023096117</v>
      </c>
      <c r="O202" s="59">
        <f ca="1"/>
        <v>5.2962525644246252</v>
      </c>
      <c r="P202" s="59">
        <f ca="1"/>
        <v>5.2906640647732379</v>
      </c>
      <c r="Q202" s="59">
        <f ca="1"/>
        <v>5.2848430894994101</v>
      </c>
      <c r="R202" s="59">
        <f ca="1"/>
        <v>5.2797677258463693</v>
      </c>
      <c r="S202" s="59">
        <f ca="1"/>
        <v>5.2755518980002636</v>
      </c>
      <c r="T202" s="59">
        <f ca="1"/>
        <v>5.2716880433874485</v>
      </c>
      <c r="U202" s="59">
        <f ca="1"/>
        <v>5.2677062219751267</v>
      </c>
      <c r="V202" s="59">
        <f ca="1"/>
        <v>5.2641221438635828</v>
      </c>
      <c r="W202" s="59">
        <f ca="1"/>
        <v>5.2612260287999808</v>
      </c>
      <c r="X202" s="59">
        <f ca="1"/>
        <v>5.2588049732030919</v>
      </c>
      <c r="Y202" s="59">
        <f ca="1"/>
        <v>5.2568640255194428</v>
      </c>
      <c r="Z202" s="59">
        <f ca="1"/>
        <v>5.2562165943679267</v>
      </c>
      <c r="AA202" s="59">
        <f ca="1"/>
        <v>5.2563524929953651</v>
      </c>
      <c r="AB202" s="59">
        <f ca="1"/>
        <v>5.2567194680947198</v>
      </c>
      <c r="AC202" s="59">
        <f ca="1"/>
        <v>5.2573011460290404</v>
      </c>
      <c r="AD202" s="59">
        <f ca="1"/>
        <v>5.2577663454671759</v>
      </c>
      <c r="AE202" s="59">
        <f ca="1"/>
        <v>5.2578875272236756</v>
      </c>
      <c r="AF202" s="59">
        <f ca="1"/>
        <v>5.2578875272236756</v>
      </c>
      <c r="AG202" s="59">
        <f ca="1"/>
        <v>5.2578875272236756</v>
      </c>
      <c r="AH202" s="59">
        <f ca="1"/>
        <v>5.2578875272236756</v>
      </c>
      <c r="AI202" s="59">
        <f ca="1"/>
        <v>5.2578875272236756</v>
      </c>
      <c r="AJ202" s="59">
        <f ca="1"/>
        <v>5.2578875272236756</v>
      </c>
      <c r="AK202" s="59">
        <f ca="1"/>
        <v>5.2578875272236756</v>
      </c>
      <c r="AL202" s="59">
        <f ca="1"/>
        <v>5.2578875272236756</v>
      </c>
      <c r="AM202" s="59">
        <f ca="1"/>
        <v>5.2578875272236756</v>
      </c>
      <c r="AN202" s="60">
        <f ca="1"/>
        <v>5.2578875272236756</v>
      </c>
      <c r="AO202" s="8"/>
    </row>
    <row r="203" spans="2:41" hidden="1" x14ac:dyDescent="0.3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</row>
    <row r="204" spans="2:41" x14ac:dyDescent="0.35">
      <c r="B204" s="8"/>
      <c r="C204" s="23" t="s">
        <v>79</v>
      </c>
      <c r="D204" s="24"/>
      <c r="E204" s="26">
        <f t="array" ref="E204:AN204">_yS</f>
        <v>2024</v>
      </c>
      <c r="F204" s="26">
        <v>2025</v>
      </c>
      <c r="G204" s="26">
        <v>2026</v>
      </c>
      <c r="H204" s="26">
        <v>2027</v>
      </c>
      <c r="I204" s="26">
        <v>2028</v>
      </c>
      <c r="J204" s="26">
        <v>2029</v>
      </c>
      <c r="K204" s="26">
        <v>2030</v>
      </c>
      <c r="L204" s="26">
        <v>2031</v>
      </c>
      <c r="M204" s="26">
        <v>2032</v>
      </c>
      <c r="N204" s="26">
        <v>2033</v>
      </c>
      <c r="O204" s="26">
        <v>2034</v>
      </c>
      <c r="P204" s="26">
        <v>2035</v>
      </c>
      <c r="Q204" s="26">
        <v>2036</v>
      </c>
      <c r="R204" s="26">
        <v>2037</v>
      </c>
      <c r="S204" s="26">
        <v>2038</v>
      </c>
      <c r="T204" s="26">
        <v>2039</v>
      </c>
      <c r="U204" s="26">
        <v>2040</v>
      </c>
      <c r="V204" s="26">
        <v>2041</v>
      </c>
      <c r="W204" s="26">
        <v>2042</v>
      </c>
      <c r="X204" s="26">
        <v>2043</v>
      </c>
      <c r="Y204" s="26">
        <v>2044</v>
      </c>
      <c r="Z204" s="26">
        <v>2045</v>
      </c>
      <c r="AA204" s="26">
        <v>2046</v>
      </c>
      <c r="AB204" s="26">
        <v>2047</v>
      </c>
      <c r="AC204" s="26">
        <v>2048</v>
      </c>
      <c r="AD204" s="26">
        <v>2049</v>
      </c>
      <c r="AE204" s="26">
        <v>2050</v>
      </c>
      <c r="AF204" s="26">
        <v>2051</v>
      </c>
      <c r="AG204" s="26">
        <v>2052</v>
      </c>
      <c r="AH204" s="26">
        <v>2053</v>
      </c>
      <c r="AI204" s="26">
        <v>2054</v>
      </c>
      <c r="AJ204" s="26">
        <v>2055</v>
      </c>
      <c r="AK204" s="26">
        <v>2056</v>
      </c>
      <c r="AL204" s="26">
        <v>2057</v>
      </c>
      <c r="AM204" s="26">
        <v>2058</v>
      </c>
      <c r="AN204" s="27">
        <v>2059</v>
      </c>
      <c r="AO204" s="8"/>
    </row>
    <row r="205" spans="2:41" x14ac:dyDescent="0.35">
      <c r="B205" s="8"/>
      <c r="C205" s="19" t="str">
        <f>"EL 0: " &amp; INDEX(_doName,3,1)</f>
        <v>EL 0: Baseline</v>
      </c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18"/>
      <c r="AO205" s="8"/>
    </row>
    <row r="206" spans="2:41" x14ac:dyDescent="0.35">
      <c r="B206" s="8"/>
      <c r="C206" s="10" t="s">
        <v>70</v>
      </c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18"/>
      <c r="AO206" s="8"/>
    </row>
    <row r="207" spans="2:41" x14ac:dyDescent="0.35">
      <c r="B207" s="8"/>
      <c r="C207" s="20" t="str">
        <f>INDEX(_Sector,2,1)</f>
        <v>Residential</v>
      </c>
      <c r="D207" s="11" t="str">
        <f>_yearDol &amp; "$"</f>
        <v>2021$</v>
      </c>
      <c r="E207" s="32">
        <f t="array" ref="E207:AN207">tMSP0_Res*tPIdxlrg0 + tInst0</f>
        <v>149.74619006406289</v>
      </c>
      <c r="F207" s="32">
        <v>148.72762501415832</v>
      </c>
      <c r="G207" s="32">
        <v>147.75545668923712</v>
      </c>
      <c r="H207" s="32">
        <v>146.82209235120754</v>
      </c>
      <c r="I207" s="32">
        <v>145.92208766309017</v>
      </c>
      <c r="J207" s="32">
        <v>145.05177382435113</v>
      </c>
      <c r="K207" s="32">
        <v>144.20861870746606</v>
      </c>
      <c r="L207" s="32">
        <v>143.39076411532616</v>
      </c>
      <c r="M207" s="32">
        <v>142.59659606629779</v>
      </c>
      <c r="N207" s="32">
        <v>141.8245391396475</v>
      </c>
      <c r="O207" s="32">
        <v>141.07300755414559</v>
      </c>
      <c r="P207" s="32">
        <v>140.34041275386332</v>
      </c>
      <c r="Q207" s="32">
        <v>139.62523543160938</v>
      </c>
      <c r="R207" s="32">
        <v>138.92610086926678</v>
      </c>
      <c r="S207" s="32">
        <v>138.24175667161651</v>
      </c>
      <c r="T207" s="32">
        <v>137.57122539564602</v>
      </c>
      <c r="U207" s="32">
        <v>136.9136015233274</v>
      </c>
      <c r="V207" s="32">
        <v>136.26809805398193</v>
      </c>
      <c r="W207" s="32">
        <v>135.63401352460554</v>
      </c>
      <c r="X207" s="32">
        <v>135.0107069104757</v>
      </c>
      <c r="Y207" s="32">
        <v>134.39758505782055</v>
      </c>
      <c r="Z207" s="32">
        <v>133.79409252419381</v>
      </c>
      <c r="AA207" s="32">
        <v>133.19971183290127</v>
      </c>
      <c r="AB207" s="32">
        <v>132.61396333919907</v>
      </c>
      <c r="AC207" s="32">
        <v>132.0364048175756</v>
      </c>
      <c r="AD207" s="32">
        <v>131.46662997252491</v>
      </c>
      <c r="AE207" s="32">
        <v>130.90426563406254</v>
      </c>
      <c r="AF207" s="32">
        <v>130.34896826762983</v>
      </c>
      <c r="AG207" s="32">
        <v>129.80042036511679</v>
      </c>
      <c r="AH207" s="32">
        <v>129.25832717090395</v>
      </c>
      <c r="AI207" s="32">
        <v>128.72241404112171</v>
      </c>
      <c r="AJ207" s="32">
        <v>128.19242443039653</v>
      </c>
      <c r="AK207" s="32">
        <v>127.66811832867829</v>
      </c>
      <c r="AL207" s="32">
        <v>127.14927118250681</v>
      </c>
      <c r="AM207" s="32">
        <v>126.63567269929729</v>
      </c>
      <c r="AN207" s="55">
        <v>126.12712597367637</v>
      </c>
      <c r="AO207" s="8"/>
    </row>
    <row r="208" spans="2:41" x14ac:dyDescent="0.35">
      <c r="B208" s="8"/>
      <c r="C208" s="20" t="str">
        <f>INDEX(_Sector,2,2)</f>
        <v>Commercial</v>
      </c>
      <c r="D208" s="11" t="str">
        <f>_yearDol &amp; "$"</f>
        <v>2021$</v>
      </c>
      <c r="E208" s="32">
        <f t="array" ref="E208:AN208">tMSP0_Com*tPIdxlrg0 + tInst0</f>
        <v>144.64147251229369</v>
      </c>
      <c r="F208" s="32">
        <v>143.65762946022855</v>
      </c>
      <c r="G208" s="32">
        <v>142.71860150909166</v>
      </c>
      <c r="H208" s="32">
        <v>141.81705475063791</v>
      </c>
      <c r="I208" s="32">
        <v>140.94773044060653</v>
      </c>
      <c r="J208" s="32">
        <v>140.10708484468728</v>
      </c>
      <c r="K208" s="32">
        <v>139.29267215338371</v>
      </c>
      <c r="L208" s="32">
        <v>138.50269751391244</v>
      </c>
      <c r="M208" s="32">
        <v>137.7356019638718</v>
      </c>
      <c r="N208" s="32">
        <v>136.9898637872528</v>
      </c>
      <c r="O208" s="32">
        <v>136.26395126073049</v>
      </c>
      <c r="P208" s="32">
        <v>135.5563299808679</v>
      </c>
      <c r="Q208" s="32">
        <v>134.86553243233627</v>
      </c>
      <c r="R208" s="32">
        <v>134.19023075996509</v>
      </c>
      <c r="S208" s="32">
        <v>133.52921526160063</v>
      </c>
      <c r="T208" s="32">
        <v>132.88154181441359</v>
      </c>
      <c r="U208" s="32">
        <v>132.24633576869911</v>
      </c>
      <c r="V208" s="32">
        <v>131.62283695194802</v>
      </c>
      <c r="W208" s="32">
        <v>131.01036781342086</v>
      </c>
      <c r="X208" s="32">
        <v>130.40830918037102</v>
      </c>
      <c r="Y208" s="32">
        <v>129.81608811912349</v>
      </c>
      <c r="Z208" s="32">
        <v>129.23316812178265</v>
      </c>
      <c r="AA208" s="32">
        <v>128.65904935198523</v>
      </c>
      <c r="AB208" s="32">
        <v>128.09326851566016</v>
      </c>
      <c r="AC208" s="32">
        <v>127.53539846237931</v>
      </c>
      <c r="AD208" s="32">
        <v>126.98504674689767</v>
      </c>
      <c r="AE208" s="32">
        <v>126.44185292027142</v>
      </c>
      <c r="AF208" s="32">
        <v>125.90548515873662</v>
      </c>
      <c r="AG208" s="32">
        <v>125.37563677775898</v>
      </c>
      <c r="AH208" s="32">
        <v>124.85202306968205</v>
      </c>
      <c r="AI208" s="32">
        <v>124.33437875300719</v>
      </c>
      <c r="AJ208" s="32">
        <v>123.8224560277698</v>
      </c>
      <c r="AK208" s="32">
        <v>123.31602306565397</v>
      </c>
      <c r="AL208" s="32">
        <v>122.81486296803186</v>
      </c>
      <c r="AM208" s="32">
        <v>122.31877261101025</v>
      </c>
      <c r="AN208" s="55">
        <v>121.82756180154895</v>
      </c>
      <c r="AO208" s="8"/>
    </row>
    <row r="209" spans="2:41" x14ac:dyDescent="0.35">
      <c r="B209" s="8"/>
      <c r="C209" s="10" t="str">
        <f>zEO&amp;" Costs"</f>
        <v>Operating Costs</v>
      </c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18"/>
      <c r="AO209" s="8"/>
    </row>
    <row r="210" spans="2:41" x14ac:dyDescent="0.35">
      <c r="B210" s="8"/>
      <c r="C210" s="20" t="str">
        <f>INDEX(_Sector,2,1)</f>
        <v>Residential</v>
      </c>
      <c r="D210" s="11" t="str">
        <f>_yearDol &amp; "$"</f>
        <v>2021$</v>
      </c>
      <c r="E210" s="32">
        <f t="array" aca="1" ref="E210:AN210" ca="1">(tlccEFuElec0_Res) + SUMPRODUCT(dFactor,tpSurvAll_Com,tMnR0_Res)</f>
        <v>401.43243822275895</v>
      </c>
      <c r="F210" s="32">
        <f ca="1"/>
        <v>401.798392325637</v>
      </c>
      <c r="G210" s="32">
        <f ca="1"/>
        <v>402.3737532602596</v>
      </c>
      <c r="H210" s="32">
        <f ca="1"/>
        <v>403.04065573499338</v>
      </c>
      <c r="I210" s="32">
        <f ca="1"/>
        <v>403.66617712158893</v>
      </c>
      <c r="J210" s="32">
        <f ca="1"/>
        <v>404.19088557981519</v>
      </c>
      <c r="K210" s="32">
        <f ca="1"/>
        <v>404.59768693736351</v>
      </c>
      <c r="L210" s="32">
        <f ca="1"/>
        <v>404.92153802735049</v>
      </c>
      <c r="M210" s="32">
        <f ca="1"/>
        <v>405.08795809165792</v>
      </c>
      <c r="N210" s="32">
        <f ca="1"/>
        <v>405.11833768558301</v>
      </c>
      <c r="O210" s="32">
        <f ca="1"/>
        <v>404.90161144511376</v>
      </c>
      <c r="P210" s="32">
        <f ca="1"/>
        <v>404.48111079979282</v>
      </c>
      <c r="Q210" s="32">
        <f ca="1"/>
        <v>404.14651852391876</v>
      </c>
      <c r="R210" s="32">
        <f ca="1"/>
        <v>403.79898458544619</v>
      </c>
      <c r="S210" s="32">
        <f ca="1"/>
        <v>403.53393362068721</v>
      </c>
      <c r="T210" s="32">
        <f ca="1"/>
        <v>403.35858977882106</v>
      </c>
      <c r="U210" s="32">
        <f ca="1"/>
        <v>403.11084771835311</v>
      </c>
      <c r="V210" s="32">
        <f ca="1"/>
        <v>402.8058480190773</v>
      </c>
      <c r="W210" s="32">
        <f ca="1"/>
        <v>402.53505529761566</v>
      </c>
      <c r="X210" s="32">
        <f ca="1"/>
        <v>402.20202505727713</v>
      </c>
      <c r="Y210" s="32">
        <f ca="1"/>
        <v>401.87894467694366</v>
      </c>
      <c r="Z210" s="32">
        <f ca="1"/>
        <v>401.70324106117613</v>
      </c>
      <c r="AA210" s="32">
        <f ca="1"/>
        <v>401.47257602385241</v>
      </c>
      <c r="AB210" s="32">
        <f ca="1"/>
        <v>401.24877549639018</v>
      </c>
      <c r="AC210" s="32">
        <f ca="1"/>
        <v>401.06589820342936</v>
      </c>
      <c r="AD210" s="32">
        <f ca="1"/>
        <v>400.81703315685957</v>
      </c>
      <c r="AE210" s="32">
        <f ca="1"/>
        <v>400.61632349484631</v>
      </c>
      <c r="AF210" s="32">
        <f ca="1"/>
        <v>400.61632349484631</v>
      </c>
      <c r="AG210" s="32">
        <f ca="1"/>
        <v>400.61632349484631</v>
      </c>
      <c r="AH210" s="32">
        <f ca="1"/>
        <v>400.61632349484631</v>
      </c>
      <c r="AI210" s="32">
        <f ca="1"/>
        <v>400.61632349484631</v>
      </c>
      <c r="AJ210" s="32">
        <f ca="1"/>
        <v>400.61632349484631</v>
      </c>
      <c r="AK210" s="32">
        <f ca="1"/>
        <v>400.61632349484631</v>
      </c>
      <c r="AL210" s="32">
        <f ca="1"/>
        <v>400.61632349484631</v>
      </c>
      <c r="AM210" s="32">
        <f ca="1"/>
        <v>400.61632349484631</v>
      </c>
      <c r="AN210" s="55">
        <f ca="1"/>
        <v>400.61632349484631</v>
      </c>
      <c r="AO210" s="8"/>
    </row>
    <row r="211" spans="2:41" x14ac:dyDescent="0.35">
      <c r="B211" s="8"/>
      <c r="C211" s="50" t="str">
        <f>INDEX(_fuel,1)</f>
        <v>Electricity</v>
      </c>
      <c r="D211" s="11" t="str">
        <f>_yearDol &amp; "$"</f>
        <v>2021$</v>
      </c>
      <c r="E211" s="32">
        <f ca="1">SUMPRODUCT(dFactor,tpSurvAll_Res,tElec0_Res,OFFSET(tPrcElec_Res,0,0,1,_maxLT))</f>
        <v>194.0899460729797</v>
      </c>
      <c r="F211" s="32">
        <f ca="1">SUMPRODUCT(dFactor,tpSurvAll_Res,tElec0_Res,OFFSET(tPrcElec_Res,0,1,1,_maxLT))</f>
        <v>194.45590017585778</v>
      </c>
      <c r="G211" s="32">
        <f ca="1">SUMPRODUCT(dFactor,tpSurvAll_Res,tElec0_Res,OFFSET(tPrcElec_Res,0,2,1,_maxLT))</f>
        <v>195.03126111048036</v>
      </c>
      <c r="H211" s="32">
        <f ca="1">SUMPRODUCT(dFactor,tpSurvAll_Res,tElec0_Res,OFFSET(tPrcElec_Res,0,3,1,_maxLT))</f>
        <v>195.69816358521413</v>
      </c>
      <c r="I211" s="32">
        <f ca="1">SUMPRODUCT(dFactor,tpSurvAll_Res,tElec0_Res,OFFSET(tPrcElec_Res,0,4,1,_maxLT))</f>
        <v>196.32368497180966</v>
      </c>
      <c r="J211" s="32">
        <f ca="1">SUMPRODUCT(dFactor,tpSurvAll_Res,tElec0_Res,OFFSET(tPrcElec_Res,0,5,1,_maxLT))</f>
        <v>196.84839343003594</v>
      </c>
      <c r="K211" s="32">
        <f ca="1">SUMPRODUCT(dFactor,tpSurvAll_Res,tElec0_Res,OFFSET(tPrcElec_Res,0,6,1,_maxLT))</f>
        <v>197.25519478758423</v>
      </c>
      <c r="L211" s="32">
        <f ca="1">SUMPRODUCT(dFactor,tpSurvAll_Res,tElec0_Res,OFFSET(tPrcElec_Res,0,7,1,_maxLT))</f>
        <v>197.57904587757128</v>
      </c>
      <c r="M211" s="32">
        <f ca="1">SUMPRODUCT(dFactor,tpSurvAll_Res,tElec0_Res,OFFSET(tPrcElec_Res,0,8,1,_maxLT))</f>
        <v>197.74546594187868</v>
      </c>
      <c r="N211" s="32">
        <f ca="1">SUMPRODUCT(dFactor,tpSurvAll_Res,tElec0_Res,OFFSET(tPrcElec_Res,0,9,1,_maxLT))</f>
        <v>197.77584553580374</v>
      </c>
      <c r="O211" s="32">
        <f ca="1">SUMPRODUCT(dFactor,tpSurvAll_Res,tElec0_Res,OFFSET(tPrcElec_Res,0,10,1,_maxLT))</f>
        <v>197.55911929533448</v>
      </c>
      <c r="P211" s="32">
        <f ca="1">SUMPRODUCT(dFactor,tpSurvAll_Res,tElec0_Res,OFFSET(tPrcElec_Res,0,11,1,_maxLT))</f>
        <v>197.13861865001357</v>
      </c>
      <c r="Q211" s="32">
        <f ca="1">SUMPRODUCT(dFactor,tpSurvAll_Res,tElec0_Res,OFFSET(tPrcElec_Res,0,12,1,_maxLT))</f>
        <v>196.80402637413948</v>
      </c>
      <c r="R211" s="32">
        <f ca="1">SUMPRODUCT(dFactor,tpSurvAll_Res,tElec0_Res,OFFSET(tPrcElec_Res,0,13,1,_maxLT))</f>
        <v>196.45649243566697</v>
      </c>
      <c r="S211" s="32">
        <f ca="1">SUMPRODUCT(dFactor,tpSurvAll_Res,tElec0_Res,OFFSET(tPrcElec_Res,0,14,1,_maxLT))</f>
        <v>196.19144147090793</v>
      </c>
      <c r="T211" s="32">
        <f ca="1">SUMPRODUCT(dFactor,tpSurvAll_Res,tElec0_Res,OFFSET(tPrcElec_Res,0,15,1,_maxLT))</f>
        <v>196.01609762904178</v>
      </c>
      <c r="U211" s="32">
        <f ca="1">SUMPRODUCT(dFactor,tpSurvAll_Res,tElec0_Res,OFFSET(tPrcElec_Res,0,16,1,_maxLT))</f>
        <v>195.76835556857387</v>
      </c>
      <c r="V211" s="32">
        <f ca="1">SUMPRODUCT(dFactor,tpSurvAll_Res,tElec0_Res,OFFSET(tPrcElec_Res,0,17,1,_maxLT))</f>
        <v>195.46335586929803</v>
      </c>
      <c r="W211" s="32">
        <f ca="1">SUMPRODUCT(dFactor,tpSurvAll_Res,tElec0_Res,OFFSET(tPrcElec_Res,0,18,1,_maxLT))</f>
        <v>195.19256314783641</v>
      </c>
      <c r="X211" s="32">
        <f ca="1">SUMPRODUCT(dFactor,tpSurvAll_Res,tElec0_Res,OFFSET(tPrcElec_Res,0,19,1,_maxLT))</f>
        <v>194.85953290749788</v>
      </c>
      <c r="Y211" s="32">
        <f ca="1">SUMPRODUCT(dFactor,tpSurvAll_Res,tElec0_Res,OFFSET(tPrcElec_Res,0,20,1,_maxLT))</f>
        <v>194.53645252716444</v>
      </c>
      <c r="Z211" s="32">
        <f ca="1">SUMPRODUCT(dFactor,tpSurvAll_Res,tElec0_Res,OFFSET(tPrcElec_Res,0,21,1,_maxLT))</f>
        <v>194.36074891139688</v>
      </c>
      <c r="AA211" s="32">
        <f ca="1">SUMPRODUCT(dFactor,tpSurvAll_Res,tElec0_Res,OFFSET(tPrcElec_Res,0,22,1,_maxLT))</f>
        <v>194.13008387407316</v>
      </c>
      <c r="AB211" s="32">
        <f ca="1">SUMPRODUCT(dFactor,tpSurvAll_Res,tElec0_Res,OFFSET(tPrcElec_Res,0,23,1,_maxLT))</f>
        <v>193.90628334661093</v>
      </c>
      <c r="AC211" s="32">
        <f ca="1">SUMPRODUCT(dFactor,tpSurvAll_Res,tElec0_Res,OFFSET(tPrcElec_Res,0,24,1,_maxLT))</f>
        <v>193.72340605365008</v>
      </c>
      <c r="AD211" s="32">
        <f ca="1">SUMPRODUCT(dFactor,tpSurvAll_Res,tElec0_Res,OFFSET(tPrcElec_Res,0,25,1,_maxLT))</f>
        <v>193.47454100708029</v>
      </c>
      <c r="AE211" s="32">
        <f ca="1">SUMPRODUCT(dFactor,tpSurvAll_Res,tElec0_Res,OFFSET(tPrcElec_Res,0,26,1,_maxLT))</f>
        <v>193.27383134506707</v>
      </c>
      <c r="AF211" s="32">
        <f ca="1">SUMPRODUCT(dFactor,tpSurvAll_Res,tElec0_Res,OFFSET(tPrcElec_Res,0,27,1,_maxLT))</f>
        <v>193.27383134506707</v>
      </c>
      <c r="AG211" s="32">
        <f ca="1">SUMPRODUCT(dFactor,tpSurvAll_Res,tElec0_Res,OFFSET(tPrcElec_Res,0,28,1,_maxLT))</f>
        <v>193.27383134506707</v>
      </c>
      <c r="AH211" s="32">
        <f ca="1">SUMPRODUCT(dFactor,tpSurvAll_Res,tElec0_Res,OFFSET(tPrcElec_Res,0,29,1,_maxLT))</f>
        <v>193.27383134506707</v>
      </c>
      <c r="AI211" s="32">
        <f ca="1">SUMPRODUCT(dFactor,tpSurvAll_Res,tElec0_Res,OFFSET(tPrcElec_Res,0,30,1,_maxLT))</f>
        <v>193.27383134506707</v>
      </c>
      <c r="AJ211" s="32">
        <f ca="1">SUMPRODUCT(dFactor,tpSurvAll_Res,tElec0_Res,OFFSET(tPrcElec_Res,0,31,1,_maxLT))</f>
        <v>193.27383134506707</v>
      </c>
      <c r="AK211" s="32">
        <f ca="1">SUMPRODUCT(dFactor,tpSurvAll_Res,tElec0_Res,OFFSET(tPrcElec_Res,0,32,1,_maxLT))</f>
        <v>193.27383134506707</v>
      </c>
      <c r="AL211" s="32">
        <f ca="1">SUMPRODUCT(dFactor,tpSurvAll_Res,tElec0_Res,OFFSET(tPrcElec_Res,0,33,1,_maxLT))</f>
        <v>193.27383134506707</v>
      </c>
      <c r="AM211" s="32">
        <f ca="1">SUMPRODUCT(dFactor,tpSurvAll_Res,tElec0_Res,OFFSET(tPrcElec_Res,0,34,1,_maxLT))</f>
        <v>193.27383134506707</v>
      </c>
      <c r="AN211" s="55">
        <f ca="1">SUMPRODUCT(dFactor,tpSurvAll_Res,tElec0_Res,OFFSET(tPrcElec_Res,0,35,1,_maxLT))</f>
        <v>193.27383134506707</v>
      </c>
      <c r="AO211" s="8"/>
    </row>
    <row r="212" spans="2:41" x14ac:dyDescent="0.35">
      <c r="B212" s="8"/>
      <c r="C212" s="20" t="str">
        <f>INDEX(_Sector,2,2)</f>
        <v>Commercial</v>
      </c>
      <c r="D212" s="11" t="str">
        <f>_yearDol &amp; "$"</f>
        <v>2021$</v>
      </c>
      <c r="E212" s="32">
        <f t="array" aca="1" ref="E212:AN212" ca="1">(tlccEFuElec0_Com) + SUMPRODUCT(dFactor,tpSurvAll_Com,tMnR0_Com)</f>
        <v>519.47650853261553</v>
      </c>
      <c r="F212" s="32">
        <f ca="1"/>
        <v>519.35311534967138</v>
      </c>
      <c r="G212" s="32">
        <f ca="1"/>
        <v>519.44425983910435</v>
      </c>
      <c r="H212" s="32">
        <f ca="1"/>
        <v>519.6529653064722</v>
      </c>
      <c r="I212" s="32">
        <f ca="1"/>
        <v>519.78837864802892</v>
      </c>
      <c r="J212" s="32">
        <f ca="1"/>
        <v>519.78092468221712</v>
      </c>
      <c r="K212" s="32">
        <f ca="1"/>
        <v>519.59273972910819</v>
      </c>
      <c r="L212" s="32">
        <f ca="1"/>
        <v>519.29734677986539</v>
      </c>
      <c r="M212" s="32">
        <f ca="1"/>
        <v>518.72593521331737</v>
      </c>
      <c r="N212" s="32">
        <f ca="1"/>
        <v>518.03141080892442</v>
      </c>
      <c r="O212" s="32">
        <f ca="1"/>
        <v>516.91778472024237</v>
      </c>
      <c r="P212" s="32">
        <f ca="1"/>
        <v>515.50538757114055</v>
      </c>
      <c r="Q212" s="32">
        <f ca="1"/>
        <v>514.28223575395532</v>
      </c>
      <c r="R212" s="32">
        <f ca="1"/>
        <v>513.07315885435628</v>
      </c>
      <c r="S212" s="32">
        <f ca="1"/>
        <v>512.00995328623321</v>
      </c>
      <c r="T212" s="32">
        <f ca="1"/>
        <v>511.14030173623826</v>
      </c>
      <c r="U212" s="32">
        <f ca="1"/>
        <v>510.11128047098214</v>
      </c>
      <c r="V212" s="32">
        <f ca="1"/>
        <v>509.01459088353772</v>
      </c>
      <c r="W212" s="32">
        <f ca="1"/>
        <v>508.06093945820021</v>
      </c>
      <c r="X212" s="32">
        <f ca="1"/>
        <v>507.05422614621358</v>
      </c>
      <c r="Y212" s="32">
        <f ca="1"/>
        <v>506.05306125148394</v>
      </c>
      <c r="Z212" s="32">
        <f ca="1"/>
        <v>505.40885652967575</v>
      </c>
      <c r="AA212" s="32">
        <f ca="1"/>
        <v>504.7162924424324</v>
      </c>
      <c r="AB212" s="32">
        <f ca="1"/>
        <v>504.0760660657661</v>
      </c>
      <c r="AC212" s="32">
        <f ca="1"/>
        <v>503.63277336452597</v>
      </c>
      <c r="AD212" s="32">
        <f ca="1"/>
        <v>503.11872574628188</v>
      </c>
      <c r="AE212" s="32">
        <f ca="1"/>
        <v>502.71668452564899</v>
      </c>
      <c r="AF212" s="32">
        <f ca="1"/>
        <v>502.71668452564899</v>
      </c>
      <c r="AG212" s="32">
        <f ca="1"/>
        <v>502.71668452564899</v>
      </c>
      <c r="AH212" s="32">
        <f ca="1"/>
        <v>502.71668452564899</v>
      </c>
      <c r="AI212" s="32">
        <f ca="1"/>
        <v>502.71668452564899</v>
      </c>
      <c r="AJ212" s="32">
        <f ca="1"/>
        <v>502.71668452564899</v>
      </c>
      <c r="AK212" s="32">
        <f ca="1"/>
        <v>502.71668452564899</v>
      </c>
      <c r="AL212" s="32">
        <f ca="1"/>
        <v>502.71668452564899</v>
      </c>
      <c r="AM212" s="32">
        <f ca="1"/>
        <v>502.71668452564899</v>
      </c>
      <c r="AN212" s="55">
        <f ca="1"/>
        <v>502.71668452564899</v>
      </c>
      <c r="AO212" s="8"/>
    </row>
    <row r="213" spans="2:41" x14ac:dyDescent="0.35">
      <c r="B213" s="8"/>
      <c r="C213" s="50" t="str">
        <f>INDEX(_fuel,1)</f>
        <v>Electricity</v>
      </c>
      <c r="D213" s="11" t="str">
        <f>_yearDol &amp; "$"</f>
        <v>2021$</v>
      </c>
      <c r="E213" s="32">
        <f ca="1">SUMPRODUCT(dFactor,tpSurvAll_Com,tElec0_Com,OFFSET(tPrcElec_Com,0,0,1,_maxLT))</f>
        <v>282.53015983382068</v>
      </c>
      <c r="F213" s="32">
        <f ca="1">SUMPRODUCT(dFactor,tpSurvAll_Com,tElec0_Com,OFFSET(tPrcElec_Com,0,1,1,_maxLT))</f>
        <v>282.40676665087659</v>
      </c>
      <c r="G213" s="32">
        <f ca="1">SUMPRODUCT(dFactor,tpSurvAll_Com,tElec0_Com,OFFSET(tPrcElec_Com,0,2,1,_maxLT))</f>
        <v>282.49791114030955</v>
      </c>
      <c r="H213" s="32">
        <f ca="1">SUMPRODUCT(dFactor,tpSurvAll_Com,tElec0_Com,OFFSET(tPrcElec_Com,0,3,1,_maxLT))</f>
        <v>282.7066166076774</v>
      </c>
      <c r="I213" s="32">
        <f ca="1">SUMPRODUCT(dFactor,tpSurvAll_Com,tElec0_Com,OFFSET(tPrcElec_Com,0,4,1,_maxLT))</f>
        <v>282.84202994923413</v>
      </c>
      <c r="J213" s="32">
        <f ca="1">SUMPRODUCT(dFactor,tpSurvAll_Com,tElec0_Com,OFFSET(tPrcElec_Com,0,5,1,_maxLT))</f>
        <v>282.83457598342238</v>
      </c>
      <c r="K213" s="32">
        <f ca="1">SUMPRODUCT(dFactor,tpSurvAll_Com,tElec0_Com,OFFSET(tPrcElec_Com,0,6,1,_maxLT))</f>
        <v>282.6463910303134</v>
      </c>
      <c r="L213" s="32">
        <f ca="1">SUMPRODUCT(dFactor,tpSurvAll_Com,tElec0_Com,OFFSET(tPrcElec_Com,0,7,1,_maxLT))</f>
        <v>282.35099808107054</v>
      </c>
      <c r="M213" s="32">
        <f ca="1">SUMPRODUCT(dFactor,tpSurvAll_Com,tElec0_Com,OFFSET(tPrcElec_Com,0,8,1,_maxLT))</f>
        <v>281.77958651452258</v>
      </c>
      <c r="N213" s="32">
        <f ca="1">SUMPRODUCT(dFactor,tpSurvAll_Com,tElec0_Com,OFFSET(tPrcElec_Com,0,9,1,_maxLT))</f>
        <v>281.08506211012968</v>
      </c>
      <c r="O213" s="32">
        <f ca="1">SUMPRODUCT(dFactor,tpSurvAll_Com,tElec0_Com,OFFSET(tPrcElec_Com,0,10,1,_maxLT))</f>
        <v>279.97143602144757</v>
      </c>
      <c r="P213" s="32">
        <f ca="1">SUMPRODUCT(dFactor,tpSurvAll_Com,tElec0_Com,OFFSET(tPrcElec_Com,0,11,1,_maxLT))</f>
        <v>278.5590388723457</v>
      </c>
      <c r="Q213" s="32">
        <f ca="1">SUMPRODUCT(dFactor,tpSurvAll_Com,tElec0_Com,OFFSET(tPrcElec_Com,0,12,1,_maxLT))</f>
        <v>277.33588705516053</v>
      </c>
      <c r="R213" s="32">
        <f ca="1">SUMPRODUCT(dFactor,tpSurvAll_Com,tElec0_Com,OFFSET(tPrcElec_Com,0,13,1,_maxLT))</f>
        <v>276.12681015556154</v>
      </c>
      <c r="S213" s="32">
        <f ca="1">SUMPRODUCT(dFactor,tpSurvAll_Com,tElec0_Com,OFFSET(tPrcElec_Com,0,14,1,_maxLT))</f>
        <v>275.06360458743842</v>
      </c>
      <c r="T213" s="32">
        <f ca="1">SUMPRODUCT(dFactor,tpSurvAll_Com,tElec0_Com,OFFSET(tPrcElec_Com,0,15,1,_maxLT))</f>
        <v>274.19395303744346</v>
      </c>
      <c r="U213" s="32">
        <f ca="1">SUMPRODUCT(dFactor,tpSurvAll_Com,tElec0_Com,OFFSET(tPrcElec_Com,0,16,1,_maxLT))</f>
        <v>273.16493177218734</v>
      </c>
      <c r="V213" s="32">
        <f ca="1">SUMPRODUCT(dFactor,tpSurvAll_Com,tElec0_Com,OFFSET(tPrcElec_Com,0,17,1,_maxLT))</f>
        <v>272.06824218474293</v>
      </c>
      <c r="W213" s="32">
        <f ca="1">SUMPRODUCT(dFactor,tpSurvAll_Com,tElec0_Com,OFFSET(tPrcElec_Com,0,18,1,_maxLT))</f>
        <v>271.11459075940542</v>
      </c>
      <c r="X213" s="32">
        <f ca="1">SUMPRODUCT(dFactor,tpSurvAll_Com,tElec0_Com,OFFSET(tPrcElec_Com,0,19,1,_maxLT))</f>
        <v>270.10787744741879</v>
      </c>
      <c r="Y213" s="32">
        <f ca="1">SUMPRODUCT(dFactor,tpSurvAll_Com,tElec0_Com,OFFSET(tPrcElec_Com,0,20,1,_maxLT))</f>
        <v>269.10671255268915</v>
      </c>
      <c r="Z213" s="32">
        <f ca="1">SUMPRODUCT(dFactor,tpSurvAll_Com,tElec0_Com,OFFSET(tPrcElec_Com,0,21,1,_maxLT))</f>
        <v>268.46250783088095</v>
      </c>
      <c r="AA213" s="32">
        <f ca="1">SUMPRODUCT(dFactor,tpSurvAll_Com,tElec0_Com,OFFSET(tPrcElec_Com,0,22,1,_maxLT))</f>
        <v>267.76994374363761</v>
      </c>
      <c r="AB213" s="32">
        <f ca="1">SUMPRODUCT(dFactor,tpSurvAll_Com,tElec0_Com,OFFSET(tPrcElec_Com,0,23,1,_maxLT))</f>
        <v>267.12971736697131</v>
      </c>
      <c r="AC213" s="32">
        <f ca="1">SUMPRODUCT(dFactor,tpSurvAll_Com,tElec0_Com,OFFSET(tPrcElec_Com,0,24,1,_maxLT))</f>
        <v>266.68642466573118</v>
      </c>
      <c r="AD213" s="32">
        <f ca="1">SUMPRODUCT(dFactor,tpSurvAll_Com,tElec0_Com,OFFSET(tPrcElec_Com,0,25,1,_maxLT))</f>
        <v>266.17237704748709</v>
      </c>
      <c r="AE213" s="32">
        <f ca="1">SUMPRODUCT(dFactor,tpSurvAll_Com,tElec0_Com,OFFSET(tPrcElec_Com,0,26,1,_maxLT))</f>
        <v>265.77033582685419</v>
      </c>
      <c r="AF213" s="32">
        <f ca="1">SUMPRODUCT(dFactor,tpSurvAll_Com,tElec0_Com,OFFSET(tPrcElec_Com,0,27,1,_maxLT))</f>
        <v>265.77033582685419</v>
      </c>
      <c r="AG213" s="32">
        <f ca="1">SUMPRODUCT(dFactor,tpSurvAll_Com,tElec0_Com,OFFSET(tPrcElec_Com,0,28,1,_maxLT))</f>
        <v>265.77033582685419</v>
      </c>
      <c r="AH213" s="32">
        <f ca="1">SUMPRODUCT(dFactor,tpSurvAll_Com,tElec0_Com,OFFSET(tPrcElec_Com,0,29,1,_maxLT))</f>
        <v>265.77033582685419</v>
      </c>
      <c r="AI213" s="32">
        <f ca="1">SUMPRODUCT(dFactor,tpSurvAll_Com,tElec0_Com,OFFSET(tPrcElec_Com,0,30,1,_maxLT))</f>
        <v>265.77033582685419</v>
      </c>
      <c r="AJ213" s="32">
        <f ca="1">SUMPRODUCT(dFactor,tpSurvAll_Com,tElec0_Com,OFFSET(tPrcElec_Com,0,31,1,_maxLT))</f>
        <v>265.77033582685419</v>
      </c>
      <c r="AK213" s="32">
        <f ca="1">SUMPRODUCT(dFactor,tpSurvAll_Com,tElec0_Com,OFFSET(tPrcElec_Com,0,32,1,_maxLT))</f>
        <v>265.77033582685419</v>
      </c>
      <c r="AL213" s="32">
        <f ca="1">SUMPRODUCT(dFactor,tpSurvAll_Com,tElec0_Com,OFFSET(tPrcElec_Com,0,33,1,_maxLT))</f>
        <v>265.77033582685419</v>
      </c>
      <c r="AM213" s="32">
        <f ca="1">SUMPRODUCT(dFactor,tpSurvAll_Com,tElec0_Com,OFFSET(tPrcElec_Com,0,34,1,_maxLT))</f>
        <v>265.77033582685419</v>
      </c>
      <c r="AN213" s="55">
        <f ca="1">SUMPRODUCT(dFactor,tpSurvAll_Com,tElec0_Com,OFFSET(tPrcElec_Com,0,35,1,_maxLT))</f>
        <v>265.77033582685419</v>
      </c>
      <c r="AO213" s="8"/>
    </row>
    <row r="214" spans="2:41" x14ac:dyDescent="0.35">
      <c r="B214" s="8"/>
      <c r="C214" s="10" t="s">
        <v>78</v>
      </c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18"/>
      <c r="AO214" s="8"/>
    </row>
    <row r="215" spans="2:41" x14ac:dyDescent="0.35">
      <c r="B215" s="8"/>
      <c r="C215" s="20" t="str">
        <f>INDEX(_Sector,2,1)</f>
        <v>Residential</v>
      </c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18"/>
      <c r="AO215" s="8"/>
    </row>
    <row r="216" spans="2:41" x14ac:dyDescent="0.35">
      <c r="B216" s="8"/>
      <c r="C216" s="50" t="str">
        <f>INDEX(_fuel,1)</f>
        <v>Electricity</v>
      </c>
      <c r="D216" s="11" t="s">
        <v>80</v>
      </c>
      <c r="E216" s="40">
        <f ca="1">SUMPRODUCT(OFFSET(tConvElec_Res,0,0,1,_maxLT),tElec0_Res,tpSurvAll_Res)</f>
        <v>16.075094392276625</v>
      </c>
      <c r="F216" s="40">
        <f ca="1">SUMPRODUCT(OFFSET(tConvElec_Res,0,1,1,_maxLT),tElec0_Res,tpSurvAll_Res)</f>
        <v>15.995646793976352</v>
      </c>
      <c r="G216" s="40">
        <f ca="1">SUMPRODUCT(OFFSET(tConvElec_Res,0,2,1,_maxLT),tElec0_Res,tpSurvAll_Res)</f>
        <v>15.93801945509189</v>
      </c>
      <c r="H216" s="40">
        <f ca="1">SUMPRODUCT(OFFSET(tConvElec_Res,0,3,1,_maxLT),tElec0_Res,tpSurvAll_Res)</f>
        <v>15.89294698690769</v>
      </c>
      <c r="I216" s="40">
        <f ca="1">SUMPRODUCT(OFFSET(tConvElec_Res,0,4,1,_maxLT),tElec0_Res,tpSurvAll_Res)</f>
        <v>15.861578277160916</v>
      </c>
      <c r="J216" s="40">
        <f ca="1">SUMPRODUCT(OFFSET(tConvElec_Res,0,5,1,_maxLT),tElec0_Res,tpSurvAll_Res)</f>
        <v>15.836836853013684</v>
      </c>
      <c r="K216" s="40">
        <f ca="1">SUMPRODUCT(OFFSET(tConvElec_Res,0,6,1,_maxLT),tElec0_Res,tpSurvAll_Res)</f>
        <v>15.815402059466685</v>
      </c>
      <c r="L216" s="40">
        <f ca="1">SUMPRODUCT(OFFSET(tConvElec_Res,0,7,1,_maxLT),tElec0_Res,tpSurvAll_Res)</f>
        <v>15.792276811015652</v>
      </c>
      <c r="M216" s="40">
        <f ca="1">SUMPRODUCT(OFFSET(tConvElec_Res,0,8,1,_maxLT),tElec0_Res,tpSurvAll_Res)</f>
        <v>15.77002037459834</v>
      </c>
      <c r="N216" s="40">
        <f ca="1">SUMPRODUCT(OFFSET(tConvElec_Res,0,9,1,_maxLT),tElec0_Res,tpSurvAll_Res)</f>
        <v>15.748939424602973</v>
      </c>
      <c r="O216" s="40">
        <f ca="1">SUMPRODUCT(OFFSET(tConvElec_Res,0,10,1,_maxLT),tElec0_Res,tpSurvAll_Res)</f>
        <v>15.726924248673162</v>
      </c>
      <c r="P216" s="40">
        <f ca="1">SUMPRODUCT(OFFSET(tConvElec_Res,0,11,1,_maxLT),tElec0_Res,tpSurvAll_Res)</f>
        <v>15.708321425456999</v>
      </c>
      <c r="Q216" s="40">
        <f ca="1">SUMPRODUCT(OFFSET(tConvElec_Res,0,12,1,_maxLT),tElec0_Res,tpSurvAll_Res)</f>
        <v>15.689237466831507</v>
      </c>
      <c r="R216" s="40">
        <f ca="1">SUMPRODUCT(OFFSET(tConvElec_Res,0,13,1,_maxLT),tElec0_Res,tpSurvAll_Res)</f>
        <v>15.67260341476627</v>
      </c>
      <c r="S216" s="40">
        <f ca="1">SUMPRODUCT(OFFSET(tConvElec_Res,0,14,1,_maxLT),tElec0_Res,tpSurvAll_Res)</f>
        <v>15.65859148371273</v>
      </c>
      <c r="T216" s="40">
        <f ca="1">SUMPRODUCT(OFFSET(tConvElec_Res,0,15,1,_maxLT),tElec0_Res,tpSurvAll_Res)</f>
        <v>15.64554565778055</v>
      </c>
      <c r="U216" s="40">
        <f ca="1">SUMPRODUCT(OFFSET(tConvElec_Res,0,16,1,_maxLT),tElec0_Res,tpSurvAll_Res)</f>
        <v>15.632138291789191</v>
      </c>
      <c r="V216" s="40">
        <f ca="1">SUMPRODUCT(OFFSET(tConvElec_Res,0,17,1,_maxLT),tElec0_Res,tpSurvAll_Res)</f>
        <v>15.620130767068957</v>
      </c>
      <c r="W216" s="40">
        <f ca="1">SUMPRODUCT(OFFSET(tConvElec_Res,0,18,1,_maxLT),tElec0_Res,tpSurvAll_Res)</f>
        <v>15.610309309416357</v>
      </c>
      <c r="X216" s="40">
        <f ca="1">SUMPRODUCT(OFFSET(tConvElec_Res,0,19,1,_maxLT),tElec0_Res,tpSurvAll_Res)</f>
        <v>15.602004653909162</v>
      </c>
      <c r="Y216" s="40">
        <f ca="1">SUMPRODUCT(OFFSET(tConvElec_Res,0,20,1,_maxLT),tElec0_Res,tpSurvAll_Res)</f>
        <v>15.595324356344516</v>
      </c>
      <c r="Z216" s="40">
        <f ca="1">SUMPRODUCT(OFFSET(tConvElec_Res,0,21,1,_maxLT),tElec0_Res,tpSurvAll_Res)</f>
        <v>15.592734342210804</v>
      </c>
      <c r="AA216" s="40">
        <f ca="1">SUMPRODUCT(OFFSET(tConvElec_Res,0,22,1,_maxLT),tElec0_Res,tpSurvAll_Res)</f>
        <v>15.592665033565162</v>
      </c>
      <c r="AB216" s="40">
        <f ca="1">SUMPRODUCT(OFFSET(tConvElec_Res,0,23,1,_maxLT),tElec0_Res,tpSurvAll_Res)</f>
        <v>15.59337780633588</v>
      </c>
      <c r="AC216" s="40">
        <f ca="1">SUMPRODUCT(OFFSET(tConvElec_Res,0,24,1,_maxLT),tElec0_Res,tpSurvAll_Res)</f>
        <v>15.594904106593752</v>
      </c>
      <c r="AD216" s="40">
        <f ca="1">SUMPRODUCT(OFFSET(tConvElec_Res,0,25,1,_maxLT),tElec0_Res,tpSurvAll_Res)</f>
        <v>15.596185236323468</v>
      </c>
      <c r="AE216" s="40">
        <f ca="1">SUMPRODUCT(OFFSET(tConvElec_Res,0,26,1,_maxLT),tElec0_Res,tpSurvAll_Res)</f>
        <v>15.596487598161634</v>
      </c>
      <c r="AF216" s="40">
        <f ca="1">SUMPRODUCT(OFFSET(tConvElec_Res,0,27,1,_maxLT),tElec0_Res,tpSurvAll_Res)</f>
        <v>15.596487598161634</v>
      </c>
      <c r="AG216" s="40">
        <f ca="1">SUMPRODUCT(OFFSET(tConvElec_Res,0,28,1,_maxLT),tElec0_Res,tpSurvAll_Res)</f>
        <v>15.596487598161634</v>
      </c>
      <c r="AH216" s="40">
        <f ca="1">SUMPRODUCT(OFFSET(tConvElec_Res,0,29,1,_maxLT),tElec0_Res,tpSurvAll_Res)</f>
        <v>15.596487598161634</v>
      </c>
      <c r="AI216" s="40">
        <f ca="1">SUMPRODUCT(OFFSET(tConvElec_Res,0,30,1,_maxLT),tElec0_Res,tpSurvAll_Res)</f>
        <v>15.596487598161634</v>
      </c>
      <c r="AJ216" s="40">
        <f ca="1">SUMPRODUCT(OFFSET(tConvElec_Res,0,31,1,_maxLT),tElec0_Res,tpSurvAll_Res)</f>
        <v>15.596487598161634</v>
      </c>
      <c r="AK216" s="40">
        <f ca="1">SUMPRODUCT(OFFSET(tConvElec_Res,0,32,1,_maxLT),tElec0_Res,tpSurvAll_Res)</f>
        <v>15.596487598161634</v>
      </c>
      <c r="AL216" s="40">
        <f ca="1">SUMPRODUCT(OFFSET(tConvElec_Res,0,33,1,_maxLT),tElec0_Res,tpSurvAll_Res)</f>
        <v>15.596487598161634</v>
      </c>
      <c r="AM216" s="40">
        <f ca="1">SUMPRODUCT(OFFSET(tConvElec_Res,0,34,1,_maxLT),tElec0_Res,tpSurvAll_Res)</f>
        <v>15.596487598161634</v>
      </c>
      <c r="AN216" s="41">
        <f ca="1">SUMPRODUCT(OFFSET(tConvElec_Res,0,35,1,_maxLT),tElec0_Res,tpSurvAll_Res)</f>
        <v>15.596487598161634</v>
      </c>
      <c r="AO216" s="8"/>
    </row>
    <row r="217" spans="2:41" x14ac:dyDescent="0.35">
      <c r="B217" s="8"/>
      <c r="C217" s="20" t="str">
        <f>INDEX(_Sector,2,2)</f>
        <v>Commercial</v>
      </c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18"/>
      <c r="AO217" s="8"/>
    </row>
    <row r="218" spans="2:41" x14ac:dyDescent="0.35">
      <c r="B218" s="8"/>
      <c r="C218" s="50" t="str">
        <f>INDEX(_fuel,1)</f>
        <v>Electricity</v>
      </c>
      <c r="D218" s="11" t="s">
        <v>80</v>
      </c>
      <c r="E218" s="40">
        <f ca="1">SUMPRODUCT(OFFSET(tConvElec_Com,0,0,1,_maxLT),tElec0_Com,tpSurvAll_Com)</f>
        <v>33.091236818558535</v>
      </c>
      <c r="F218" s="40">
        <f ca="1">SUMPRODUCT(OFFSET(tConvElec_Com,0,1,1,_maxLT),tElec0_Com,tpSurvAll_Com)</f>
        <v>32.921389087866643</v>
      </c>
      <c r="G218" s="40">
        <f ca="1">SUMPRODUCT(OFFSET(tConvElec_Com,0,2,1,_maxLT),tElec0_Com,tpSurvAll_Com)</f>
        <v>32.799926196514839</v>
      </c>
      <c r="H218" s="40">
        <f ca="1">SUMPRODUCT(OFFSET(tConvElec_Com,0,3,1,_maxLT),tElec0_Com,tpSurvAll_Com)</f>
        <v>32.706551760983807</v>
      </c>
      <c r="I218" s="40">
        <f ca="1">SUMPRODUCT(OFFSET(tConvElec_Com,0,4,1,_maxLT),tElec0_Com,tpSurvAll_Com)</f>
        <v>32.64427685517191</v>
      </c>
      <c r="J218" s="40">
        <f ca="1">SUMPRODUCT(OFFSET(tConvElec_Com,0,5,1,_maxLT),tElec0_Com,tpSurvAll_Com)</f>
        <v>32.59692145382796</v>
      </c>
      <c r="K218" s="40">
        <f ca="1">SUMPRODUCT(OFFSET(tConvElec_Com,0,6,1,_maxLT),tElec0_Com,tpSurvAll_Com)</f>
        <v>32.556507290425188</v>
      </c>
      <c r="L218" s="40">
        <f ca="1">SUMPRODUCT(OFFSET(tConvElec_Com,0,7,1,_maxLT),tElec0_Com,tpSurvAll_Com)</f>
        <v>32.513228520270957</v>
      </c>
      <c r="M218" s="40">
        <f ca="1">SUMPRODUCT(OFFSET(tConvElec_Com,0,8,1,_maxLT),tElec0_Com,tpSurvAll_Com)</f>
        <v>32.472330797799906</v>
      </c>
      <c r="N218" s="40">
        <f ca="1">SUMPRODUCT(OFFSET(tConvElec_Com,0,9,1,_maxLT),tElec0_Com,tpSurvAll_Com)</f>
        <v>32.433784844801202</v>
      </c>
      <c r="O218" s="40">
        <f ca="1">SUMPRODUCT(OFFSET(tConvElec_Com,0,10,1,_maxLT),tElec0_Com,tpSurvAll_Com)</f>
        <v>32.39393939882018</v>
      </c>
      <c r="P218" s="40">
        <f ca="1">SUMPRODUCT(OFFSET(tConvElec_Com,0,11,1,_maxLT),tElec0_Com,tpSurvAll_Com)</f>
        <v>32.359757962637673</v>
      </c>
      <c r="Q218" s="40">
        <f ca="1">SUMPRODUCT(OFFSET(tConvElec_Com,0,12,1,_maxLT),tElec0_Com,tpSurvAll_Com)</f>
        <v>32.32415461518233</v>
      </c>
      <c r="R218" s="40">
        <f ca="1">SUMPRODUCT(OFFSET(tConvElec_Com,0,13,1,_maxLT),tElec0_Com,tpSurvAll_Com)</f>
        <v>32.293111718227607</v>
      </c>
      <c r="S218" s="40">
        <f ca="1">SUMPRODUCT(OFFSET(tConvElec_Com,0,14,1,_maxLT),tElec0_Com,tpSurvAll_Com)</f>
        <v>32.267326076379639</v>
      </c>
      <c r="T218" s="40">
        <f ca="1">SUMPRODUCT(OFFSET(tConvElec_Com,0,15,1,_maxLT),tElec0_Com,tpSurvAll_Com)</f>
        <v>32.24369323964256</v>
      </c>
      <c r="U218" s="40">
        <f ca="1">SUMPRODUCT(OFFSET(tConvElec_Com,0,16,1,_maxLT),tElec0_Com,tpSurvAll_Com)</f>
        <v>32.219338872104636</v>
      </c>
      <c r="V218" s="40">
        <f ca="1">SUMPRODUCT(OFFSET(tConvElec_Com,0,17,1,_maxLT),tElec0_Com,tpSurvAll_Com)</f>
        <v>32.1974172572017</v>
      </c>
      <c r="W218" s="40">
        <f ca="1">SUMPRODUCT(OFFSET(tConvElec_Com,0,18,1,_maxLT),tElec0_Com,tpSurvAll_Com)</f>
        <v>32.179703491719188</v>
      </c>
      <c r="X218" s="40">
        <f ca="1">SUMPRODUCT(OFFSET(tConvElec_Com,0,19,1,_maxLT),tElec0_Com,tpSurvAll_Com)</f>
        <v>32.164895374596234</v>
      </c>
      <c r="Y218" s="40">
        <f ca="1">SUMPRODUCT(OFFSET(tConvElec_Com,0,20,1,_maxLT),tElec0_Com,tpSurvAll_Com)</f>
        <v>32.15302378409416</v>
      </c>
      <c r="Z218" s="40">
        <f ca="1">SUMPRODUCT(OFFSET(tConvElec_Com,0,21,1,_maxLT),tElec0_Com,tpSurvAll_Com)</f>
        <v>32.149063843507491</v>
      </c>
      <c r="AA218" s="40">
        <f ca="1">SUMPRODUCT(OFFSET(tConvElec_Com,0,22,1,_maxLT),tElec0_Com,tpSurvAll_Com)</f>
        <v>32.149895052338273</v>
      </c>
      <c r="AB218" s="40">
        <f ca="1">SUMPRODUCT(OFFSET(tConvElec_Com,0,23,1,_maxLT),tElec0_Com,tpSurvAll_Com)</f>
        <v>32.152139614693404</v>
      </c>
      <c r="AC218" s="40">
        <f ca="1">SUMPRODUCT(OFFSET(tConvElec_Com,0,24,1,_maxLT),tElec0_Com,tpSurvAll_Com)</f>
        <v>32.155697383044668</v>
      </c>
      <c r="AD218" s="40">
        <f ca="1">SUMPRODUCT(OFFSET(tConvElec_Com,0,25,1,_maxLT),tElec0_Com,tpSurvAll_Com)</f>
        <v>32.158542723636728</v>
      </c>
      <c r="AE218" s="40">
        <f ca="1">SUMPRODUCT(OFFSET(tConvElec_Com,0,26,1,_maxLT),tElec0_Com,tpSurvAll_Com)</f>
        <v>32.159283918364231</v>
      </c>
      <c r="AF218" s="40">
        <f ca="1">SUMPRODUCT(OFFSET(tConvElec_Com,0,27,1,_maxLT),tElec0_Com,tpSurvAll_Com)</f>
        <v>32.159283918364231</v>
      </c>
      <c r="AG218" s="40">
        <f ca="1">SUMPRODUCT(OFFSET(tConvElec_Com,0,28,1,_maxLT),tElec0_Com,tpSurvAll_Com)</f>
        <v>32.159283918364231</v>
      </c>
      <c r="AH218" s="40">
        <f ca="1">SUMPRODUCT(OFFSET(tConvElec_Com,0,29,1,_maxLT),tElec0_Com,tpSurvAll_Com)</f>
        <v>32.159283918364231</v>
      </c>
      <c r="AI218" s="40">
        <f ca="1">SUMPRODUCT(OFFSET(tConvElec_Com,0,30,1,_maxLT),tElec0_Com,tpSurvAll_Com)</f>
        <v>32.159283918364231</v>
      </c>
      <c r="AJ218" s="40">
        <f ca="1">SUMPRODUCT(OFFSET(tConvElec_Com,0,31,1,_maxLT),tElec0_Com,tpSurvAll_Com)</f>
        <v>32.159283918364231</v>
      </c>
      <c r="AK218" s="40">
        <f ca="1">SUMPRODUCT(OFFSET(tConvElec_Com,0,32,1,_maxLT),tElec0_Com,tpSurvAll_Com)</f>
        <v>32.159283918364231</v>
      </c>
      <c r="AL218" s="40">
        <f ca="1">SUMPRODUCT(OFFSET(tConvElec_Com,0,33,1,_maxLT),tElec0_Com,tpSurvAll_Com)</f>
        <v>32.159283918364231</v>
      </c>
      <c r="AM218" s="40">
        <f ca="1">SUMPRODUCT(OFFSET(tConvElec_Com,0,34,1,_maxLT),tElec0_Com,tpSurvAll_Com)</f>
        <v>32.159283918364231</v>
      </c>
      <c r="AN218" s="41">
        <f ca="1">SUMPRODUCT(OFFSET(tConvElec_Com,0,35,1,_maxLT),tElec0_Com,tpSurvAll_Com)</f>
        <v>32.159283918364231</v>
      </c>
      <c r="AO218" s="8"/>
    </row>
    <row r="219" spans="2:41" x14ac:dyDescent="0.35">
      <c r="B219" s="8"/>
      <c r="C219" s="57" t="str">
        <f>"EL 1: " &amp; INDEX(_doName,3,2)</f>
        <v>EL 1: Tier 1</v>
      </c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8"/>
      <c r="AO219" s="8"/>
    </row>
    <row r="220" spans="2:41" x14ac:dyDescent="0.35">
      <c r="B220" s="8"/>
      <c r="C220" s="10" t="s">
        <v>70</v>
      </c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18"/>
      <c r="AO220" s="8"/>
    </row>
    <row r="221" spans="2:41" x14ac:dyDescent="0.35">
      <c r="B221" s="8"/>
      <c r="C221" s="20" t="str">
        <f>INDEX(_Sector,2,1)</f>
        <v>Residential</v>
      </c>
      <c r="D221" s="11" t="str">
        <f>_yearDol &amp; "$"</f>
        <v>2021$</v>
      </c>
      <c r="E221" s="32">
        <f t="array" ref="E221:AN221">tMSP1_Res*tPIdxlrg1 + tInst1</f>
        <v>151.78372976141856</v>
      </c>
      <c r="F221" s="32">
        <v>150.74413820865459</v>
      </c>
      <c r="G221" s="32">
        <v>149.75190116051766</v>
      </c>
      <c r="H221" s="32">
        <v>148.79926914005173</v>
      </c>
      <c r="I221" s="32">
        <v>147.88068542141497</v>
      </c>
      <c r="J221" s="32">
        <v>146.99240546807135</v>
      </c>
      <c r="K221" s="32">
        <v>146.13184488113043</v>
      </c>
      <c r="L221" s="32">
        <v>145.29710710423785</v>
      </c>
      <c r="M221" s="32">
        <v>144.48654483791796</v>
      </c>
      <c r="N221" s="32">
        <v>143.69855013961788</v>
      </c>
      <c r="O221" s="32">
        <v>142.93150449241426</v>
      </c>
      <c r="P221" s="32">
        <v>142.18378654740565</v>
      </c>
      <c r="Q221" s="32">
        <v>141.45384563394785</v>
      </c>
      <c r="R221" s="32">
        <v>140.74027865526074</v>
      </c>
      <c r="S221" s="32">
        <v>140.0418073626056</v>
      </c>
      <c r="T221" s="32">
        <v>139.35743413535982</v>
      </c>
      <c r="U221" s="32">
        <v>138.68623476265174</v>
      </c>
      <c r="V221" s="32">
        <v>138.02740599754316</v>
      </c>
      <c r="W221" s="32">
        <v>137.38023189654712</v>
      </c>
      <c r="X221" s="32">
        <v>136.74405820210123</v>
      </c>
      <c r="Y221" s="32">
        <v>136.11827951580622</v>
      </c>
      <c r="Z221" s="32">
        <v>135.50232892907323</v>
      </c>
      <c r="AA221" s="32">
        <v>134.89567828280218</v>
      </c>
      <c r="AB221" s="32">
        <v>134.29783803081821</v>
      </c>
      <c r="AC221" s="32">
        <v>133.70835681863366</v>
      </c>
      <c r="AD221" s="32">
        <v>133.12681996347885</v>
      </c>
      <c r="AE221" s="32">
        <v>132.55284659192452</v>
      </c>
      <c r="AF221" s="32">
        <v>131.9860860777388</v>
      </c>
      <c r="AG221" s="32">
        <v>131.42621435840942</v>
      </c>
      <c r="AH221" s="32">
        <v>130.87293059359999</v>
      </c>
      <c r="AI221" s="32">
        <v>130.32595446989629</v>
      </c>
      <c r="AJ221" s="32">
        <v>129.78502414599188</v>
      </c>
      <c r="AK221" s="32">
        <v>129.24989465724701</v>
      </c>
      <c r="AL221" s="32">
        <v>128.72033681468594</v>
      </c>
      <c r="AM221" s="32">
        <v>128.19613598459955</v>
      </c>
      <c r="AN221" s="55">
        <v>127.67709119684564</v>
      </c>
      <c r="AO221" s="8"/>
    </row>
    <row r="222" spans="2:41" x14ac:dyDescent="0.35">
      <c r="B222" s="8"/>
      <c r="C222" s="20" t="str">
        <f>INDEX(_Sector,2,2)</f>
        <v>Commercial</v>
      </c>
      <c r="D222" s="11" t="str">
        <f>_yearDol &amp; "$"</f>
        <v>2021$</v>
      </c>
      <c r="E222" s="32">
        <f t="array" ref="E222:AN222">tMSP1_Com*tPIdxlrg1 + tInst1</f>
        <v>146.66110451253024</v>
      </c>
      <c r="F222" s="32">
        <v>145.65659865666601</v>
      </c>
      <c r="G222" s="32">
        <v>144.69784911449338</v>
      </c>
      <c r="H222" s="32">
        <v>143.77736795004219</v>
      </c>
      <c r="I222" s="32">
        <v>142.88978597419896</v>
      </c>
      <c r="J222" s="32">
        <v>142.03148502666997</v>
      </c>
      <c r="K222" s="32">
        <v>141.19996793073949</v>
      </c>
      <c r="L222" s="32">
        <v>140.39340213788523</v>
      </c>
      <c r="M222" s="32">
        <v>139.61019594416791</v>
      </c>
      <c r="N222" s="32">
        <v>138.84879567429471</v>
      </c>
      <c r="O222" s="32">
        <v>138.10763743548188</v>
      </c>
      <c r="P222" s="32">
        <v>137.38515459854557</v>
      </c>
      <c r="Q222" s="32">
        <v>136.67984882720319</v>
      </c>
      <c r="R222" s="32">
        <v>135.99036437849173</v>
      </c>
      <c r="S222" s="32">
        <v>135.31546614393051</v>
      </c>
      <c r="T222" s="32">
        <v>134.65419017209584</v>
      </c>
      <c r="U222" s="32">
        <v>134.00564344377247</v>
      </c>
      <c r="V222" s="32">
        <v>133.36904982120615</v>
      </c>
      <c r="W222" s="32">
        <v>132.74371752364584</v>
      </c>
      <c r="X222" s="32">
        <v>132.12901437439587</v>
      </c>
      <c r="Y222" s="32">
        <v>131.52435540695129</v>
      </c>
      <c r="Z222" s="32">
        <v>130.92919284560563</v>
      </c>
      <c r="AA222" s="32">
        <v>130.3430163563653</v>
      </c>
      <c r="AB222" s="32">
        <v>129.76535291499488</v>
      </c>
      <c r="AC222" s="32">
        <v>129.19576639999576</v>
      </c>
      <c r="AD222" s="32">
        <v>128.63385612393517</v>
      </c>
      <c r="AE222" s="32">
        <v>128.07925406767222</v>
      </c>
      <c r="AF222" s="32">
        <v>127.53162143843575</v>
      </c>
      <c r="AG222" s="32">
        <v>126.99064511066173</v>
      </c>
      <c r="AH222" s="32">
        <v>126.45603439722525</v>
      </c>
      <c r="AI222" s="32">
        <v>125.92751844515013</v>
      </c>
      <c r="AJ222" s="32">
        <v>125.4048442501436</v>
      </c>
      <c r="AK222" s="32">
        <v>124.88777511500037</v>
      </c>
      <c r="AL222" s="32">
        <v>124.37608958575849</v>
      </c>
      <c r="AM222" s="32">
        <v>123.86958027248953</v>
      </c>
      <c r="AN222" s="55">
        <v>123.3680529876935</v>
      </c>
      <c r="AO222" s="8"/>
    </row>
    <row r="223" spans="2:41" x14ac:dyDescent="0.35">
      <c r="B223" s="8"/>
      <c r="C223" s="10" t="str">
        <f>zEO&amp;" Costs"</f>
        <v>Operating Costs</v>
      </c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18"/>
      <c r="AO223" s="8"/>
    </row>
    <row r="224" spans="2:41" x14ac:dyDescent="0.35">
      <c r="B224" s="8"/>
      <c r="C224" s="20" t="str">
        <f>INDEX(_Sector,2,1)</f>
        <v>Residential</v>
      </c>
      <c r="D224" s="11" t="str">
        <f>_yearDol &amp; "$"</f>
        <v>2021$</v>
      </c>
      <c r="E224" s="32">
        <f t="array" aca="1" ref="E224:AN224" ca="1">(tlccEFuElec1_Res) + SUMPRODUCT(dFactor,tpSurvAll_Com,tMnR1_Res)</f>
        <v>316.76969019401162</v>
      </c>
      <c r="F224" s="32">
        <f ca="1"/>
        <v>316.98958738814792</v>
      </c>
      <c r="G224" s="32">
        <f ca="1"/>
        <v>317.33531450022042</v>
      </c>
      <c r="H224" s="32">
        <f ca="1"/>
        <v>317.73604776650484</v>
      </c>
      <c r="I224" s="32">
        <f ca="1"/>
        <v>318.11191566005442</v>
      </c>
      <c r="J224" s="32">
        <f ca="1"/>
        <v>318.42720633939405</v>
      </c>
      <c r="K224" s="32">
        <f ca="1"/>
        <v>318.6716481324828</v>
      </c>
      <c r="L224" s="32">
        <f ca="1"/>
        <v>318.86624615842663</v>
      </c>
      <c r="M224" s="32">
        <f ca="1"/>
        <v>318.96624587123591</v>
      </c>
      <c r="N224" s="32">
        <f ca="1"/>
        <v>318.98450058517562</v>
      </c>
      <c r="O224" s="32">
        <f ca="1"/>
        <v>318.85427252706654</v>
      </c>
      <c r="P224" s="32">
        <f ca="1"/>
        <v>318.60159900513753</v>
      </c>
      <c r="Q224" s="32">
        <f ca="1"/>
        <v>318.40054673638099</v>
      </c>
      <c r="R224" s="32">
        <f ca="1"/>
        <v>318.19171798617378</v>
      </c>
      <c r="S224" s="32">
        <f ca="1"/>
        <v>318.0324522121457</v>
      </c>
      <c r="T224" s="32">
        <f ca="1"/>
        <v>317.9270903142131</v>
      </c>
      <c r="U224" s="32">
        <f ca="1"/>
        <v>317.77822524195955</v>
      </c>
      <c r="V224" s="32">
        <f ca="1"/>
        <v>317.59495477838038</v>
      </c>
      <c r="W224" s="32">
        <f ca="1"/>
        <v>317.43223885533524</v>
      </c>
      <c r="X224" s="32">
        <f ca="1"/>
        <v>317.23212519398527</v>
      </c>
      <c r="Y224" s="32">
        <f ca="1"/>
        <v>317.03799027772914</v>
      </c>
      <c r="Z224" s="32">
        <f ca="1"/>
        <v>316.93241219620739</v>
      </c>
      <c r="AA224" s="32">
        <f ca="1"/>
        <v>316.79380849127847</v>
      </c>
      <c r="AB224" s="32">
        <f ca="1"/>
        <v>316.65932958354631</v>
      </c>
      <c r="AC224" s="32">
        <f ca="1"/>
        <v>316.54944093008658</v>
      </c>
      <c r="AD224" s="32">
        <f ca="1"/>
        <v>316.39990106968082</v>
      </c>
      <c r="AE224" s="32">
        <f ca="1"/>
        <v>316.27929717108907</v>
      </c>
      <c r="AF224" s="32">
        <f ca="1"/>
        <v>316.27929717108907</v>
      </c>
      <c r="AG224" s="32">
        <f ca="1"/>
        <v>316.27929717108907</v>
      </c>
      <c r="AH224" s="32">
        <f ca="1"/>
        <v>316.27929717108907</v>
      </c>
      <c r="AI224" s="32">
        <f ca="1"/>
        <v>316.27929717108907</v>
      </c>
      <c r="AJ224" s="32">
        <f ca="1"/>
        <v>316.27929717108907</v>
      </c>
      <c r="AK224" s="32">
        <f ca="1"/>
        <v>316.27929717108907</v>
      </c>
      <c r="AL224" s="32">
        <f ca="1"/>
        <v>316.27929717108907</v>
      </c>
      <c r="AM224" s="32">
        <f ca="1"/>
        <v>316.27929717108907</v>
      </c>
      <c r="AN224" s="55">
        <f ca="1"/>
        <v>316.27929717108907</v>
      </c>
      <c r="AO224" s="8"/>
    </row>
    <row r="225" spans="2:41" x14ac:dyDescent="0.35">
      <c r="B225" s="8"/>
      <c r="C225" s="50" t="str">
        <f>INDEX(_fuel,1)</f>
        <v>Electricity</v>
      </c>
      <c r="D225" s="11" t="str">
        <f>_yearDol &amp; "$"</f>
        <v>2021$</v>
      </c>
      <c r="E225" s="32">
        <f ca="1">SUMPRODUCT(dFactor,tpSurvAll_Res,tElec1_Res,OFFSET(tPrcElec_Res,0,0,1,_maxLT))</f>
        <v>116.62619496776787</v>
      </c>
      <c r="F225" s="32">
        <f ca="1">SUMPRODUCT(dFactor,tpSurvAll_Res,tElec1_Res,OFFSET(tPrcElec_Res,0,1,1,_maxLT))</f>
        <v>116.8460921619042</v>
      </c>
      <c r="G225" s="32">
        <f ca="1">SUMPRODUCT(dFactor,tpSurvAll_Res,tElec1_Res,OFFSET(tPrcElec_Res,0,2,1,_maxLT))</f>
        <v>117.19181927397671</v>
      </c>
      <c r="H225" s="32">
        <f ca="1">SUMPRODUCT(dFactor,tpSurvAll_Res,tElec1_Res,OFFSET(tPrcElec_Res,0,3,1,_maxLT))</f>
        <v>117.59255254026112</v>
      </c>
      <c r="I225" s="32">
        <f ca="1">SUMPRODUCT(dFactor,tpSurvAll_Res,tElec1_Res,OFFSET(tPrcElec_Res,0,4,1,_maxLT))</f>
        <v>117.96842043381066</v>
      </c>
      <c r="J225" s="32">
        <f ca="1">SUMPRODUCT(dFactor,tpSurvAll_Res,tElec1_Res,OFFSET(tPrcElec_Res,0,5,1,_maxLT))</f>
        <v>118.2837111131503</v>
      </c>
      <c r="K225" s="32">
        <f ca="1">SUMPRODUCT(dFactor,tpSurvAll_Res,tElec1_Res,OFFSET(tPrcElec_Res,0,6,1,_maxLT))</f>
        <v>118.52815290623903</v>
      </c>
      <c r="L225" s="32">
        <f ca="1">SUMPRODUCT(dFactor,tpSurvAll_Res,tElec1_Res,OFFSET(tPrcElec_Res,0,7,1,_maxLT))</f>
        <v>118.7227509321829</v>
      </c>
      <c r="M225" s="32">
        <f ca="1">SUMPRODUCT(dFactor,tpSurvAll_Res,tElec1_Res,OFFSET(tPrcElec_Res,0,8,1,_maxLT))</f>
        <v>118.82275064499215</v>
      </c>
      <c r="N225" s="32">
        <f ca="1">SUMPRODUCT(dFactor,tpSurvAll_Res,tElec1_Res,OFFSET(tPrcElec_Res,0,9,1,_maxLT))</f>
        <v>118.84100535893191</v>
      </c>
      <c r="O225" s="32">
        <f ca="1">SUMPRODUCT(dFactor,tpSurvAll_Res,tElec1_Res,OFFSET(tPrcElec_Res,0,10,1,_maxLT))</f>
        <v>118.7107773008228</v>
      </c>
      <c r="P225" s="32">
        <f ca="1">SUMPRODUCT(dFactor,tpSurvAll_Res,tElec1_Res,OFFSET(tPrcElec_Res,0,11,1,_maxLT))</f>
        <v>118.45810377889379</v>
      </c>
      <c r="Q225" s="32">
        <f ca="1">SUMPRODUCT(dFactor,tpSurvAll_Res,tElec1_Res,OFFSET(tPrcElec_Res,0,12,1,_maxLT))</f>
        <v>118.25705151013727</v>
      </c>
      <c r="R225" s="32">
        <f ca="1">SUMPRODUCT(dFactor,tpSurvAll_Res,tElec1_Res,OFFSET(tPrcElec_Res,0,13,1,_maxLT))</f>
        <v>118.04822275993004</v>
      </c>
      <c r="S225" s="32">
        <f ca="1">SUMPRODUCT(dFactor,tpSurvAll_Res,tElec1_Res,OFFSET(tPrcElec_Res,0,14,1,_maxLT))</f>
        <v>117.88895698590193</v>
      </c>
      <c r="T225" s="32">
        <f ca="1">SUMPRODUCT(dFactor,tpSurvAll_Res,tElec1_Res,OFFSET(tPrcElec_Res,0,15,1,_maxLT))</f>
        <v>117.78359508796937</v>
      </c>
      <c r="U225" s="32">
        <f ca="1">SUMPRODUCT(dFactor,tpSurvAll_Res,tElec1_Res,OFFSET(tPrcElec_Res,0,16,1,_maxLT))</f>
        <v>117.63473001571579</v>
      </c>
      <c r="V225" s="32">
        <f ca="1">SUMPRODUCT(dFactor,tpSurvAll_Res,tElec1_Res,OFFSET(tPrcElec_Res,0,17,1,_maxLT))</f>
        <v>117.45145955213663</v>
      </c>
      <c r="W225" s="32">
        <f ca="1">SUMPRODUCT(dFactor,tpSurvAll_Res,tElec1_Res,OFFSET(tPrcElec_Res,0,18,1,_maxLT))</f>
        <v>117.2887436290915</v>
      </c>
      <c r="X225" s="32">
        <f ca="1">SUMPRODUCT(dFactor,tpSurvAll_Res,tElec1_Res,OFFSET(tPrcElec_Res,0,19,1,_maxLT))</f>
        <v>117.08862996774151</v>
      </c>
      <c r="Y225" s="32">
        <f ca="1">SUMPRODUCT(dFactor,tpSurvAll_Res,tElec1_Res,OFFSET(tPrcElec_Res,0,20,1,_maxLT))</f>
        <v>116.89449505148542</v>
      </c>
      <c r="Z225" s="32">
        <f ca="1">SUMPRODUCT(dFactor,tpSurvAll_Res,tElec1_Res,OFFSET(tPrcElec_Res,0,21,1,_maxLT))</f>
        <v>116.78891696996367</v>
      </c>
      <c r="AA225" s="32">
        <f ca="1">SUMPRODUCT(dFactor,tpSurvAll_Res,tElec1_Res,OFFSET(tPrcElec_Res,0,22,1,_maxLT))</f>
        <v>116.65031326503475</v>
      </c>
      <c r="AB225" s="32">
        <f ca="1">SUMPRODUCT(dFactor,tpSurvAll_Res,tElec1_Res,OFFSET(tPrcElec_Res,0,23,1,_maxLT))</f>
        <v>116.51583435730255</v>
      </c>
      <c r="AC225" s="32">
        <f ca="1">SUMPRODUCT(dFactor,tpSurvAll_Res,tElec1_Res,OFFSET(tPrcElec_Res,0,24,1,_maxLT))</f>
        <v>116.40594570384282</v>
      </c>
      <c r="AD225" s="32">
        <f ca="1">SUMPRODUCT(dFactor,tpSurvAll_Res,tElec1_Res,OFFSET(tPrcElec_Res,0,25,1,_maxLT))</f>
        <v>116.25640584343707</v>
      </c>
      <c r="AE225" s="32">
        <f ca="1">SUMPRODUCT(dFactor,tpSurvAll_Res,tElec1_Res,OFFSET(tPrcElec_Res,0,26,1,_maxLT))</f>
        <v>116.13580194484531</v>
      </c>
      <c r="AF225" s="32">
        <f ca="1">SUMPRODUCT(dFactor,tpSurvAll_Res,tElec1_Res,OFFSET(tPrcElec_Res,0,27,1,_maxLT))</f>
        <v>116.13580194484531</v>
      </c>
      <c r="AG225" s="32">
        <f ca="1">SUMPRODUCT(dFactor,tpSurvAll_Res,tElec1_Res,OFFSET(tPrcElec_Res,0,28,1,_maxLT))</f>
        <v>116.13580194484531</v>
      </c>
      <c r="AH225" s="32">
        <f ca="1">SUMPRODUCT(dFactor,tpSurvAll_Res,tElec1_Res,OFFSET(tPrcElec_Res,0,29,1,_maxLT))</f>
        <v>116.13580194484531</v>
      </c>
      <c r="AI225" s="32">
        <f ca="1">SUMPRODUCT(dFactor,tpSurvAll_Res,tElec1_Res,OFFSET(tPrcElec_Res,0,30,1,_maxLT))</f>
        <v>116.13580194484531</v>
      </c>
      <c r="AJ225" s="32">
        <f ca="1">SUMPRODUCT(dFactor,tpSurvAll_Res,tElec1_Res,OFFSET(tPrcElec_Res,0,31,1,_maxLT))</f>
        <v>116.13580194484531</v>
      </c>
      <c r="AK225" s="32">
        <f ca="1">SUMPRODUCT(dFactor,tpSurvAll_Res,tElec1_Res,OFFSET(tPrcElec_Res,0,32,1,_maxLT))</f>
        <v>116.13580194484531</v>
      </c>
      <c r="AL225" s="32">
        <f ca="1">SUMPRODUCT(dFactor,tpSurvAll_Res,tElec1_Res,OFFSET(tPrcElec_Res,0,33,1,_maxLT))</f>
        <v>116.13580194484531</v>
      </c>
      <c r="AM225" s="32">
        <f ca="1">SUMPRODUCT(dFactor,tpSurvAll_Res,tElec1_Res,OFFSET(tPrcElec_Res,0,34,1,_maxLT))</f>
        <v>116.13580194484531</v>
      </c>
      <c r="AN225" s="55">
        <f ca="1">SUMPRODUCT(dFactor,tpSurvAll_Res,tElec1_Res,OFFSET(tPrcElec_Res,0,35,1,_maxLT))</f>
        <v>116.13580194484531</v>
      </c>
      <c r="AO225" s="8"/>
    </row>
    <row r="226" spans="2:41" x14ac:dyDescent="0.35">
      <c r="B226" s="8"/>
      <c r="C226" s="20" t="str">
        <f>INDEX(_Sector,2,2)</f>
        <v>Commercial</v>
      </c>
      <c r="D226" s="11" t="str">
        <f>_yearDol &amp; "$"</f>
        <v>2021$</v>
      </c>
      <c r="E226" s="32">
        <f t="array" aca="1" ref="E226:AN226" ca="1">(tlccEFuElec1_Com) + SUMPRODUCT(dFactor,tpSurvAll_Com,tMnR1_Com)</f>
        <v>397.36664431404472</v>
      </c>
      <c r="F226" s="32">
        <f ca="1"/>
        <v>397.29289339686977</v>
      </c>
      <c r="G226" s="32">
        <f ca="1"/>
        <v>397.3473695804866</v>
      </c>
      <c r="H226" s="32">
        <f ca="1"/>
        <v>397.47211082850811</v>
      </c>
      <c r="I226" s="32">
        <f ca="1"/>
        <v>397.55304607873217</v>
      </c>
      <c r="J226" s="32">
        <f ca="1"/>
        <v>397.54859091514777</v>
      </c>
      <c r="K226" s="32">
        <f ca="1"/>
        <v>397.43611458088719</v>
      </c>
      <c r="L226" s="32">
        <f ca="1"/>
        <v>397.25956105974558</v>
      </c>
      <c r="M226" s="32">
        <f ca="1"/>
        <v>396.91803386908737</v>
      </c>
      <c r="N226" s="32">
        <f ca="1"/>
        <v>396.50292332082063</v>
      </c>
      <c r="O226" s="32">
        <f ca="1"/>
        <v>395.83731973178453</v>
      </c>
      <c r="P226" s="32">
        <f ca="1"/>
        <v>394.99314355708714</v>
      </c>
      <c r="Q226" s="32">
        <f ca="1"/>
        <v>394.26207749485241</v>
      </c>
      <c r="R226" s="32">
        <f ca="1"/>
        <v>393.53942387531828</v>
      </c>
      <c r="S226" s="32">
        <f ca="1"/>
        <v>392.90395614587283</v>
      </c>
      <c r="T226" s="32">
        <f ca="1"/>
        <v>392.38417378914608</v>
      </c>
      <c r="U226" s="32">
        <f ca="1"/>
        <v>391.76913768833094</v>
      </c>
      <c r="V226" s="32">
        <f ca="1"/>
        <v>391.11365688298673</v>
      </c>
      <c r="W226" s="32">
        <f ca="1"/>
        <v>390.54366860968275</v>
      </c>
      <c r="X226" s="32">
        <f ca="1"/>
        <v>389.9419657577123</v>
      </c>
      <c r="Y226" s="32">
        <f ca="1"/>
        <v>389.34357914130521</v>
      </c>
      <c r="Z226" s="32">
        <f ca="1"/>
        <v>388.95854418274291</v>
      </c>
      <c r="AA226" s="32">
        <f ca="1"/>
        <v>388.54460529715857</v>
      </c>
      <c r="AB226" s="32">
        <f ca="1"/>
        <v>388.16194815717631</v>
      </c>
      <c r="AC226" s="32">
        <f ca="1"/>
        <v>387.8969963785338</v>
      </c>
      <c r="AD226" s="32">
        <f ca="1"/>
        <v>387.58975506736465</v>
      </c>
      <c r="AE226" s="32">
        <f ca="1"/>
        <v>387.34945890143126</v>
      </c>
      <c r="AF226" s="32">
        <f ca="1"/>
        <v>387.34945890143126</v>
      </c>
      <c r="AG226" s="32">
        <f ca="1"/>
        <v>387.34945890143126</v>
      </c>
      <c r="AH226" s="32">
        <f ca="1"/>
        <v>387.34945890143126</v>
      </c>
      <c r="AI226" s="32">
        <f ca="1"/>
        <v>387.34945890143126</v>
      </c>
      <c r="AJ226" s="32">
        <f ca="1"/>
        <v>387.34945890143126</v>
      </c>
      <c r="AK226" s="32">
        <f ca="1"/>
        <v>387.34945890143126</v>
      </c>
      <c r="AL226" s="32">
        <f ca="1"/>
        <v>387.34945890143126</v>
      </c>
      <c r="AM226" s="32">
        <f ca="1"/>
        <v>387.34945890143126</v>
      </c>
      <c r="AN226" s="55">
        <f ca="1"/>
        <v>387.34945890143126</v>
      </c>
      <c r="AO226" s="8"/>
    </row>
    <row r="227" spans="2:41" x14ac:dyDescent="0.35">
      <c r="B227" s="8"/>
      <c r="C227" s="50" t="str">
        <f>INDEX(_fuel,1)</f>
        <v>Electricity</v>
      </c>
      <c r="D227" s="11" t="str">
        <f>_yearDol &amp; "$"</f>
        <v>2021$</v>
      </c>
      <c r="E227" s="32">
        <f ca="1">SUMPRODUCT(dFactor,tpSurvAll_Com,tElec1_Com,OFFSET(tPrcElec_Com,0,0,1,_maxLT))</f>
        <v>168.86555577995983</v>
      </c>
      <c r="F227" s="32">
        <f ca="1">SUMPRODUCT(dFactor,tpSurvAll_Com,tElec1_Com,OFFSET(tPrcElec_Com,0,1,1,_maxLT))</f>
        <v>168.79180486278489</v>
      </c>
      <c r="G227" s="32">
        <f ca="1">SUMPRODUCT(dFactor,tpSurvAll_Com,tElec1_Com,OFFSET(tPrcElec_Com,0,2,1,_maxLT))</f>
        <v>168.84628104640171</v>
      </c>
      <c r="H227" s="32">
        <f ca="1">SUMPRODUCT(dFactor,tpSurvAll_Com,tElec1_Com,OFFSET(tPrcElec_Com,0,3,1,_maxLT))</f>
        <v>168.97102229442319</v>
      </c>
      <c r="I227" s="32">
        <f ca="1">SUMPRODUCT(dFactor,tpSurvAll_Com,tElec1_Com,OFFSET(tPrcElec_Com,0,4,1,_maxLT))</f>
        <v>169.05195754464728</v>
      </c>
      <c r="J227" s="32">
        <f ca="1">SUMPRODUCT(dFactor,tpSurvAll_Com,tElec1_Com,OFFSET(tPrcElec_Com,0,5,1,_maxLT))</f>
        <v>169.04750238106291</v>
      </c>
      <c r="K227" s="32">
        <f ca="1">SUMPRODUCT(dFactor,tpSurvAll_Com,tElec1_Com,OFFSET(tPrcElec_Com,0,6,1,_maxLT))</f>
        <v>168.93502604680234</v>
      </c>
      <c r="L227" s="32">
        <f ca="1">SUMPRODUCT(dFactor,tpSurvAll_Com,tElec1_Com,OFFSET(tPrcElec_Com,0,7,1,_maxLT))</f>
        <v>168.75847252566069</v>
      </c>
      <c r="M227" s="32">
        <f ca="1">SUMPRODUCT(dFactor,tpSurvAll_Com,tElec1_Com,OFFSET(tPrcElec_Com,0,8,1,_maxLT))</f>
        <v>168.41694533500251</v>
      </c>
      <c r="N227" s="32">
        <f ca="1">SUMPRODUCT(dFactor,tpSurvAll_Com,tElec1_Com,OFFSET(tPrcElec_Com,0,9,1,_maxLT))</f>
        <v>168.00183478673574</v>
      </c>
      <c r="O227" s="32">
        <f ca="1">SUMPRODUCT(dFactor,tpSurvAll_Com,tElec1_Com,OFFSET(tPrcElec_Com,0,10,1,_maxLT))</f>
        <v>167.33623119769962</v>
      </c>
      <c r="P227" s="32">
        <f ca="1">SUMPRODUCT(dFactor,tpSurvAll_Com,tElec1_Com,OFFSET(tPrcElec_Com,0,11,1,_maxLT))</f>
        <v>166.49205502300228</v>
      </c>
      <c r="Q227" s="32">
        <f ca="1">SUMPRODUCT(dFactor,tpSurvAll_Com,tElec1_Com,OFFSET(tPrcElec_Com,0,12,1,_maxLT))</f>
        <v>165.76098896076755</v>
      </c>
      <c r="R227" s="32">
        <f ca="1">SUMPRODUCT(dFactor,tpSurvAll_Com,tElec1_Com,OFFSET(tPrcElec_Com,0,13,1,_maxLT))</f>
        <v>165.03833534123339</v>
      </c>
      <c r="S227" s="32">
        <f ca="1">SUMPRODUCT(dFactor,tpSurvAll_Com,tElec1_Com,OFFSET(tPrcElec_Com,0,14,1,_maxLT))</f>
        <v>164.40286761178791</v>
      </c>
      <c r="T227" s="32">
        <f ca="1">SUMPRODUCT(dFactor,tpSurvAll_Com,tElec1_Com,OFFSET(tPrcElec_Com,0,15,1,_maxLT))</f>
        <v>163.88308525506119</v>
      </c>
      <c r="U227" s="32">
        <f ca="1">SUMPRODUCT(dFactor,tpSurvAll_Com,tElec1_Com,OFFSET(tPrcElec_Com,0,16,1,_maxLT))</f>
        <v>163.26804915424606</v>
      </c>
      <c r="V227" s="32">
        <f ca="1">SUMPRODUCT(dFactor,tpSurvAll_Com,tElec1_Com,OFFSET(tPrcElec_Com,0,17,1,_maxLT))</f>
        <v>162.61256834890185</v>
      </c>
      <c r="W227" s="32">
        <f ca="1">SUMPRODUCT(dFactor,tpSurvAll_Com,tElec1_Com,OFFSET(tPrcElec_Com,0,18,1,_maxLT))</f>
        <v>162.0425800755979</v>
      </c>
      <c r="X227" s="32">
        <f ca="1">SUMPRODUCT(dFactor,tpSurvAll_Com,tElec1_Com,OFFSET(tPrcElec_Com,0,19,1,_maxLT))</f>
        <v>161.44087722362738</v>
      </c>
      <c r="Y227" s="32">
        <f ca="1">SUMPRODUCT(dFactor,tpSurvAll_Com,tElec1_Com,OFFSET(tPrcElec_Com,0,20,1,_maxLT))</f>
        <v>160.84249060722036</v>
      </c>
      <c r="Z227" s="32">
        <f ca="1">SUMPRODUCT(dFactor,tpSurvAll_Com,tElec1_Com,OFFSET(tPrcElec_Com,0,21,1,_maxLT))</f>
        <v>160.45745564865805</v>
      </c>
      <c r="AA227" s="32">
        <f ca="1">SUMPRODUCT(dFactor,tpSurvAll_Com,tElec1_Com,OFFSET(tPrcElec_Com,0,22,1,_maxLT))</f>
        <v>160.04351676307365</v>
      </c>
      <c r="AB227" s="32">
        <f ca="1">SUMPRODUCT(dFactor,tpSurvAll_Com,tElec1_Com,OFFSET(tPrcElec_Com,0,23,1,_maxLT))</f>
        <v>159.6608596230914</v>
      </c>
      <c r="AC227" s="32">
        <f ca="1">SUMPRODUCT(dFactor,tpSurvAll_Com,tElec1_Com,OFFSET(tPrcElec_Com,0,24,1,_maxLT))</f>
        <v>159.39590784444889</v>
      </c>
      <c r="AD227" s="32">
        <f ca="1">SUMPRODUCT(dFactor,tpSurvAll_Com,tElec1_Com,OFFSET(tPrcElec_Com,0,25,1,_maxLT))</f>
        <v>159.08866653327979</v>
      </c>
      <c r="AE227" s="32">
        <f ca="1">SUMPRODUCT(dFactor,tpSurvAll_Com,tElec1_Com,OFFSET(tPrcElec_Com,0,26,1,_maxLT))</f>
        <v>158.84837036734635</v>
      </c>
      <c r="AF227" s="32">
        <f ca="1">SUMPRODUCT(dFactor,tpSurvAll_Com,tElec1_Com,OFFSET(tPrcElec_Com,0,27,1,_maxLT))</f>
        <v>158.84837036734635</v>
      </c>
      <c r="AG227" s="32">
        <f ca="1">SUMPRODUCT(dFactor,tpSurvAll_Com,tElec1_Com,OFFSET(tPrcElec_Com,0,28,1,_maxLT))</f>
        <v>158.84837036734635</v>
      </c>
      <c r="AH227" s="32">
        <f ca="1">SUMPRODUCT(dFactor,tpSurvAll_Com,tElec1_Com,OFFSET(tPrcElec_Com,0,29,1,_maxLT))</f>
        <v>158.84837036734635</v>
      </c>
      <c r="AI227" s="32">
        <f ca="1">SUMPRODUCT(dFactor,tpSurvAll_Com,tElec1_Com,OFFSET(tPrcElec_Com,0,30,1,_maxLT))</f>
        <v>158.84837036734635</v>
      </c>
      <c r="AJ227" s="32">
        <f ca="1">SUMPRODUCT(dFactor,tpSurvAll_Com,tElec1_Com,OFFSET(tPrcElec_Com,0,31,1,_maxLT))</f>
        <v>158.84837036734635</v>
      </c>
      <c r="AK227" s="32">
        <f ca="1">SUMPRODUCT(dFactor,tpSurvAll_Com,tElec1_Com,OFFSET(tPrcElec_Com,0,32,1,_maxLT))</f>
        <v>158.84837036734635</v>
      </c>
      <c r="AL227" s="32">
        <f ca="1">SUMPRODUCT(dFactor,tpSurvAll_Com,tElec1_Com,OFFSET(tPrcElec_Com,0,33,1,_maxLT))</f>
        <v>158.84837036734635</v>
      </c>
      <c r="AM227" s="32">
        <f ca="1">SUMPRODUCT(dFactor,tpSurvAll_Com,tElec1_Com,OFFSET(tPrcElec_Com,0,34,1,_maxLT))</f>
        <v>158.84837036734635</v>
      </c>
      <c r="AN227" s="55">
        <f ca="1">SUMPRODUCT(dFactor,tpSurvAll_Com,tElec1_Com,OFFSET(tPrcElec_Com,0,35,1,_maxLT))</f>
        <v>158.84837036734635</v>
      </c>
      <c r="AO227" s="8"/>
    </row>
    <row r="228" spans="2:41" x14ac:dyDescent="0.35">
      <c r="B228" s="8"/>
      <c r="C228" s="10" t="s">
        <v>78</v>
      </c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18"/>
      <c r="AO228" s="8"/>
    </row>
    <row r="229" spans="2:41" x14ac:dyDescent="0.35">
      <c r="B229" s="8"/>
      <c r="C229" s="20" t="str">
        <f>INDEX(_Sector,2,1)</f>
        <v>Residential</v>
      </c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18"/>
      <c r="AO229" s="8"/>
    </row>
    <row r="230" spans="2:41" x14ac:dyDescent="0.35">
      <c r="B230" s="8"/>
      <c r="C230" s="50" t="str">
        <f>INDEX(_fuel,1)</f>
        <v>Electricity</v>
      </c>
      <c r="D230" s="11" t="s">
        <v>80</v>
      </c>
      <c r="E230" s="40">
        <f ca="1">SUMPRODUCT(OFFSET(tConvElec_Res,0,0,1,_maxLT),tElec1_Res,tpSurvAll_Res)</f>
        <v>9.65932100374736</v>
      </c>
      <c r="F230" s="40">
        <f ca="1">SUMPRODUCT(OFFSET(tConvElec_Res,0,1,1,_maxLT),tElec1_Res,tpSurvAll_Res)</f>
        <v>9.6115819462816852</v>
      </c>
      <c r="G230" s="40">
        <f ca="1">SUMPRODUCT(OFFSET(tConvElec_Res,0,2,1,_maxLT),tElec1_Res,tpSurvAll_Res)</f>
        <v>9.5769544068537229</v>
      </c>
      <c r="H230" s="40">
        <f ca="1">SUMPRODUCT(OFFSET(tConvElec_Res,0,3,1,_maxLT),tElec1_Res,tpSurvAll_Res)</f>
        <v>9.5498709305146008</v>
      </c>
      <c r="I230" s="40">
        <f ca="1">SUMPRODUCT(OFFSET(tConvElec_Res,0,4,1,_maxLT),tElec1_Res,tpSurvAll_Res)</f>
        <v>9.5310218693816822</v>
      </c>
      <c r="J230" s="40">
        <f ca="1">SUMPRODUCT(OFFSET(tConvElec_Res,0,5,1,_maxLT),tElec1_Res,tpSurvAll_Res)</f>
        <v>9.5161550603853495</v>
      </c>
      <c r="K230" s="40">
        <f ca="1">SUMPRODUCT(OFFSET(tConvElec_Res,0,6,1,_maxLT),tElec1_Res,tpSurvAll_Res)</f>
        <v>9.5032751639152533</v>
      </c>
      <c r="L230" s="40">
        <f ca="1">SUMPRODUCT(OFFSET(tConvElec_Res,0,7,1,_maxLT),tElec1_Res,tpSurvAll_Res)</f>
        <v>9.4893794944635559</v>
      </c>
      <c r="M230" s="40">
        <f ca="1">SUMPRODUCT(OFFSET(tConvElec_Res,0,8,1,_maxLT),tElec1_Res,tpSurvAll_Res)</f>
        <v>9.4760058831796581</v>
      </c>
      <c r="N230" s="40">
        <f ca="1">SUMPRODUCT(OFFSET(tConvElec_Res,0,9,1,_maxLT),tElec1_Res,tpSurvAll_Res)</f>
        <v>9.4633386068265519</v>
      </c>
      <c r="O230" s="40">
        <f ca="1">SUMPRODUCT(OFFSET(tConvElec_Res,0,10,1,_maxLT),tElec1_Res,tpSurvAll_Res)</f>
        <v>9.4501099659196441</v>
      </c>
      <c r="P230" s="40">
        <f ca="1">SUMPRODUCT(OFFSET(tConvElec_Res,0,11,1,_maxLT),tElec1_Res,tpSurvAll_Res)</f>
        <v>9.4389317646204276</v>
      </c>
      <c r="Q230" s="40">
        <f ca="1">SUMPRODUCT(OFFSET(tConvElec_Res,0,12,1,_maxLT),tElec1_Res,tpSurvAll_Res)</f>
        <v>9.4274644551361071</v>
      </c>
      <c r="R230" s="40">
        <f ca="1">SUMPRODUCT(OFFSET(tConvElec_Res,0,13,1,_maxLT),tElec1_Res,tpSurvAll_Res)</f>
        <v>9.4174692635328512</v>
      </c>
      <c r="S230" s="40">
        <f ca="1">SUMPRODUCT(OFFSET(tConvElec_Res,0,14,1,_maxLT),tElec1_Res,tpSurvAll_Res)</f>
        <v>9.4090496712974527</v>
      </c>
      <c r="T230" s="40">
        <f ca="1">SUMPRODUCT(OFFSET(tConvElec_Res,0,15,1,_maxLT),tElec1_Res,tpSurvAll_Res)</f>
        <v>9.4012105994162649</v>
      </c>
      <c r="U230" s="40">
        <f ca="1">SUMPRODUCT(OFFSET(tConvElec_Res,0,16,1,_maxLT),tElec1_Res,tpSurvAll_Res)</f>
        <v>9.3931542826840015</v>
      </c>
      <c r="V230" s="40">
        <f ca="1">SUMPRODUCT(OFFSET(tConvElec_Res,0,17,1,_maxLT),tElec1_Res,tpSurvAll_Res)</f>
        <v>9.3859391128751763</v>
      </c>
      <c r="W230" s="40">
        <f ca="1">SUMPRODUCT(OFFSET(tConvElec_Res,0,18,1,_maxLT),tElec1_Res,tpSurvAll_Res)</f>
        <v>9.3800375231316799</v>
      </c>
      <c r="X230" s="40">
        <f ca="1">SUMPRODUCT(OFFSET(tConvElec_Res,0,19,1,_maxLT),tElec1_Res,tpSurvAll_Res)</f>
        <v>9.3750473606223945</v>
      </c>
      <c r="Y230" s="40">
        <f ca="1">SUMPRODUCT(OFFSET(tConvElec_Res,0,20,1,_maxLT),tElec1_Res,tpSurvAll_Res)</f>
        <v>9.3710332542661376</v>
      </c>
      <c r="Z230" s="40">
        <f ca="1">SUMPRODUCT(OFFSET(tConvElec_Res,0,21,1,_maxLT),tElec1_Res,tpSurvAll_Res)</f>
        <v>9.3694769475153805</v>
      </c>
      <c r="AA230" s="40">
        <f ca="1">SUMPRODUCT(OFFSET(tConvElec_Res,0,22,1,_maxLT),tElec1_Res,tpSurvAll_Res)</f>
        <v>9.3694353008263924</v>
      </c>
      <c r="AB230" s="40">
        <f ca="1">SUMPRODUCT(OFFSET(tConvElec_Res,0,23,1,_maxLT),tElec1_Res,tpSurvAll_Res)</f>
        <v>9.369863596973655</v>
      </c>
      <c r="AC230" s="40">
        <f ca="1">SUMPRODUCT(OFFSET(tConvElec_Res,0,24,1,_maxLT),tElec1_Res,tpSurvAll_Res)</f>
        <v>9.3707807315035758</v>
      </c>
      <c r="AD230" s="40">
        <f ca="1">SUMPRODUCT(OFFSET(tConvElec_Res,0,25,1,_maxLT),tElec1_Res,tpSurvAll_Res)</f>
        <v>9.3715505461624993</v>
      </c>
      <c r="AE230" s="40">
        <f ca="1">SUMPRODUCT(OFFSET(tConvElec_Res,0,26,1,_maxLT),tElec1_Res,tpSurvAll_Res)</f>
        <v>9.3717322315686857</v>
      </c>
      <c r="AF230" s="40">
        <f ca="1">SUMPRODUCT(OFFSET(tConvElec_Res,0,27,1,_maxLT),tElec1_Res,tpSurvAll_Res)</f>
        <v>9.3717322315686857</v>
      </c>
      <c r="AG230" s="40">
        <f ca="1">SUMPRODUCT(OFFSET(tConvElec_Res,0,28,1,_maxLT),tElec1_Res,tpSurvAll_Res)</f>
        <v>9.3717322315686857</v>
      </c>
      <c r="AH230" s="40">
        <f ca="1">SUMPRODUCT(OFFSET(tConvElec_Res,0,29,1,_maxLT),tElec1_Res,tpSurvAll_Res)</f>
        <v>9.3717322315686857</v>
      </c>
      <c r="AI230" s="40">
        <f ca="1">SUMPRODUCT(OFFSET(tConvElec_Res,0,30,1,_maxLT),tElec1_Res,tpSurvAll_Res)</f>
        <v>9.3717322315686857</v>
      </c>
      <c r="AJ230" s="40">
        <f ca="1">SUMPRODUCT(OFFSET(tConvElec_Res,0,31,1,_maxLT),tElec1_Res,tpSurvAll_Res)</f>
        <v>9.3717322315686857</v>
      </c>
      <c r="AK230" s="40">
        <f ca="1">SUMPRODUCT(OFFSET(tConvElec_Res,0,32,1,_maxLT),tElec1_Res,tpSurvAll_Res)</f>
        <v>9.3717322315686857</v>
      </c>
      <c r="AL230" s="40">
        <f ca="1">SUMPRODUCT(OFFSET(tConvElec_Res,0,33,1,_maxLT),tElec1_Res,tpSurvAll_Res)</f>
        <v>9.3717322315686857</v>
      </c>
      <c r="AM230" s="40">
        <f ca="1">SUMPRODUCT(OFFSET(tConvElec_Res,0,34,1,_maxLT),tElec1_Res,tpSurvAll_Res)</f>
        <v>9.3717322315686857</v>
      </c>
      <c r="AN230" s="41">
        <f ca="1">SUMPRODUCT(OFFSET(tConvElec_Res,0,35,1,_maxLT),tElec1_Res,tpSurvAll_Res)</f>
        <v>9.3717322315686857</v>
      </c>
      <c r="AO230" s="8"/>
    </row>
    <row r="231" spans="2:41" x14ac:dyDescent="0.35">
      <c r="B231" s="8"/>
      <c r="C231" s="20" t="str">
        <f>INDEX(_Sector,2,2)</f>
        <v>Commercial</v>
      </c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18"/>
      <c r="AO231" s="8"/>
    </row>
    <row r="232" spans="2:41" x14ac:dyDescent="0.35">
      <c r="B232" s="8"/>
      <c r="C232" s="50" t="str">
        <f>INDEX(_fuel,1)</f>
        <v>Electricity</v>
      </c>
      <c r="D232" s="11" t="s">
        <v>80</v>
      </c>
      <c r="E232" s="40">
        <f ca="1">SUMPRODUCT(OFFSET(tConvElec_Com,0,0,1,_maxLT),tElec1_Com,tpSurvAll_Com)</f>
        <v>19.778313579332206</v>
      </c>
      <c r="F232" s="40">
        <f ca="1">SUMPRODUCT(OFFSET(tConvElec_Com,0,1,1,_maxLT),tElec1_Com,tpSurvAll_Com)</f>
        <v>19.676797226323668</v>
      </c>
      <c r="G232" s="40">
        <f ca="1">SUMPRODUCT(OFFSET(tConvElec_Com,0,2,1,_maxLT),tElec1_Com,tpSurvAll_Com)</f>
        <v>19.604200025844865</v>
      </c>
      <c r="H232" s="40">
        <f ca="1">SUMPRODUCT(OFFSET(tConvElec_Com,0,3,1,_maxLT),tElec1_Com,tpSurvAll_Com)</f>
        <v>19.548391024919582</v>
      </c>
      <c r="I232" s="40">
        <f ca="1">SUMPRODUCT(OFFSET(tConvElec_Com,0,4,1,_maxLT),tElec1_Com,tpSurvAll_Com)</f>
        <v>19.511169913420346</v>
      </c>
      <c r="J232" s="40">
        <f ca="1">SUMPRODUCT(OFFSET(tConvElec_Com,0,5,1,_maxLT),tElec1_Com,tpSurvAll_Com)</f>
        <v>19.482866046067453</v>
      </c>
      <c r="K232" s="40">
        <f ca="1">SUMPRODUCT(OFFSET(tConvElec_Com,0,6,1,_maxLT),tElec1_Com,tpSurvAll_Com)</f>
        <v>19.458710889788186</v>
      </c>
      <c r="L232" s="40">
        <f ca="1">SUMPRODUCT(OFFSET(tConvElec_Com,0,7,1,_maxLT),tElec1_Com,tpSurvAll_Com)</f>
        <v>19.432843585639592</v>
      </c>
      <c r="M232" s="40">
        <f ca="1">SUMPRODUCT(OFFSET(tConvElec_Com,0,8,1,_maxLT),tElec1_Com,tpSurvAll_Com)</f>
        <v>19.408399410761888</v>
      </c>
      <c r="N232" s="40">
        <f ca="1">SUMPRODUCT(OFFSET(tConvElec_Com,0,9,1,_maxLT),tElec1_Com,tpSurvAll_Com)</f>
        <v>19.385360865850348</v>
      </c>
      <c r="O232" s="40">
        <f ca="1">SUMPRODUCT(OFFSET(tConvElec_Com,0,10,1,_maxLT),tElec1_Com,tpSurvAll_Com)</f>
        <v>19.361545626497346</v>
      </c>
      <c r="P232" s="40">
        <f ca="1">SUMPRODUCT(OFFSET(tConvElec_Com,0,11,1,_maxLT),tElec1_Com,tpSurvAll_Com)</f>
        <v>19.341115711256752</v>
      </c>
      <c r="Q232" s="40">
        <f ca="1">SUMPRODUCT(OFFSET(tConvElec_Com,0,12,1,_maxLT),tElec1_Com,tpSurvAll_Com)</f>
        <v>19.319835933341327</v>
      </c>
      <c r="R232" s="40">
        <f ca="1">SUMPRODUCT(OFFSET(tConvElec_Com,0,13,1,_maxLT),tElec1_Com,tpSurvAll_Com)</f>
        <v>19.301281892773194</v>
      </c>
      <c r="S232" s="40">
        <f ca="1">SUMPRODUCT(OFFSET(tConvElec_Com,0,14,1,_maxLT),tElec1_Com,tpSurvAll_Com)</f>
        <v>19.285870062955233</v>
      </c>
      <c r="T232" s="40">
        <f ca="1">SUMPRODUCT(OFFSET(tConvElec_Com,0,15,1,_maxLT),tElec1_Com,tpSurvAll_Com)</f>
        <v>19.271744944020632</v>
      </c>
      <c r="U232" s="40">
        <f ca="1">SUMPRODUCT(OFFSET(tConvElec_Com,0,16,1,_maxLT),tElec1_Com,tpSurvAll_Com)</f>
        <v>19.257188573074675</v>
      </c>
      <c r="V232" s="40">
        <f ca="1">SUMPRODUCT(OFFSET(tConvElec_Com,0,17,1,_maxLT),tElec1_Com,tpSurvAll_Com)</f>
        <v>19.244086234951361</v>
      </c>
      <c r="W232" s="40">
        <f ca="1">SUMPRODUCT(OFFSET(tConvElec_Com,0,18,1,_maxLT),tElec1_Com,tpSurvAll_Com)</f>
        <v>19.233498887905228</v>
      </c>
      <c r="X232" s="40">
        <f ca="1">SUMPRODUCT(OFFSET(tConvElec_Com,0,19,1,_maxLT),tElec1_Com,tpSurvAll_Com)</f>
        <v>19.224648218902338</v>
      </c>
      <c r="Y232" s="40">
        <f ca="1">SUMPRODUCT(OFFSET(tConvElec_Com,0,20,1,_maxLT),tElec1_Com,tpSurvAll_Com)</f>
        <v>19.217552683582131</v>
      </c>
      <c r="Z232" s="40">
        <f ca="1">SUMPRODUCT(OFFSET(tConvElec_Com,0,21,1,_maxLT),tElec1_Com,tpSurvAll_Com)</f>
        <v>19.215185865227529</v>
      </c>
      <c r="AA232" s="40">
        <f ca="1">SUMPRODUCT(OFFSET(tConvElec_Com,0,22,1,_maxLT),tElec1_Com,tpSurvAll_Com)</f>
        <v>19.215682670741181</v>
      </c>
      <c r="AB232" s="40">
        <f ca="1">SUMPRODUCT(OFFSET(tConvElec_Com,0,23,1,_maxLT),tElec1_Com,tpSurvAll_Com)</f>
        <v>19.217024224045808</v>
      </c>
      <c r="AC232" s="40">
        <f ca="1">SUMPRODUCT(OFFSET(tConvElec_Com,0,24,1,_maxLT),tElec1_Com,tpSurvAll_Com)</f>
        <v>19.219150667928211</v>
      </c>
      <c r="AD232" s="40">
        <f ca="1">SUMPRODUCT(OFFSET(tConvElec_Com,0,25,1,_maxLT),tElec1_Com,tpSurvAll_Com)</f>
        <v>19.22085130059958</v>
      </c>
      <c r="AE232" s="40">
        <f ca="1">SUMPRODUCT(OFFSET(tConvElec_Com,0,26,1,_maxLT),tElec1_Com,tpSurvAll_Com)</f>
        <v>19.22129430555054</v>
      </c>
      <c r="AF232" s="40">
        <f ca="1">SUMPRODUCT(OFFSET(tConvElec_Com,0,27,1,_maxLT),tElec1_Com,tpSurvAll_Com)</f>
        <v>19.22129430555054</v>
      </c>
      <c r="AG232" s="40">
        <f ca="1">SUMPRODUCT(OFFSET(tConvElec_Com,0,28,1,_maxLT),tElec1_Com,tpSurvAll_Com)</f>
        <v>19.22129430555054</v>
      </c>
      <c r="AH232" s="40">
        <f ca="1">SUMPRODUCT(OFFSET(tConvElec_Com,0,29,1,_maxLT),tElec1_Com,tpSurvAll_Com)</f>
        <v>19.22129430555054</v>
      </c>
      <c r="AI232" s="40">
        <f ca="1">SUMPRODUCT(OFFSET(tConvElec_Com,0,30,1,_maxLT),tElec1_Com,tpSurvAll_Com)</f>
        <v>19.22129430555054</v>
      </c>
      <c r="AJ232" s="40">
        <f ca="1">SUMPRODUCT(OFFSET(tConvElec_Com,0,31,1,_maxLT),tElec1_Com,tpSurvAll_Com)</f>
        <v>19.22129430555054</v>
      </c>
      <c r="AK232" s="40">
        <f ca="1">SUMPRODUCT(OFFSET(tConvElec_Com,0,32,1,_maxLT),tElec1_Com,tpSurvAll_Com)</f>
        <v>19.22129430555054</v>
      </c>
      <c r="AL232" s="40">
        <f ca="1">SUMPRODUCT(OFFSET(tConvElec_Com,0,33,1,_maxLT),tElec1_Com,tpSurvAll_Com)</f>
        <v>19.22129430555054</v>
      </c>
      <c r="AM232" s="40">
        <f ca="1">SUMPRODUCT(OFFSET(tConvElec_Com,0,34,1,_maxLT),tElec1_Com,tpSurvAll_Com)</f>
        <v>19.22129430555054</v>
      </c>
      <c r="AN232" s="41">
        <f ca="1">SUMPRODUCT(OFFSET(tConvElec_Com,0,35,1,_maxLT),tElec1_Com,tpSurvAll_Com)</f>
        <v>19.22129430555054</v>
      </c>
      <c r="AO232" s="8"/>
    </row>
    <row r="233" spans="2:41" x14ac:dyDescent="0.35">
      <c r="B233" s="8"/>
      <c r="C233" s="57" t="str">
        <f>"EL 2: " &amp; INDEX(_doName,3,3)</f>
        <v>EL 2: Tier 2</v>
      </c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8"/>
      <c r="AO233" s="8"/>
    </row>
    <row r="234" spans="2:41" x14ac:dyDescent="0.35">
      <c r="B234" s="8"/>
      <c r="C234" s="10" t="s">
        <v>70</v>
      </c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18"/>
      <c r="AO234" s="8"/>
    </row>
    <row r="235" spans="2:41" x14ac:dyDescent="0.35">
      <c r="B235" s="8"/>
      <c r="C235" s="20" t="str">
        <f>INDEX(_Sector,2,1)</f>
        <v>Residential</v>
      </c>
      <c r="D235" s="11" t="str">
        <f>_yearDol &amp; "$"</f>
        <v>2021$</v>
      </c>
      <c r="E235" s="32">
        <f t="array" ref="E235:AN235">tMSP2_Res*tPIdxlrg2 + tInst2</f>
        <v>153.23973859668436</v>
      </c>
      <c r="F235" s="32">
        <v>152.18351640378921</v>
      </c>
      <c r="G235" s="32">
        <v>151.17540625892644</v>
      </c>
      <c r="H235" s="32">
        <v>150.20753471456504</v>
      </c>
      <c r="I235" s="32">
        <v>149.27425615234824</v>
      </c>
      <c r="J235" s="32">
        <v>148.37176613332977</v>
      </c>
      <c r="K235" s="32">
        <v>147.49743891525907</v>
      </c>
      <c r="L235" s="32">
        <v>146.6493476020334</v>
      </c>
      <c r="M235" s="32">
        <v>145.82581854186139</v>
      </c>
      <c r="N235" s="32">
        <v>145.02521806947834</v>
      </c>
      <c r="O235" s="32">
        <v>144.24590177608783</v>
      </c>
      <c r="P235" s="32">
        <v>143.48622237561142</v>
      </c>
      <c r="Q235" s="32">
        <v>142.74460439088801</v>
      </c>
      <c r="R235" s="32">
        <v>142.0196222794014</v>
      </c>
      <c r="S235" s="32">
        <v>141.30997734390621</v>
      </c>
      <c r="T235" s="32">
        <v>140.61465600456054</v>
      </c>
      <c r="U235" s="32">
        <v>139.93271926562997</v>
      </c>
      <c r="V235" s="32">
        <v>139.26335103040793</v>
      </c>
      <c r="W235" s="32">
        <v>138.60582390225687</v>
      </c>
      <c r="X235" s="32">
        <v>137.95947315727113</v>
      </c>
      <c r="Y235" s="32">
        <v>137.32368371232204</v>
      </c>
      <c r="Z235" s="32">
        <v>136.69787958982366</v>
      </c>
      <c r="AA235" s="32">
        <v>136.08152418156538</v>
      </c>
      <c r="AB235" s="32">
        <v>135.47412010996376</v>
      </c>
      <c r="AC235" s="32">
        <v>134.87520880008563</v>
      </c>
      <c r="AD235" s="32">
        <v>134.28436893536389</v>
      </c>
      <c r="AE235" s="32">
        <v>133.70121354942916</v>
      </c>
      <c r="AF235" s="32">
        <v>133.12538640698261</v>
      </c>
      <c r="AG235" s="32">
        <v>132.5565582613923</v>
      </c>
      <c r="AH235" s="32">
        <v>131.99442345969391</v>
      </c>
      <c r="AI235" s="32">
        <v>131.4386972042202</v>
      </c>
      <c r="AJ235" s="32">
        <v>130.88911346491534</v>
      </c>
      <c r="AK235" s="32">
        <v>130.34542335837082</v>
      </c>
      <c r="AL235" s="32">
        <v>129.80739402921017</v>
      </c>
      <c r="AM235" s="32">
        <v>129.27480741016805</v>
      </c>
      <c r="AN235" s="55">
        <v>128.74745931612605</v>
      </c>
      <c r="AO235" s="8"/>
    </row>
    <row r="236" spans="2:41" x14ac:dyDescent="0.35">
      <c r="B236" s="8"/>
      <c r="C236" s="20" t="str">
        <f>INDEX(_Sector,2,2)</f>
        <v>Commercial</v>
      </c>
      <c r="D236" s="11" t="str">
        <f>_yearDol &amp; "$"</f>
        <v>2021$</v>
      </c>
      <c r="E236" s="32">
        <f t="array" ref="E236:AN236">tMSP2_Com*tPIdxlrg2 + tInst2</f>
        <v>148.10417280529734</v>
      </c>
      <c r="F236" s="32">
        <v>147.08334807921864</v>
      </c>
      <c r="G236" s="32">
        <v>146.10902300878448</v>
      </c>
      <c r="H236" s="32">
        <v>145.17358801149106</v>
      </c>
      <c r="I236" s="32">
        <v>144.27158667215292</v>
      </c>
      <c r="J236" s="32">
        <v>143.39934205103961</v>
      </c>
      <c r="K236" s="32">
        <v>142.55431640312767</v>
      </c>
      <c r="L236" s="32">
        <v>141.73464740891706</v>
      </c>
      <c r="M236" s="32">
        <v>140.93871750617222</v>
      </c>
      <c r="N236" s="32">
        <v>140.16494777910489</v>
      </c>
      <c r="O236" s="32">
        <v>139.411748928446</v>
      </c>
      <c r="P236" s="32">
        <v>138.67752887407158</v>
      </c>
      <c r="Q236" s="32">
        <v>137.96076493822284</v>
      </c>
      <c r="R236" s="32">
        <v>137.26007935298466</v>
      </c>
      <c r="S236" s="32">
        <v>136.57421694471208</v>
      </c>
      <c r="T236" s="32">
        <v>135.90219810194509</v>
      </c>
      <c r="U236" s="32">
        <v>135.2431152977733</v>
      </c>
      <c r="V236" s="32">
        <v>134.59617978556506</v>
      </c>
      <c r="W236" s="32">
        <v>133.96068854612773</v>
      </c>
      <c r="X236" s="32">
        <v>133.33599913263203</v>
      </c>
      <c r="Y236" s="32">
        <v>132.72151707540041</v>
      </c>
      <c r="Z236" s="32">
        <v>132.11668569974333</v>
      </c>
      <c r="AA236" s="32">
        <v>131.52098638094964</v>
      </c>
      <c r="AB236" s="32">
        <v>130.93393841018866</v>
      </c>
      <c r="AC236" s="32">
        <v>130.3550985808759</v>
      </c>
      <c r="AD236" s="32">
        <v>129.78405969614303</v>
      </c>
      <c r="AE236" s="32">
        <v>129.22044775813174</v>
      </c>
      <c r="AF236" s="32">
        <v>128.66391847015549</v>
      </c>
      <c r="AG236" s="32">
        <v>128.11415361971581</v>
      </c>
      <c r="AH236" s="32">
        <v>127.57085779728079</v>
      </c>
      <c r="AI236" s="32">
        <v>127.03375574968632</v>
      </c>
      <c r="AJ236" s="32">
        <v>126.50259036241549</v>
      </c>
      <c r="AK236" s="32">
        <v>125.97712109295838</v>
      </c>
      <c r="AL236" s="32">
        <v>125.45712288968521</v>
      </c>
      <c r="AM236" s="32">
        <v>124.94238499347927</v>
      </c>
      <c r="AN236" s="55">
        <v>124.4327100621346</v>
      </c>
      <c r="AO236" s="8"/>
    </row>
    <row r="237" spans="2:41" x14ac:dyDescent="0.35">
      <c r="B237" s="8"/>
      <c r="C237" s="10" t="str">
        <f>zEO&amp;" Costs"</f>
        <v>Operating Costs</v>
      </c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18"/>
      <c r="AO237" s="8"/>
    </row>
    <row r="238" spans="2:41" x14ac:dyDescent="0.35">
      <c r="B238" s="8"/>
      <c r="C238" s="20" t="str">
        <f>INDEX(_Sector,2,1)</f>
        <v>Residential</v>
      </c>
      <c r="D238" s="11" t="str">
        <f>_yearDol &amp; "$"</f>
        <v>2021$</v>
      </c>
      <c r="E238" s="32">
        <f t="array" aca="1" ref="E238:AN238" ca="1">(tlccEFuElec2_Res) + SUMPRODUCT(dFactor,tpSurvAll_Com,tMnR2_Res)</f>
        <v>273.72199290788245</v>
      </c>
      <c r="F238" s="32">
        <f ca="1"/>
        <v>273.87467075238169</v>
      </c>
      <c r="G238" s="32">
        <f ca="1"/>
        <v>274.11471415295136</v>
      </c>
      <c r="H238" s="32">
        <f ca="1"/>
        <v>274.39294913250978</v>
      </c>
      <c r="I238" s="32">
        <f ca="1"/>
        <v>274.65391971937441</v>
      </c>
      <c r="J238" s="32">
        <f ca="1"/>
        <v>274.87283065864926</v>
      </c>
      <c r="K238" s="32">
        <f ca="1"/>
        <v>275.04255017790427</v>
      </c>
      <c r="L238" s="32">
        <f ca="1"/>
        <v>275.17766243916628</v>
      </c>
      <c r="M238" s="32">
        <f ca="1"/>
        <v>275.2470937052733</v>
      </c>
      <c r="N238" s="32">
        <f ca="1"/>
        <v>275.25976822068594</v>
      </c>
      <c r="O238" s="32">
        <f ca="1"/>
        <v>275.16934897143847</v>
      </c>
      <c r="P238" s="32">
        <f ca="1"/>
        <v>274.99391404221308</v>
      </c>
      <c r="Q238" s="32">
        <f ca="1"/>
        <v>274.85432050557881</v>
      </c>
      <c r="R238" s="32">
        <f ca="1"/>
        <v>274.70932764390835</v>
      </c>
      <c r="S238" s="32">
        <f ca="1"/>
        <v>274.59874708294836</v>
      </c>
      <c r="T238" s="32">
        <f ca="1"/>
        <v>274.52559277312696</v>
      </c>
      <c r="U238" s="32">
        <f ca="1"/>
        <v>274.42223357183212</v>
      </c>
      <c r="V238" s="32">
        <f ca="1"/>
        <v>274.2949862031262</v>
      </c>
      <c r="W238" s="32">
        <f ca="1"/>
        <v>274.1820101531415</v>
      </c>
      <c r="X238" s="32">
        <f ca="1"/>
        <v>274.04306830538496</v>
      </c>
      <c r="Y238" s="32">
        <f ca="1"/>
        <v>273.9082775879661</v>
      </c>
      <c r="Z238" s="32">
        <f ca="1"/>
        <v>273.83497317871053</v>
      </c>
      <c r="AA238" s="32">
        <f ca="1"/>
        <v>273.73873859513037</v>
      </c>
      <c r="AB238" s="32">
        <f ca="1"/>
        <v>273.64536791869301</v>
      </c>
      <c r="AC238" s="32">
        <f ca="1"/>
        <v>273.5690706161692</v>
      </c>
      <c r="AD238" s="32">
        <f ca="1"/>
        <v>273.46524289957119</v>
      </c>
      <c r="AE238" s="32">
        <f ca="1"/>
        <v>273.38150584531945</v>
      </c>
      <c r="AF238" s="32">
        <f ca="1"/>
        <v>273.38150584531945</v>
      </c>
      <c r="AG238" s="32">
        <f ca="1"/>
        <v>273.38150584531945</v>
      </c>
      <c r="AH238" s="32">
        <f ca="1"/>
        <v>273.38150584531945</v>
      </c>
      <c r="AI238" s="32">
        <f ca="1"/>
        <v>273.38150584531945</v>
      </c>
      <c r="AJ238" s="32">
        <f ca="1"/>
        <v>273.38150584531945</v>
      </c>
      <c r="AK238" s="32">
        <f ca="1"/>
        <v>273.38150584531945</v>
      </c>
      <c r="AL238" s="32">
        <f ca="1"/>
        <v>273.38150584531945</v>
      </c>
      <c r="AM238" s="32">
        <f ca="1"/>
        <v>273.38150584531945</v>
      </c>
      <c r="AN238" s="55">
        <f ca="1"/>
        <v>273.38150584531945</v>
      </c>
      <c r="AO238" s="8"/>
    </row>
    <row r="239" spans="2:41" x14ac:dyDescent="0.35">
      <c r="B239" s="8"/>
      <c r="C239" s="50" t="str">
        <f>INDEX(_fuel,1)</f>
        <v>Electricity</v>
      </c>
      <c r="D239" s="11" t="str">
        <f>_yearDol &amp; "$"</f>
        <v>2021$</v>
      </c>
      <c r="E239" s="32">
        <f ca="1">SUMPRODUCT(dFactor,tpSurvAll_Res,tElec2_Res,OFFSET(tPrcElec_Res,0,0,1,_maxLT))</f>
        <v>80.975276332066741</v>
      </c>
      <c r="F239" s="32">
        <f ca="1">SUMPRODUCT(dFactor,tpSurvAll_Res,tElec2_Res,OFFSET(tPrcElec_Res,0,1,1,_maxLT))</f>
        <v>81.127954176566021</v>
      </c>
      <c r="G239" s="32">
        <f ca="1">SUMPRODUCT(dFactor,tpSurvAll_Res,tElec2_Res,OFFSET(tPrcElec_Res,0,2,1,_maxLT))</f>
        <v>81.367997577135682</v>
      </c>
      <c r="H239" s="32">
        <f ca="1">SUMPRODUCT(dFactor,tpSurvAll_Res,tElec2_Res,OFFSET(tPrcElec_Res,0,3,1,_maxLT))</f>
        <v>81.646232556694088</v>
      </c>
      <c r="I239" s="32">
        <f ca="1">SUMPRODUCT(dFactor,tpSurvAll_Res,tElec2_Res,OFFSET(tPrcElec_Res,0,4,1,_maxLT))</f>
        <v>81.907203143558704</v>
      </c>
      <c r="J239" s="32">
        <f ca="1">SUMPRODUCT(dFactor,tpSurvAll_Res,tElec2_Res,OFFSET(tPrcElec_Res,0,5,1,_maxLT))</f>
        <v>82.126114082833581</v>
      </c>
      <c r="K239" s="32">
        <f ca="1">SUMPRODUCT(dFactor,tpSurvAll_Res,tElec2_Res,OFFSET(tPrcElec_Res,0,6,1,_maxLT))</f>
        <v>82.295833602088564</v>
      </c>
      <c r="L239" s="32">
        <f ca="1">SUMPRODUCT(dFactor,tpSurvAll_Res,tElec2_Res,OFFSET(tPrcElec_Res,0,7,1,_maxLT))</f>
        <v>82.430945863350573</v>
      </c>
      <c r="M239" s="32">
        <f ca="1">SUMPRODUCT(dFactor,tpSurvAll_Res,tElec2_Res,OFFSET(tPrcElec_Res,0,8,1,_maxLT))</f>
        <v>82.500377129457604</v>
      </c>
      <c r="N239" s="32">
        <f ca="1">SUMPRODUCT(dFactor,tpSurvAll_Res,tElec2_Res,OFFSET(tPrcElec_Res,0,9,1,_maxLT))</f>
        <v>82.513051644870245</v>
      </c>
      <c r="O239" s="32">
        <f ca="1">SUMPRODUCT(dFactor,tpSurvAll_Res,tElec2_Res,OFFSET(tPrcElec_Res,0,10,1,_maxLT))</f>
        <v>82.42263239562277</v>
      </c>
      <c r="P239" s="32">
        <f ca="1">SUMPRODUCT(dFactor,tpSurvAll_Res,tElec2_Res,OFFSET(tPrcElec_Res,0,11,1,_maxLT))</f>
        <v>82.247197466397353</v>
      </c>
      <c r="Q239" s="32">
        <f ca="1">SUMPRODUCT(dFactor,tpSurvAll_Res,tElec2_Res,OFFSET(tPrcElec_Res,0,12,1,_maxLT))</f>
        <v>82.107603929763087</v>
      </c>
      <c r="R239" s="32">
        <f ca="1">SUMPRODUCT(dFactor,tpSurvAll_Res,tElec2_Res,OFFSET(tPrcElec_Res,0,13,1,_maxLT))</f>
        <v>81.96261106809267</v>
      </c>
      <c r="S239" s="32">
        <f ca="1">SUMPRODUCT(dFactor,tpSurvAll_Res,tElec2_Res,OFFSET(tPrcElec_Res,0,14,1,_maxLT))</f>
        <v>81.852030507132653</v>
      </c>
      <c r="T239" s="32">
        <f ca="1">SUMPRODUCT(dFactor,tpSurvAll_Res,tElec2_Res,OFFSET(tPrcElec_Res,0,15,1,_maxLT))</f>
        <v>81.778876197311277</v>
      </c>
      <c r="U239" s="32">
        <f ca="1">SUMPRODUCT(dFactor,tpSurvAll_Res,tElec2_Res,OFFSET(tPrcElec_Res,0,16,1,_maxLT))</f>
        <v>81.675516996016427</v>
      </c>
      <c r="V239" s="32">
        <f ca="1">SUMPRODUCT(dFactor,tpSurvAll_Res,tElec2_Res,OFFSET(tPrcElec_Res,0,17,1,_maxLT))</f>
        <v>81.548269627310518</v>
      </c>
      <c r="W239" s="32">
        <f ca="1">SUMPRODUCT(dFactor,tpSurvAll_Res,tElec2_Res,OFFSET(tPrcElec_Res,0,18,1,_maxLT))</f>
        <v>81.435293577325808</v>
      </c>
      <c r="X239" s="32">
        <f ca="1">SUMPRODUCT(dFactor,tpSurvAll_Res,tElec2_Res,OFFSET(tPrcElec_Res,0,19,1,_maxLT))</f>
        <v>81.296351729569267</v>
      </c>
      <c r="Y239" s="32">
        <f ca="1">SUMPRODUCT(dFactor,tpSurvAll_Res,tElec2_Res,OFFSET(tPrcElec_Res,0,20,1,_maxLT))</f>
        <v>81.161561012150401</v>
      </c>
      <c r="Z239" s="32">
        <f ca="1">SUMPRODUCT(dFactor,tpSurvAll_Res,tElec2_Res,OFFSET(tPrcElec_Res,0,21,1,_maxLT))</f>
        <v>81.088256602894845</v>
      </c>
      <c r="AA239" s="32">
        <f ca="1">SUMPRODUCT(dFactor,tpSurvAll_Res,tElec2_Res,OFFSET(tPrcElec_Res,0,22,1,_maxLT))</f>
        <v>80.992022019314646</v>
      </c>
      <c r="AB239" s="32">
        <f ca="1">SUMPRODUCT(dFactor,tpSurvAll_Res,tElec2_Res,OFFSET(tPrcElec_Res,0,23,1,_maxLT))</f>
        <v>80.898651342877329</v>
      </c>
      <c r="AC239" s="32">
        <f ca="1">SUMPRODUCT(dFactor,tpSurvAll_Res,tElec2_Res,OFFSET(tPrcElec_Res,0,24,1,_maxLT))</f>
        <v>80.822354040353503</v>
      </c>
      <c r="AD239" s="32">
        <f ca="1">SUMPRODUCT(dFactor,tpSurvAll_Res,tElec2_Res,OFFSET(tPrcElec_Res,0,25,1,_maxLT))</f>
        <v>80.718526323755526</v>
      </c>
      <c r="AE239" s="32">
        <f ca="1">SUMPRODUCT(dFactor,tpSurvAll_Res,tElec2_Res,OFFSET(tPrcElec_Res,0,26,1,_maxLT))</f>
        <v>80.634789269503756</v>
      </c>
      <c r="AF239" s="32">
        <f ca="1">SUMPRODUCT(dFactor,tpSurvAll_Res,tElec2_Res,OFFSET(tPrcElec_Res,0,27,1,_maxLT))</f>
        <v>80.634789269503756</v>
      </c>
      <c r="AG239" s="32">
        <f ca="1">SUMPRODUCT(dFactor,tpSurvAll_Res,tElec2_Res,OFFSET(tPrcElec_Res,0,28,1,_maxLT))</f>
        <v>80.634789269503756</v>
      </c>
      <c r="AH239" s="32">
        <f ca="1">SUMPRODUCT(dFactor,tpSurvAll_Res,tElec2_Res,OFFSET(tPrcElec_Res,0,29,1,_maxLT))</f>
        <v>80.634789269503756</v>
      </c>
      <c r="AI239" s="32">
        <f ca="1">SUMPRODUCT(dFactor,tpSurvAll_Res,tElec2_Res,OFFSET(tPrcElec_Res,0,30,1,_maxLT))</f>
        <v>80.634789269503756</v>
      </c>
      <c r="AJ239" s="32">
        <f ca="1">SUMPRODUCT(dFactor,tpSurvAll_Res,tElec2_Res,OFFSET(tPrcElec_Res,0,31,1,_maxLT))</f>
        <v>80.634789269503756</v>
      </c>
      <c r="AK239" s="32">
        <f ca="1">SUMPRODUCT(dFactor,tpSurvAll_Res,tElec2_Res,OFFSET(tPrcElec_Res,0,32,1,_maxLT))</f>
        <v>80.634789269503756</v>
      </c>
      <c r="AL239" s="32">
        <f ca="1">SUMPRODUCT(dFactor,tpSurvAll_Res,tElec2_Res,OFFSET(tPrcElec_Res,0,33,1,_maxLT))</f>
        <v>80.634789269503756</v>
      </c>
      <c r="AM239" s="32">
        <f ca="1">SUMPRODUCT(dFactor,tpSurvAll_Res,tElec2_Res,OFFSET(tPrcElec_Res,0,34,1,_maxLT))</f>
        <v>80.634789269503756</v>
      </c>
      <c r="AN239" s="55">
        <f ca="1">SUMPRODUCT(dFactor,tpSurvAll_Res,tElec2_Res,OFFSET(tPrcElec_Res,0,35,1,_maxLT))</f>
        <v>80.634789269503756</v>
      </c>
      <c r="AO239" s="8"/>
    </row>
    <row r="240" spans="2:41" x14ac:dyDescent="0.35">
      <c r="B240" s="8"/>
      <c r="C240" s="20" t="str">
        <f>INDEX(_Sector,2,2)</f>
        <v>Commercial</v>
      </c>
      <c r="D240" s="11" t="str">
        <f>_yearDol &amp; "$"</f>
        <v>2021$</v>
      </c>
      <c r="E240" s="32">
        <f t="array" aca="1" ref="E240:AN240" ca="1">(tlccEFuElec2_Com) + SUMPRODUCT(dFactor,tpSurvAll_Com,tMnR2_Com)</f>
        <v>336.56929775018148</v>
      </c>
      <c r="F240" s="32">
        <f ca="1"/>
        <v>336.51830992765895</v>
      </c>
      <c r="G240" s="32">
        <f ca="1"/>
        <v>336.55597213022349</v>
      </c>
      <c r="H240" s="32">
        <f ca="1"/>
        <v>336.64221220504561</v>
      </c>
      <c r="I240" s="32">
        <f ca="1"/>
        <v>336.69816692848934</v>
      </c>
      <c r="J240" s="32">
        <f ca="1"/>
        <v>336.69508684353787</v>
      </c>
      <c r="K240" s="32">
        <f ca="1"/>
        <v>336.61732613778736</v>
      </c>
      <c r="L240" s="32">
        <f ca="1"/>
        <v>336.49526555947131</v>
      </c>
      <c r="M240" s="32">
        <f ca="1"/>
        <v>336.25915015303366</v>
      </c>
      <c r="N240" s="32">
        <f ca="1"/>
        <v>335.97216276666563</v>
      </c>
      <c r="O240" s="32">
        <f ca="1"/>
        <v>335.51199658883127</v>
      </c>
      <c r="P240" s="32">
        <f ca="1"/>
        <v>334.92837394897765</v>
      </c>
      <c r="Q240" s="32">
        <f ca="1"/>
        <v>334.42295017851677</v>
      </c>
      <c r="R240" s="32">
        <f ca="1"/>
        <v>333.92334236468162</v>
      </c>
      <c r="S240" s="32">
        <f ca="1"/>
        <v>333.48401066483387</v>
      </c>
      <c r="T240" s="32">
        <f ca="1"/>
        <v>333.12465824495433</v>
      </c>
      <c r="U240" s="32">
        <f ca="1"/>
        <v>332.69945198644825</v>
      </c>
      <c r="V240" s="32">
        <f ca="1"/>
        <v>332.24628421240453</v>
      </c>
      <c r="W240" s="32">
        <f ca="1"/>
        <v>331.85222184636996</v>
      </c>
      <c r="X240" s="32">
        <f ca="1"/>
        <v>331.4362335522199</v>
      </c>
      <c r="Y240" s="32">
        <f ca="1"/>
        <v>331.02253794318926</v>
      </c>
      <c r="Z240" s="32">
        <f ca="1"/>
        <v>330.7563433671192</v>
      </c>
      <c r="AA240" s="32">
        <f ca="1"/>
        <v>330.47016601174732</v>
      </c>
      <c r="AB240" s="32">
        <f ca="1"/>
        <v>330.2056153446128</v>
      </c>
      <c r="AC240" s="32">
        <f ca="1"/>
        <v>330.02244048002876</v>
      </c>
      <c r="AD240" s="32">
        <f ca="1"/>
        <v>329.81002867492083</v>
      </c>
      <c r="AE240" s="32">
        <f ca="1"/>
        <v>329.64389951028403</v>
      </c>
      <c r="AF240" s="32">
        <f ca="1"/>
        <v>329.64389951028403</v>
      </c>
      <c r="AG240" s="32">
        <f ca="1"/>
        <v>329.64389951028403</v>
      </c>
      <c r="AH240" s="32">
        <f ca="1"/>
        <v>329.64389951028403</v>
      </c>
      <c r="AI240" s="32">
        <f ca="1"/>
        <v>329.64389951028403</v>
      </c>
      <c r="AJ240" s="32">
        <f ca="1"/>
        <v>329.64389951028403</v>
      </c>
      <c r="AK240" s="32">
        <f ca="1"/>
        <v>329.64389951028403</v>
      </c>
      <c r="AL240" s="32">
        <f ca="1"/>
        <v>329.64389951028403</v>
      </c>
      <c r="AM240" s="32">
        <f ca="1"/>
        <v>329.64389951028403</v>
      </c>
      <c r="AN240" s="55">
        <f ca="1"/>
        <v>329.64389951028403</v>
      </c>
      <c r="AO240" s="8"/>
    </row>
    <row r="241" spans="2:41" x14ac:dyDescent="0.35">
      <c r="B241" s="8"/>
      <c r="C241" s="50" t="str">
        <f>INDEX(_fuel,1)</f>
        <v>Electricity</v>
      </c>
      <c r="D241" s="11" t="str">
        <f>_yearDol &amp; "$"</f>
        <v>2021$</v>
      </c>
      <c r="E241" s="32">
        <f ca="1">SUMPRODUCT(dFactor,tpSurvAll_Com,tElec2_Com,OFFSET(tPrcElec_Com,0,0,1,_maxLT))</f>
        <v>116.7454903355667</v>
      </c>
      <c r="F241" s="32">
        <f ca="1">SUMPRODUCT(dFactor,tpSurvAll_Com,tElec2_Com,OFFSET(tPrcElec_Com,0,1,1,_maxLT))</f>
        <v>116.69450251304414</v>
      </c>
      <c r="G241" s="32">
        <f ca="1">SUMPRODUCT(dFactor,tpSurvAll_Com,tElec2_Com,OFFSET(tPrcElec_Com,0,2,1,_maxLT))</f>
        <v>116.73216471560868</v>
      </c>
      <c r="H241" s="32">
        <f ca="1">SUMPRODUCT(dFactor,tpSurvAll_Com,tElec2_Com,OFFSET(tPrcElec_Com,0,3,1,_maxLT))</f>
        <v>116.81840479043079</v>
      </c>
      <c r="I241" s="32">
        <f ca="1">SUMPRODUCT(dFactor,tpSurvAll_Com,tElec2_Com,OFFSET(tPrcElec_Com,0,4,1,_maxLT))</f>
        <v>116.87435951387455</v>
      </c>
      <c r="J241" s="32">
        <f ca="1">SUMPRODUCT(dFactor,tpSurvAll_Com,tElec2_Com,OFFSET(tPrcElec_Com,0,5,1,_maxLT))</f>
        <v>116.87127942892305</v>
      </c>
      <c r="K241" s="32">
        <f ca="1">SUMPRODUCT(dFactor,tpSurvAll_Com,tElec2_Com,OFFSET(tPrcElec_Com,0,6,1,_maxLT))</f>
        <v>116.79351872317255</v>
      </c>
      <c r="L241" s="32">
        <f ca="1">SUMPRODUCT(dFactor,tpSurvAll_Com,tElec2_Com,OFFSET(tPrcElec_Com,0,7,1,_maxLT))</f>
        <v>116.67145814485652</v>
      </c>
      <c r="M241" s="32">
        <f ca="1">SUMPRODUCT(dFactor,tpSurvAll_Com,tElec2_Com,OFFSET(tPrcElec_Com,0,8,1,_maxLT))</f>
        <v>116.43534273841885</v>
      </c>
      <c r="N241" s="32">
        <f ca="1">SUMPRODUCT(dFactor,tpSurvAll_Com,tElec2_Com,OFFSET(tPrcElec_Com,0,9,1,_maxLT))</f>
        <v>116.14835535205083</v>
      </c>
      <c r="O241" s="32">
        <f ca="1">SUMPRODUCT(dFactor,tpSurvAll_Com,tElec2_Com,OFFSET(tPrcElec_Com,0,10,1,_maxLT))</f>
        <v>115.68818917421648</v>
      </c>
      <c r="P241" s="32">
        <f ca="1">SUMPRODUCT(dFactor,tpSurvAll_Com,tElec2_Com,OFFSET(tPrcElec_Com,0,11,1,_maxLT))</f>
        <v>115.10456653436283</v>
      </c>
      <c r="Q241" s="32">
        <f ca="1">SUMPRODUCT(dFactor,tpSurvAll_Com,tElec2_Com,OFFSET(tPrcElec_Com,0,12,1,_maxLT))</f>
        <v>114.59914276390199</v>
      </c>
      <c r="R241" s="32">
        <f ca="1">SUMPRODUCT(dFactor,tpSurvAll_Com,tElec2_Com,OFFSET(tPrcElec_Com,0,13,1,_maxLT))</f>
        <v>114.09953495006678</v>
      </c>
      <c r="S241" s="32">
        <f ca="1">SUMPRODUCT(dFactor,tpSurvAll_Com,tElec2_Com,OFFSET(tPrcElec_Com,0,14,1,_maxLT))</f>
        <v>113.66020325021908</v>
      </c>
      <c r="T241" s="32">
        <f ca="1">SUMPRODUCT(dFactor,tpSurvAll_Com,tElec2_Com,OFFSET(tPrcElec_Com,0,15,1,_maxLT))</f>
        <v>113.30085083033951</v>
      </c>
      <c r="U241" s="32">
        <f ca="1">SUMPRODUCT(dFactor,tpSurvAll_Com,tElec2_Com,OFFSET(tPrcElec_Com,0,16,1,_maxLT))</f>
        <v>112.87564457183346</v>
      </c>
      <c r="V241" s="32">
        <f ca="1">SUMPRODUCT(dFactor,tpSurvAll_Com,tElec2_Com,OFFSET(tPrcElec_Com,0,17,1,_maxLT))</f>
        <v>112.42247679778971</v>
      </c>
      <c r="W241" s="32">
        <f ca="1">SUMPRODUCT(dFactor,tpSurvAll_Com,tElec2_Com,OFFSET(tPrcElec_Com,0,18,1,_maxLT))</f>
        <v>112.02841443175518</v>
      </c>
      <c r="X241" s="32">
        <f ca="1">SUMPRODUCT(dFactor,tpSurvAll_Com,tElec2_Com,OFFSET(tPrcElec_Com,0,19,1,_maxLT))</f>
        <v>111.61242613760511</v>
      </c>
      <c r="Y241" s="32">
        <f ca="1">SUMPRODUCT(dFactor,tpSurvAll_Com,tElec2_Com,OFFSET(tPrcElec_Com,0,20,1,_maxLT))</f>
        <v>111.19873052857449</v>
      </c>
      <c r="Z241" s="32">
        <f ca="1">SUMPRODUCT(dFactor,tpSurvAll_Com,tElec2_Com,OFFSET(tPrcElec_Com,0,21,1,_maxLT))</f>
        <v>110.9325359525044</v>
      </c>
      <c r="AA241" s="32">
        <f ca="1">SUMPRODUCT(dFactor,tpSurvAll_Com,tElec2_Com,OFFSET(tPrcElec_Com,0,22,1,_maxLT))</f>
        <v>110.64635859713252</v>
      </c>
      <c r="AB241" s="32">
        <f ca="1">SUMPRODUCT(dFactor,tpSurvAll_Com,tElec2_Com,OFFSET(tPrcElec_Com,0,23,1,_maxLT))</f>
        <v>110.38180792999798</v>
      </c>
      <c r="AC241" s="32">
        <f ca="1">SUMPRODUCT(dFactor,tpSurvAll_Com,tElec2_Com,OFFSET(tPrcElec_Com,0,24,1,_maxLT))</f>
        <v>110.19863306541397</v>
      </c>
      <c r="AD241" s="32">
        <f ca="1">SUMPRODUCT(dFactor,tpSurvAll_Com,tElec2_Com,OFFSET(tPrcElec_Com,0,25,1,_maxLT))</f>
        <v>109.98622126030602</v>
      </c>
      <c r="AE241" s="32">
        <f ca="1">SUMPRODUCT(dFactor,tpSurvAll_Com,tElec2_Com,OFFSET(tPrcElec_Com,0,26,1,_maxLT))</f>
        <v>109.82009209566922</v>
      </c>
      <c r="AF241" s="32">
        <f ca="1">SUMPRODUCT(dFactor,tpSurvAll_Com,tElec2_Com,OFFSET(tPrcElec_Com,0,27,1,_maxLT))</f>
        <v>109.82009209566922</v>
      </c>
      <c r="AG241" s="32">
        <f ca="1">SUMPRODUCT(dFactor,tpSurvAll_Com,tElec2_Com,OFFSET(tPrcElec_Com,0,28,1,_maxLT))</f>
        <v>109.82009209566922</v>
      </c>
      <c r="AH241" s="32">
        <f ca="1">SUMPRODUCT(dFactor,tpSurvAll_Com,tElec2_Com,OFFSET(tPrcElec_Com,0,29,1,_maxLT))</f>
        <v>109.82009209566922</v>
      </c>
      <c r="AI241" s="32">
        <f ca="1">SUMPRODUCT(dFactor,tpSurvAll_Com,tElec2_Com,OFFSET(tPrcElec_Com,0,30,1,_maxLT))</f>
        <v>109.82009209566922</v>
      </c>
      <c r="AJ241" s="32">
        <f ca="1">SUMPRODUCT(dFactor,tpSurvAll_Com,tElec2_Com,OFFSET(tPrcElec_Com,0,31,1,_maxLT))</f>
        <v>109.82009209566922</v>
      </c>
      <c r="AK241" s="32">
        <f ca="1">SUMPRODUCT(dFactor,tpSurvAll_Com,tElec2_Com,OFFSET(tPrcElec_Com,0,32,1,_maxLT))</f>
        <v>109.82009209566922</v>
      </c>
      <c r="AL241" s="32">
        <f ca="1">SUMPRODUCT(dFactor,tpSurvAll_Com,tElec2_Com,OFFSET(tPrcElec_Com,0,33,1,_maxLT))</f>
        <v>109.82009209566922</v>
      </c>
      <c r="AM241" s="32">
        <f ca="1">SUMPRODUCT(dFactor,tpSurvAll_Com,tElec2_Com,OFFSET(tPrcElec_Com,0,34,1,_maxLT))</f>
        <v>109.82009209566922</v>
      </c>
      <c r="AN241" s="55">
        <f ca="1">SUMPRODUCT(dFactor,tpSurvAll_Com,tElec2_Com,OFFSET(tPrcElec_Com,0,35,1,_maxLT))</f>
        <v>109.82009209566922</v>
      </c>
      <c r="AO241" s="8"/>
    </row>
    <row r="242" spans="2:41" x14ac:dyDescent="0.35">
      <c r="B242" s="8"/>
      <c r="C242" s="10" t="s">
        <v>78</v>
      </c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18"/>
      <c r="AO242" s="8"/>
    </row>
    <row r="243" spans="2:41" x14ac:dyDescent="0.35">
      <c r="B243" s="8"/>
      <c r="C243" s="20" t="str">
        <f>INDEX(_Sector,2,1)</f>
        <v>Residential</v>
      </c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18"/>
      <c r="AO243" s="8"/>
    </row>
    <row r="244" spans="2:41" x14ac:dyDescent="0.35">
      <c r="B244" s="8"/>
      <c r="C244" s="50" t="str">
        <f>INDEX(_fuel,1)</f>
        <v>Electricity</v>
      </c>
      <c r="D244" s="11" t="s">
        <v>80</v>
      </c>
      <c r="E244" s="40">
        <f ca="1">SUMPRODUCT(OFFSET(tConvElec_Res,0,0,1,_maxLT),tElec2_Res,tpSurvAll_Res)</f>
        <v>6.7066081310013352</v>
      </c>
      <c r="F244" s="40">
        <f ca="1">SUMPRODUCT(OFFSET(tConvElec_Res,0,1,1,_maxLT),tElec2_Res,tpSurvAll_Res)</f>
        <v>6.6734622037833189</v>
      </c>
      <c r="G244" s="40">
        <f ca="1">SUMPRODUCT(OFFSET(tConvElec_Res,0,2,1,_maxLT),tElec2_Res,tpSurvAll_Res)</f>
        <v>6.6494197956892069</v>
      </c>
      <c r="H244" s="40">
        <f ca="1">SUMPRODUCT(OFFSET(tConvElec_Res,0,3,1,_maxLT),tElec2_Res,tpSurvAll_Res)</f>
        <v>6.6306153411565045</v>
      </c>
      <c r="I244" s="40">
        <f ca="1">SUMPRODUCT(OFFSET(tConvElec_Res,0,4,1,_maxLT),tElec2_Res,tpSurvAll_Res)</f>
        <v>6.6175281617774644</v>
      </c>
      <c r="J244" s="40">
        <f ca="1">SUMPRODUCT(OFFSET(tConvElec_Res,0,5,1,_maxLT),tElec2_Res,tpSurvAll_Res)</f>
        <v>6.6072059184170708</v>
      </c>
      <c r="K244" s="40">
        <f ca="1">SUMPRODUCT(OFFSET(tConvElec_Res,0,6,1,_maxLT),tElec2_Res,tpSurvAll_Res)</f>
        <v>6.5982632175419997</v>
      </c>
      <c r="L244" s="40">
        <f ca="1">SUMPRODUCT(OFFSET(tConvElec_Res,0,7,1,_maxLT),tElec2_Res,tpSurvAll_Res)</f>
        <v>6.5886152505995721</v>
      </c>
      <c r="M244" s="40">
        <f ca="1">SUMPRODUCT(OFFSET(tConvElec_Res,0,8,1,_maxLT),tElec2_Res,tpSurvAll_Res)</f>
        <v>6.5793297562938484</v>
      </c>
      <c r="N244" s="40">
        <f ca="1">SUMPRODUCT(OFFSET(tConvElec_Res,0,9,1,_maxLT),tElec2_Res,tpSurvAll_Res)</f>
        <v>6.570534680681968</v>
      </c>
      <c r="O244" s="40">
        <f ca="1">SUMPRODUCT(OFFSET(tConvElec_Res,0,10,1,_maxLT),tElec2_Res,tpSurvAll_Res)</f>
        <v>6.5613498414335441</v>
      </c>
      <c r="P244" s="40">
        <f ca="1">SUMPRODUCT(OFFSET(tConvElec_Res,0,11,1,_maxLT),tElec2_Res,tpSurvAll_Res)</f>
        <v>6.5535886524540858</v>
      </c>
      <c r="Q244" s="40">
        <f ca="1">SUMPRODUCT(OFFSET(tConvElec_Res,0,12,1,_maxLT),tElec2_Res,tpSurvAll_Res)</f>
        <v>6.5456267314248118</v>
      </c>
      <c r="R244" s="40">
        <f ca="1">SUMPRODUCT(OFFSET(tConvElec_Res,0,13,1,_maxLT),tElec2_Res,tpSurvAll_Res)</f>
        <v>6.538686923414363</v>
      </c>
      <c r="S244" s="40">
        <f ca="1">SUMPRODUCT(OFFSET(tConvElec_Res,0,14,1,_maxLT),tElec2_Res,tpSurvAll_Res)</f>
        <v>6.5328410771355498</v>
      </c>
      <c r="T244" s="40">
        <f ca="1">SUMPRODUCT(OFFSET(tConvElec_Res,0,15,1,_maxLT),tElec2_Res,tpSurvAll_Res)</f>
        <v>6.5273982946462326</v>
      </c>
      <c r="U244" s="40">
        <f ca="1">SUMPRODUCT(OFFSET(tConvElec_Res,0,16,1,_maxLT),tElec2_Res,tpSurvAll_Res)</f>
        <v>6.5218046758730734</v>
      </c>
      <c r="V244" s="40">
        <f ca="1">SUMPRODUCT(OFFSET(tConvElec_Res,0,17,1,_maxLT),tElec2_Res,tpSurvAll_Res)</f>
        <v>6.5167950777359316</v>
      </c>
      <c r="W244" s="40">
        <f ca="1">SUMPRODUCT(OFFSET(tConvElec_Res,0,18,1,_maxLT),tElec2_Res,tpSurvAll_Res)</f>
        <v>6.5126975174887667</v>
      </c>
      <c r="X244" s="40">
        <f ca="1">SUMPRODUCT(OFFSET(tConvElec_Res,0,19,1,_maxLT),tElec2_Res,tpSurvAll_Res)</f>
        <v>6.5092327745273515</v>
      </c>
      <c r="Y244" s="40">
        <f ca="1">SUMPRODUCT(OFFSET(tConvElec_Res,0,20,1,_maxLT),tElec2_Res,tpSurvAll_Res)</f>
        <v>6.5064457216571618</v>
      </c>
      <c r="Z244" s="40">
        <f ca="1">SUMPRODUCT(OFFSET(tConvElec_Res,0,21,1,_maxLT),tElec2_Res,tpSurvAll_Res)</f>
        <v>6.5053651550723144</v>
      </c>
      <c r="AA244" s="40">
        <f ca="1">SUMPRODUCT(OFFSET(tConvElec_Res,0,22,1,_maxLT),tElec2_Res,tpSurvAll_Res)</f>
        <v>6.5053362391658149</v>
      </c>
      <c r="AB244" s="40">
        <f ca="1">SUMPRODUCT(OFFSET(tConvElec_Res,0,23,1,_maxLT),tElec2_Res,tpSurvAll_Res)</f>
        <v>6.505633611457573</v>
      </c>
      <c r="AC244" s="40">
        <f ca="1">SUMPRODUCT(OFFSET(tConvElec_Res,0,24,1,_maxLT),tElec2_Res,tpSurvAll_Res)</f>
        <v>6.5062703914023743</v>
      </c>
      <c r="AD244" s="40">
        <f ca="1">SUMPRODUCT(OFFSET(tConvElec_Res,0,25,1,_maxLT),tElec2_Res,tpSurvAll_Res)</f>
        <v>6.5068048850017588</v>
      </c>
      <c r="AE244" s="40">
        <f ca="1">SUMPRODUCT(OFFSET(tConvElec_Res,0,26,1,_maxLT),tElec2_Res,tpSurvAll_Res)</f>
        <v>6.5069310318418871</v>
      </c>
      <c r="AF244" s="40">
        <f ca="1">SUMPRODUCT(OFFSET(tConvElec_Res,0,27,1,_maxLT),tElec2_Res,tpSurvAll_Res)</f>
        <v>6.5069310318418871</v>
      </c>
      <c r="AG244" s="40">
        <f ca="1">SUMPRODUCT(OFFSET(tConvElec_Res,0,28,1,_maxLT),tElec2_Res,tpSurvAll_Res)</f>
        <v>6.5069310318418871</v>
      </c>
      <c r="AH244" s="40">
        <f ca="1">SUMPRODUCT(OFFSET(tConvElec_Res,0,29,1,_maxLT),tElec2_Res,tpSurvAll_Res)</f>
        <v>6.5069310318418871</v>
      </c>
      <c r="AI244" s="40">
        <f ca="1">SUMPRODUCT(OFFSET(tConvElec_Res,0,30,1,_maxLT),tElec2_Res,tpSurvAll_Res)</f>
        <v>6.5069310318418871</v>
      </c>
      <c r="AJ244" s="40">
        <f ca="1">SUMPRODUCT(OFFSET(tConvElec_Res,0,31,1,_maxLT),tElec2_Res,tpSurvAll_Res)</f>
        <v>6.5069310318418871</v>
      </c>
      <c r="AK244" s="40">
        <f ca="1">SUMPRODUCT(OFFSET(tConvElec_Res,0,32,1,_maxLT),tElec2_Res,tpSurvAll_Res)</f>
        <v>6.5069310318418871</v>
      </c>
      <c r="AL244" s="40">
        <f ca="1">SUMPRODUCT(OFFSET(tConvElec_Res,0,33,1,_maxLT),tElec2_Res,tpSurvAll_Res)</f>
        <v>6.5069310318418871</v>
      </c>
      <c r="AM244" s="40">
        <f ca="1">SUMPRODUCT(OFFSET(tConvElec_Res,0,34,1,_maxLT),tElec2_Res,tpSurvAll_Res)</f>
        <v>6.5069310318418871</v>
      </c>
      <c r="AN244" s="41">
        <f ca="1">SUMPRODUCT(OFFSET(tConvElec_Res,0,35,1,_maxLT),tElec2_Res,tpSurvAll_Res)</f>
        <v>6.5069310318418871</v>
      </c>
      <c r="AO244" s="8"/>
    </row>
    <row r="245" spans="2:41" x14ac:dyDescent="0.35">
      <c r="B245" s="8"/>
      <c r="C245" s="20" t="str">
        <f>INDEX(_Sector,2,2)</f>
        <v>Commercial</v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18"/>
      <c r="AO245" s="8"/>
    </row>
    <row r="246" spans="2:41" x14ac:dyDescent="0.35">
      <c r="B246" s="8"/>
      <c r="C246" s="50" t="str">
        <f>INDEX(_fuel,1)</f>
        <v>Electricity</v>
      </c>
      <c r="D246" s="11" t="s">
        <v>80</v>
      </c>
      <c r="E246" s="40">
        <f ca="1">SUMPRODUCT(OFFSET(tConvElec_Com,0,0,1,_maxLT),tElec2_Com,tpSurvAll_Com)</f>
        <v>13.673770865614037</v>
      </c>
      <c r="F246" s="40">
        <f ca="1">SUMPRODUCT(OFFSET(tConvElec_Com,0,1,1,_maxLT),tElec2_Com,tpSurvAll_Com)</f>
        <v>13.603587361616903</v>
      </c>
      <c r="G246" s="40">
        <f ca="1">SUMPRODUCT(OFFSET(tConvElec_Com,0,2,1,_maxLT),tElec2_Com,tpSurvAll_Com)</f>
        <v>13.553397163102231</v>
      </c>
      <c r="H246" s="40">
        <f ca="1">SUMPRODUCT(OFFSET(tConvElec_Com,0,3,1,_maxLT),tElec2_Com,tpSurvAll_Com)</f>
        <v>13.514813515015632</v>
      </c>
      <c r="I246" s="40">
        <f ca="1">SUMPRODUCT(OFFSET(tConvElec_Com,0,4,1,_maxLT),tElec2_Com,tpSurvAll_Com)</f>
        <v>13.489080636023571</v>
      </c>
      <c r="J246" s="40">
        <f ca="1">SUMPRODUCT(OFFSET(tConvElec_Com,0,5,1,_maxLT),tElec2_Com,tpSurvAll_Com)</f>
        <v>13.46951270899876</v>
      </c>
      <c r="K246" s="40">
        <f ca="1">SUMPRODUCT(OFFSET(tConvElec_Com,0,6,1,_maxLT),tElec2_Com,tpSurvAll_Com)</f>
        <v>13.452813000458852</v>
      </c>
      <c r="L246" s="40">
        <f ca="1">SUMPRODUCT(OFFSET(tConvElec_Com,0,7,1,_maxLT),tElec2_Com,tpSurvAll_Com)</f>
        <v>13.434929595565908</v>
      </c>
      <c r="M246" s="40">
        <f ca="1">SUMPRODUCT(OFFSET(tConvElec_Com,0,8,1,_maxLT),tElec2_Com,tpSurvAll_Com)</f>
        <v>13.418030073524438</v>
      </c>
      <c r="N246" s="40">
        <f ca="1">SUMPRODUCT(OFFSET(tConvElec_Com,0,9,1,_maxLT),tElec2_Com,tpSurvAll_Com)</f>
        <v>13.402102336160286</v>
      </c>
      <c r="O246" s="40">
        <f ca="1">SUMPRODUCT(OFFSET(tConvElec_Com,0,10,1,_maxLT),tElec2_Com,tpSurvAll_Com)</f>
        <v>13.38563762976778</v>
      </c>
      <c r="P246" s="40">
        <f ca="1">SUMPRODUCT(OFFSET(tConvElec_Com,0,11,1,_maxLT),tElec2_Com,tpSurvAll_Com)</f>
        <v>13.371513372981005</v>
      </c>
      <c r="Q246" s="40">
        <f ca="1">SUMPRODUCT(OFFSET(tConvElec_Com,0,12,1,_maxLT),tElec2_Com,tpSurvAll_Com)</f>
        <v>13.356801562182801</v>
      </c>
      <c r="R246" s="40">
        <f ca="1">SUMPRODUCT(OFFSET(tConvElec_Com,0,13,1,_maxLT),tElec2_Com,tpSurvAll_Com)</f>
        <v>13.343974194553992</v>
      </c>
      <c r="S246" s="40">
        <f ca="1">SUMPRODUCT(OFFSET(tConvElec_Com,0,14,1,_maxLT),tElec2_Com,tpSurvAll_Com)</f>
        <v>13.333319199692811</v>
      </c>
      <c r="T246" s="40">
        <f ca="1">SUMPRODUCT(OFFSET(tConvElec_Com,0,15,1,_maxLT),tElec2_Com,tpSurvAll_Com)</f>
        <v>13.323553774597968</v>
      </c>
      <c r="U246" s="40">
        <f ca="1">SUMPRODUCT(OFFSET(tConvElec_Com,0,16,1,_maxLT),tElec2_Com,tpSurvAll_Com)</f>
        <v>13.313490202688687</v>
      </c>
      <c r="V246" s="40">
        <f ca="1">SUMPRODUCT(OFFSET(tConvElec_Com,0,17,1,_maxLT),tElec2_Com,tpSurvAll_Com)</f>
        <v>13.30443187885418</v>
      </c>
      <c r="W246" s="40">
        <f ca="1">SUMPRODUCT(OFFSET(tConvElec_Com,0,18,1,_maxLT),tElec2_Com,tpSurvAll_Com)</f>
        <v>13.297112298395364</v>
      </c>
      <c r="X246" s="40">
        <f ca="1">SUMPRODUCT(OFFSET(tConvElec_Com,0,19,1,_maxLT),tElec2_Com,tpSurvAll_Com)</f>
        <v>13.290993373267222</v>
      </c>
      <c r="Y246" s="40">
        <f ca="1">SUMPRODUCT(OFFSET(tConvElec_Com,0,20,1,_maxLT),tElec2_Com,tpSurvAll_Com)</f>
        <v>13.286087862807582</v>
      </c>
      <c r="Z246" s="40">
        <f ca="1">SUMPRODUCT(OFFSET(tConvElec_Com,0,21,1,_maxLT),tElec2_Com,tpSurvAll_Com)</f>
        <v>13.284451558896658</v>
      </c>
      <c r="AA246" s="40">
        <f ca="1">SUMPRODUCT(OFFSET(tConvElec_Com,0,22,1,_maxLT),tElec2_Com,tpSurvAll_Com)</f>
        <v>13.284795026236845</v>
      </c>
      <c r="AB246" s="40">
        <f ca="1">SUMPRODUCT(OFFSET(tConvElec_Com,0,23,1,_maxLT),tElec2_Com,tpSurvAll_Com)</f>
        <v>13.285722511404773</v>
      </c>
      <c r="AC246" s="40">
        <f ca="1">SUMPRODUCT(OFFSET(tConvElec_Com,0,24,1,_maxLT),tElec2_Com,tpSurvAll_Com)</f>
        <v>13.287192632013889</v>
      </c>
      <c r="AD246" s="40">
        <f ca="1">SUMPRODUCT(OFFSET(tConvElec_Com,0,25,1,_maxLT),tElec2_Com,tpSurvAll_Com)</f>
        <v>13.288368367315167</v>
      </c>
      <c r="AE246" s="40">
        <f ca="1">SUMPRODUCT(OFFSET(tConvElec_Com,0,26,1,_maxLT),tElec2_Com,tpSurvAll_Com)</f>
        <v>13.288674639544466</v>
      </c>
      <c r="AF246" s="40">
        <f ca="1">SUMPRODUCT(OFFSET(tConvElec_Com,0,27,1,_maxLT),tElec2_Com,tpSurvAll_Com)</f>
        <v>13.288674639544466</v>
      </c>
      <c r="AG246" s="40">
        <f ca="1">SUMPRODUCT(OFFSET(tConvElec_Com,0,28,1,_maxLT),tElec2_Com,tpSurvAll_Com)</f>
        <v>13.288674639544466</v>
      </c>
      <c r="AH246" s="40">
        <f ca="1">SUMPRODUCT(OFFSET(tConvElec_Com,0,29,1,_maxLT),tElec2_Com,tpSurvAll_Com)</f>
        <v>13.288674639544466</v>
      </c>
      <c r="AI246" s="40">
        <f ca="1">SUMPRODUCT(OFFSET(tConvElec_Com,0,30,1,_maxLT),tElec2_Com,tpSurvAll_Com)</f>
        <v>13.288674639544466</v>
      </c>
      <c r="AJ246" s="40">
        <f ca="1">SUMPRODUCT(OFFSET(tConvElec_Com,0,31,1,_maxLT),tElec2_Com,tpSurvAll_Com)</f>
        <v>13.288674639544466</v>
      </c>
      <c r="AK246" s="40">
        <f ca="1">SUMPRODUCT(OFFSET(tConvElec_Com,0,32,1,_maxLT),tElec2_Com,tpSurvAll_Com)</f>
        <v>13.288674639544466</v>
      </c>
      <c r="AL246" s="40">
        <f ca="1">SUMPRODUCT(OFFSET(tConvElec_Com,0,33,1,_maxLT),tElec2_Com,tpSurvAll_Com)</f>
        <v>13.288674639544466</v>
      </c>
      <c r="AM246" s="40">
        <f ca="1">SUMPRODUCT(OFFSET(tConvElec_Com,0,34,1,_maxLT),tElec2_Com,tpSurvAll_Com)</f>
        <v>13.288674639544466</v>
      </c>
      <c r="AN246" s="41">
        <f ca="1">SUMPRODUCT(OFFSET(tConvElec_Com,0,35,1,_maxLT),tElec2_Com,tpSurvAll_Com)</f>
        <v>13.288674639544466</v>
      </c>
      <c r="AO246" s="8"/>
    </row>
    <row r="247" spans="2:41" x14ac:dyDescent="0.35">
      <c r="B247" s="8"/>
      <c r="C247" s="57" t="str">
        <f>"EL 3: " &amp; INDEX(_doName,3,4)</f>
        <v>EL 3: EL 3</v>
      </c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8"/>
      <c r="AO247" s="8"/>
    </row>
    <row r="248" spans="2:41" x14ac:dyDescent="0.35">
      <c r="B248" s="8"/>
      <c r="C248" s="10" t="s">
        <v>70</v>
      </c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18"/>
      <c r="AO248" s="8"/>
    </row>
    <row r="249" spans="2:41" x14ac:dyDescent="0.35">
      <c r="B249" s="8"/>
      <c r="C249" s="20" t="str">
        <f>INDEX(_Sector,2,1)</f>
        <v>Residential</v>
      </c>
      <c r="D249" s="11" t="str">
        <f>_yearDol &amp; "$"</f>
        <v>2021$</v>
      </c>
      <c r="E249" s="32">
        <f t="array" ref="E249:AN249">tMSP3_Res*tPIdxlrg3 + tInst3</f>
        <v>156.65458575353455</v>
      </c>
      <c r="F249" s="32">
        <v>155.6236936262419</v>
      </c>
      <c r="G249" s="32">
        <v>154.63975973546243</v>
      </c>
      <c r="H249" s="32">
        <v>153.69509945278284</v>
      </c>
      <c r="I249" s="32">
        <v>152.78420255170266</v>
      </c>
      <c r="J249" s="32">
        <v>151.90335583041178</v>
      </c>
      <c r="K249" s="32">
        <v>151.04999651657633</v>
      </c>
      <c r="L249" s="32">
        <v>150.22224392445062</v>
      </c>
      <c r="M249" s="32">
        <v>149.41846453935645</v>
      </c>
      <c r="N249" s="32">
        <v>148.63706387419506</v>
      </c>
      <c r="O249" s="32">
        <v>147.87643695598473</v>
      </c>
      <c r="P249" s="32">
        <v>147.13497600346403</v>
      </c>
      <c r="Q249" s="32">
        <v>146.41114332218473</v>
      </c>
      <c r="R249" s="32">
        <v>145.70354755664698</v>
      </c>
      <c r="S249" s="32">
        <v>145.01092115464925</v>
      </c>
      <c r="T249" s="32">
        <v>144.33227484377667</v>
      </c>
      <c r="U249" s="32">
        <v>143.6666921470638</v>
      </c>
      <c r="V249" s="32">
        <v>143.01337653923815</v>
      </c>
      <c r="W249" s="32">
        <v>142.37161806791281</v>
      </c>
      <c r="X249" s="32">
        <v>141.7407679504303</v>
      </c>
      <c r="Y249" s="32">
        <v>141.120225854437</v>
      </c>
      <c r="Z249" s="32">
        <v>140.50942961530237</v>
      </c>
      <c r="AA249" s="32">
        <v>139.90785549362437</v>
      </c>
      <c r="AB249" s="32">
        <v>139.31501803980862</v>
      </c>
      <c r="AC249" s="32">
        <v>138.73046967635537</v>
      </c>
      <c r="AD249" s="32">
        <v>138.15379919060956</v>
      </c>
      <c r="AE249" s="32">
        <v>137.58462889633594</v>
      </c>
      <c r="AF249" s="32">
        <v>137.02261110138465</v>
      </c>
      <c r="AG249" s="32">
        <v>136.46742445503688</v>
      </c>
      <c r="AH249" s="32">
        <v>135.91877063442394</v>
      </c>
      <c r="AI249" s="32">
        <v>135.37637167182746</v>
      </c>
      <c r="AJ249" s="32">
        <v>134.83996791706019</v>
      </c>
      <c r="AK249" s="32">
        <v>134.30931645537549</v>
      </c>
      <c r="AL249" s="32">
        <v>133.78419001567823</v>
      </c>
      <c r="AM249" s="32">
        <v>133.26437576033956</v>
      </c>
      <c r="AN249" s="55">
        <v>132.74967440095935</v>
      </c>
      <c r="AO249" s="8"/>
    </row>
    <row r="250" spans="2:41" x14ac:dyDescent="0.35">
      <c r="B250" s="8"/>
      <c r="C250" s="20" t="str">
        <f>INDEX(_Sector,2,2)</f>
        <v>Commercial</v>
      </c>
      <c r="D250" s="11" t="str">
        <f>_yearDol &amp; "$"</f>
        <v>2021$</v>
      </c>
      <c r="E250" s="32">
        <f t="array" ref="E250:AN250">tMSP3_Com*tPIdxlrg3 + tInst3</f>
        <v>151.4947910729116</v>
      </c>
      <c r="F250" s="32">
        <v>150.49785385149747</v>
      </c>
      <c r="G250" s="32">
        <v>149.54632818439882</v>
      </c>
      <c r="H250" s="32">
        <v>148.63278255487873</v>
      </c>
      <c r="I250" s="32">
        <v>147.75188822896851</v>
      </c>
      <c r="J250" s="32">
        <v>146.90005430806966</v>
      </c>
      <c r="K250" s="32">
        <v>146.07480243090455</v>
      </c>
      <c r="L250" s="32">
        <v>145.27431385662535</v>
      </c>
      <c r="M250" s="32">
        <v>144.49700887427946</v>
      </c>
      <c r="N250" s="32">
        <v>143.74134551502675</v>
      </c>
      <c r="O250" s="32">
        <v>143.00577166952183</v>
      </c>
      <c r="P250" s="32">
        <v>142.28873251263707</v>
      </c>
      <c r="Q250" s="32">
        <v>141.58874099758063</v>
      </c>
      <c r="R250" s="32">
        <v>140.90445159648471</v>
      </c>
      <c r="S250" s="32">
        <v>140.23463850702103</v>
      </c>
      <c r="T250" s="32">
        <v>139.57834504083553</v>
      </c>
      <c r="U250" s="32">
        <v>138.93468490733068</v>
      </c>
      <c r="V250" s="32">
        <v>138.30288781670524</v>
      </c>
      <c r="W250" s="32">
        <v>137.68226720055765</v>
      </c>
      <c r="X250" s="32">
        <v>137.07219564544405</v>
      </c>
      <c r="Y250" s="32">
        <v>136.47209259239742</v>
      </c>
      <c r="Z250" s="32">
        <v>135.88141439302825</v>
      </c>
      <c r="AA250" s="32">
        <v>135.29965455854844</v>
      </c>
      <c r="AB250" s="32">
        <v>134.72634362881087</v>
      </c>
      <c r="AC250" s="32">
        <v>134.1610487683547</v>
      </c>
      <c r="AD250" s="32">
        <v>133.6033723088004</v>
      </c>
      <c r="AE250" s="32">
        <v>133.05294900391519</v>
      </c>
      <c r="AF250" s="32">
        <v>132.50944261362437</v>
      </c>
      <c r="AG250" s="32">
        <v>131.97254237166621</v>
      </c>
      <c r="AH250" s="32">
        <v>131.44195978115155</v>
      </c>
      <c r="AI250" s="32">
        <v>130.91742602989581</v>
      </c>
      <c r="AJ250" s="32">
        <v>130.39869001991369</v>
      </c>
      <c r="AK250" s="32">
        <v>129.88551683743856</v>
      </c>
      <c r="AL250" s="32">
        <v>129.37768669709425</v>
      </c>
      <c r="AM250" s="32">
        <v>128.87499377156988</v>
      </c>
      <c r="AN250" s="55">
        <v>128.37724533650697</v>
      </c>
      <c r="AO250" s="8"/>
    </row>
    <row r="251" spans="2:41" x14ac:dyDescent="0.35">
      <c r="B251" s="8"/>
      <c r="C251" s="10" t="str">
        <f>zEO&amp;" Costs"</f>
        <v>Operating Costs</v>
      </c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18"/>
      <c r="AO251" s="8"/>
    </row>
    <row r="252" spans="2:41" x14ac:dyDescent="0.35">
      <c r="B252" s="8"/>
      <c r="C252" s="20" t="str">
        <f>INDEX(_Sector,2,1)</f>
        <v>Residential</v>
      </c>
      <c r="D252" s="11" t="str">
        <f>_yearDol &amp; "$"</f>
        <v>2021$</v>
      </c>
      <c r="E252" s="32">
        <f t="array" aca="1" ref="E252:AN252" ca="1">(tlccEFuElec3_Res) + SUMPRODUCT(dFactor,tpSurvAll_Com,tMnR3_Res)</f>
        <v>302.74775908745141</v>
      </c>
      <c r="F252" s="32">
        <f ca="1"/>
        <v>302.81838636983213</v>
      </c>
      <c r="G252" s="32">
        <f ca="1"/>
        <v>302.92942810670786</v>
      </c>
      <c r="H252" s="32">
        <f ca="1"/>
        <v>303.05813689568703</v>
      </c>
      <c r="I252" s="32">
        <f ca="1"/>
        <v>303.17885934491983</v>
      </c>
      <c r="J252" s="32">
        <f ca="1"/>
        <v>303.2801254112249</v>
      </c>
      <c r="K252" s="32">
        <f ca="1"/>
        <v>303.35863600620513</v>
      </c>
      <c r="L252" s="32">
        <f ca="1"/>
        <v>303.42113762103037</v>
      </c>
      <c r="M252" s="32">
        <f ca="1"/>
        <v>303.45325584783313</v>
      </c>
      <c r="N252" s="32">
        <f ca="1"/>
        <v>303.45911895509681</v>
      </c>
      <c r="O252" s="32">
        <f ca="1"/>
        <v>303.41729189190897</v>
      </c>
      <c r="P252" s="32">
        <f ca="1"/>
        <v>303.3361374039971</v>
      </c>
      <c r="Q252" s="32">
        <f ca="1"/>
        <v>303.27156279487343</v>
      </c>
      <c r="R252" s="32">
        <f ca="1"/>
        <v>303.20449051062707</v>
      </c>
      <c r="S252" s="32">
        <f ca="1"/>
        <v>303.15333702119739</v>
      </c>
      <c r="T252" s="32">
        <f ca="1"/>
        <v>303.11949655066906</v>
      </c>
      <c r="U252" s="32">
        <f ca="1"/>
        <v>303.0716835918181</v>
      </c>
      <c r="V252" s="32">
        <f ca="1"/>
        <v>303.01282019961303</v>
      </c>
      <c r="W252" s="32">
        <f ca="1"/>
        <v>302.96055858031457</v>
      </c>
      <c r="X252" s="32">
        <f ca="1"/>
        <v>302.89628543611235</v>
      </c>
      <c r="Y252" s="32">
        <f ca="1"/>
        <v>302.83393256433413</v>
      </c>
      <c r="Z252" s="32">
        <f ca="1"/>
        <v>302.80002265927084</v>
      </c>
      <c r="AA252" s="32">
        <f ca="1"/>
        <v>302.75550547911553</v>
      </c>
      <c r="AB252" s="32">
        <f ca="1"/>
        <v>302.71231311448366</v>
      </c>
      <c r="AC252" s="32">
        <f ca="1"/>
        <v>302.67701872617278</v>
      </c>
      <c r="AD252" s="32">
        <f ca="1"/>
        <v>302.62898903671027</v>
      </c>
      <c r="AE252" s="32">
        <f ca="1"/>
        <v>302.59025309178151</v>
      </c>
      <c r="AF252" s="32">
        <f ca="1"/>
        <v>302.59025309178151</v>
      </c>
      <c r="AG252" s="32">
        <f ca="1"/>
        <v>302.59025309178151</v>
      </c>
      <c r="AH252" s="32">
        <f ca="1"/>
        <v>302.59025309178151</v>
      </c>
      <c r="AI252" s="32">
        <f ca="1"/>
        <v>302.59025309178151</v>
      </c>
      <c r="AJ252" s="32">
        <f ca="1"/>
        <v>302.59025309178151</v>
      </c>
      <c r="AK252" s="32">
        <f ca="1"/>
        <v>302.59025309178151</v>
      </c>
      <c r="AL252" s="32">
        <f ca="1"/>
        <v>302.59025309178151</v>
      </c>
      <c r="AM252" s="32">
        <f ca="1"/>
        <v>302.59025309178151</v>
      </c>
      <c r="AN252" s="55">
        <f ca="1"/>
        <v>302.59025309178151</v>
      </c>
      <c r="AO252" s="8"/>
    </row>
    <row r="253" spans="2:41" x14ac:dyDescent="0.35">
      <c r="B253" s="8"/>
      <c r="C253" s="50" t="str">
        <f>INDEX(_fuel,1)</f>
        <v>Electricity</v>
      </c>
      <c r="D253" s="11" t="str">
        <f>_yearDol &amp; "$"</f>
        <v>2021$</v>
      </c>
      <c r="E253" s="32">
        <f ca="1">SUMPRODUCT(dFactor,tpSurvAll_Res,tElec3_Res,OFFSET(tPrcElec_Res,0,0,1,_maxLT))</f>
        <v>37.458373388185315</v>
      </c>
      <c r="F253" s="32">
        <f ca="1">SUMPRODUCT(dFactor,tpSurvAll_Res,tElec3_Res,OFFSET(tPrcElec_Res,0,1,1,_maxLT))</f>
        <v>37.529000670565985</v>
      </c>
      <c r="G253" s="32">
        <f ca="1">SUMPRODUCT(dFactor,tpSurvAll_Res,tElec3_Res,OFFSET(tPrcElec_Res,0,2,1,_maxLT))</f>
        <v>37.640042407441754</v>
      </c>
      <c r="H253" s="32">
        <f ca="1">SUMPRODUCT(dFactor,tpSurvAll_Res,tElec3_Res,OFFSET(tPrcElec_Res,0,3,1,_maxLT))</f>
        <v>37.768751196420901</v>
      </c>
      <c r="I253" s="32">
        <f ca="1">SUMPRODUCT(dFactor,tpSurvAll_Res,tElec3_Res,OFFSET(tPrcElec_Res,0,4,1,_maxLT))</f>
        <v>37.889473645653702</v>
      </c>
      <c r="J253" s="32">
        <f ca="1">SUMPRODUCT(dFactor,tpSurvAll_Res,tElec3_Res,OFFSET(tPrcElec_Res,0,5,1,_maxLT))</f>
        <v>37.990739711958803</v>
      </c>
      <c r="K253" s="32">
        <f ca="1">SUMPRODUCT(dFactor,tpSurvAll_Res,tElec3_Res,OFFSET(tPrcElec_Res,0,6,1,_maxLT))</f>
        <v>38.069250306938997</v>
      </c>
      <c r="L253" s="32">
        <f ca="1">SUMPRODUCT(dFactor,tpSurvAll_Res,tElec3_Res,OFFSET(tPrcElec_Res,0,7,1,_maxLT))</f>
        <v>38.131751921764234</v>
      </c>
      <c r="M253" s="32">
        <f ca="1">SUMPRODUCT(dFactor,tpSurvAll_Res,tElec3_Res,OFFSET(tPrcElec_Res,0,8,1,_maxLT))</f>
        <v>38.163870148567021</v>
      </c>
      <c r="N253" s="32">
        <f ca="1">SUMPRODUCT(dFactor,tpSurvAll_Res,tElec3_Res,OFFSET(tPrcElec_Res,0,9,1,_maxLT))</f>
        <v>38.1697332558307</v>
      </c>
      <c r="O253" s="32">
        <f ca="1">SUMPRODUCT(dFactor,tpSurvAll_Res,tElec3_Res,OFFSET(tPrcElec_Res,0,10,1,_maxLT))</f>
        <v>38.127906192642875</v>
      </c>
      <c r="P253" s="32">
        <f ca="1">SUMPRODUCT(dFactor,tpSurvAll_Res,tElec3_Res,OFFSET(tPrcElec_Res,0,11,1,_maxLT))</f>
        <v>38.046751704730958</v>
      </c>
      <c r="Q253" s="32">
        <f ca="1">SUMPRODUCT(dFactor,tpSurvAll_Res,tElec3_Res,OFFSET(tPrcElec_Res,0,12,1,_maxLT))</f>
        <v>37.982177095607305</v>
      </c>
      <c r="R253" s="32">
        <f ca="1">SUMPRODUCT(dFactor,tpSurvAll_Res,tElec3_Res,OFFSET(tPrcElec_Res,0,13,1,_maxLT))</f>
        <v>37.915104811360926</v>
      </c>
      <c r="S253" s="32">
        <f ca="1">SUMPRODUCT(dFactor,tpSurvAll_Res,tElec3_Res,OFFSET(tPrcElec_Res,0,14,1,_maxLT))</f>
        <v>37.863951321931289</v>
      </c>
      <c r="T253" s="32">
        <f ca="1">SUMPRODUCT(dFactor,tpSurvAll_Res,tElec3_Res,OFFSET(tPrcElec_Res,0,15,1,_maxLT))</f>
        <v>37.830110851402907</v>
      </c>
      <c r="U253" s="32">
        <f ca="1">SUMPRODUCT(dFactor,tpSurvAll_Res,tElec3_Res,OFFSET(tPrcElec_Res,0,16,1,_maxLT))</f>
        <v>37.782297892551981</v>
      </c>
      <c r="V253" s="32">
        <f ca="1">SUMPRODUCT(dFactor,tpSurvAll_Res,tElec3_Res,OFFSET(tPrcElec_Res,0,17,1,_maxLT))</f>
        <v>37.72343450034689</v>
      </c>
      <c r="W253" s="32">
        <f ca="1">SUMPRODUCT(dFactor,tpSurvAll_Res,tElec3_Res,OFFSET(tPrcElec_Res,0,18,1,_maxLT))</f>
        <v>37.671172881048477</v>
      </c>
      <c r="X253" s="32">
        <f ca="1">SUMPRODUCT(dFactor,tpSurvAll_Res,tElec3_Res,OFFSET(tPrcElec_Res,0,19,1,_maxLT))</f>
        <v>37.606899736846216</v>
      </c>
      <c r="Y253" s="32">
        <f ca="1">SUMPRODUCT(dFactor,tpSurvAll_Res,tElec3_Res,OFFSET(tPrcElec_Res,0,20,1,_maxLT))</f>
        <v>37.544546865068021</v>
      </c>
      <c r="Z253" s="32">
        <f ca="1">SUMPRODUCT(dFactor,tpSurvAll_Res,tElec3_Res,OFFSET(tPrcElec_Res,0,21,1,_maxLT))</f>
        <v>37.510636960004724</v>
      </c>
      <c r="AA253" s="32">
        <f ca="1">SUMPRODUCT(dFactor,tpSurvAll_Res,tElec3_Res,OFFSET(tPrcElec_Res,0,22,1,_maxLT))</f>
        <v>37.466119779849379</v>
      </c>
      <c r="AB253" s="32">
        <f ca="1">SUMPRODUCT(dFactor,tpSurvAll_Res,tElec3_Res,OFFSET(tPrcElec_Res,0,23,1,_maxLT))</f>
        <v>37.422927415217565</v>
      </c>
      <c r="AC253" s="32">
        <f ca="1">SUMPRODUCT(dFactor,tpSurvAll_Res,tElec3_Res,OFFSET(tPrcElec_Res,0,24,1,_maxLT))</f>
        <v>37.387633026906634</v>
      </c>
      <c r="AD253" s="32">
        <f ca="1">SUMPRODUCT(dFactor,tpSurvAll_Res,tElec3_Res,OFFSET(tPrcElec_Res,0,25,1,_maxLT))</f>
        <v>37.339603337444125</v>
      </c>
      <c r="AE253" s="32">
        <f ca="1">SUMPRODUCT(dFactor,tpSurvAll_Res,tElec3_Res,OFFSET(tPrcElec_Res,0,26,1,_maxLT))</f>
        <v>37.300867392515372</v>
      </c>
      <c r="AF253" s="32">
        <f ca="1">SUMPRODUCT(dFactor,tpSurvAll_Res,tElec3_Res,OFFSET(tPrcElec_Res,0,27,1,_maxLT))</f>
        <v>37.300867392515372</v>
      </c>
      <c r="AG253" s="32">
        <f ca="1">SUMPRODUCT(dFactor,tpSurvAll_Res,tElec3_Res,OFFSET(tPrcElec_Res,0,28,1,_maxLT))</f>
        <v>37.300867392515372</v>
      </c>
      <c r="AH253" s="32">
        <f ca="1">SUMPRODUCT(dFactor,tpSurvAll_Res,tElec3_Res,OFFSET(tPrcElec_Res,0,29,1,_maxLT))</f>
        <v>37.300867392515372</v>
      </c>
      <c r="AI253" s="32">
        <f ca="1">SUMPRODUCT(dFactor,tpSurvAll_Res,tElec3_Res,OFFSET(tPrcElec_Res,0,30,1,_maxLT))</f>
        <v>37.300867392515372</v>
      </c>
      <c r="AJ253" s="32">
        <f ca="1">SUMPRODUCT(dFactor,tpSurvAll_Res,tElec3_Res,OFFSET(tPrcElec_Res,0,31,1,_maxLT))</f>
        <v>37.300867392515372</v>
      </c>
      <c r="AK253" s="32">
        <f ca="1">SUMPRODUCT(dFactor,tpSurvAll_Res,tElec3_Res,OFFSET(tPrcElec_Res,0,32,1,_maxLT))</f>
        <v>37.300867392515372</v>
      </c>
      <c r="AL253" s="32">
        <f ca="1">SUMPRODUCT(dFactor,tpSurvAll_Res,tElec3_Res,OFFSET(tPrcElec_Res,0,33,1,_maxLT))</f>
        <v>37.300867392515372</v>
      </c>
      <c r="AM253" s="32">
        <f ca="1">SUMPRODUCT(dFactor,tpSurvAll_Res,tElec3_Res,OFFSET(tPrcElec_Res,0,34,1,_maxLT))</f>
        <v>37.300867392515372</v>
      </c>
      <c r="AN253" s="55">
        <f ca="1">SUMPRODUCT(dFactor,tpSurvAll_Res,tElec3_Res,OFFSET(tPrcElec_Res,0,35,1,_maxLT))</f>
        <v>37.300867392515372</v>
      </c>
      <c r="AO253" s="8"/>
    </row>
    <row r="254" spans="2:41" x14ac:dyDescent="0.35">
      <c r="B254" s="8"/>
      <c r="C254" s="20" t="str">
        <f>INDEX(_Sector,2,2)</f>
        <v>Commercial</v>
      </c>
      <c r="D254" s="11" t="str">
        <f>_yearDol &amp; "$"</f>
        <v>2021$</v>
      </c>
      <c r="E254" s="32">
        <f t="array" aca="1" ref="E254:AN254" ca="1">(tlccEFuElec3_Com) + SUMPRODUCT(dFactor,tpSurvAll_Com,tMnR3_Com)</f>
        <v>357.16843357495009</v>
      </c>
      <c r="F254" s="32">
        <f ca="1"/>
        <v>357.14561650848407</v>
      </c>
      <c r="G254" s="32">
        <f ca="1"/>
        <v>357.16247035586679</v>
      </c>
      <c r="H254" s="32">
        <f ca="1"/>
        <v>357.20106281622094</v>
      </c>
      <c r="I254" s="32">
        <f ca="1"/>
        <v>357.22610257239671</v>
      </c>
      <c r="J254" s="32">
        <f ca="1"/>
        <v>357.22472423342123</v>
      </c>
      <c r="K254" s="32">
        <f ca="1"/>
        <v>357.18992629336867</v>
      </c>
      <c r="L254" s="32">
        <f ca="1"/>
        <v>357.13530414653985</v>
      </c>
      <c r="M254" s="32">
        <f ca="1"/>
        <v>357.02964242858855</v>
      </c>
      <c r="N254" s="32">
        <f ca="1"/>
        <v>356.90121548376743</v>
      </c>
      <c r="O254" s="32">
        <f ca="1"/>
        <v>356.69529097580488</v>
      </c>
      <c r="P254" s="32">
        <f ca="1"/>
        <v>356.43411966262136</v>
      </c>
      <c r="Q254" s="32">
        <f ca="1"/>
        <v>356.20794236785684</v>
      </c>
      <c r="R254" s="32">
        <f ca="1"/>
        <v>355.98436771549444</v>
      </c>
      <c r="S254" s="32">
        <f ca="1"/>
        <v>355.78776664292269</v>
      </c>
      <c r="T254" s="32">
        <f ca="1"/>
        <v>355.62695632305719</v>
      </c>
      <c r="U254" s="32">
        <f ca="1"/>
        <v>355.43667638988711</v>
      </c>
      <c r="V254" s="32">
        <f ca="1"/>
        <v>355.23388366980151</v>
      </c>
      <c r="W254" s="32">
        <f ca="1"/>
        <v>355.05754063821649</v>
      </c>
      <c r="X254" s="32">
        <f ca="1"/>
        <v>354.87138574696792</v>
      </c>
      <c r="Y254" s="32">
        <f ca="1"/>
        <v>354.68625683302469</v>
      </c>
      <c r="Z254" s="32">
        <f ca="1"/>
        <v>354.56713467729065</v>
      </c>
      <c r="AA254" s="32">
        <f ca="1"/>
        <v>354.43907022159271</v>
      </c>
      <c r="AB254" s="32">
        <f ca="1"/>
        <v>354.32068371561951</v>
      </c>
      <c r="AC254" s="32">
        <f ca="1"/>
        <v>354.23871290664334</v>
      </c>
      <c r="AD254" s="32">
        <f ca="1"/>
        <v>354.14365855767284</v>
      </c>
      <c r="AE254" s="32">
        <f ca="1"/>
        <v>354.06931570473427</v>
      </c>
      <c r="AF254" s="32">
        <f ca="1"/>
        <v>354.06931570473427</v>
      </c>
      <c r="AG254" s="32">
        <f ca="1"/>
        <v>354.06931570473427</v>
      </c>
      <c r="AH254" s="32">
        <f ca="1"/>
        <v>354.06931570473427</v>
      </c>
      <c r="AI254" s="32">
        <f ca="1"/>
        <v>354.06931570473427</v>
      </c>
      <c r="AJ254" s="32">
        <f ca="1"/>
        <v>354.06931570473427</v>
      </c>
      <c r="AK254" s="32">
        <f ca="1"/>
        <v>354.06931570473427</v>
      </c>
      <c r="AL254" s="32">
        <f ca="1"/>
        <v>354.06931570473427</v>
      </c>
      <c r="AM254" s="32">
        <f ca="1"/>
        <v>354.06931570473427</v>
      </c>
      <c r="AN254" s="55">
        <f ca="1"/>
        <v>354.06931570473427</v>
      </c>
      <c r="AO254" s="8"/>
    </row>
    <row r="255" spans="2:41" x14ac:dyDescent="0.35">
      <c r="B255" s="8"/>
      <c r="C255" s="50" t="str">
        <f>INDEX(_fuel,1)</f>
        <v>Electricity</v>
      </c>
      <c r="D255" s="11" t="str">
        <f>_yearDol &amp; "$"</f>
        <v>2021$</v>
      </c>
      <c r="E255" s="32">
        <f ca="1">SUMPRODUCT(dFactor,tpSurvAll_Com,tElec3_Com,OFFSET(tPrcElec_Com,0,0,1,_maxLT))</f>
        <v>52.243643301503475</v>
      </c>
      <c r="F255" s="32">
        <f ca="1">SUMPRODUCT(dFactor,tpSurvAll_Com,tElec3_Com,OFFSET(tPrcElec_Com,0,1,1,_maxLT))</f>
        <v>52.220826235037492</v>
      </c>
      <c r="G255" s="32">
        <f ca="1">SUMPRODUCT(dFactor,tpSurvAll_Com,tElec3_Com,OFFSET(tPrcElec_Com,0,2,1,_maxLT))</f>
        <v>52.237680082420162</v>
      </c>
      <c r="H255" s="32">
        <f ca="1">SUMPRODUCT(dFactor,tpSurvAll_Com,tElec3_Com,OFFSET(tPrcElec_Com,0,3,1,_maxLT))</f>
        <v>52.276272542774315</v>
      </c>
      <c r="I255" s="32">
        <f ca="1">SUMPRODUCT(dFactor,tpSurvAll_Com,tElec3_Com,OFFSET(tPrcElec_Com,0,4,1,_maxLT))</f>
        <v>52.30131229895013</v>
      </c>
      <c r="J255" s="32">
        <f ca="1">SUMPRODUCT(dFactor,tpSurvAll_Com,tElec3_Com,OFFSET(tPrcElec_Com,0,5,1,_maxLT))</f>
        <v>52.299933959974631</v>
      </c>
      <c r="K255" s="32">
        <f ca="1">SUMPRODUCT(dFactor,tpSurvAll_Com,tElec3_Com,OFFSET(tPrcElec_Com,0,6,1,_maxLT))</f>
        <v>52.265136019922096</v>
      </c>
      <c r="L255" s="32">
        <f ca="1">SUMPRODUCT(dFactor,tpSurvAll_Com,tElec3_Com,OFFSET(tPrcElec_Com,0,7,1,_maxLT))</f>
        <v>52.210513873093234</v>
      </c>
      <c r="M255" s="32">
        <f ca="1">SUMPRODUCT(dFactor,tpSurvAll_Com,tElec3_Com,OFFSET(tPrcElec_Com,0,8,1,_maxLT))</f>
        <v>52.104852155141955</v>
      </c>
      <c r="N255" s="32">
        <f ca="1">SUMPRODUCT(dFactor,tpSurvAll_Com,tElec3_Com,OFFSET(tPrcElec_Com,0,9,1,_maxLT))</f>
        <v>51.976425210320819</v>
      </c>
      <c r="O255" s="32">
        <f ca="1">SUMPRODUCT(dFactor,tpSurvAll_Com,tElec3_Com,OFFSET(tPrcElec_Com,0,10,1,_maxLT))</f>
        <v>51.770500702358298</v>
      </c>
      <c r="P255" s="32">
        <f ca="1">SUMPRODUCT(dFactor,tpSurvAll_Com,tElec3_Com,OFFSET(tPrcElec_Com,0,11,1,_maxLT))</f>
        <v>51.509329389174773</v>
      </c>
      <c r="Q255" s="32">
        <f ca="1">SUMPRODUCT(dFactor,tpSurvAll_Com,tElec3_Com,OFFSET(tPrcElec_Com,0,12,1,_maxLT))</f>
        <v>51.283152094410241</v>
      </c>
      <c r="R255" s="32">
        <f ca="1">SUMPRODUCT(dFactor,tpSurvAll_Com,tElec3_Com,OFFSET(tPrcElec_Com,0,13,1,_maxLT))</f>
        <v>51.059577442047853</v>
      </c>
      <c r="S255" s="32">
        <f ca="1">SUMPRODUCT(dFactor,tpSurvAll_Com,tElec3_Com,OFFSET(tPrcElec_Com,0,14,1,_maxLT))</f>
        <v>50.862976369476108</v>
      </c>
      <c r="T255" s="32">
        <f ca="1">SUMPRODUCT(dFactor,tpSurvAll_Com,tElec3_Com,OFFSET(tPrcElec_Com,0,15,1,_maxLT))</f>
        <v>50.702166049610582</v>
      </c>
      <c r="U255" s="32">
        <f ca="1">SUMPRODUCT(dFactor,tpSurvAll_Com,tElec3_Com,OFFSET(tPrcElec_Com,0,16,1,_maxLT))</f>
        <v>50.511886116440515</v>
      </c>
      <c r="V255" s="32">
        <f ca="1">SUMPRODUCT(dFactor,tpSurvAll_Com,tElec3_Com,OFFSET(tPrcElec_Com,0,17,1,_maxLT))</f>
        <v>50.309093396354911</v>
      </c>
      <c r="W255" s="32">
        <f ca="1">SUMPRODUCT(dFactor,tpSurvAll_Com,tElec3_Com,OFFSET(tPrcElec_Com,0,18,1,_maxLT))</f>
        <v>50.132750364769883</v>
      </c>
      <c r="X255" s="32">
        <f ca="1">SUMPRODUCT(dFactor,tpSurvAll_Com,tElec3_Com,OFFSET(tPrcElec_Com,0,19,1,_maxLT))</f>
        <v>49.94659547352132</v>
      </c>
      <c r="Y255" s="32">
        <f ca="1">SUMPRODUCT(dFactor,tpSurvAll_Com,tElec3_Com,OFFSET(tPrcElec_Com,0,20,1,_maxLT))</f>
        <v>49.761466559578096</v>
      </c>
      <c r="Z255" s="32">
        <f ca="1">SUMPRODUCT(dFactor,tpSurvAll_Com,tElec3_Com,OFFSET(tPrcElec_Com,0,21,1,_maxLT))</f>
        <v>49.642344403844049</v>
      </c>
      <c r="AA255" s="32">
        <f ca="1">SUMPRODUCT(dFactor,tpSurvAll_Com,tElec3_Com,OFFSET(tPrcElec_Com,0,22,1,_maxLT))</f>
        <v>49.514279948146097</v>
      </c>
      <c r="AB255" s="32">
        <f ca="1">SUMPRODUCT(dFactor,tpSurvAll_Com,tElec3_Com,OFFSET(tPrcElec_Com,0,23,1,_maxLT))</f>
        <v>49.395893442172927</v>
      </c>
      <c r="AC255" s="32">
        <f ca="1">SUMPRODUCT(dFactor,tpSurvAll_Com,tElec3_Com,OFFSET(tPrcElec_Com,0,24,1,_maxLT))</f>
        <v>49.313922633196739</v>
      </c>
      <c r="AD255" s="32">
        <f ca="1">SUMPRODUCT(dFactor,tpSurvAll_Com,tElec3_Com,OFFSET(tPrcElec_Com,0,25,1,_maxLT))</f>
        <v>49.218868284226247</v>
      </c>
      <c r="AE255" s="32">
        <f ca="1">SUMPRODUCT(dFactor,tpSurvAll_Com,tElec3_Com,OFFSET(tPrcElec_Com,0,26,1,_maxLT))</f>
        <v>49.144525431287647</v>
      </c>
      <c r="AF255" s="32">
        <f ca="1">SUMPRODUCT(dFactor,tpSurvAll_Com,tElec3_Com,OFFSET(tPrcElec_Com,0,27,1,_maxLT))</f>
        <v>49.144525431287647</v>
      </c>
      <c r="AG255" s="32">
        <f ca="1">SUMPRODUCT(dFactor,tpSurvAll_Com,tElec3_Com,OFFSET(tPrcElec_Com,0,28,1,_maxLT))</f>
        <v>49.144525431287647</v>
      </c>
      <c r="AH255" s="32">
        <f ca="1">SUMPRODUCT(dFactor,tpSurvAll_Com,tElec3_Com,OFFSET(tPrcElec_Com,0,29,1,_maxLT))</f>
        <v>49.144525431287647</v>
      </c>
      <c r="AI255" s="32">
        <f ca="1">SUMPRODUCT(dFactor,tpSurvAll_Com,tElec3_Com,OFFSET(tPrcElec_Com,0,30,1,_maxLT))</f>
        <v>49.144525431287647</v>
      </c>
      <c r="AJ255" s="32">
        <f ca="1">SUMPRODUCT(dFactor,tpSurvAll_Com,tElec3_Com,OFFSET(tPrcElec_Com,0,31,1,_maxLT))</f>
        <v>49.144525431287647</v>
      </c>
      <c r="AK255" s="32">
        <f ca="1">SUMPRODUCT(dFactor,tpSurvAll_Com,tElec3_Com,OFFSET(tPrcElec_Com,0,32,1,_maxLT))</f>
        <v>49.144525431287647</v>
      </c>
      <c r="AL255" s="32">
        <f ca="1">SUMPRODUCT(dFactor,tpSurvAll_Com,tElec3_Com,OFFSET(tPrcElec_Com,0,33,1,_maxLT))</f>
        <v>49.144525431287647</v>
      </c>
      <c r="AM255" s="32">
        <f ca="1">SUMPRODUCT(dFactor,tpSurvAll_Com,tElec3_Com,OFFSET(tPrcElec_Com,0,34,1,_maxLT))</f>
        <v>49.144525431287647</v>
      </c>
      <c r="AN255" s="55">
        <f ca="1">SUMPRODUCT(dFactor,tpSurvAll_Com,tElec3_Com,OFFSET(tPrcElec_Com,0,35,1,_maxLT))</f>
        <v>49.144525431287647</v>
      </c>
      <c r="AO255" s="8"/>
    </row>
    <row r="256" spans="2:41" x14ac:dyDescent="0.35">
      <c r="B256" s="8"/>
      <c r="C256" s="10" t="s">
        <v>78</v>
      </c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18"/>
      <c r="AO256" s="8"/>
    </row>
    <row r="257" spans="2:41" x14ac:dyDescent="0.35">
      <c r="B257" s="8"/>
      <c r="C257" s="20" t="str">
        <f>INDEX(_Sector,2,1)</f>
        <v>Residential</v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18"/>
      <c r="AO257" s="8"/>
    </row>
    <row r="258" spans="2:41" x14ac:dyDescent="0.35">
      <c r="B258" s="8"/>
      <c r="C258" s="50" t="str">
        <f>INDEX(_fuel,1)</f>
        <v>Electricity</v>
      </c>
      <c r="D258" s="11" t="s">
        <v>80</v>
      </c>
      <c r="E258" s="40">
        <f ca="1">SUMPRODUCT(OFFSET(tConvElec_Res,0,0,1,_maxLT),tElec3_Res,tpSurvAll_Res)</f>
        <v>3.1024115374312515</v>
      </c>
      <c r="F258" s="40">
        <f ca="1">SUMPRODUCT(OFFSET(tConvElec_Res,0,1,1,_maxLT),tElec3_Res,tpSurvAll_Res)</f>
        <v>3.087078554646006</v>
      </c>
      <c r="G258" s="40">
        <f ca="1">SUMPRODUCT(OFFSET(tConvElec_Res,0,2,1,_maxLT),tElec3_Res,tpSurvAll_Res)</f>
        <v>3.0759567710555773</v>
      </c>
      <c r="H258" s="40">
        <f ca="1">SUMPRODUCT(OFFSET(tConvElec_Res,0,3,1,_maxLT),tElec3_Res,tpSurvAll_Res)</f>
        <v>3.067258013716875</v>
      </c>
      <c r="I258" s="40">
        <f ca="1">SUMPRODUCT(OFFSET(tConvElec_Res,0,4,1,_maxLT),tElec3_Res,tpSurvAll_Res)</f>
        <v>3.0612040121254758</v>
      </c>
      <c r="J258" s="40">
        <f ca="1">SUMPRODUCT(OFFSET(tConvElec_Res,0,5,1,_maxLT),tElec3_Res,tpSurvAll_Res)</f>
        <v>3.0564290429804277</v>
      </c>
      <c r="K258" s="40">
        <f ca="1">SUMPRODUCT(OFFSET(tConvElec_Res,0,6,1,_maxLT),tElec3_Res,tpSurvAll_Res)</f>
        <v>3.052292236739675</v>
      </c>
      <c r="L258" s="40">
        <f ca="1">SUMPRODUCT(OFFSET(tConvElec_Res,0,7,1,_maxLT),tElec3_Res,tpSurvAll_Res)</f>
        <v>3.0478291812919309</v>
      </c>
      <c r="M258" s="40">
        <f ca="1">SUMPRODUCT(OFFSET(tConvElec_Res,0,8,1,_maxLT),tElec3_Res,tpSurvAll_Res)</f>
        <v>3.0435338021521137</v>
      </c>
      <c r="N258" s="40">
        <f ca="1">SUMPRODUCT(OFFSET(tConvElec_Res,0,9,1,_maxLT),tElec3_Res,tpSurvAll_Res)</f>
        <v>3.0394652859188871</v>
      </c>
      <c r="O258" s="40">
        <f ca="1">SUMPRODUCT(OFFSET(tConvElec_Res,0,10,1,_maxLT),tElec3_Res,tpSurvAll_Res)</f>
        <v>3.0352164688272718</v>
      </c>
      <c r="P258" s="40">
        <f ca="1">SUMPRODUCT(OFFSET(tConvElec_Res,0,11,1,_maxLT),tElec3_Res,tpSurvAll_Res)</f>
        <v>3.0316262184706488</v>
      </c>
      <c r="Q258" s="40">
        <f ca="1">SUMPRODUCT(OFFSET(tConvElec_Res,0,12,1,_maxLT),tElec3_Res,tpSurvAll_Res)</f>
        <v>3.0279431114247557</v>
      </c>
      <c r="R258" s="40">
        <f ca="1">SUMPRODUCT(OFFSET(tConvElec_Res,0,13,1,_maxLT),tElec3_Res,tpSurvAll_Res)</f>
        <v>3.0247328238966018</v>
      </c>
      <c r="S258" s="40">
        <f ca="1">SUMPRODUCT(OFFSET(tConvElec_Res,0,14,1,_maxLT),tElec3_Res,tpSurvAll_Res)</f>
        <v>3.0220285924002646</v>
      </c>
      <c r="T258" s="40">
        <f ca="1">SUMPRODUCT(OFFSET(tConvElec_Res,0,15,1,_maxLT),tElec3_Res,tpSurvAll_Res)</f>
        <v>3.0195108142834055</v>
      </c>
      <c r="U258" s="40">
        <f ca="1">SUMPRODUCT(OFFSET(tConvElec_Res,0,16,1,_maxLT),tElec3_Res,tpSurvAll_Res)</f>
        <v>3.0169232607721717</v>
      </c>
      <c r="V258" s="40">
        <f ca="1">SUMPRODUCT(OFFSET(tConvElec_Res,0,17,1,_maxLT),tElec3_Res,tpSurvAll_Res)</f>
        <v>3.0146058695134341</v>
      </c>
      <c r="W258" s="40">
        <f ca="1">SUMPRODUCT(OFFSET(tConvElec_Res,0,18,1,_maxLT),tElec3_Res,tpSurvAll_Res)</f>
        <v>3.0127103780909725</v>
      </c>
      <c r="X258" s="40">
        <f ca="1">SUMPRODUCT(OFFSET(tConvElec_Res,0,19,1,_maxLT),tElec3_Res,tpSurvAll_Res)</f>
        <v>3.0111076217754449</v>
      </c>
      <c r="Y258" s="40">
        <f ca="1">SUMPRODUCT(OFFSET(tConvElec_Res,0,20,1,_maxLT),tElec3_Res,tpSurvAll_Res)</f>
        <v>3.0098183582891922</v>
      </c>
      <c r="Z258" s="40">
        <f ca="1">SUMPRODUCT(OFFSET(tConvElec_Res,0,21,1,_maxLT),tElec3_Res,tpSurvAll_Res)</f>
        <v>3.0093184987216861</v>
      </c>
      <c r="AA258" s="40">
        <f ca="1">SUMPRODUCT(OFFSET(tConvElec_Res,0,22,1,_maxLT),tElec3_Res,tpSurvAll_Res)</f>
        <v>3.0093051225052463</v>
      </c>
      <c r="AB258" s="40">
        <f ca="1">SUMPRODUCT(OFFSET(tConvElec_Res,0,23,1,_maxLT),tElec3_Res,tpSurvAll_Res)</f>
        <v>3.0094426840282753</v>
      </c>
      <c r="AC258" s="40">
        <f ca="1">SUMPRODUCT(OFFSET(tConvElec_Res,0,24,1,_maxLT),tElec3_Res,tpSurvAll_Res)</f>
        <v>3.0097372522226542</v>
      </c>
      <c r="AD258" s="40">
        <f ca="1">SUMPRODUCT(OFFSET(tConvElec_Res,0,25,1,_maxLT),tElec3_Res,tpSurvAll_Res)</f>
        <v>3.0099845037508524</v>
      </c>
      <c r="AE258" s="40">
        <f ca="1">SUMPRODUCT(OFFSET(tConvElec_Res,0,26,1,_maxLT),tElec3_Res,tpSurvAll_Res)</f>
        <v>3.0100428580492666</v>
      </c>
      <c r="AF258" s="40">
        <f ca="1">SUMPRODUCT(OFFSET(tConvElec_Res,0,27,1,_maxLT),tElec3_Res,tpSurvAll_Res)</f>
        <v>3.0100428580492666</v>
      </c>
      <c r="AG258" s="40">
        <f ca="1">SUMPRODUCT(OFFSET(tConvElec_Res,0,28,1,_maxLT),tElec3_Res,tpSurvAll_Res)</f>
        <v>3.0100428580492666</v>
      </c>
      <c r="AH258" s="40">
        <f ca="1">SUMPRODUCT(OFFSET(tConvElec_Res,0,29,1,_maxLT),tElec3_Res,tpSurvAll_Res)</f>
        <v>3.0100428580492666</v>
      </c>
      <c r="AI258" s="40">
        <f ca="1">SUMPRODUCT(OFFSET(tConvElec_Res,0,30,1,_maxLT),tElec3_Res,tpSurvAll_Res)</f>
        <v>3.0100428580492666</v>
      </c>
      <c r="AJ258" s="40">
        <f ca="1">SUMPRODUCT(OFFSET(tConvElec_Res,0,31,1,_maxLT),tElec3_Res,tpSurvAll_Res)</f>
        <v>3.0100428580492666</v>
      </c>
      <c r="AK258" s="40">
        <f ca="1">SUMPRODUCT(OFFSET(tConvElec_Res,0,32,1,_maxLT),tElec3_Res,tpSurvAll_Res)</f>
        <v>3.0100428580492666</v>
      </c>
      <c r="AL258" s="40">
        <f ca="1">SUMPRODUCT(OFFSET(tConvElec_Res,0,33,1,_maxLT),tElec3_Res,tpSurvAll_Res)</f>
        <v>3.0100428580492666</v>
      </c>
      <c r="AM258" s="40">
        <f ca="1">SUMPRODUCT(OFFSET(tConvElec_Res,0,34,1,_maxLT),tElec3_Res,tpSurvAll_Res)</f>
        <v>3.0100428580492666</v>
      </c>
      <c r="AN258" s="41">
        <f ca="1">SUMPRODUCT(OFFSET(tConvElec_Res,0,35,1,_maxLT),tElec3_Res,tpSurvAll_Res)</f>
        <v>3.0100428580492666</v>
      </c>
      <c r="AO258" s="8"/>
    </row>
    <row r="259" spans="2:41" x14ac:dyDescent="0.35">
      <c r="B259" s="8"/>
      <c r="C259" s="20" t="str">
        <f>INDEX(_Sector,2,2)</f>
        <v>Commercial</v>
      </c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18"/>
      <c r="AO259" s="8"/>
    </row>
    <row r="260" spans="2:41" x14ac:dyDescent="0.35">
      <c r="B260" s="8"/>
      <c r="C260" s="50" t="str">
        <f>INDEX(_fuel,1)</f>
        <v>Electricity</v>
      </c>
      <c r="D260" s="11" t="s">
        <v>80</v>
      </c>
      <c r="E260" s="40">
        <f ca="1">SUMPRODUCT(OFFSET(tConvElec_Com,0,0,1,_maxLT),tElec3_Com,tpSurvAll_Com)</f>
        <v>6.1190167229268697</v>
      </c>
      <c r="F260" s="40">
        <f ca="1">SUMPRODUCT(OFFSET(tConvElec_Com,0,1,1,_maxLT),tElec3_Com,tpSurvAll_Com)</f>
        <v>6.0876095830199084</v>
      </c>
      <c r="G260" s="40">
        <f ca="1">SUMPRODUCT(OFFSET(tConvElec_Com,0,2,1,_maxLT),tElec3_Com,tpSurvAll_Com)</f>
        <v>6.0651494535459971</v>
      </c>
      <c r="H260" s="40">
        <f ca="1">SUMPRODUCT(OFFSET(tConvElec_Com,0,3,1,_maxLT),tElec3_Com,tpSurvAll_Com)</f>
        <v>6.0478832590050962</v>
      </c>
      <c r="I260" s="40">
        <f ca="1">SUMPRODUCT(OFFSET(tConvElec_Com,0,4,1,_maxLT),tElec3_Com,tpSurvAll_Com)</f>
        <v>6.0363677876381265</v>
      </c>
      <c r="J260" s="40">
        <f ca="1">SUMPRODUCT(OFFSET(tConvElec_Com,0,5,1,_maxLT),tElec3_Com,tpSurvAll_Com)</f>
        <v>6.0276111341974188</v>
      </c>
      <c r="K260" s="40">
        <f ca="1">SUMPRODUCT(OFFSET(tConvElec_Com,0,6,1,_maxLT),tElec3_Com,tpSurvAll_Com)</f>
        <v>6.0201380094224044</v>
      </c>
      <c r="L260" s="40">
        <f ca="1">SUMPRODUCT(OFFSET(tConvElec_Com,0,7,1,_maxLT),tElec3_Com,tpSurvAll_Com)</f>
        <v>6.0121351801605813</v>
      </c>
      <c r="M260" s="40">
        <f ca="1">SUMPRODUCT(OFFSET(tConvElec_Com,0,8,1,_maxLT),tElec3_Com,tpSurvAll_Com)</f>
        <v>6.0045726387813572</v>
      </c>
      <c r="N260" s="40">
        <f ca="1">SUMPRODUCT(OFFSET(tConvElec_Com,0,9,1,_maxLT),tElec3_Com,tpSurvAll_Com)</f>
        <v>5.9974449713480302</v>
      </c>
      <c r="O260" s="40">
        <f ca="1">SUMPRODUCT(OFFSET(tConvElec_Com,0,10,1,_maxLT),tElec3_Com,tpSurvAll_Com)</f>
        <v>5.9900770101071981</v>
      </c>
      <c r="P260" s="40">
        <f ca="1">SUMPRODUCT(OFFSET(tConvElec_Com,0,11,1,_maxLT),tElec3_Com,tpSurvAll_Com)</f>
        <v>5.9837564007941859</v>
      </c>
      <c r="Q260" s="40">
        <f ca="1">SUMPRODUCT(OFFSET(tConvElec_Com,0,12,1,_maxLT),tElec3_Com,tpSurvAll_Com)</f>
        <v>5.9771728608779862</v>
      </c>
      <c r="R260" s="40">
        <f ca="1">SUMPRODUCT(OFFSET(tConvElec_Com,0,13,1,_maxLT),tElec3_Com,tpSurvAll_Com)</f>
        <v>5.9714326098672572</v>
      </c>
      <c r="S260" s="40">
        <f ca="1">SUMPRODUCT(OFFSET(tConvElec_Com,0,14,1,_maxLT),tElec3_Com,tpSurvAll_Com)</f>
        <v>5.9666644963469251</v>
      </c>
      <c r="T260" s="40">
        <f ca="1">SUMPRODUCT(OFFSET(tConvElec_Com,0,15,1,_maxLT),tElec3_Com,tpSurvAll_Com)</f>
        <v>5.9622944655742067</v>
      </c>
      <c r="U260" s="40">
        <f ca="1">SUMPRODUCT(OFFSET(tConvElec_Com,0,16,1,_maxLT),tElec3_Com,tpSurvAll_Com)</f>
        <v>5.9577910140091292</v>
      </c>
      <c r="V260" s="40">
        <f ca="1">SUMPRODUCT(OFFSET(tConvElec_Com,0,17,1,_maxLT),tElec3_Com,tpSurvAll_Com)</f>
        <v>5.9537374112707342</v>
      </c>
      <c r="W260" s="40">
        <f ca="1">SUMPRODUCT(OFFSET(tConvElec_Com,0,18,1,_maxLT),tElec3_Com,tpSurvAll_Com)</f>
        <v>5.9504618967347325</v>
      </c>
      <c r="X260" s="40">
        <f ca="1">SUMPRODUCT(OFFSET(tConvElec_Com,0,19,1,_maxLT),tElec3_Com,tpSurvAll_Com)</f>
        <v>5.9477236758333119</v>
      </c>
      <c r="Y260" s="40">
        <f ca="1">SUMPRODUCT(OFFSET(tConvElec_Com,0,20,1,_maxLT),tElec3_Com,tpSurvAll_Com)</f>
        <v>5.9455284583741319</v>
      </c>
      <c r="Z260" s="40">
        <f ca="1">SUMPRODUCT(OFFSET(tConvElec_Com,0,21,1,_maxLT),tElec3_Com,tpSurvAll_Com)</f>
        <v>5.9447962118641415</v>
      </c>
      <c r="AA260" s="40">
        <f ca="1">SUMPRODUCT(OFFSET(tConvElec_Com,0,22,1,_maxLT),tElec3_Com,tpSurvAll_Com)</f>
        <v>5.9449499136058961</v>
      </c>
      <c r="AB260" s="40">
        <f ca="1">SUMPRODUCT(OFFSET(tConvElec_Com,0,23,1,_maxLT),tElec3_Com,tpSurvAll_Com)</f>
        <v>5.9453649635075356</v>
      </c>
      <c r="AC260" s="40">
        <f ca="1">SUMPRODUCT(OFFSET(tConvElec_Com,0,24,1,_maxLT),tElec3_Com,tpSurvAll_Com)</f>
        <v>5.9460228429381852</v>
      </c>
      <c r="AD260" s="40">
        <f ca="1">SUMPRODUCT(OFFSET(tConvElec_Com,0,25,1,_maxLT),tElec3_Com,tpSurvAll_Com)</f>
        <v>5.9465489848518489</v>
      </c>
      <c r="AE260" s="40">
        <f ca="1">SUMPRODUCT(OFFSET(tConvElec_Com,0,26,1,_maxLT),tElec3_Com,tpSurvAll_Com)</f>
        <v>5.9466860417698904</v>
      </c>
      <c r="AF260" s="40">
        <f ca="1">SUMPRODUCT(OFFSET(tConvElec_Com,0,27,1,_maxLT),tElec3_Com,tpSurvAll_Com)</f>
        <v>5.9466860417698904</v>
      </c>
      <c r="AG260" s="40">
        <f ca="1">SUMPRODUCT(OFFSET(tConvElec_Com,0,28,1,_maxLT),tElec3_Com,tpSurvAll_Com)</f>
        <v>5.9466860417698904</v>
      </c>
      <c r="AH260" s="40">
        <f ca="1">SUMPRODUCT(OFFSET(tConvElec_Com,0,29,1,_maxLT),tElec3_Com,tpSurvAll_Com)</f>
        <v>5.9466860417698904</v>
      </c>
      <c r="AI260" s="40">
        <f ca="1">SUMPRODUCT(OFFSET(tConvElec_Com,0,30,1,_maxLT),tElec3_Com,tpSurvAll_Com)</f>
        <v>5.9466860417698904</v>
      </c>
      <c r="AJ260" s="40">
        <f ca="1">SUMPRODUCT(OFFSET(tConvElec_Com,0,31,1,_maxLT),tElec3_Com,tpSurvAll_Com)</f>
        <v>5.9466860417698904</v>
      </c>
      <c r="AK260" s="40">
        <f ca="1">SUMPRODUCT(OFFSET(tConvElec_Com,0,32,1,_maxLT),tElec3_Com,tpSurvAll_Com)</f>
        <v>5.9466860417698904</v>
      </c>
      <c r="AL260" s="40">
        <f ca="1">SUMPRODUCT(OFFSET(tConvElec_Com,0,33,1,_maxLT),tElec3_Com,tpSurvAll_Com)</f>
        <v>5.9466860417698904</v>
      </c>
      <c r="AM260" s="40">
        <f ca="1">SUMPRODUCT(OFFSET(tConvElec_Com,0,34,1,_maxLT),tElec3_Com,tpSurvAll_Com)</f>
        <v>5.9466860417698904</v>
      </c>
      <c r="AN260" s="41">
        <f ca="1">SUMPRODUCT(OFFSET(tConvElec_Com,0,35,1,_maxLT),tElec3_Com,tpSurvAll_Com)</f>
        <v>5.9466860417698904</v>
      </c>
      <c r="AO260" s="8"/>
    </row>
    <row r="261" spans="2:41" x14ac:dyDescent="0.35">
      <c r="B261" s="8"/>
      <c r="C261" s="57" t="str">
        <f>"EL 4: " &amp; INDEX(_doName,3,5)</f>
        <v>EL 4: EL 4</v>
      </c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8"/>
      <c r="AO261" s="8"/>
    </row>
    <row r="262" spans="2:41" x14ac:dyDescent="0.35">
      <c r="B262" s="8"/>
      <c r="C262" s="10" t="s">
        <v>70</v>
      </c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18"/>
      <c r="AO262" s="8"/>
    </row>
    <row r="263" spans="2:41" x14ac:dyDescent="0.35">
      <c r="B263" s="8"/>
      <c r="C263" s="20" t="str">
        <f>INDEX(_Sector,2,1)</f>
        <v>Residential</v>
      </c>
      <c r="D263" s="11" t="str">
        <f>_yearDol &amp; "$"</f>
        <v>2021$</v>
      </c>
      <c r="E263" s="32">
        <f t="array" ref="E263:AN263">tMSP4_Res*tPIdxlrg4 + tInst4</f>
        <v>157.17463433051583</v>
      </c>
      <c r="F263" s="32">
        <v>156.14785380741077</v>
      </c>
      <c r="G263" s="32">
        <v>155.16784423286049</v>
      </c>
      <c r="H263" s="32">
        <v>154.2269516277791</v>
      </c>
      <c r="I263" s="32">
        <v>153.31968774262151</v>
      </c>
      <c r="J263" s="32">
        <v>152.44235418529027</v>
      </c>
      <c r="K263" s="32">
        <v>151.59239840479785</v>
      </c>
      <c r="L263" s="32">
        <v>150.7679472163147</v>
      </c>
      <c r="M263" s="32">
        <v>149.967373620263</v>
      </c>
      <c r="N263" s="32">
        <v>149.18908948898721</v>
      </c>
      <c r="O263" s="32">
        <v>148.43149625077046</v>
      </c>
      <c r="P263" s="32">
        <v>147.69299253681683</v>
      </c>
      <c r="Q263" s="32">
        <v>146.97204678560973</v>
      </c>
      <c r="R263" s="32">
        <v>146.26727319092356</v>
      </c>
      <c r="S263" s="32">
        <v>145.57740925605452</v>
      </c>
      <c r="T263" s="32">
        <v>144.90146965419623</v>
      </c>
      <c r="U263" s="32">
        <v>144.23854156365459</v>
      </c>
      <c r="V263" s="32">
        <v>143.58783163601399</v>
      </c>
      <c r="W263" s="32">
        <v>142.94863275045739</v>
      </c>
      <c r="X263" s="32">
        <v>142.32029871192836</v>
      </c>
      <c r="Y263" s="32">
        <v>141.70223158243536</v>
      </c>
      <c r="Z263" s="32">
        <v>141.093871439482</v>
      </c>
      <c r="AA263" s="32">
        <v>140.49469663254541</v>
      </c>
      <c r="AB263" s="32">
        <v>139.90422364819565</v>
      </c>
      <c r="AC263" s="32">
        <v>139.32200669404835</v>
      </c>
      <c r="AD263" s="32">
        <v>138.74763619752676</v>
      </c>
      <c r="AE263" s="32">
        <v>138.1807359787571</v>
      </c>
      <c r="AF263" s="32">
        <v>137.62095973232292</v>
      </c>
      <c r="AG263" s="32">
        <v>137.06798738917874</v>
      </c>
      <c r="AH263" s="32">
        <v>136.52152181628512</v>
      </c>
      <c r="AI263" s="32">
        <v>135.98128615456844</v>
      </c>
      <c r="AJ263" s="32">
        <v>135.44702178942882</v>
      </c>
      <c r="AK263" s="32">
        <v>134.91848677495938</v>
      </c>
      <c r="AL263" s="32">
        <v>134.39545474651166</v>
      </c>
      <c r="AM263" s="32">
        <v>133.87771371533722</v>
      </c>
      <c r="AN263" s="55">
        <v>133.36506518787664</v>
      </c>
      <c r="AO263" s="8"/>
    </row>
    <row r="264" spans="2:41" x14ac:dyDescent="0.35">
      <c r="B264" s="8"/>
      <c r="C264" s="20" t="str">
        <f>INDEX(_Sector,2,2)</f>
        <v>Commercial</v>
      </c>
      <c r="D264" s="11" t="str">
        <f>_yearDol &amp; "$"</f>
        <v>2021$</v>
      </c>
      <c r="E264" s="32">
        <f t="array" ref="E264:AN264">tMSP4_Com*tPIdxlrg4 + tInst4</f>
        <v>152.01115515714707</v>
      </c>
      <c r="F264" s="32">
        <v>151.0181062846309</v>
      </c>
      <c r="G264" s="32">
        <v>150.07029184798853</v>
      </c>
      <c r="H264" s="32">
        <v>149.1603093155878</v>
      </c>
      <c r="I264" s="32">
        <v>148.28285073709253</v>
      </c>
      <c r="J264" s="32">
        <v>147.43433921946684</v>
      </c>
      <c r="K264" s="32">
        <v>146.61230606777232</v>
      </c>
      <c r="L264" s="32">
        <v>145.81493963478627</v>
      </c>
      <c r="M264" s="32">
        <v>145.04066637089423</v>
      </c>
      <c r="N264" s="32">
        <v>144.28795032138888</v>
      </c>
      <c r="O264" s="32">
        <v>143.55524543060861</v>
      </c>
      <c r="P264" s="32">
        <v>142.84100293770186</v>
      </c>
      <c r="Q264" s="32">
        <v>142.14374159579748</v>
      </c>
      <c r="R264" s="32">
        <v>141.46212112498273</v>
      </c>
      <c r="S264" s="32">
        <v>140.79492050391954</v>
      </c>
      <c r="T264" s="32">
        <v>140.14118677562041</v>
      </c>
      <c r="U264" s="32">
        <v>139.50003710628226</v>
      </c>
      <c r="V264" s="32">
        <v>138.87070421046099</v>
      </c>
      <c r="W264" s="32">
        <v>138.2525041975741</v>
      </c>
      <c r="X264" s="32">
        <v>137.64481210127502</v>
      </c>
      <c r="Y264" s="32">
        <v>137.04704962694774</v>
      </c>
      <c r="Z264" s="32">
        <v>136.45867524659167</v>
      </c>
      <c r="AA264" s="32">
        <v>135.87918444687423</v>
      </c>
      <c r="AB264" s="32">
        <v>135.3081095986812</v>
      </c>
      <c r="AC264" s="32">
        <v>134.7450195547375</v>
      </c>
      <c r="AD264" s="32">
        <v>134.18951819768751</v>
      </c>
      <c r="AE264" s="32">
        <v>133.64124170586632</v>
      </c>
      <c r="AF264" s="32">
        <v>133.09985515063465</v>
      </c>
      <c r="AG264" s="32">
        <v>132.56504897781076</v>
      </c>
      <c r="AH264" s="32">
        <v>132.03653581572831</v>
      </c>
      <c r="AI264" s="32">
        <v>131.51404790064944</v>
      </c>
      <c r="AJ264" s="32">
        <v>130.99733511394498</v>
      </c>
      <c r="AK264" s="32">
        <v>130.48616345808128</v>
      </c>
      <c r="AL264" s="32">
        <v>129.98031400490979</v>
      </c>
      <c r="AM264" s="32">
        <v>129.47958172990684</v>
      </c>
      <c r="AN264" s="55">
        <v>128.98377466039571</v>
      </c>
      <c r="AO264" s="8"/>
    </row>
    <row r="265" spans="2:41" x14ac:dyDescent="0.35">
      <c r="B265" s="8"/>
      <c r="C265" s="10" t="str">
        <f>zEO&amp;" Costs"</f>
        <v>Operating Costs</v>
      </c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18"/>
      <c r="AO265" s="8"/>
    </row>
    <row r="266" spans="2:41" x14ac:dyDescent="0.35">
      <c r="B266" s="8"/>
      <c r="C266" s="20" t="str">
        <f>INDEX(_Sector,2,1)</f>
        <v>Residential</v>
      </c>
      <c r="D266" s="11" t="str">
        <f>_yearDol &amp; "$"</f>
        <v>2021$</v>
      </c>
      <c r="E266" s="32">
        <f t="array" aca="1" ref="E266:AN266" ca="1">(tlccEFuElec4_Res) + SUMPRODUCT(dFactor,tpSurvAll_Com,tMnR4_Res)</f>
        <v>309.82501173884719</v>
      </c>
      <c r="F266" s="32">
        <f ca="1"/>
        <v>309.88753145303906</v>
      </c>
      <c r="G266" s="32">
        <f ca="1"/>
        <v>309.98582629631812</v>
      </c>
      <c r="H266" s="32">
        <f ca="1"/>
        <v>310.09976012514062</v>
      </c>
      <c r="I266" s="32">
        <f ca="1"/>
        <v>310.2066243958327</v>
      </c>
      <c r="J266" s="32">
        <f ca="1"/>
        <v>310.29626575409145</v>
      </c>
      <c r="K266" s="32">
        <f ca="1"/>
        <v>310.36576382613583</v>
      </c>
      <c r="L266" s="32">
        <f ca="1"/>
        <v>310.42109064834517</v>
      </c>
      <c r="M266" s="32">
        <f ca="1"/>
        <v>310.44952190454495</v>
      </c>
      <c r="N266" s="32">
        <f ca="1"/>
        <v>310.45471196393908</v>
      </c>
      <c r="O266" s="32">
        <f ca="1"/>
        <v>310.41768638476003</v>
      </c>
      <c r="P266" s="32">
        <f ca="1"/>
        <v>310.34584792207795</v>
      </c>
      <c r="Q266" s="32">
        <f ca="1"/>
        <v>310.28868607228884</v>
      </c>
      <c r="R266" s="32">
        <f ca="1"/>
        <v>310.22931326478539</v>
      </c>
      <c r="S266" s="32">
        <f ca="1"/>
        <v>310.18403187448894</v>
      </c>
      <c r="T266" s="32">
        <f ca="1"/>
        <v>310.1540760773205</v>
      </c>
      <c r="U266" s="32">
        <f ca="1"/>
        <v>310.11175174568456</v>
      </c>
      <c r="V266" s="32">
        <f ca="1"/>
        <v>310.05964550100151</v>
      </c>
      <c r="W266" s="32">
        <f ca="1"/>
        <v>310.01338318718166</v>
      </c>
      <c r="X266" s="32">
        <f ca="1"/>
        <v>309.95648819603537</v>
      </c>
      <c r="Y266" s="32">
        <f ca="1"/>
        <v>309.90129304210598</v>
      </c>
      <c r="Z266" s="32">
        <f ca="1"/>
        <v>309.87127578105094</v>
      </c>
      <c r="AA266" s="32">
        <f ca="1"/>
        <v>309.83186889342727</v>
      </c>
      <c r="AB266" s="32">
        <f ca="1"/>
        <v>309.79363474083033</v>
      </c>
      <c r="AC266" s="32">
        <f ca="1"/>
        <v>309.76239192650422</v>
      </c>
      <c r="AD266" s="32">
        <f ca="1"/>
        <v>309.71987574356893</v>
      </c>
      <c r="AE266" s="32">
        <f ca="1"/>
        <v>309.68558644169769</v>
      </c>
      <c r="AF266" s="32">
        <f ca="1"/>
        <v>309.68558644169769</v>
      </c>
      <c r="AG266" s="32">
        <f ca="1"/>
        <v>309.68558644169769</v>
      </c>
      <c r="AH266" s="32">
        <f ca="1"/>
        <v>309.68558644169769</v>
      </c>
      <c r="AI266" s="32">
        <f ca="1"/>
        <v>309.68558644169769</v>
      </c>
      <c r="AJ266" s="32">
        <f ca="1"/>
        <v>309.68558644169769</v>
      </c>
      <c r="AK266" s="32">
        <f ca="1"/>
        <v>309.68558644169769</v>
      </c>
      <c r="AL266" s="32">
        <f ca="1"/>
        <v>309.68558644169769</v>
      </c>
      <c r="AM266" s="32">
        <f ca="1"/>
        <v>309.68558644169769</v>
      </c>
      <c r="AN266" s="55">
        <f ca="1"/>
        <v>309.68558644169769</v>
      </c>
      <c r="AO266" s="8"/>
    </row>
    <row r="267" spans="2:41" x14ac:dyDescent="0.35">
      <c r="B267" s="8"/>
      <c r="C267" s="50" t="str">
        <f>INDEX(_fuel,1)</f>
        <v>Electricity</v>
      </c>
      <c r="D267" s="11" t="str">
        <f>_yearDol &amp; "$"</f>
        <v>2021$</v>
      </c>
      <c r="E267" s="32">
        <f ca="1">SUMPRODUCT(dFactor,tpSurvAll_Res,tElec4_Res,OFFSET(tPrcElec_Res,0,0,1,_maxLT))</f>
        <v>33.158387515157003</v>
      </c>
      <c r="F267" s="32">
        <f ca="1">SUMPRODUCT(dFactor,tpSurvAll_Res,tElec4_Res,OFFSET(tPrcElec_Res,0,1,1,_maxLT))</f>
        <v>33.220907229348853</v>
      </c>
      <c r="G267" s="32">
        <f ca="1">SUMPRODUCT(dFactor,tpSurvAll_Res,tElec4_Res,OFFSET(tPrcElec_Res,0,2,1,_maxLT))</f>
        <v>33.319202072627974</v>
      </c>
      <c r="H267" s="32">
        <f ca="1">SUMPRODUCT(dFactor,tpSurvAll_Res,tElec4_Res,OFFSET(tPrcElec_Res,0,3,1,_maxLT))</f>
        <v>33.433135901450427</v>
      </c>
      <c r="I267" s="32">
        <f ca="1">SUMPRODUCT(dFactor,tpSurvAll_Res,tElec4_Res,OFFSET(tPrcElec_Res,0,4,1,_maxLT))</f>
        <v>33.540000172142506</v>
      </c>
      <c r="J267" s="32">
        <f ca="1">SUMPRODUCT(dFactor,tpSurvAll_Res,tElec4_Res,OFFSET(tPrcElec_Res,0,5,1,_maxLT))</f>
        <v>33.629641530401265</v>
      </c>
      <c r="K267" s="32">
        <f ca="1">SUMPRODUCT(dFactor,tpSurvAll_Res,tElec4_Res,OFFSET(tPrcElec_Res,0,6,1,_maxLT))</f>
        <v>33.699139602445669</v>
      </c>
      <c r="L267" s="32">
        <f ca="1">SUMPRODUCT(dFactor,tpSurvAll_Res,tElec4_Res,OFFSET(tPrcElec_Res,0,7,1,_maxLT))</f>
        <v>33.754466424655</v>
      </c>
      <c r="M267" s="32">
        <f ca="1">SUMPRODUCT(dFactor,tpSurvAll_Res,tElec4_Res,OFFSET(tPrcElec_Res,0,8,1,_maxLT))</f>
        <v>33.782897680854781</v>
      </c>
      <c r="N267" s="32">
        <f ca="1">SUMPRODUCT(dFactor,tpSurvAll_Res,tElec4_Res,OFFSET(tPrcElec_Res,0,9,1,_maxLT))</f>
        <v>33.788087740248905</v>
      </c>
      <c r="O267" s="32">
        <f ca="1">SUMPRODUCT(dFactor,tpSurvAll_Res,tElec4_Res,OFFSET(tPrcElec_Res,0,10,1,_maxLT))</f>
        <v>33.751062161069846</v>
      </c>
      <c r="P267" s="32">
        <f ca="1">SUMPRODUCT(dFactor,tpSurvAll_Res,tElec4_Res,OFFSET(tPrcElec_Res,0,11,1,_maxLT))</f>
        <v>33.679223698387794</v>
      </c>
      <c r="Q267" s="32">
        <f ca="1">SUMPRODUCT(dFactor,tpSurvAll_Res,tElec4_Res,OFFSET(tPrcElec_Res,0,12,1,_maxLT))</f>
        <v>33.622061848598641</v>
      </c>
      <c r="R267" s="32">
        <f ca="1">SUMPRODUCT(dFactor,tpSurvAll_Res,tElec4_Res,OFFSET(tPrcElec_Res,0,13,1,_maxLT))</f>
        <v>33.562689041095219</v>
      </c>
      <c r="S267" s="32">
        <f ca="1">SUMPRODUCT(dFactor,tpSurvAll_Res,tElec4_Res,OFFSET(tPrcElec_Res,0,14,1,_maxLT))</f>
        <v>33.517407650798766</v>
      </c>
      <c r="T267" s="32">
        <f ca="1">SUMPRODUCT(dFactor,tpSurvAll_Res,tElec4_Res,OFFSET(tPrcElec_Res,0,15,1,_maxLT))</f>
        <v>33.48745185363034</v>
      </c>
      <c r="U267" s="32">
        <f ca="1">SUMPRODUCT(dFactor,tpSurvAll_Res,tElec4_Res,OFFSET(tPrcElec_Res,0,16,1,_maxLT))</f>
        <v>33.445127521994372</v>
      </c>
      <c r="V267" s="32">
        <f ca="1">SUMPRODUCT(dFactor,tpSurvAll_Res,tElec4_Res,OFFSET(tPrcElec_Res,0,17,1,_maxLT))</f>
        <v>33.393021277311341</v>
      </c>
      <c r="W267" s="32">
        <f ca="1">SUMPRODUCT(dFactor,tpSurvAll_Res,tElec4_Res,OFFSET(tPrcElec_Res,0,18,1,_maxLT))</f>
        <v>33.346758963491482</v>
      </c>
      <c r="X267" s="32">
        <f ca="1">SUMPRODUCT(dFactor,tpSurvAll_Res,tElec4_Res,OFFSET(tPrcElec_Res,0,19,1,_maxLT))</f>
        <v>33.289863972345159</v>
      </c>
      <c r="Y267" s="32">
        <f ca="1">SUMPRODUCT(dFactor,tpSurvAll_Res,tElec4_Res,OFFSET(tPrcElec_Res,0,20,1,_maxLT))</f>
        <v>33.234668818415805</v>
      </c>
      <c r="Z267" s="32">
        <f ca="1">SUMPRODUCT(dFactor,tpSurvAll_Res,tElec4_Res,OFFSET(tPrcElec_Res,0,21,1,_maxLT))</f>
        <v>33.204651557360741</v>
      </c>
      <c r="AA267" s="32">
        <f ca="1">SUMPRODUCT(dFactor,tpSurvAll_Res,tElec4_Res,OFFSET(tPrcElec_Res,0,22,1,_maxLT))</f>
        <v>33.165244669737085</v>
      </c>
      <c r="AB267" s="32">
        <f ca="1">SUMPRODUCT(dFactor,tpSurvAll_Res,tElec4_Res,OFFSET(tPrcElec_Res,0,23,1,_maxLT))</f>
        <v>33.127010517140135</v>
      </c>
      <c r="AC267" s="32">
        <f ca="1">SUMPRODUCT(dFactor,tpSurvAll_Res,tElec4_Res,OFFSET(tPrcElec_Res,0,24,1,_maxLT))</f>
        <v>33.095767702814051</v>
      </c>
      <c r="AD267" s="32">
        <f ca="1">SUMPRODUCT(dFactor,tpSurvAll_Res,tElec4_Res,OFFSET(tPrcElec_Res,0,25,1,_maxLT))</f>
        <v>33.053251519878764</v>
      </c>
      <c r="AE267" s="32">
        <f ca="1">SUMPRODUCT(dFactor,tpSurvAll_Res,tElec4_Res,OFFSET(tPrcElec_Res,0,26,1,_maxLT))</f>
        <v>33.018962218007509</v>
      </c>
      <c r="AF267" s="32">
        <f ca="1">SUMPRODUCT(dFactor,tpSurvAll_Res,tElec4_Res,OFFSET(tPrcElec_Res,0,27,1,_maxLT))</f>
        <v>33.018962218007509</v>
      </c>
      <c r="AG267" s="32">
        <f ca="1">SUMPRODUCT(dFactor,tpSurvAll_Res,tElec4_Res,OFFSET(tPrcElec_Res,0,28,1,_maxLT))</f>
        <v>33.018962218007509</v>
      </c>
      <c r="AH267" s="32">
        <f ca="1">SUMPRODUCT(dFactor,tpSurvAll_Res,tElec4_Res,OFFSET(tPrcElec_Res,0,29,1,_maxLT))</f>
        <v>33.018962218007509</v>
      </c>
      <c r="AI267" s="32">
        <f ca="1">SUMPRODUCT(dFactor,tpSurvAll_Res,tElec4_Res,OFFSET(tPrcElec_Res,0,30,1,_maxLT))</f>
        <v>33.018962218007509</v>
      </c>
      <c r="AJ267" s="32">
        <f ca="1">SUMPRODUCT(dFactor,tpSurvAll_Res,tElec4_Res,OFFSET(tPrcElec_Res,0,31,1,_maxLT))</f>
        <v>33.018962218007509</v>
      </c>
      <c r="AK267" s="32">
        <f ca="1">SUMPRODUCT(dFactor,tpSurvAll_Res,tElec4_Res,OFFSET(tPrcElec_Res,0,32,1,_maxLT))</f>
        <v>33.018962218007509</v>
      </c>
      <c r="AL267" s="32">
        <f ca="1">SUMPRODUCT(dFactor,tpSurvAll_Res,tElec4_Res,OFFSET(tPrcElec_Res,0,33,1,_maxLT))</f>
        <v>33.018962218007509</v>
      </c>
      <c r="AM267" s="32">
        <f ca="1">SUMPRODUCT(dFactor,tpSurvAll_Res,tElec4_Res,OFFSET(tPrcElec_Res,0,34,1,_maxLT))</f>
        <v>33.018962218007509</v>
      </c>
      <c r="AN267" s="55">
        <f ca="1">SUMPRODUCT(dFactor,tpSurvAll_Res,tElec4_Res,OFFSET(tPrcElec_Res,0,35,1,_maxLT))</f>
        <v>33.018962218007509</v>
      </c>
      <c r="AO267" s="8"/>
    </row>
    <row r="268" spans="2:41" x14ac:dyDescent="0.35">
      <c r="B268" s="8"/>
      <c r="C268" s="20" t="str">
        <f>INDEX(_Sector,2,2)</f>
        <v>Commercial</v>
      </c>
      <c r="D268" s="11" t="str">
        <f>_yearDol &amp; "$"</f>
        <v>2021$</v>
      </c>
      <c r="E268" s="32">
        <f t="array" aca="1" ref="E268:AN268" ca="1">(tlccEFuElec4_Com) + SUMPRODUCT(dFactor,tpSurvAll_Com,tMnR4_Com)</f>
        <v>364.46392944189296</v>
      </c>
      <c r="F268" s="32">
        <f ca="1"/>
        <v>364.44375525271658</v>
      </c>
      <c r="G268" s="32">
        <f ca="1"/>
        <v>364.45865693632936</v>
      </c>
      <c r="H268" s="32">
        <f ca="1"/>
        <v>364.49277927178071</v>
      </c>
      <c r="I268" s="32">
        <f ca="1"/>
        <v>364.51491869880891</v>
      </c>
      <c r="J268" s="32">
        <f ca="1"/>
        <v>364.51370001141618</v>
      </c>
      <c r="K268" s="32">
        <f ca="1"/>
        <v>364.48293268089122</v>
      </c>
      <c r="L268" s="32">
        <f ca="1"/>
        <v>364.4346373610266</v>
      </c>
      <c r="M268" s="32">
        <f ca="1"/>
        <v>364.3412143309526</v>
      </c>
      <c r="N268" s="32">
        <f ca="1"/>
        <v>364.22766294677132</v>
      </c>
      <c r="O268" s="32">
        <f ca="1"/>
        <v>364.04559046230509</v>
      </c>
      <c r="P268" s="32">
        <f ca="1"/>
        <v>363.81467035311977</v>
      </c>
      <c r="Q268" s="32">
        <f ca="1"/>
        <v>363.61469094127079</v>
      </c>
      <c r="R268" s="32">
        <f ca="1"/>
        <v>363.41701271043723</v>
      </c>
      <c r="S268" s="32">
        <f ca="1"/>
        <v>363.24318373745075</v>
      </c>
      <c r="T268" s="32">
        <f ca="1"/>
        <v>363.10099991117664</v>
      </c>
      <c r="U268" s="32">
        <f ca="1"/>
        <v>362.93275990653063</v>
      </c>
      <c r="V268" s="32">
        <f ca="1"/>
        <v>362.75345645817964</v>
      </c>
      <c r="W268" s="32">
        <f ca="1"/>
        <v>362.59753905817382</v>
      </c>
      <c r="X268" s="32">
        <f ca="1"/>
        <v>362.43294629609551</v>
      </c>
      <c r="Y268" s="32">
        <f ca="1"/>
        <v>362.26926067342879</v>
      </c>
      <c r="Z268" s="32">
        <f ca="1"/>
        <v>362.16393631420578</v>
      </c>
      <c r="AA268" s="32">
        <f ca="1"/>
        <v>362.05070543240618</v>
      </c>
      <c r="AB268" s="32">
        <f ca="1"/>
        <v>361.94603151339049</v>
      </c>
      <c r="AC268" s="32">
        <f ca="1"/>
        <v>361.87355529872485</v>
      </c>
      <c r="AD268" s="32">
        <f ca="1"/>
        <v>361.78951099701635</v>
      </c>
      <c r="AE268" s="32">
        <f ca="1"/>
        <v>361.72377920010319</v>
      </c>
      <c r="AF268" s="32">
        <f ca="1"/>
        <v>361.72377920010319</v>
      </c>
      <c r="AG268" s="32">
        <f ca="1"/>
        <v>361.72377920010319</v>
      </c>
      <c r="AH268" s="32">
        <f ca="1"/>
        <v>361.72377920010319</v>
      </c>
      <c r="AI268" s="32">
        <f ca="1"/>
        <v>361.72377920010319</v>
      </c>
      <c r="AJ268" s="32">
        <f ca="1"/>
        <v>361.72377920010319</v>
      </c>
      <c r="AK268" s="32">
        <f ca="1"/>
        <v>361.72377920010319</v>
      </c>
      <c r="AL268" s="32">
        <f ca="1"/>
        <v>361.72377920010319</v>
      </c>
      <c r="AM268" s="32">
        <f ca="1"/>
        <v>361.72377920010319</v>
      </c>
      <c r="AN268" s="55">
        <f ca="1"/>
        <v>361.72377920010319</v>
      </c>
      <c r="AO268" s="8"/>
    </row>
    <row r="269" spans="2:41" x14ac:dyDescent="0.35">
      <c r="B269" s="8"/>
      <c r="C269" s="50" t="str">
        <f>INDEX(_fuel,1)</f>
        <v>Electricity</v>
      </c>
      <c r="D269" s="11" t="str">
        <f>_yearDol &amp; "$"</f>
        <v>2021$</v>
      </c>
      <c r="E269" s="32">
        <f ca="1">SUMPRODUCT(dFactor,tpSurvAll_Com,tElec4_Com,OFFSET(tPrcElec_Com,0,0,1,_maxLT))</f>
        <v>46.192315949126915</v>
      </c>
      <c r="F269" s="32">
        <f ca="1">SUMPRODUCT(dFactor,tpSurvAll_Com,tElec4_Com,OFFSET(tPrcElec_Com,0,1,1,_maxLT))</f>
        <v>46.17214175995052</v>
      </c>
      <c r="G269" s="32">
        <f ca="1">SUMPRODUCT(dFactor,tpSurvAll_Com,tElec4_Com,OFFSET(tPrcElec_Com,0,2,1,_maxLT))</f>
        <v>46.187043443563319</v>
      </c>
      <c r="H269" s="32">
        <f ca="1">SUMPRODUCT(dFactor,tpSurvAll_Com,tElec4_Com,OFFSET(tPrcElec_Com,0,3,1,_maxLT))</f>
        <v>46.22116577901464</v>
      </c>
      <c r="I269" s="32">
        <f ca="1">SUMPRODUCT(dFactor,tpSurvAll_Com,tElec4_Com,OFFSET(tPrcElec_Com,0,4,1,_maxLT))</f>
        <v>46.243305206042869</v>
      </c>
      <c r="J269" s="32">
        <f ca="1">SUMPRODUCT(dFactor,tpSurvAll_Com,tElec4_Com,OFFSET(tPrcElec_Com,0,5,1,_maxLT))</f>
        <v>46.242086518650147</v>
      </c>
      <c r="K269" s="32">
        <f ca="1">SUMPRODUCT(dFactor,tpSurvAll_Com,tElec4_Com,OFFSET(tPrcElec_Com,0,6,1,_maxLT))</f>
        <v>46.211319188125159</v>
      </c>
      <c r="L269" s="32">
        <f ca="1">SUMPRODUCT(dFactor,tpSurvAll_Com,tElec4_Com,OFFSET(tPrcElec_Com,0,7,1,_maxLT))</f>
        <v>46.163023868260581</v>
      </c>
      <c r="M269" s="32">
        <f ca="1">SUMPRODUCT(dFactor,tpSurvAll_Com,tElec4_Com,OFFSET(tPrcElec_Com,0,8,1,_maxLT))</f>
        <v>46.069600838186552</v>
      </c>
      <c r="N269" s="32">
        <f ca="1">SUMPRODUCT(dFactor,tpSurvAll_Com,tElec4_Com,OFFSET(tPrcElec_Com,0,9,1,_maxLT))</f>
        <v>45.956049454005282</v>
      </c>
      <c r="O269" s="32">
        <f ca="1">SUMPRODUCT(dFactor,tpSurvAll_Com,tElec4_Com,OFFSET(tPrcElec_Com,0,10,1,_maxLT))</f>
        <v>45.773976969539028</v>
      </c>
      <c r="P269" s="32">
        <f ca="1">SUMPRODUCT(dFactor,tpSurvAll_Com,tElec4_Com,OFFSET(tPrcElec_Com,0,11,1,_maxLT))</f>
        <v>45.543056860353715</v>
      </c>
      <c r="Q269" s="32">
        <f ca="1">SUMPRODUCT(dFactor,tpSurvAll_Com,tElec4_Com,OFFSET(tPrcElec_Com,0,12,1,_maxLT))</f>
        <v>45.343077448504737</v>
      </c>
      <c r="R269" s="32">
        <f ca="1">SUMPRODUCT(dFactor,tpSurvAll_Com,tElec4_Com,OFFSET(tPrcElec_Com,0,13,1,_maxLT))</f>
        <v>45.145399217671198</v>
      </c>
      <c r="S269" s="32">
        <f ca="1">SUMPRODUCT(dFactor,tpSurvAll_Com,tElec4_Com,OFFSET(tPrcElec_Com,0,14,1,_maxLT))</f>
        <v>44.971570244684727</v>
      </c>
      <c r="T269" s="32">
        <f ca="1">SUMPRODUCT(dFactor,tpSurvAll_Com,tElec4_Com,OFFSET(tPrcElec_Com,0,15,1,_maxLT))</f>
        <v>44.829386418410614</v>
      </c>
      <c r="U269" s="32">
        <f ca="1">SUMPRODUCT(dFactor,tpSurvAll_Com,tElec4_Com,OFFSET(tPrcElec_Com,0,16,1,_maxLT))</f>
        <v>44.661146413764591</v>
      </c>
      <c r="V269" s="32">
        <f ca="1">SUMPRODUCT(dFactor,tpSurvAll_Com,tElec4_Com,OFFSET(tPrcElec_Com,0,17,1,_maxLT))</f>
        <v>44.481842965413612</v>
      </c>
      <c r="W269" s="32">
        <f ca="1">SUMPRODUCT(dFactor,tpSurvAll_Com,tElec4_Com,OFFSET(tPrcElec_Com,0,18,1,_maxLT))</f>
        <v>44.325925565407793</v>
      </c>
      <c r="X269" s="32">
        <f ca="1">SUMPRODUCT(dFactor,tpSurvAll_Com,tElec4_Com,OFFSET(tPrcElec_Com,0,19,1,_maxLT))</f>
        <v>44.161332803329479</v>
      </c>
      <c r="Y269" s="32">
        <f ca="1">SUMPRODUCT(dFactor,tpSurvAll_Com,tElec4_Com,OFFSET(tPrcElec_Com,0,20,1,_maxLT))</f>
        <v>43.99764718066276</v>
      </c>
      <c r="Z269" s="32">
        <f ca="1">SUMPRODUCT(dFactor,tpSurvAll_Com,tElec4_Com,OFFSET(tPrcElec_Com,0,21,1,_maxLT))</f>
        <v>43.892322821439713</v>
      </c>
      <c r="AA269" s="32">
        <f ca="1">SUMPRODUCT(dFactor,tpSurvAll_Com,tElec4_Com,OFFSET(tPrcElec_Com,0,22,1,_maxLT))</f>
        <v>43.779091939640118</v>
      </c>
      <c r="AB269" s="32">
        <f ca="1">SUMPRODUCT(dFactor,tpSurvAll_Com,tElec4_Com,OFFSET(tPrcElec_Com,0,23,1,_maxLT))</f>
        <v>43.674418020624437</v>
      </c>
      <c r="AC269" s="32">
        <f ca="1">SUMPRODUCT(dFactor,tpSurvAll_Com,tElec4_Com,OFFSET(tPrcElec_Com,0,24,1,_maxLT))</f>
        <v>43.601941805958823</v>
      </c>
      <c r="AD269" s="32">
        <f ca="1">SUMPRODUCT(dFactor,tpSurvAll_Com,tElec4_Com,OFFSET(tPrcElec_Com,0,25,1,_maxLT))</f>
        <v>43.517897504250307</v>
      </c>
      <c r="AE269" s="32">
        <f ca="1">SUMPRODUCT(dFactor,tpSurvAll_Com,tElec4_Com,OFFSET(tPrcElec_Com,0,26,1,_maxLT))</f>
        <v>43.452165707337123</v>
      </c>
      <c r="AF269" s="32">
        <f ca="1">SUMPRODUCT(dFactor,tpSurvAll_Com,tElec4_Com,OFFSET(tPrcElec_Com,0,27,1,_maxLT))</f>
        <v>43.452165707337123</v>
      </c>
      <c r="AG269" s="32">
        <f ca="1">SUMPRODUCT(dFactor,tpSurvAll_Com,tElec4_Com,OFFSET(tPrcElec_Com,0,28,1,_maxLT))</f>
        <v>43.452165707337123</v>
      </c>
      <c r="AH269" s="32">
        <f ca="1">SUMPRODUCT(dFactor,tpSurvAll_Com,tElec4_Com,OFFSET(tPrcElec_Com,0,29,1,_maxLT))</f>
        <v>43.452165707337123</v>
      </c>
      <c r="AI269" s="32">
        <f ca="1">SUMPRODUCT(dFactor,tpSurvAll_Com,tElec4_Com,OFFSET(tPrcElec_Com,0,30,1,_maxLT))</f>
        <v>43.452165707337123</v>
      </c>
      <c r="AJ269" s="32">
        <f ca="1">SUMPRODUCT(dFactor,tpSurvAll_Com,tElec4_Com,OFFSET(tPrcElec_Com,0,31,1,_maxLT))</f>
        <v>43.452165707337123</v>
      </c>
      <c r="AK269" s="32">
        <f ca="1">SUMPRODUCT(dFactor,tpSurvAll_Com,tElec4_Com,OFFSET(tPrcElec_Com,0,32,1,_maxLT))</f>
        <v>43.452165707337123</v>
      </c>
      <c r="AL269" s="32">
        <f ca="1">SUMPRODUCT(dFactor,tpSurvAll_Com,tElec4_Com,OFFSET(tPrcElec_Com,0,33,1,_maxLT))</f>
        <v>43.452165707337123</v>
      </c>
      <c r="AM269" s="32">
        <f ca="1">SUMPRODUCT(dFactor,tpSurvAll_Com,tElec4_Com,OFFSET(tPrcElec_Com,0,34,1,_maxLT))</f>
        <v>43.452165707337123</v>
      </c>
      <c r="AN269" s="55">
        <f ca="1">SUMPRODUCT(dFactor,tpSurvAll_Com,tElec4_Com,OFFSET(tPrcElec_Com,0,35,1,_maxLT))</f>
        <v>43.452165707337123</v>
      </c>
      <c r="AO269" s="8"/>
    </row>
    <row r="270" spans="2:41" x14ac:dyDescent="0.35">
      <c r="B270" s="8"/>
      <c r="C270" s="10" t="s">
        <v>78</v>
      </c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18"/>
      <c r="AO270" s="8"/>
    </row>
    <row r="271" spans="2:41" x14ac:dyDescent="0.35">
      <c r="B271" s="8"/>
      <c r="C271" s="20" t="str">
        <f>INDEX(_Sector,2,1)</f>
        <v>Residential</v>
      </c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18"/>
      <c r="AO271" s="8"/>
    </row>
    <row r="272" spans="2:41" x14ac:dyDescent="0.35">
      <c r="B272" s="8"/>
      <c r="C272" s="50" t="str">
        <f>INDEX(_fuel,1)</f>
        <v>Electricity</v>
      </c>
      <c r="D272" s="11" t="s">
        <v>80</v>
      </c>
      <c r="E272" s="40">
        <f ca="1">SUMPRODUCT(OFFSET(tConvElec_Res,0,0,1,_maxLT),tElec4_Res,tpSurvAll_Res)</f>
        <v>2.7462741887795326</v>
      </c>
      <c r="F272" s="40">
        <f ca="1">SUMPRODUCT(OFFSET(tConvElec_Res,0,1,1,_maxLT),tElec4_Res,tpSurvAll_Res)</f>
        <v>2.7327013360641295</v>
      </c>
      <c r="G272" s="40">
        <f ca="1">SUMPRODUCT(OFFSET(tConvElec_Res,0,2,1,_maxLT),tElec4_Res,tpSurvAll_Res)</f>
        <v>2.7228562633395499</v>
      </c>
      <c r="H272" s="40">
        <f ca="1">SUMPRODUCT(OFFSET(tConvElec_Res,0,3,1,_maxLT),tElec4_Res,tpSurvAll_Res)</f>
        <v>2.7151560686795224</v>
      </c>
      <c r="I272" s="40">
        <f ca="1">SUMPRODUCT(OFFSET(tConvElec_Res,0,4,1,_maxLT),tElec4_Res,tpSurvAll_Res)</f>
        <v>2.7097970284269022</v>
      </c>
      <c r="J272" s="40">
        <f ca="1">SUMPRODUCT(OFFSET(tConvElec_Res,0,5,1,_maxLT),tElec4_Res,tpSurvAll_Res)</f>
        <v>2.7055701957333511</v>
      </c>
      <c r="K272" s="40">
        <f ca="1">SUMPRODUCT(OFFSET(tConvElec_Res,0,6,1,_maxLT),tElec4_Res,tpSurvAll_Res)</f>
        <v>2.7019082688529577</v>
      </c>
      <c r="L272" s="40">
        <f ca="1">SUMPRODUCT(OFFSET(tConvElec_Res,0,7,1,_maxLT),tElec4_Res,tpSurvAll_Res)</f>
        <v>2.697957544124356</v>
      </c>
      <c r="M272" s="40">
        <f ca="1">SUMPRODUCT(OFFSET(tConvElec_Res,0,8,1,_maxLT),tElec4_Res,tpSurvAll_Res)</f>
        <v>2.6941552475172235</v>
      </c>
      <c r="N272" s="40">
        <f ca="1">SUMPRODUCT(OFFSET(tConvElec_Res,0,9,1,_maxLT),tElec4_Res,tpSurvAll_Res)</f>
        <v>2.6905537713806331</v>
      </c>
      <c r="O272" s="40">
        <f ca="1">SUMPRODUCT(OFFSET(tConvElec_Res,0,10,1,_maxLT),tElec4_Res,tpSurvAll_Res)</f>
        <v>2.6867926917911698</v>
      </c>
      <c r="P272" s="40">
        <f ca="1">SUMPRODUCT(OFFSET(tConvElec_Res,0,11,1,_maxLT),tElec4_Res,tpSurvAll_Res)</f>
        <v>2.6836145796140167</v>
      </c>
      <c r="Q272" s="40">
        <f ca="1">SUMPRODUCT(OFFSET(tConvElec_Res,0,12,1,_maxLT),tElec4_Res,tpSurvAll_Res)</f>
        <v>2.6803542701120024</v>
      </c>
      <c r="R272" s="40">
        <f ca="1">SUMPRODUCT(OFFSET(tConvElec_Res,0,13,1,_maxLT),tElec4_Res,tpSurvAll_Res)</f>
        <v>2.677512503418332</v>
      </c>
      <c r="S272" s="40">
        <f ca="1">SUMPRODUCT(OFFSET(tConvElec_Res,0,14,1,_maxLT),tElec4_Res,tpSurvAll_Res)</f>
        <v>2.6751187007041297</v>
      </c>
      <c r="T272" s="40">
        <f ca="1">SUMPRODUCT(OFFSET(tConvElec_Res,0,15,1,_maxLT),tElec4_Res,tpSurvAll_Res)</f>
        <v>2.6728899476931316</v>
      </c>
      <c r="U272" s="40">
        <f ca="1">SUMPRODUCT(OFFSET(tConvElec_Res,0,16,1,_maxLT),tElec4_Res,tpSurvAll_Res)</f>
        <v>2.6705994290645578</v>
      </c>
      <c r="V272" s="40">
        <f ca="1">SUMPRODUCT(OFFSET(tConvElec_Res,0,17,1,_maxLT),tElec4_Res,tpSurvAll_Res)</f>
        <v>2.6685480597596194</v>
      </c>
      <c r="W272" s="40">
        <f ca="1">SUMPRODUCT(OFFSET(tConvElec_Res,0,18,1,_maxLT),tElec4_Res,tpSurvAll_Res)</f>
        <v>2.66687015884101</v>
      </c>
      <c r="X272" s="40">
        <f ca="1">SUMPRODUCT(OFFSET(tConvElec_Res,0,19,1,_maxLT),tElec4_Res,tpSurvAll_Res)</f>
        <v>2.6654513888786346</v>
      </c>
      <c r="Y272" s="40">
        <f ca="1">SUMPRODUCT(OFFSET(tConvElec_Res,0,20,1,_maxLT),tElec4_Res,tpSurvAll_Res)</f>
        <v>2.6643101247387508</v>
      </c>
      <c r="Z272" s="40">
        <f ca="1">SUMPRODUCT(OFFSET(tConvElec_Res,0,21,1,_maxLT),tElec4_Res,tpSurvAll_Res)</f>
        <v>2.6638676459084305</v>
      </c>
      <c r="AA272" s="40">
        <f ca="1">SUMPRODUCT(OFFSET(tConvElec_Res,0,22,1,_maxLT),tElec4_Res,tpSurvAll_Res)</f>
        <v>2.66385580519758</v>
      </c>
      <c r="AB272" s="40">
        <f ca="1">SUMPRODUCT(OFFSET(tConvElec_Res,0,23,1,_maxLT),tElec4_Res,tpSurvAll_Res)</f>
        <v>2.6639775755222153</v>
      </c>
      <c r="AC272" s="40">
        <f ca="1">SUMPRODUCT(OFFSET(tConvElec_Res,0,24,1,_maxLT),tElec4_Res,tpSurvAll_Res)</f>
        <v>2.6642383291389735</v>
      </c>
      <c r="AD272" s="40">
        <f ca="1">SUMPRODUCT(OFFSET(tConvElec_Res,0,25,1,_maxLT),tElec4_Res,tpSurvAll_Res)</f>
        <v>2.6644571977454863</v>
      </c>
      <c r="AE272" s="40">
        <f ca="1">SUMPRODUCT(OFFSET(tConvElec_Res,0,26,1,_maxLT),tElec4_Res,tpSurvAll_Res)</f>
        <v>2.6645088533371464</v>
      </c>
      <c r="AF272" s="40">
        <f ca="1">SUMPRODUCT(OFFSET(tConvElec_Res,0,27,1,_maxLT),tElec4_Res,tpSurvAll_Res)</f>
        <v>2.6645088533371464</v>
      </c>
      <c r="AG272" s="40">
        <f ca="1">SUMPRODUCT(OFFSET(tConvElec_Res,0,28,1,_maxLT),tElec4_Res,tpSurvAll_Res)</f>
        <v>2.6645088533371464</v>
      </c>
      <c r="AH272" s="40">
        <f ca="1">SUMPRODUCT(OFFSET(tConvElec_Res,0,29,1,_maxLT),tElec4_Res,tpSurvAll_Res)</f>
        <v>2.6645088533371464</v>
      </c>
      <c r="AI272" s="40">
        <f ca="1">SUMPRODUCT(OFFSET(tConvElec_Res,0,30,1,_maxLT),tElec4_Res,tpSurvAll_Res)</f>
        <v>2.6645088533371464</v>
      </c>
      <c r="AJ272" s="40">
        <f ca="1">SUMPRODUCT(OFFSET(tConvElec_Res,0,31,1,_maxLT),tElec4_Res,tpSurvAll_Res)</f>
        <v>2.6645088533371464</v>
      </c>
      <c r="AK272" s="40">
        <f ca="1">SUMPRODUCT(OFFSET(tConvElec_Res,0,32,1,_maxLT),tElec4_Res,tpSurvAll_Res)</f>
        <v>2.6645088533371464</v>
      </c>
      <c r="AL272" s="40">
        <f ca="1">SUMPRODUCT(OFFSET(tConvElec_Res,0,33,1,_maxLT),tElec4_Res,tpSurvAll_Res)</f>
        <v>2.6645088533371464</v>
      </c>
      <c r="AM272" s="40">
        <f ca="1">SUMPRODUCT(OFFSET(tConvElec_Res,0,34,1,_maxLT),tElec4_Res,tpSurvAll_Res)</f>
        <v>2.6645088533371464</v>
      </c>
      <c r="AN272" s="41">
        <f ca="1">SUMPRODUCT(OFFSET(tConvElec_Res,0,35,1,_maxLT),tElec4_Res,tpSurvAll_Res)</f>
        <v>2.6645088533371464</v>
      </c>
      <c r="AO272" s="8"/>
    </row>
    <row r="273" spans="2:41" x14ac:dyDescent="0.35">
      <c r="B273" s="8"/>
      <c r="C273" s="20" t="str">
        <f>INDEX(_Sector,2,2)</f>
        <v>Commercial</v>
      </c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18"/>
      <c r="AO273" s="8"/>
    </row>
    <row r="274" spans="2:41" x14ac:dyDescent="0.35">
      <c r="B274" s="8"/>
      <c r="C274" s="58" t="str">
        <f>INDEX(_fuel,1)</f>
        <v>Electricity</v>
      </c>
      <c r="D274" s="15" t="s">
        <v>80</v>
      </c>
      <c r="E274" s="48">
        <f ca="1">SUMPRODUCT(OFFSET(tConvElec_Com,0,0,1,_maxLT),tElec4_Com,tpSurvAll_Com)</f>
        <v>5.4102573232157223</v>
      </c>
      <c r="F274" s="48">
        <f ca="1">SUMPRODUCT(OFFSET(tConvElec_Com,0,1,1,_maxLT),tElec4_Com,tpSurvAll_Com)</f>
        <v>5.3824880399506148</v>
      </c>
      <c r="G274" s="48">
        <f ca="1">SUMPRODUCT(OFFSET(tConvElec_Com,0,2,1,_maxLT),tElec4_Com,tpSurvAll_Com)</f>
        <v>5.3626294441224118</v>
      </c>
      <c r="H274" s="48">
        <f ca="1">SUMPRODUCT(OFFSET(tConvElec_Com,0,3,1,_maxLT),tElec4_Com,tpSurvAll_Com)</f>
        <v>5.3473631750976907</v>
      </c>
      <c r="I274" s="48">
        <f ca="1">SUMPRODUCT(OFFSET(tConvElec_Com,0,4,1,_maxLT),tElec4_Com,tpSurvAll_Com)</f>
        <v>5.3371815289093423</v>
      </c>
      <c r="J274" s="48">
        <f ca="1">SUMPRODUCT(OFFSET(tConvElec_Com,0,5,1,_maxLT),tElec4_Com,tpSurvAll_Com)</f>
        <v>5.3294391496105664</v>
      </c>
      <c r="K274" s="48">
        <f ca="1">SUMPRODUCT(OFFSET(tConvElec_Com,0,6,1,_maxLT),tElec4_Com,tpSurvAll_Com)</f>
        <v>5.3228316291751598</v>
      </c>
      <c r="L274" s="48">
        <f ca="1">SUMPRODUCT(OFFSET(tConvElec_Com,0,7,1,_maxLT),tElec4_Com,tpSurvAll_Com)</f>
        <v>5.3157557593776472</v>
      </c>
      <c r="M274" s="48">
        <f ca="1">SUMPRODUCT(OFFSET(tConvElec_Com,0,8,1,_maxLT),tElec4_Com,tpSurvAll_Com)</f>
        <v>5.3090691793711331</v>
      </c>
      <c r="N274" s="48">
        <f ca="1">SUMPRODUCT(OFFSET(tConvElec_Com,0,9,1,_maxLT),tElec4_Com,tpSurvAll_Com)</f>
        <v>5.3027671023096117</v>
      </c>
      <c r="O274" s="48">
        <f ca="1">SUMPRODUCT(OFFSET(tConvElec_Com,0,10,1,_maxLT),tElec4_Com,tpSurvAll_Com)</f>
        <v>5.2962525644246252</v>
      </c>
      <c r="P274" s="48">
        <f ca="1">SUMPRODUCT(OFFSET(tConvElec_Com,0,11,1,_maxLT),tElec4_Com,tpSurvAll_Com)</f>
        <v>5.2906640647732379</v>
      </c>
      <c r="Q274" s="48">
        <f ca="1">SUMPRODUCT(OFFSET(tConvElec_Com,0,12,1,_maxLT),tElec4_Com,tpSurvAll_Com)</f>
        <v>5.2848430894994101</v>
      </c>
      <c r="R274" s="48">
        <f ca="1">SUMPRODUCT(OFFSET(tConvElec_Com,0,13,1,_maxLT),tElec4_Com,tpSurvAll_Com)</f>
        <v>5.2797677258463693</v>
      </c>
      <c r="S274" s="48">
        <f ca="1">SUMPRODUCT(OFFSET(tConvElec_Com,0,14,1,_maxLT),tElec4_Com,tpSurvAll_Com)</f>
        <v>5.2755518980002636</v>
      </c>
      <c r="T274" s="48">
        <f ca="1">SUMPRODUCT(OFFSET(tConvElec_Com,0,15,1,_maxLT),tElec4_Com,tpSurvAll_Com)</f>
        <v>5.2716880433874485</v>
      </c>
      <c r="U274" s="48">
        <f ca="1">SUMPRODUCT(OFFSET(tConvElec_Com,0,16,1,_maxLT),tElec4_Com,tpSurvAll_Com)</f>
        <v>5.2677062219751267</v>
      </c>
      <c r="V274" s="48">
        <f ca="1">SUMPRODUCT(OFFSET(tConvElec_Com,0,17,1,_maxLT),tElec4_Com,tpSurvAll_Com)</f>
        <v>5.2641221438635828</v>
      </c>
      <c r="W274" s="48">
        <f ca="1">SUMPRODUCT(OFFSET(tConvElec_Com,0,18,1,_maxLT),tElec4_Com,tpSurvAll_Com)</f>
        <v>5.2612260287999808</v>
      </c>
      <c r="X274" s="48">
        <f ca="1">SUMPRODUCT(OFFSET(tConvElec_Com,0,19,1,_maxLT),tElec4_Com,tpSurvAll_Com)</f>
        <v>5.2588049732030919</v>
      </c>
      <c r="Y274" s="48">
        <f ca="1">SUMPRODUCT(OFFSET(tConvElec_Com,0,20,1,_maxLT),tElec4_Com,tpSurvAll_Com)</f>
        <v>5.2568640255194428</v>
      </c>
      <c r="Z274" s="48">
        <f ca="1">SUMPRODUCT(OFFSET(tConvElec_Com,0,21,1,_maxLT),tElec4_Com,tpSurvAll_Com)</f>
        <v>5.2562165943679267</v>
      </c>
      <c r="AA274" s="48">
        <f ca="1">SUMPRODUCT(OFFSET(tConvElec_Com,0,22,1,_maxLT),tElec4_Com,tpSurvAll_Com)</f>
        <v>5.2563524929953651</v>
      </c>
      <c r="AB274" s="48">
        <f ca="1">SUMPRODUCT(OFFSET(tConvElec_Com,0,23,1,_maxLT),tElec4_Com,tpSurvAll_Com)</f>
        <v>5.2567194680947198</v>
      </c>
      <c r="AC274" s="48">
        <f ca="1">SUMPRODUCT(OFFSET(tConvElec_Com,0,24,1,_maxLT),tElec4_Com,tpSurvAll_Com)</f>
        <v>5.2573011460290404</v>
      </c>
      <c r="AD274" s="48">
        <f ca="1">SUMPRODUCT(OFFSET(tConvElec_Com,0,25,1,_maxLT),tElec4_Com,tpSurvAll_Com)</f>
        <v>5.2577663454671759</v>
      </c>
      <c r="AE274" s="48">
        <f ca="1">SUMPRODUCT(OFFSET(tConvElec_Com,0,26,1,_maxLT),tElec4_Com,tpSurvAll_Com)</f>
        <v>5.2578875272236756</v>
      </c>
      <c r="AF274" s="48">
        <f ca="1">SUMPRODUCT(OFFSET(tConvElec_Com,0,27,1,_maxLT),tElec4_Com,tpSurvAll_Com)</f>
        <v>5.2578875272236756</v>
      </c>
      <c r="AG274" s="48">
        <f ca="1">SUMPRODUCT(OFFSET(tConvElec_Com,0,28,1,_maxLT),tElec4_Com,tpSurvAll_Com)</f>
        <v>5.2578875272236756</v>
      </c>
      <c r="AH274" s="48">
        <f ca="1">SUMPRODUCT(OFFSET(tConvElec_Com,0,29,1,_maxLT),tElec4_Com,tpSurvAll_Com)</f>
        <v>5.2578875272236756</v>
      </c>
      <c r="AI274" s="48">
        <f ca="1">SUMPRODUCT(OFFSET(tConvElec_Com,0,30,1,_maxLT),tElec4_Com,tpSurvAll_Com)</f>
        <v>5.2578875272236756</v>
      </c>
      <c r="AJ274" s="48">
        <f ca="1">SUMPRODUCT(OFFSET(tConvElec_Com,0,31,1,_maxLT),tElec4_Com,tpSurvAll_Com)</f>
        <v>5.2578875272236756</v>
      </c>
      <c r="AK274" s="48">
        <f ca="1">SUMPRODUCT(OFFSET(tConvElec_Com,0,32,1,_maxLT),tElec4_Com,tpSurvAll_Com)</f>
        <v>5.2578875272236756</v>
      </c>
      <c r="AL274" s="48">
        <f ca="1">SUMPRODUCT(OFFSET(tConvElec_Com,0,33,1,_maxLT),tElec4_Com,tpSurvAll_Com)</f>
        <v>5.2578875272236756</v>
      </c>
      <c r="AM274" s="48">
        <f ca="1">SUMPRODUCT(OFFSET(tConvElec_Com,0,34,1,_maxLT),tElec4_Com,tpSurvAll_Com)</f>
        <v>5.2578875272236756</v>
      </c>
      <c r="AN274" s="49">
        <f ca="1">SUMPRODUCT(OFFSET(tConvElec_Com,0,35,1,_maxLT),tElec4_Com,tpSurvAll_Com)</f>
        <v>5.2578875272236756</v>
      </c>
      <c r="AO274" s="8"/>
    </row>
    <row r="275" spans="2:41" x14ac:dyDescent="0.3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</row>
    <row r="276" spans="2:41" x14ac:dyDescent="0.35">
      <c r="B276" s="8"/>
      <c r="C276" s="23" t="str">
        <f>"EL 0: " &amp; INDEX(_doName,3,1)</f>
        <v>EL 0: Baseline</v>
      </c>
      <c r="D276" s="24"/>
      <c r="E276" s="26">
        <f t="array" ref="E276:X276">_t</f>
        <v>1</v>
      </c>
      <c r="F276" s="26">
        <v>2</v>
      </c>
      <c r="G276" s="26">
        <v>3</v>
      </c>
      <c r="H276" s="26">
        <v>4</v>
      </c>
      <c r="I276" s="26">
        <v>5</v>
      </c>
      <c r="J276" s="26">
        <v>6</v>
      </c>
      <c r="K276" s="26">
        <v>7</v>
      </c>
      <c r="L276" s="26">
        <v>8</v>
      </c>
      <c r="M276" s="26">
        <v>9</v>
      </c>
      <c r="N276" s="26">
        <v>10</v>
      </c>
      <c r="O276" s="26">
        <v>11</v>
      </c>
      <c r="P276" s="26">
        <v>12</v>
      </c>
      <c r="Q276" s="26">
        <v>13</v>
      </c>
      <c r="R276" s="26">
        <v>14</v>
      </c>
      <c r="S276" s="26">
        <v>15</v>
      </c>
      <c r="T276" s="26">
        <v>16</v>
      </c>
      <c r="U276" s="26">
        <v>17</v>
      </c>
      <c r="V276" s="26">
        <v>18</v>
      </c>
      <c r="W276" s="26">
        <v>19</v>
      </c>
      <c r="X276" s="27">
        <v>20</v>
      </c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</row>
    <row r="277" spans="2:41" x14ac:dyDescent="0.35">
      <c r="B277" s="8"/>
      <c r="C277" s="19" t="s">
        <v>70</v>
      </c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1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</row>
    <row r="278" spans="2:41" x14ac:dyDescent="0.35">
      <c r="B278" s="8"/>
      <c r="C278" s="10" t="s">
        <v>30</v>
      </c>
      <c r="D278" s="11" t="str">
        <f>_yearDol &amp; "$"</f>
        <v>2021$</v>
      </c>
      <c r="E278" s="32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1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</row>
    <row r="279" spans="2:41" x14ac:dyDescent="0.35">
      <c r="B279" s="8"/>
      <c r="C279" s="20" t="str">
        <f>INDEX(_Sector,2,1)</f>
        <v>Residential</v>
      </c>
      <c r="D279" s="8"/>
      <c r="E279" s="32">
        <f>INDEX(msplrg_Res,1)</f>
        <v>145.92208766309017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18"/>
      <c r="Y279" s="8"/>
      <c r="Z279" s="8"/>
      <c r="AA279" s="8"/>
      <c r="AB279" s="8"/>
      <c r="AC279" s="125" t="s">
        <v>127</v>
      </c>
      <c r="AD279" s="124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</row>
    <row r="280" spans="2:41" x14ac:dyDescent="0.35">
      <c r="B280" s="8"/>
      <c r="C280" s="20" t="str">
        <f>INDEX(_Sector,2,2)</f>
        <v>Commercial</v>
      </c>
      <c r="D280" s="8"/>
      <c r="E280" s="32">
        <f>INDEX(msplrg_Com,1)</f>
        <v>140.94773044060653</v>
      </c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18"/>
      <c r="Y280" s="8"/>
      <c r="Z280" s="125" t="s">
        <v>128</v>
      </c>
      <c r="AA280" s="8"/>
      <c r="AB280" s="8"/>
      <c r="AC280" s="127" t="s">
        <v>12</v>
      </c>
      <c r="AD280" s="127" t="s">
        <v>14</v>
      </c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</row>
    <row r="281" spans="2:41" x14ac:dyDescent="0.35">
      <c r="B281" s="8"/>
      <c r="C281" s="10" t="s">
        <v>71</v>
      </c>
      <c r="D281" s="11" t="str">
        <f>_yearDol &amp; "$"</f>
        <v>2021$</v>
      </c>
      <c r="E281" s="32">
        <f>INDEX(instlrg,1)</f>
        <v>0</v>
      </c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18"/>
      <c r="Y281" s="8"/>
      <c r="Z281" s="124"/>
      <c r="AA281" s="8"/>
      <c r="AB281" s="8"/>
      <c r="AC281" s="128">
        <v>34.596717574649624</v>
      </c>
      <c r="AD281" s="129">
        <v>38.005285386305616</v>
      </c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</row>
    <row r="282" spans="2:41" x14ac:dyDescent="0.35">
      <c r="B282" s="8"/>
      <c r="C282" s="10" t="s">
        <v>77</v>
      </c>
      <c r="D282" s="11" t="str">
        <f>_yearDol &amp; "$"</f>
        <v>2021$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55"/>
      <c r="Y282" s="8"/>
      <c r="Z282" s="124"/>
      <c r="AA282" s="8"/>
      <c r="AB282" s="8"/>
      <c r="AC282" s="128">
        <v>33.39550859523591</v>
      </c>
      <c r="AD282" s="129">
        <v>36.650698052573766</v>
      </c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</row>
    <row r="283" spans="2:41" x14ac:dyDescent="0.35">
      <c r="B283" s="8"/>
      <c r="C283" s="20" t="str">
        <f>INDEX(_Sector,2,1)</f>
        <v>Residential</v>
      </c>
      <c r="D283" s="8"/>
      <c r="E283" s="32">
        <f>(Z283-1)*F283</f>
        <v>26.2437920225935</v>
      </c>
      <c r="F283" s="117">
        <f>$AC$281</f>
        <v>34.596717574649624</v>
      </c>
      <c r="G283" s="117">
        <f>F283</f>
        <v>34.596717574649624</v>
      </c>
      <c r="H283" s="117">
        <f t="shared" ref="H283:W283" si="0">G283</f>
        <v>34.596717574649624</v>
      </c>
      <c r="I283" s="117">
        <f t="shared" si="0"/>
        <v>34.596717574649624</v>
      </c>
      <c r="J283" s="117">
        <f t="shared" si="0"/>
        <v>34.596717574649624</v>
      </c>
      <c r="K283" s="117">
        <f t="shared" si="0"/>
        <v>34.596717574649624</v>
      </c>
      <c r="L283" s="117">
        <f t="shared" si="0"/>
        <v>34.596717574649624</v>
      </c>
      <c r="M283" s="117">
        <f t="shared" si="0"/>
        <v>34.596717574649624</v>
      </c>
      <c r="N283" s="117">
        <f t="shared" si="0"/>
        <v>34.596717574649624</v>
      </c>
      <c r="O283" s="117">
        <f t="shared" si="0"/>
        <v>34.596717574649624</v>
      </c>
      <c r="P283" s="117">
        <f t="shared" si="0"/>
        <v>34.596717574649624</v>
      </c>
      <c r="Q283" s="117">
        <f t="shared" si="0"/>
        <v>34.596717574649624</v>
      </c>
      <c r="R283" s="117">
        <f t="shared" si="0"/>
        <v>34.596717574649624</v>
      </c>
      <c r="S283" s="117">
        <f t="shared" si="0"/>
        <v>34.596717574649624</v>
      </c>
      <c r="T283" s="117">
        <f t="shared" si="0"/>
        <v>34.596717574649624</v>
      </c>
      <c r="U283" s="117">
        <f t="shared" si="0"/>
        <v>34.596717574649624</v>
      </c>
      <c r="V283" s="117">
        <f t="shared" si="0"/>
        <v>34.596717574649624</v>
      </c>
      <c r="W283" s="117">
        <f t="shared" si="0"/>
        <v>34.596717574649624</v>
      </c>
      <c r="X283" s="55">
        <f t="shared" ref="H283:X284" si="1">W283</f>
        <v>34.596717574649624</v>
      </c>
      <c r="Y283" s="8"/>
      <c r="Z283" s="126">
        <v>1.7585630621161401</v>
      </c>
      <c r="AA283" s="8"/>
      <c r="AB283" s="8"/>
      <c r="AC283" s="128">
        <v>32.161298186757776</v>
      </c>
      <c r="AD283" s="129">
        <v>35.258895447749161</v>
      </c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</row>
    <row r="284" spans="2:41" x14ac:dyDescent="0.35">
      <c r="B284" s="8"/>
      <c r="C284" s="20" t="str">
        <f>INDEX(_Sector,2,2)</f>
        <v>Commercial</v>
      </c>
      <c r="D284" s="8"/>
      <c r="E284" s="32">
        <f>(Z284-1)*F284</f>
        <v>38.005285386305616</v>
      </c>
      <c r="F284" s="117">
        <f>$AD$281</f>
        <v>38.005285386305616</v>
      </c>
      <c r="G284" s="117">
        <f>F284</f>
        <v>38.005285386305616</v>
      </c>
      <c r="H284" s="117">
        <f t="shared" si="1"/>
        <v>38.005285386305616</v>
      </c>
      <c r="I284" s="117">
        <f t="shared" si="1"/>
        <v>38.005285386305616</v>
      </c>
      <c r="J284" s="117">
        <f t="shared" si="1"/>
        <v>38.005285386305616</v>
      </c>
      <c r="K284" s="117">
        <f t="shared" si="1"/>
        <v>38.005285386305616</v>
      </c>
      <c r="L284" s="117">
        <f t="shared" si="1"/>
        <v>38.005285386305616</v>
      </c>
      <c r="M284" s="117">
        <f t="shared" si="1"/>
        <v>38.005285386305616</v>
      </c>
      <c r="N284" s="117">
        <f t="shared" si="1"/>
        <v>38.005285386305616</v>
      </c>
      <c r="O284" s="117">
        <f t="shared" si="1"/>
        <v>38.005285386305616</v>
      </c>
      <c r="P284" s="117">
        <f t="shared" si="1"/>
        <v>38.005285386305616</v>
      </c>
      <c r="Q284" s="117">
        <f t="shared" si="1"/>
        <v>38.005285386305616</v>
      </c>
      <c r="R284" s="117">
        <f t="shared" si="1"/>
        <v>38.005285386305616</v>
      </c>
      <c r="S284" s="117">
        <f t="shared" si="1"/>
        <v>38.005285386305616</v>
      </c>
      <c r="T284" s="117">
        <f t="shared" si="1"/>
        <v>38.005285386305616</v>
      </c>
      <c r="U284" s="117">
        <f t="shared" si="1"/>
        <v>38.005285386305616</v>
      </c>
      <c r="V284" s="117">
        <f t="shared" si="1"/>
        <v>38.005285386305616</v>
      </c>
      <c r="W284" s="117">
        <f t="shared" si="1"/>
        <v>38.005285386305616</v>
      </c>
      <c r="X284" s="55">
        <f t="shared" si="1"/>
        <v>38.005285386305616</v>
      </c>
      <c r="Y284" s="8"/>
      <c r="Z284" s="126">
        <v>2</v>
      </c>
      <c r="AA284" s="8"/>
      <c r="AB284" s="8"/>
      <c r="AC284" s="128">
        <v>44.265610282911659</v>
      </c>
      <c r="AD284" s="129">
        <v>48.908766644187899</v>
      </c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</row>
    <row r="285" spans="2:41" x14ac:dyDescent="0.35">
      <c r="B285" s="8"/>
      <c r="C285" s="19" t="s">
        <v>78</v>
      </c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18"/>
      <c r="Y285" s="8"/>
      <c r="Z285" s="32"/>
      <c r="AA285" s="8"/>
      <c r="AB285" s="8"/>
      <c r="AC285" s="128">
        <v>46.163991574309406</v>
      </c>
      <c r="AD285" s="129">
        <v>51.049545889094595</v>
      </c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</row>
    <row r="286" spans="2:41" x14ac:dyDescent="0.35">
      <c r="B286" s="8"/>
      <c r="C286" s="10" t="str">
        <f>INDEX(_fuel,1)</f>
        <v>Electricity</v>
      </c>
      <c r="D286" s="11" t="s">
        <v>75</v>
      </c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1"/>
      <c r="Y286" s="8"/>
      <c r="Z286" s="32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</row>
    <row r="287" spans="2:41" x14ac:dyDescent="0.35">
      <c r="B287" s="8"/>
      <c r="C287" s="20" t="str">
        <f>INDEX(_Sector,2,1)</f>
        <v>Residential</v>
      </c>
      <c r="D287" s="8"/>
      <c r="E287" s="40">
        <f>INDEX(eleclrg_Res,1)</f>
        <v>203.46821862422934</v>
      </c>
      <c r="F287" s="40">
        <f t="array" ref="F287:X287">$E$287</f>
        <v>203.46821862422934</v>
      </c>
      <c r="G287" s="40">
        <v>203.46821862422934</v>
      </c>
      <c r="H287" s="40">
        <v>203.46821862422934</v>
      </c>
      <c r="I287" s="40">
        <v>203.46821862422934</v>
      </c>
      <c r="J287" s="40">
        <v>203.46821862422934</v>
      </c>
      <c r="K287" s="40">
        <v>203.46821862422934</v>
      </c>
      <c r="L287" s="40">
        <v>203.46821862422934</v>
      </c>
      <c r="M287" s="40">
        <v>203.46821862422934</v>
      </c>
      <c r="N287" s="40">
        <v>203.46821862422934</v>
      </c>
      <c r="O287" s="40">
        <v>203.46821862422934</v>
      </c>
      <c r="P287" s="40">
        <v>203.46821862422934</v>
      </c>
      <c r="Q287" s="40">
        <v>203.46821862422934</v>
      </c>
      <c r="R287" s="40">
        <v>203.46821862422934</v>
      </c>
      <c r="S287" s="40">
        <v>203.46821862422934</v>
      </c>
      <c r="T287" s="40">
        <v>203.46821862422934</v>
      </c>
      <c r="U287" s="40">
        <v>203.46821862422934</v>
      </c>
      <c r="V287" s="40">
        <v>203.46821862422934</v>
      </c>
      <c r="W287" s="40">
        <v>203.46821862422934</v>
      </c>
      <c r="X287" s="41">
        <v>203.46821862422934</v>
      </c>
      <c r="Y287" s="8"/>
      <c r="Z287" s="32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</row>
    <row r="288" spans="2:41" x14ac:dyDescent="0.35">
      <c r="B288" s="8"/>
      <c r="C288" s="39" t="str">
        <f>INDEX(_Sector,2,2)</f>
        <v>Commercial</v>
      </c>
      <c r="D288" s="56"/>
      <c r="E288" s="48">
        <f>INDEX(eleclrg_Com,1)</f>
        <v>424.09869043453654</v>
      </c>
      <c r="F288" s="48">
        <f t="array" ref="F288:X288">$E$288</f>
        <v>424.09869043453654</v>
      </c>
      <c r="G288" s="48">
        <v>424.09869043453654</v>
      </c>
      <c r="H288" s="48">
        <v>424.09869043453654</v>
      </c>
      <c r="I288" s="48">
        <v>424.09869043453654</v>
      </c>
      <c r="J288" s="48">
        <v>424.09869043453654</v>
      </c>
      <c r="K288" s="48">
        <v>424.09869043453654</v>
      </c>
      <c r="L288" s="48">
        <v>424.09869043453654</v>
      </c>
      <c r="M288" s="48">
        <v>424.09869043453654</v>
      </c>
      <c r="N288" s="48">
        <v>424.09869043453654</v>
      </c>
      <c r="O288" s="48">
        <v>424.09869043453654</v>
      </c>
      <c r="P288" s="48">
        <v>424.09869043453654</v>
      </c>
      <c r="Q288" s="48">
        <v>424.09869043453654</v>
      </c>
      <c r="R288" s="48">
        <v>424.09869043453654</v>
      </c>
      <c r="S288" s="48">
        <v>424.09869043453654</v>
      </c>
      <c r="T288" s="48">
        <v>424.09869043453654</v>
      </c>
      <c r="U288" s="48">
        <v>424.09869043453654</v>
      </c>
      <c r="V288" s="48">
        <v>424.09869043453654</v>
      </c>
      <c r="W288" s="48">
        <v>424.09869043453654</v>
      </c>
      <c r="X288" s="49">
        <v>424.09869043453654</v>
      </c>
      <c r="Y288" s="8"/>
      <c r="Z288" s="32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</row>
    <row r="289" spans="2:41" x14ac:dyDescent="0.3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32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</row>
    <row r="290" spans="2:41" x14ac:dyDescent="0.35">
      <c r="B290" s="8"/>
      <c r="C290" s="23" t="str">
        <f>"EL 1: " &amp; INDEX(_doName,3,2)</f>
        <v>EL 1: Tier 1</v>
      </c>
      <c r="D290" s="24"/>
      <c r="E290" s="26">
        <f t="array" ref="E290:X290">_t</f>
        <v>1</v>
      </c>
      <c r="F290" s="26">
        <v>2</v>
      </c>
      <c r="G290" s="26">
        <v>3</v>
      </c>
      <c r="H290" s="26">
        <v>4</v>
      </c>
      <c r="I290" s="26">
        <v>5</v>
      </c>
      <c r="J290" s="26">
        <v>6</v>
      </c>
      <c r="K290" s="26">
        <v>7</v>
      </c>
      <c r="L290" s="26">
        <v>8</v>
      </c>
      <c r="M290" s="26">
        <v>9</v>
      </c>
      <c r="N290" s="26">
        <v>10</v>
      </c>
      <c r="O290" s="26">
        <v>11</v>
      </c>
      <c r="P290" s="26">
        <v>12</v>
      </c>
      <c r="Q290" s="26">
        <v>13</v>
      </c>
      <c r="R290" s="26">
        <v>14</v>
      </c>
      <c r="S290" s="26">
        <v>15</v>
      </c>
      <c r="T290" s="26">
        <v>16</v>
      </c>
      <c r="U290" s="26">
        <v>17</v>
      </c>
      <c r="V290" s="26">
        <v>18</v>
      </c>
      <c r="W290" s="26">
        <v>19</v>
      </c>
      <c r="X290" s="27">
        <v>20</v>
      </c>
      <c r="Y290" s="8"/>
      <c r="Z290" s="32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</row>
    <row r="291" spans="2:41" x14ac:dyDescent="0.35">
      <c r="B291" s="8"/>
      <c r="C291" s="19" t="s">
        <v>70</v>
      </c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18"/>
      <c r="Y291" s="8"/>
      <c r="Z291" s="32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</row>
    <row r="292" spans="2:41" x14ac:dyDescent="0.35">
      <c r="B292" s="8"/>
      <c r="C292" s="10" t="s">
        <v>30</v>
      </c>
      <c r="D292" s="11" t="str">
        <f>_yearDol &amp; "$"</f>
        <v>2021$</v>
      </c>
      <c r="E292" s="32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18"/>
      <c r="Y292" s="8"/>
      <c r="Z292" s="32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</row>
    <row r="293" spans="2:41" x14ac:dyDescent="0.35">
      <c r="B293" s="8"/>
      <c r="C293" s="20" t="str">
        <f>INDEX(_Sector,2,1)</f>
        <v>Residential</v>
      </c>
      <c r="D293" s="8"/>
      <c r="E293" s="32">
        <f>INDEX(msplrg_Res,2)</f>
        <v>147.88068542141497</v>
      </c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18"/>
      <c r="Y293" s="8"/>
      <c r="Z293" s="32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</row>
    <row r="294" spans="2:41" x14ac:dyDescent="0.35">
      <c r="B294" s="8"/>
      <c r="C294" s="20" t="str">
        <f>INDEX(_Sector,2,2)</f>
        <v>Commercial</v>
      </c>
      <c r="D294" s="8"/>
      <c r="E294" s="32">
        <f>INDEX(msplrg_Com,2)</f>
        <v>142.88978597419896</v>
      </c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18"/>
      <c r="Y294" s="8"/>
      <c r="Z294" s="32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</row>
    <row r="295" spans="2:41" x14ac:dyDescent="0.35">
      <c r="B295" s="8"/>
      <c r="C295" s="10" t="s">
        <v>71</v>
      </c>
      <c r="D295" s="11" t="str">
        <f>_yearDol &amp; "$"</f>
        <v>2021$</v>
      </c>
      <c r="E295" s="32">
        <f>INDEX(instlrg,2)</f>
        <v>0</v>
      </c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18"/>
      <c r="Y295" s="8"/>
      <c r="Z295" s="32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</row>
    <row r="296" spans="2:41" x14ac:dyDescent="0.35">
      <c r="B296" s="8"/>
      <c r="C296" s="10" t="s">
        <v>77</v>
      </c>
      <c r="D296" s="11" t="str">
        <f>_yearDol &amp; "$"</f>
        <v>2021$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55"/>
      <c r="Y296" s="8"/>
      <c r="Z296" s="32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</row>
    <row r="297" spans="2:41" x14ac:dyDescent="0.35">
      <c r="B297" s="8"/>
      <c r="C297" s="20" t="str">
        <f>INDEX(_Sector,2,1)</f>
        <v>Residential</v>
      </c>
      <c r="D297" s="8"/>
      <c r="E297" s="32">
        <f>(Z297-1)*F297</f>
        <v>25.332599260928028</v>
      </c>
      <c r="F297" s="117">
        <f>$AC$282</f>
        <v>33.39550859523591</v>
      </c>
      <c r="G297" s="117">
        <f>F297</f>
        <v>33.39550859523591</v>
      </c>
      <c r="H297" s="117">
        <f t="shared" ref="H297:W297" si="2">G297</f>
        <v>33.39550859523591</v>
      </c>
      <c r="I297" s="117">
        <f t="shared" si="2"/>
        <v>33.39550859523591</v>
      </c>
      <c r="J297" s="117">
        <f t="shared" si="2"/>
        <v>33.39550859523591</v>
      </c>
      <c r="K297" s="117">
        <f t="shared" si="2"/>
        <v>33.39550859523591</v>
      </c>
      <c r="L297" s="117">
        <f t="shared" si="2"/>
        <v>33.39550859523591</v>
      </c>
      <c r="M297" s="117">
        <f t="shared" si="2"/>
        <v>33.39550859523591</v>
      </c>
      <c r="N297" s="117">
        <f t="shared" si="2"/>
        <v>33.39550859523591</v>
      </c>
      <c r="O297" s="117">
        <f t="shared" si="2"/>
        <v>33.39550859523591</v>
      </c>
      <c r="P297" s="117">
        <f t="shared" si="2"/>
        <v>33.39550859523591</v>
      </c>
      <c r="Q297" s="117">
        <f t="shared" si="2"/>
        <v>33.39550859523591</v>
      </c>
      <c r="R297" s="117">
        <f t="shared" si="2"/>
        <v>33.39550859523591</v>
      </c>
      <c r="S297" s="117">
        <f t="shared" si="2"/>
        <v>33.39550859523591</v>
      </c>
      <c r="T297" s="117">
        <f t="shared" si="2"/>
        <v>33.39550859523591</v>
      </c>
      <c r="U297" s="117">
        <f t="shared" si="2"/>
        <v>33.39550859523591</v>
      </c>
      <c r="V297" s="117">
        <f t="shared" si="2"/>
        <v>33.39550859523591</v>
      </c>
      <c r="W297" s="117">
        <f t="shared" si="2"/>
        <v>33.39550859523591</v>
      </c>
      <c r="X297" s="55">
        <f t="shared" ref="H297:X298" si="3">W297</f>
        <v>33.39550859523591</v>
      </c>
      <c r="Y297" s="8"/>
      <c r="Z297" s="126">
        <f>Z283</f>
        <v>1.7585630621161401</v>
      </c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</row>
    <row r="298" spans="2:41" x14ac:dyDescent="0.35">
      <c r="B298" s="8"/>
      <c r="C298" s="20" t="str">
        <f>INDEX(_Sector,2,2)</f>
        <v>Commercial</v>
      </c>
      <c r="D298" s="8"/>
      <c r="E298" s="32">
        <f>(Z298-1)*F298</f>
        <v>36.650698052573766</v>
      </c>
      <c r="F298" s="117">
        <f>$AD$282</f>
        <v>36.650698052573766</v>
      </c>
      <c r="G298" s="117">
        <f>F298</f>
        <v>36.650698052573766</v>
      </c>
      <c r="H298" s="117">
        <f t="shared" si="3"/>
        <v>36.650698052573766</v>
      </c>
      <c r="I298" s="117">
        <f t="shared" si="3"/>
        <v>36.650698052573766</v>
      </c>
      <c r="J298" s="117">
        <f t="shared" si="3"/>
        <v>36.650698052573766</v>
      </c>
      <c r="K298" s="117">
        <f t="shared" si="3"/>
        <v>36.650698052573766</v>
      </c>
      <c r="L298" s="117">
        <f t="shared" si="3"/>
        <v>36.650698052573766</v>
      </c>
      <c r="M298" s="117">
        <f t="shared" si="3"/>
        <v>36.650698052573766</v>
      </c>
      <c r="N298" s="117">
        <f t="shared" si="3"/>
        <v>36.650698052573766</v>
      </c>
      <c r="O298" s="117">
        <f t="shared" si="3"/>
        <v>36.650698052573766</v>
      </c>
      <c r="P298" s="117">
        <f t="shared" si="3"/>
        <v>36.650698052573766</v>
      </c>
      <c r="Q298" s="117">
        <f t="shared" si="3"/>
        <v>36.650698052573766</v>
      </c>
      <c r="R298" s="117">
        <f t="shared" si="3"/>
        <v>36.650698052573766</v>
      </c>
      <c r="S298" s="117">
        <f t="shared" si="3"/>
        <v>36.650698052573766</v>
      </c>
      <c r="T298" s="117">
        <f t="shared" si="3"/>
        <v>36.650698052573766</v>
      </c>
      <c r="U298" s="117">
        <f t="shared" si="3"/>
        <v>36.650698052573766</v>
      </c>
      <c r="V298" s="117">
        <f t="shared" si="3"/>
        <v>36.650698052573766</v>
      </c>
      <c r="W298" s="117">
        <f t="shared" si="3"/>
        <v>36.650698052573766</v>
      </c>
      <c r="X298" s="55">
        <f t="shared" si="3"/>
        <v>36.650698052573766</v>
      </c>
      <c r="Y298" s="8"/>
      <c r="Z298" s="126">
        <f>Z284</f>
        <v>2</v>
      </c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</row>
    <row r="299" spans="2:41" x14ac:dyDescent="0.35">
      <c r="B299" s="8"/>
      <c r="C299" s="19" t="s">
        <v>78</v>
      </c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18"/>
      <c r="Y299" s="8"/>
      <c r="Z299" s="32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</row>
    <row r="300" spans="2:41" x14ac:dyDescent="0.35">
      <c r="B300" s="8"/>
      <c r="C300" s="10" t="str">
        <f>INDEX(_fuel,1)</f>
        <v>Electricity</v>
      </c>
      <c r="D300" s="11" t="s">
        <v>75</v>
      </c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1"/>
      <c r="Y300" s="8"/>
      <c r="Z300" s="32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</row>
    <row r="301" spans="2:41" x14ac:dyDescent="0.35">
      <c r="B301" s="8"/>
      <c r="C301" s="20" t="str">
        <f>INDEX(_Sector,2,1)</f>
        <v>Residential</v>
      </c>
      <c r="D301" s="8"/>
      <c r="E301" s="40">
        <f>INDEX(eleclrg_Res,2)</f>
        <v>122.26148038647598</v>
      </c>
      <c r="F301" s="40">
        <f t="array" ref="F301:X301">$E$301</f>
        <v>122.26148038647598</v>
      </c>
      <c r="G301" s="40">
        <v>122.26148038647598</v>
      </c>
      <c r="H301" s="40">
        <v>122.26148038647598</v>
      </c>
      <c r="I301" s="40">
        <v>122.26148038647598</v>
      </c>
      <c r="J301" s="40">
        <v>122.26148038647598</v>
      </c>
      <c r="K301" s="40">
        <v>122.26148038647598</v>
      </c>
      <c r="L301" s="40">
        <v>122.26148038647598</v>
      </c>
      <c r="M301" s="40">
        <v>122.26148038647598</v>
      </c>
      <c r="N301" s="40">
        <v>122.26148038647598</v>
      </c>
      <c r="O301" s="40">
        <v>122.26148038647598</v>
      </c>
      <c r="P301" s="40">
        <v>122.26148038647598</v>
      </c>
      <c r="Q301" s="40">
        <v>122.26148038647598</v>
      </c>
      <c r="R301" s="40">
        <v>122.26148038647598</v>
      </c>
      <c r="S301" s="40">
        <v>122.26148038647598</v>
      </c>
      <c r="T301" s="40">
        <v>122.26148038647598</v>
      </c>
      <c r="U301" s="40">
        <v>122.26148038647598</v>
      </c>
      <c r="V301" s="40">
        <v>122.26148038647598</v>
      </c>
      <c r="W301" s="40">
        <v>122.26148038647598</v>
      </c>
      <c r="X301" s="41">
        <v>122.26148038647598</v>
      </c>
      <c r="Y301" s="8"/>
      <c r="Z301" s="32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</row>
    <row r="302" spans="2:41" x14ac:dyDescent="0.35">
      <c r="B302" s="8"/>
      <c r="C302" s="39" t="str">
        <f>INDEX(_Sector,2,2)</f>
        <v>Commercial</v>
      </c>
      <c r="D302" s="56"/>
      <c r="E302" s="48">
        <f>INDEX(eleclrg_Com,2)</f>
        <v>253.47970322143385</v>
      </c>
      <c r="F302" s="48">
        <f t="array" ref="F302:X302">$E$302</f>
        <v>253.47970322143385</v>
      </c>
      <c r="G302" s="48">
        <v>253.47970322143385</v>
      </c>
      <c r="H302" s="48">
        <v>253.47970322143385</v>
      </c>
      <c r="I302" s="48">
        <v>253.47970322143385</v>
      </c>
      <c r="J302" s="48">
        <v>253.47970322143385</v>
      </c>
      <c r="K302" s="48">
        <v>253.47970322143385</v>
      </c>
      <c r="L302" s="48">
        <v>253.47970322143385</v>
      </c>
      <c r="M302" s="48">
        <v>253.47970322143385</v>
      </c>
      <c r="N302" s="48">
        <v>253.47970322143385</v>
      </c>
      <c r="O302" s="48">
        <v>253.47970322143385</v>
      </c>
      <c r="P302" s="48">
        <v>253.47970322143385</v>
      </c>
      <c r="Q302" s="48">
        <v>253.47970322143385</v>
      </c>
      <c r="R302" s="48">
        <v>253.47970322143385</v>
      </c>
      <c r="S302" s="48">
        <v>253.47970322143385</v>
      </c>
      <c r="T302" s="48">
        <v>253.47970322143385</v>
      </c>
      <c r="U302" s="48">
        <v>253.47970322143385</v>
      </c>
      <c r="V302" s="48">
        <v>253.47970322143385</v>
      </c>
      <c r="W302" s="48">
        <v>253.47970322143385</v>
      </c>
      <c r="X302" s="49">
        <v>253.47970322143385</v>
      </c>
      <c r="Y302" s="8"/>
      <c r="Z302" s="32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</row>
    <row r="303" spans="2:41" x14ac:dyDescent="0.3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32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</row>
    <row r="304" spans="2:41" x14ac:dyDescent="0.35">
      <c r="B304" s="8"/>
      <c r="C304" s="23" t="str">
        <f>"EL 2: " &amp; INDEX(_doName,3,3)</f>
        <v>EL 2: Tier 2</v>
      </c>
      <c r="D304" s="24"/>
      <c r="E304" s="26">
        <f t="array" ref="E304:X304">_t</f>
        <v>1</v>
      </c>
      <c r="F304" s="26">
        <v>2</v>
      </c>
      <c r="G304" s="26">
        <v>3</v>
      </c>
      <c r="H304" s="26">
        <v>4</v>
      </c>
      <c r="I304" s="26">
        <v>5</v>
      </c>
      <c r="J304" s="26">
        <v>6</v>
      </c>
      <c r="K304" s="26">
        <v>7</v>
      </c>
      <c r="L304" s="26">
        <v>8</v>
      </c>
      <c r="M304" s="26">
        <v>9</v>
      </c>
      <c r="N304" s="26">
        <v>10</v>
      </c>
      <c r="O304" s="26">
        <v>11</v>
      </c>
      <c r="P304" s="26">
        <v>12</v>
      </c>
      <c r="Q304" s="26">
        <v>13</v>
      </c>
      <c r="R304" s="26">
        <v>14</v>
      </c>
      <c r="S304" s="26">
        <v>15</v>
      </c>
      <c r="T304" s="26">
        <v>16</v>
      </c>
      <c r="U304" s="26">
        <v>17</v>
      </c>
      <c r="V304" s="26">
        <v>18</v>
      </c>
      <c r="W304" s="26">
        <v>19</v>
      </c>
      <c r="X304" s="27">
        <v>20</v>
      </c>
      <c r="Y304" s="8"/>
      <c r="Z304" s="32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</row>
    <row r="305" spans="2:41" x14ac:dyDescent="0.35">
      <c r="B305" s="8"/>
      <c r="C305" s="19" t="s">
        <v>70</v>
      </c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18"/>
      <c r="Y305" s="8"/>
      <c r="Z305" s="32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</row>
    <row r="306" spans="2:41" x14ac:dyDescent="0.35">
      <c r="B306" s="8"/>
      <c r="C306" s="10" t="s">
        <v>30</v>
      </c>
      <c r="D306" s="11" t="str">
        <f>_yearDol &amp; "$"</f>
        <v>2021$</v>
      </c>
      <c r="E306" s="32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18"/>
      <c r="Y306" s="8"/>
      <c r="Z306" s="32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</row>
    <row r="307" spans="2:41" x14ac:dyDescent="0.35">
      <c r="B307" s="8"/>
      <c r="C307" s="20" t="str">
        <f>INDEX(_Sector,2,1)</f>
        <v>Residential</v>
      </c>
      <c r="D307" s="8"/>
      <c r="E307" s="32">
        <f>INDEX(msplrg_Res,3)</f>
        <v>149.27425615234824</v>
      </c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18"/>
      <c r="Y307" s="8"/>
      <c r="Z307" s="32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</row>
    <row r="308" spans="2:41" x14ac:dyDescent="0.35">
      <c r="B308" s="8"/>
      <c r="C308" s="20" t="str">
        <f>INDEX(_Sector,2,2)</f>
        <v>Commercial</v>
      </c>
      <c r="D308" s="8"/>
      <c r="E308" s="32">
        <f>INDEX(msplrg_Com,3)</f>
        <v>144.27158667215292</v>
      </c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18"/>
      <c r="Y308" s="8"/>
      <c r="Z308" s="32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</row>
    <row r="309" spans="2:41" x14ac:dyDescent="0.35">
      <c r="B309" s="8"/>
      <c r="C309" s="10" t="s">
        <v>71</v>
      </c>
      <c r="D309" s="11" t="str">
        <f>_yearDol &amp; "$"</f>
        <v>2021$</v>
      </c>
      <c r="E309" s="32">
        <f>INDEX(instlrg,3)</f>
        <v>0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18"/>
      <c r="Y309" s="8"/>
      <c r="Z309" s="32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</row>
    <row r="310" spans="2:41" x14ac:dyDescent="0.35">
      <c r="B310" s="8"/>
      <c r="C310" s="10" t="s">
        <v>77</v>
      </c>
      <c r="D310" s="11" t="str">
        <f>_yearDol &amp; "$"</f>
        <v>2021$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55"/>
      <c r="Y310" s="8"/>
      <c r="Z310" s="32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</row>
    <row r="311" spans="2:41" x14ac:dyDescent="0.35">
      <c r="B311" s="8"/>
      <c r="C311" s="20" t="str">
        <f>INDEX(_Sector,2,1)</f>
        <v>Residential</v>
      </c>
      <c r="D311" s="8"/>
      <c r="E311" s="32">
        <f>(Z311-1)*F311</f>
        <v>24.396372834177242</v>
      </c>
      <c r="F311" s="117">
        <f>$AC$283</f>
        <v>32.161298186757776</v>
      </c>
      <c r="G311" s="117">
        <f>F311</f>
        <v>32.161298186757776</v>
      </c>
      <c r="H311" s="117">
        <f t="shared" ref="H311:W311" si="4">G311</f>
        <v>32.161298186757776</v>
      </c>
      <c r="I311" s="117">
        <f t="shared" si="4"/>
        <v>32.161298186757776</v>
      </c>
      <c r="J311" s="117">
        <f t="shared" si="4"/>
        <v>32.161298186757776</v>
      </c>
      <c r="K311" s="117">
        <f t="shared" si="4"/>
        <v>32.161298186757776</v>
      </c>
      <c r="L311" s="117">
        <f t="shared" si="4"/>
        <v>32.161298186757776</v>
      </c>
      <c r="M311" s="117">
        <f t="shared" si="4"/>
        <v>32.161298186757776</v>
      </c>
      <c r="N311" s="117">
        <f t="shared" si="4"/>
        <v>32.161298186757776</v>
      </c>
      <c r="O311" s="117">
        <f t="shared" si="4"/>
        <v>32.161298186757776</v>
      </c>
      <c r="P311" s="117">
        <f t="shared" si="4"/>
        <v>32.161298186757776</v>
      </c>
      <c r="Q311" s="117">
        <f t="shared" si="4"/>
        <v>32.161298186757776</v>
      </c>
      <c r="R311" s="117">
        <f t="shared" si="4"/>
        <v>32.161298186757776</v>
      </c>
      <c r="S311" s="117">
        <f t="shared" si="4"/>
        <v>32.161298186757776</v>
      </c>
      <c r="T311" s="117">
        <f t="shared" si="4"/>
        <v>32.161298186757776</v>
      </c>
      <c r="U311" s="117">
        <f t="shared" si="4"/>
        <v>32.161298186757776</v>
      </c>
      <c r="V311" s="117">
        <f t="shared" si="4"/>
        <v>32.161298186757776</v>
      </c>
      <c r="W311" s="117">
        <f t="shared" si="4"/>
        <v>32.161298186757776</v>
      </c>
      <c r="X311" s="55">
        <f t="shared" ref="H311:X312" si="5">W311</f>
        <v>32.161298186757776</v>
      </c>
      <c r="Y311" s="8"/>
      <c r="Z311" s="126">
        <v>1.7585630621161401</v>
      </c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</row>
    <row r="312" spans="2:41" x14ac:dyDescent="0.35">
      <c r="B312" s="8"/>
      <c r="C312" s="20" t="str">
        <f>INDEX(_Sector,2,2)</f>
        <v>Commercial</v>
      </c>
      <c r="D312" s="8"/>
      <c r="E312" s="32">
        <f>(Z312-1)*F312</f>
        <v>35.258895447749161</v>
      </c>
      <c r="F312" s="117">
        <f>$AD$283</f>
        <v>35.258895447749161</v>
      </c>
      <c r="G312" s="117">
        <f>F312</f>
        <v>35.258895447749161</v>
      </c>
      <c r="H312" s="117">
        <f t="shared" si="5"/>
        <v>35.258895447749161</v>
      </c>
      <c r="I312" s="117">
        <f t="shared" si="5"/>
        <v>35.258895447749161</v>
      </c>
      <c r="J312" s="117">
        <f t="shared" si="5"/>
        <v>35.258895447749161</v>
      </c>
      <c r="K312" s="117">
        <f t="shared" si="5"/>
        <v>35.258895447749161</v>
      </c>
      <c r="L312" s="117">
        <f t="shared" si="5"/>
        <v>35.258895447749161</v>
      </c>
      <c r="M312" s="117">
        <f t="shared" si="5"/>
        <v>35.258895447749161</v>
      </c>
      <c r="N312" s="117">
        <f t="shared" si="5"/>
        <v>35.258895447749161</v>
      </c>
      <c r="O312" s="117">
        <f t="shared" si="5"/>
        <v>35.258895447749161</v>
      </c>
      <c r="P312" s="117">
        <f t="shared" si="5"/>
        <v>35.258895447749161</v>
      </c>
      <c r="Q312" s="117">
        <f t="shared" si="5"/>
        <v>35.258895447749161</v>
      </c>
      <c r="R312" s="117">
        <f t="shared" si="5"/>
        <v>35.258895447749161</v>
      </c>
      <c r="S312" s="117">
        <f t="shared" si="5"/>
        <v>35.258895447749161</v>
      </c>
      <c r="T312" s="117">
        <f t="shared" si="5"/>
        <v>35.258895447749161</v>
      </c>
      <c r="U312" s="117">
        <f t="shared" si="5"/>
        <v>35.258895447749161</v>
      </c>
      <c r="V312" s="117">
        <f t="shared" si="5"/>
        <v>35.258895447749161</v>
      </c>
      <c r="W312" s="117">
        <f t="shared" si="5"/>
        <v>35.258895447749161</v>
      </c>
      <c r="X312" s="55">
        <f t="shared" si="5"/>
        <v>35.258895447749161</v>
      </c>
      <c r="Y312" s="8"/>
      <c r="Z312" s="126">
        <v>2</v>
      </c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</row>
    <row r="313" spans="2:41" x14ac:dyDescent="0.35">
      <c r="B313" s="8"/>
      <c r="C313" s="19" t="s">
        <v>78</v>
      </c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18"/>
      <c r="Y313" s="8"/>
      <c r="Z313" s="32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</row>
    <row r="314" spans="2:41" x14ac:dyDescent="0.35">
      <c r="B314" s="8"/>
      <c r="C314" s="10" t="str">
        <f>INDEX(_fuel,1)</f>
        <v>Electricity</v>
      </c>
      <c r="D314" s="11" t="s">
        <v>75</v>
      </c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1"/>
      <c r="Y314" s="8"/>
      <c r="Z314" s="32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</row>
    <row r="315" spans="2:41" x14ac:dyDescent="0.35">
      <c r="B315" s="8"/>
      <c r="C315" s="20" t="str">
        <f>INDEX(_Sector,2,1)</f>
        <v>Residential</v>
      </c>
      <c r="D315" s="8"/>
      <c r="E315" s="40">
        <f>INDEX(eleclrg_Res,3)</f>
        <v>84.887937583821284</v>
      </c>
      <c r="F315" s="40">
        <f t="array" ref="F315:X315">$E$315</f>
        <v>84.887937583821284</v>
      </c>
      <c r="G315" s="40">
        <v>84.887937583821284</v>
      </c>
      <c r="H315" s="40">
        <v>84.887937583821284</v>
      </c>
      <c r="I315" s="40">
        <v>84.887937583821284</v>
      </c>
      <c r="J315" s="40">
        <v>84.887937583821284</v>
      </c>
      <c r="K315" s="40">
        <v>84.887937583821284</v>
      </c>
      <c r="L315" s="40">
        <v>84.887937583821284</v>
      </c>
      <c r="M315" s="40">
        <v>84.887937583821284</v>
      </c>
      <c r="N315" s="40">
        <v>84.887937583821284</v>
      </c>
      <c r="O315" s="40">
        <v>84.887937583821284</v>
      </c>
      <c r="P315" s="40">
        <v>84.887937583821284</v>
      </c>
      <c r="Q315" s="40">
        <v>84.887937583821284</v>
      </c>
      <c r="R315" s="40">
        <v>84.887937583821284</v>
      </c>
      <c r="S315" s="40">
        <v>84.887937583821284</v>
      </c>
      <c r="T315" s="40">
        <v>84.887937583821284</v>
      </c>
      <c r="U315" s="40">
        <v>84.887937583821284</v>
      </c>
      <c r="V315" s="40">
        <v>84.887937583821284</v>
      </c>
      <c r="W315" s="40">
        <v>84.887937583821284</v>
      </c>
      <c r="X315" s="41">
        <v>84.887937583821284</v>
      </c>
      <c r="Y315" s="8"/>
      <c r="Z315" s="32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</row>
    <row r="316" spans="2:41" x14ac:dyDescent="0.35">
      <c r="B316" s="8"/>
      <c r="C316" s="39" t="str">
        <f>INDEX(_Sector,2,2)</f>
        <v>Commercial</v>
      </c>
      <c r="D316" s="56"/>
      <c r="E316" s="48">
        <f>INDEX(eleclrg_Com,3)</f>
        <v>175.24362565247387</v>
      </c>
      <c r="F316" s="48">
        <f t="array" ref="F316:X316">$E$316</f>
        <v>175.24362565247387</v>
      </c>
      <c r="G316" s="48">
        <v>175.24362565247387</v>
      </c>
      <c r="H316" s="48">
        <v>175.24362565247387</v>
      </c>
      <c r="I316" s="48">
        <v>175.24362565247387</v>
      </c>
      <c r="J316" s="48">
        <v>175.24362565247387</v>
      </c>
      <c r="K316" s="48">
        <v>175.24362565247387</v>
      </c>
      <c r="L316" s="48">
        <v>175.24362565247387</v>
      </c>
      <c r="M316" s="48">
        <v>175.24362565247387</v>
      </c>
      <c r="N316" s="48">
        <v>175.24362565247387</v>
      </c>
      <c r="O316" s="48">
        <v>175.24362565247387</v>
      </c>
      <c r="P316" s="48">
        <v>175.24362565247387</v>
      </c>
      <c r="Q316" s="48">
        <v>175.24362565247387</v>
      </c>
      <c r="R316" s="48">
        <v>175.24362565247387</v>
      </c>
      <c r="S316" s="48">
        <v>175.24362565247387</v>
      </c>
      <c r="T316" s="48">
        <v>175.24362565247387</v>
      </c>
      <c r="U316" s="48">
        <v>175.24362565247387</v>
      </c>
      <c r="V316" s="48">
        <v>175.24362565247387</v>
      </c>
      <c r="W316" s="48">
        <v>175.24362565247387</v>
      </c>
      <c r="X316" s="49">
        <v>175.24362565247387</v>
      </c>
      <c r="Y316" s="8"/>
      <c r="Z316" s="32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</row>
    <row r="317" spans="2:41" x14ac:dyDescent="0.3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32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</row>
    <row r="318" spans="2:41" x14ac:dyDescent="0.35">
      <c r="B318" s="8"/>
      <c r="C318" s="23" t="str">
        <f>"EL 3: " &amp; INDEX(_doName,3,4)</f>
        <v>EL 3: EL 3</v>
      </c>
      <c r="D318" s="24"/>
      <c r="E318" s="26">
        <f t="array" ref="E318:X318">_t</f>
        <v>1</v>
      </c>
      <c r="F318" s="26">
        <v>2</v>
      </c>
      <c r="G318" s="26">
        <v>3</v>
      </c>
      <c r="H318" s="26">
        <v>4</v>
      </c>
      <c r="I318" s="26">
        <v>5</v>
      </c>
      <c r="J318" s="26">
        <v>6</v>
      </c>
      <c r="K318" s="26">
        <v>7</v>
      </c>
      <c r="L318" s="26">
        <v>8</v>
      </c>
      <c r="M318" s="26">
        <v>9</v>
      </c>
      <c r="N318" s="26">
        <v>10</v>
      </c>
      <c r="O318" s="26">
        <v>11</v>
      </c>
      <c r="P318" s="26">
        <v>12</v>
      </c>
      <c r="Q318" s="26">
        <v>13</v>
      </c>
      <c r="R318" s="26">
        <v>14</v>
      </c>
      <c r="S318" s="26">
        <v>15</v>
      </c>
      <c r="T318" s="26">
        <v>16</v>
      </c>
      <c r="U318" s="26">
        <v>17</v>
      </c>
      <c r="V318" s="26">
        <v>18</v>
      </c>
      <c r="W318" s="26">
        <v>19</v>
      </c>
      <c r="X318" s="27">
        <v>20</v>
      </c>
      <c r="Y318" s="8"/>
      <c r="Z318" s="32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</row>
    <row r="319" spans="2:41" x14ac:dyDescent="0.35">
      <c r="B319" s="8"/>
      <c r="C319" s="19" t="s">
        <v>70</v>
      </c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18"/>
      <c r="Y319" s="8"/>
      <c r="Z319" s="32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</row>
    <row r="320" spans="2:41" x14ac:dyDescent="0.35">
      <c r="B320" s="8"/>
      <c r="C320" s="10" t="s">
        <v>30</v>
      </c>
      <c r="D320" s="11" t="str">
        <f>_yearDol &amp; "$"</f>
        <v>2021$</v>
      </c>
      <c r="E320" s="32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18"/>
      <c r="Y320" s="8"/>
      <c r="Z320" s="32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</row>
    <row r="321" spans="2:41" x14ac:dyDescent="0.35">
      <c r="B321" s="8"/>
      <c r="C321" s="20" t="str">
        <f>INDEX(_Sector,2,1)</f>
        <v>Residential</v>
      </c>
      <c r="D321" s="8"/>
      <c r="E321" s="32">
        <f>INDEX(msplrg_Res,4)</f>
        <v>152.78420255170266</v>
      </c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18"/>
      <c r="Y321" s="8"/>
      <c r="Z321" s="32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</row>
    <row r="322" spans="2:41" x14ac:dyDescent="0.35">
      <c r="B322" s="8"/>
      <c r="C322" s="20" t="str">
        <f>INDEX(_Sector,2,2)</f>
        <v>Commercial</v>
      </c>
      <c r="D322" s="8"/>
      <c r="E322" s="32">
        <f>INDEX(msplrg_Com,4)</f>
        <v>147.75188822896851</v>
      </c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18"/>
      <c r="Y322" s="8"/>
      <c r="Z322" s="32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</row>
    <row r="323" spans="2:41" x14ac:dyDescent="0.35">
      <c r="B323" s="8"/>
      <c r="C323" s="10" t="s">
        <v>71</v>
      </c>
      <c r="D323" s="11" t="str">
        <f>_yearDol &amp; "$"</f>
        <v>2021$</v>
      </c>
      <c r="E323" s="32">
        <f>INDEX(instlrg,4)</f>
        <v>0</v>
      </c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18"/>
      <c r="Y323" s="8"/>
      <c r="Z323" s="32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</row>
    <row r="324" spans="2:41" x14ac:dyDescent="0.35">
      <c r="B324" s="8"/>
      <c r="C324" s="10" t="s">
        <v>77</v>
      </c>
      <c r="D324" s="11" t="str">
        <f>_yearDol &amp; "$"</f>
        <v>2021$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55"/>
      <c r="Y324" s="8"/>
      <c r="Z324" s="32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</row>
    <row r="325" spans="2:41" x14ac:dyDescent="0.35">
      <c r="B325" s="8"/>
      <c r="C325" s="20" t="str">
        <f>INDEX(_Sector,2,1)</f>
        <v>Residential</v>
      </c>
      <c r="D325" s="8"/>
      <c r="E325" s="32">
        <f>(Z325-1)*F325</f>
        <v>33.578256882645164</v>
      </c>
      <c r="F325" s="117">
        <f>$AC$284</f>
        <v>44.265610282911659</v>
      </c>
      <c r="G325" s="117">
        <f>F325</f>
        <v>44.265610282911659</v>
      </c>
      <c r="H325" s="117">
        <f t="shared" ref="H325:W325" si="6">G325</f>
        <v>44.265610282911659</v>
      </c>
      <c r="I325" s="117">
        <f t="shared" si="6"/>
        <v>44.265610282911659</v>
      </c>
      <c r="J325" s="117">
        <f t="shared" si="6"/>
        <v>44.265610282911659</v>
      </c>
      <c r="K325" s="117">
        <f t="shared" si="6"/>
        <v>44.265610282911659</v>
      </c>
      <c r="L325" s="117">
        <f t="shared" si="6"/>
        <v>44.265610282911659</v>
      </c>
      <c r="M325" s="117">
        <f t="shared" si="6"/>
        <v>44.265610282911659</v>
      </c>
      <c r="N325" s="117">
        <f t="shared" si="6"/>
        <v>44.265610282911659</v>
      </c>
      <c r="O325" s="117">
        <f t="shared" si="6"/>
        <v>44.265610282911659</v>
      </c>
      <c r="P325" s="117">
        <f t="shared" si="6"/>
        <v>44.265610282911659</v>
      </c>
      <c r="Q325" s="117">
        <f t="shared" si="6"/>
        <v>44.265610282911659</v>
      </c>
      <c r="R325" s="117">
        <f t="shared" si="6"/>
        <v>44.265610282911659</v>
      </c>
      <c r="S325" s="117">
        <f t="shared" si="6"/>
        <v>44.265610282911659</v>
      </c>
      <c r="T325" s="117">
        <f t="shared" si="6"/>
        <v>44.265610282911659</v>
      </c>
      <c r="U325" s="117">
        <f t="shared" si="6"/>
        <v>44.265610282911659</v>
      </c>
      <c r="V325" s="117">
        <f t="shared" si="6"/>
        <v>44.265610282911659</v>
      </c>
      <c r="W325" s="117">
        <f t="shared" si="6"/>
        <v>44.265610282911659</v>
      </c>
      <c r="X325" s="55">
        <f t="shared" ref="H325:X326" si="7">W325</f>
        <v>44.265610282911659</v>
      </c>
      <c r="Y325" s="8"/>
      <c r="Z325" s="126">
        <v>1.7585630621161401</v>
      </c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</row>
    <row r="326" spans="2:41" x14ac:dyDescent="0.35">
      <c r="B326" s="8"/>
      <c r="C326" s="20" t="str">
        <f>INDEX(_Sector,2,2)</f>
        <v>Commercial</v>
      </c>
      <c r="D326" s="8"/>
      <c r="E326" s="32">
        <f>(Z326-1)*F326</f>
        <v>48.908766644187899</v>
      </c>
      <c r="F326" s="117">
        <f>$AD$284</f>
        <v>48.908766644187899</v>
      </c>
      <c r="G326" s="117">
        <f>F326</f>
        <v>48.908766644187899</v>
      </c>
      <c r="H326" s="117">
        <f t="shared" si="7"/>
        <v>48.908766644187899</v>
      </c>
      <c r="I326" s="117">
        <f t="shared" si="7"/>
        <v>48.908766644187899</v>
      </c>
      <c r="J326" s="117">
        <f t="shared" si="7"/>
        <v>48.908766644187899</v>
      </c>
      <c r="K326" s="117">
        <f t="shared" si="7"/>
        <v>48.908766644187899</v>
      </c>
      <c r="L326" s="117">
        <f t="shared" si="7"/>
        <v>48.908766644187899</v>
      </c>
      <c r="M326" s="117">
        <f t="shared" si="7"/>
        <v>48.908766644187899</v>
      </c>
      <c r="N326" s="117">
        <f t="shared" si="7"/>
        <v>48.908766644187899</v>
      </c>
      <c r="O326" s="117">
        <f t="shared" si="7"/>
        <v>48.908766644187899</v>
      </c>
      <c r="P326" s="117">
        <f t="shared" si="7"/>
        <v>48.908766644187899</v>
      </c>
      <c r="Q326" s="117">
        <f t="shared" si="7"/>
        <v>48.908766644187899</v>
      </c>
      <c r="R326" s="117">
        <f t="shared" si="7"/>
        <v>48.908766644187899</v>
      </c>
      <c r="S326" s="117">
        <f t="shared" si="7"/>
        <v>48.908766644187899</v>
      </c>
      <c r="T326" s="117">
        <f t="shared" si="7"/>
        <v>48.908766644187899</v>
      </c>
      <c r="U326" s="117">
        <f t="shared" si="7"/>
        <v>48.908766644187899</v>
      </c>
      <c r="V326" s="117">
        <f t="shared" si="7"/>
        <v>48.908766644187899</v>
      </c>
      <c r="W326" s="117">
        <f t="shared" si="7"/>
        <v>48.908766644187899</v>
      </c>
      <c r="X326" s="55">
        <f t="shared" si="7"/>
        <v>48.908766644187899</v>
      </c>
      <c r="Y326" s="8"/>
      <c r="Z326" s="126">
        <v>2</v>
      </c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</row>
    <row r="327" spans="2:41" x14ac:dyDescent="0.35">
      <c r="B327" s="8"/>
      <c r="C327" s="19" t="s">
        <v>78</v>
      </c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18"/>
      <c r="Y327" s="8"/>
      <c r="Z327" s="32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</row>
    <row r="328" spans="2:41" x14ac:dyDescent="0.35">
      <c r="B328" s="8"/>
      <c r="C328" s="10" t="str">
        <f>INDEX(_fuel,1)</f>
        <v>Electricity</v>
      </c>
      <c r="D328" s="11" t="s">
        <v>75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1"/>
      <c r="Y328" s="8"/>
      <c r="Z328" s="32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</row>
    <row r="329" spans="2:41" x14ac:dyDescent="0.35">
      <c r="B329" s="8"/>
      <c r="C329" s="20" t="str">
        <f>INDEX(_Sector,2,1)</f>
        <v>Residential</v>
      </c>
      <c r="D329" s="8"/>
      <c r="E329" s="40">
        <f>INDEX(eleclrg_Res,4)</f>
        <v>39.268332337984738</v>
      </c>
      <c r="F329" s="40">
        <f t="array" ref="F329:X329">$E$329</f>
        <v>39.268332337984738</v>
      </c>
      <c r="G329" s="40">
        <v>39.268332337984738</v>
      </c>
      <c r="H329" s="40">
        <v>39.268332337984738</v>
      </c>
      <c r="I329" s="40">
        <v>39.268332337984738</v>
      </c>
      <c r="J329" s="40">
        <v>39.268332337984738</v>
      </c>
      <c r="K329" s="40">
        <v>39.268332337984738</v>
      </c>
      <c r="L329" s="40">
        <v>39.268332337984738</v>
      </c>
      <c r="M329" s="40">
        <v>39.268332337984738</v>
      </c>
      <c r="N329" s="40">
        <v>39.268332337984738</v>
      </c>
      <c r="O329" s="40">
        <v>39.268332337984738</v>
      </c>
      <c r="P329" s="40">
        <v>39.268332337984738</v>
      </c>
      <c r="Q329" s="40">
        <v>39.268332337984738</v>
      </c>
      <c r="R329" s="40">
        <v>39.268332337984738</v>
      </c>
      <c r="S329" s="40">
        <v>39.268332337984738</v>
      </c>
      <c r="T329" s="40">
        <v>39.268332337984738</v>
      </c>
      <c r="U329" s="40">
        <v>39.268332337984738</v>
      </c>
      <c r="V329" s="40">
        <v>39.268332337984738</v>
      </c>
      <c r="W329" s="40">
        <v>39.268332337984738</v>
      </c>
      <c r="X329" s="41">
        <v>39.268332337984738</v>
      </c>
      <c r="Y329" s="8"/>
      <c r="Z329" s="32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</row>
    <row r="330" spans="2:41" x14ac:dyDescent="0.35">
      <c r="B330" s="8"/>
      <c r="C330" s="39" t="str">
        <f>INDEX(_Sector,2,2)</f>
        <v>Commercial</v>
      </c>
      <c r="D330" s="56"/>
      <c r="E330" s="48">
        <f>INDEX(eleclrg_Com,4)</f>
        <v>78.421577083058011</v>
      </c>
      <c r="F330" s="48">
        <f t="array" ref="F330:X330">$E$330</f>
        <v>78.421577083058011</v>
      </c>
      <c r="G330" s="48">
        <v>78.421577083058011</v>
      </c>
      <c r="H330" s="48">
        <v>78.421577083058011</v>
      </c>
      <c r="I330" s="48">
        <v>78.421577083058011</v>
      </c>
      <c r="J330" s="48">
        <v>78.421577083058011</v>
      </c>
      <c r="K330" s="48">
        <v>78.421577083058011</v>
      </c>
      <c r="L330" s="48">
        <v>78.421577083058011</v>
      </c>
      <c r="M330" s="48">
        <v>78.421577083058011</v>
      </c>
      <c r="N330" s="48">
        <v>78.421577083058011</v>
      </c>
      <c r="O330" s="48">
        <v>78.421577083058011</v>
      </c>
      <c r="P330" s="48">
        <v>78.421577083058011</v>
      </c>
      <c r="Q330" s="48">
        <v>78.421577083058011</v>
      </c>
      <c r="R330" s="48">
        <v>78.421577083058011</v>
      </c>
      <c r="S330" s="48">
        <v>78.421577083058011</v>
      </c>
      <c r="T330" s="48">
        <v>78.421577083058011</v>
      </c>
      <c r="U330" s="48">
        <v>78.421577083058011</v>
      </c>
      <c r="V330" s="48">
        <v>78.421577083058011</v>
      </c>
      <c r="W330" s="48">
        <v>78.421577083058011</v>
      </c>
      <c r="X330" s="49">
        <v>78.421577083058011</v>
      </c>
      <c r="Y330" s="8"/>
      <c r="Z330" s="32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</row>
    <row r="331" spans="2:41" x14ac:dyDescent="0.3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32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</row>
    <row r="332" spans="2:41" x14ac:dyDescent="0.35">
      <c r="B332" s="8"/>
      <c r="C332" s="23" t="str">
        <f>"EL 4: " &amp; INDEX(_doName,3,5)</f>
        <v>EL 4: EL 4</v>
      </c>
      <c r="D332" s="24"/>
      <c r="E332" s="26">
        <f t="array" ref="E332:X332">_t</f>
        <v>1</v>
      </c>
      <c r="F332" s="26">
        <v>2</v>
      </c>
      <c r="G332" s="26">
        <v>3</v>
      </c>
      <c r="H332" s="26">
        <v>4</v>
      </c>
      <c r="I332" s="26">
        <v>5</v>
      </c>
      <c r="J332" s="26">
        <v>6</v>
      </c>
      <c r="K332" s="26">
        <v>7</v>
      </c>
      <c r="L332" s="26">
        <v>8</v>
      </c>
      <c r="M332" s="26">
        <v>9</v>
      </c>
      <c r="N332" s="26">
        <v>10</v>
      </c>
      <c r="O332" s="26">
        <v>11</v>
      </c>
      <c r="P332" s="26">
        <v>12</v>
      </c>
      <c r="Q332" s="26">
        <v>13</v>
      </c>
      <c r="R332" s="26">
        <v>14</v>
      </c>
      <c r="S332" s="26">
        <v>15</v>
      </c>
      <c r="T332" s="26">
        <v>16</v>
      </c>
      <c r="U332" s="26">
        <v>17</v>
      </c>
      <c r="V332" s="26">
        <v>18</v>
      </c>
      <c r="W332" s="26">
        <v>19</v>
      </c>
      <c r="X332" s="27">
        <v>20</v>
      </c>
      <c r="Y332" s="8"/>
      <c r="Z332" s="32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</row>
    <row r="333" spans="2:41" x14ac:dyDescent="0.35">
      <c r="B333" s="8"/>
      <c r="C333" s="19" t="s">
        <v>70</v>
      </c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18"/>
      <c r="Y333" s="8"/>
      <c r="Z333" s="32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</row>
    <row r="334" spans="2:41" x14ac:dyDescent="0.35">
      <c r="B334" s="8"/>
      <c r="C334" s="10" t="s">
        <v>30</v>
      </c>
      <c r="D334" s="11" t="str">
        <f>_yearDol &amp; "$"</f>
        <v>2021$</v>
      </c>
      <c r="E334" s="32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18"/>
      <c r="Y334" s="8"/>
      <c r="Z334" s="32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</row>
    <row r="335" spans="2:41" x14ac:dyDescent="0.35">
      <c r="B335" s="8"/>
      <c r="C335" s="20" t="str">
        <f>INDEX(_Sector,2,1)</f>
        <v>Residential</v>
      </c>
      <c r="D335" s="8"/>
      <c r="E335" s="32">
        <f>INDEX(msplrg_Res,5)</f>
        <v>153.31968774262151</v>
      </c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18"/>
      <c r="Y335" s="8"/>
      <c r="Z335" s="32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</row>
    <row r="336" spans="2:41" x14ac:dyDescent="0.35">
      <c r="B336" s="8"/>
      <c r="C336" s="20" t="str">
        <f>INDEX(_Sector,2,2)</f>
        <v>Commercial</v>
      </c>
      <c r="D336" s="8"/>
      <c r="E336" s="32">
        <f>INDEX(msplrg_Com,5)</f>
        <v>148.28285073709253</v>
      </c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18"/>
      <c r="Y336" s="8"/>
      <c r="Z336" s="32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</row>
    <row r="337" spans="2:41" x14ac:dyDescent="0.35">
      <c r="B337" s="8"/>
      <c r="C337" s="10" t="s">
        <v>71</v>
      </c>
      <c r="D337" s="11" t="str">
        <f>_yearDol &amp; "$"</f>
        <v>2021$</v>
      </c>
      <c r="E337" s="32">
        <f>INDEX(instlrg,5)</f>
        <v>0</v>
      </c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18"/>
      <c r="Y337" s="8"/>
      <c r="Z337" s="32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</row>
    <row r="338" spans="2:41" x14ac:dyDescent="0.35">
      <c r="B338" s="8"/>
      <c r="C338" s="10" t="s">
        <v>77</v>
      </c>
      <c r="D338" s="11" t="str">
        <f>_yearDol &amp; "$"</f>
        <v>2021$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55"/>
      <c r="Y338" s="8"/>
      <c r="Z338" s="32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</row>
    <row r="339" spans="2:41" x14ac:dyDescent="0.35">
      <c r="B339" s="8"/>
      <c r="C339" s="20" t="str">
        <f>INDEX(_Sector,2,1)</f>
        <v>Residential</v>
      </c>
      <c r="D339" s="8"/>
      <c r="E339" s="32">
        <f>(Z339-1)*F339</f>
        <v>35.018298808111837</v>
      </c>
      <c r="F339" s="117">
        <f>$AC$285</f>
        <v>46.163991574309406</v>
      </c>
      <c r="G339" s="117">
        <f>F339</f>
        <v>46.163991574309406</v>
      </c>
      <c r="H339" s="117">
        <f t="shared" ref="H339:W339" si="8">G339</f>
        <v>46.163991574309406</v>
      </c>
      <c r="I339" s="117">
        <f t="shared" si="8"/>
        <v>46.163991574309406</v>
      </c>
      <c r="J339" s="117">
        <f t="shared" si="8"/>
        <v>46.163991574309406</v>
      </c>
      <c r="K339" s="117">
        <f t="shared" si="8"/>
        <v>46.163991574309406</v>
      </c>
      <c r="L339" s="117">
        <f t="shared" si="8"/>
        <v>46.163991574309406</v>
      </c>
      <c r="M339" s="117">
        <f t="shared" si="8"/>
        <v>46.163991574309406</v>
      </c>
      <c r="N339" s="117">
        <f t="shared" si="8"/>
        <v>46.163991574309406</v>
      </c>
      <c r="O339" s="117">
        <f t="shared" si="8"/>
        <v>46.163991574309406</v>
      </c>
      <c r="P339" s="117">
        <f t="shared" si="8"/>
        <v>46.163991574309406</v>
      </c>
      <c r="Q339" s="117">
        <f t="shared" si="8"/>
        <v>46.163991574309406</v>
      </c>
      <c r="R339" s="117">
        <f t="shared" si="8"/>
        <v>46.163991574309406</v>
      </c>
      <c r="S339" s="117">
        <f t="shared" si="8"/>
        <v>46.163991574309406</v>
      </c>
      <c r="T339" s="117">
        <f t="shared" si="8"/>
        <v>46.163991574309406</v>
      </c>
      <c r="U339" s="117">
        <f t="shared" si="8"/>
        <v>46.163991574309406</v>
      </c>
      <c r="V339" s="117">
        <f t="shared" si="8"/>
        <v>46.163991574309406</v>
      </c>
      <c r="W339" s="117">
        <f t="shared" si="8"/>
        <v>46.163991574309406</v>
      </c>
      <c r="X339" s="55">
        <f t="shared" ref="H339:X340" si="9">W339</f>
        <v>46.163991574309406</v>
      </c>
      <c r="Y339" s="8"/>
      <c r="Z339" s="126">
        <v>1.7585630621161401</v>
      </c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</row>
    <row r="340" spans="2:41" x14ac:dyDescent="0.35">
      <c r="B340" s="8"/>
      <c r="C340" s="20" t="str">
        <f>INDEX(_Sector,2,2)</f>
        <v>Commercial</v>
      </c>
      <c r="D340" s="8"/>
      <c r="E340" s="32">
        <f>(Z340-1)*F340</f>
        <v>51.049545889094595</v>
      </c>
      <c r="F340" s="117">
        <f>$AD$285</f>
        <v>51.049545889094595</v>
      </c>
      <c r="G340" s="117">
        <f>F340</f>
        <v>51.049545889094595</v>
      </c>
      <c r="H340" s="117">
        <f t="shared" si="9"/>
        <v>51.049545889094595</v>
      </c>
      <c r="I340" s="117">
        <f t="shared" si="9"/>
        <v>51.049545889094595</v>
      </c>
      <c r="J340" s="117">
        <f t="shared" si="9"/>
        <v>51.049545889094595</v>
      </c>
      <c r="K340" s="117">
        <f t="shared" si="9"/>
        <v>51.049545889094595</v>
      </c>
      <c r="L340" s="117">
        <f t="shared" si="9"/>
        <v>51.049545889094595</v>
      </c>
      <c r="M340" s="117">
        <f t="shared" si="9"/>
        <v>51.049545889094595</v>
      </c>
      <c r="N340" s="117">
        <f t="shared" si="9"/>
        <v>51.049545889094595</v>
      </c>
      <c r="O340" s="117">
        <f t="shared" si="9"/>
        <v>51.049545889094595</v>
      </c>
      <c r="P340" s="117">
        <f t="shared" si="9"/>
        <v>51.049545889094595</v>
      </c>
      <c r="Q340" s="117">
        <f t="shared" si="9"/>
        <v>51.049545889094595</v>
      </c>
      <c r="R340" s="117">
        <f t="shared" si="9"/>
        <v>51.049545889094595</v>
      </c>
      <c r="S340" s="117">
        <f t="shared" si="9"/>
        <v>51.049545889094595</v>
      </c>
      <c r="T340" s="117">
        <f t="shared" si="9"/>
        <v>51.049545889094595</v>
      </c>
      <c r="U340" s="117">
        <f t="shared" si="9"/>
        <v>51.049545889094595</v>
      </c>
      <c r="V340" s="117">
        <f t="shared" si="9"/>
        <v>51.049545889094595</v>
      </c>
      <c r="W340" s="117">
        <f t="shared" si="9"/>
        <v>51.049545889094595</v>
      </c>
      <c r="X340" s="55">
        <f t="shared" si="9"/>
        <v>51.049545889094595</v>
      </c>
      <c r="Y340" s="8"/>
      <c r="Z340" s="126">
        <v>2</v>
      </c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</row>
    <row r="341" spans="2:41" x14ac:dyDescent="0.35">
      <c r="B341" s="8"/>
      <c r="C341" s="19" t="s">
        <v>78</v>
      </c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1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</row>
    <row r="342" spans="2:41" x14ac:dyDescent="0.35">
      <c r="B342" s="8"/>
      <c r="C342" s="10" t="str">
        <f>INDEX(_fuel,1)</f>
        <v>Electricity</v>
      </c>
      <c r="D342" s="11" t="s">
        <v>75</v>
      </c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1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</row>
    <row r="343" spans="2:41" x14ac:dyDescent="0.35">
      <c r="B343" s="8"/>
      <c r="C343" s="20" t="str">
        <f>INDEX(_Sector,2,1)</f>
        <v>Residential</v>
      </c>
      <c r="D343" s="8"/>
      <c r="E343" s="40">
        <f>INDEX(eleclrg_Res,5)</f>
        <v>34.760574551471436</v>
      </c>
      <c r="F343" s="40">
        <f t="array" ref="F343:X343">$E$343</f>
        <v>34.760574551471436</v>
      </c>
      <c r="G343" s="40">
        <v>34.760574551471436</v>
      </c>
      <c r="H343" s="40">
        <v>34.760574551471436</v>
      </c>
      <c r="I343" s="40">
        <v>34.760574551471436</v>
      </c>
      <c r="J343" s="40">
        <v>34.760574551471436</v>
      </c>
      <c r="K343" s="40">
        <v>34.760574551471436</v>
      </c>
      <c r="L343" s="40">
        <v>34.760574551471436</v>
      </c>
      <c r="M343" s="40">
        <v>34.760574551471436</v>
      </c>
      <c r="N343" s="40">
        <v>34.760574551471436</v>
      </c>
      <c r="O343" s="40">
        <v>34.760574551471436</v>
      </c>
      <c r="P343" s="40">
        <v>34.760574551471436</v>
      </c>
      <c r="Q343" s="40">
        <v>34.760574551471436</v>
      </c>
      <c r="R343" s="40">
        <v>34.760574551471436</v>
      </c>
      <c r="S343" s="40">
        <v>34.760574551471436</v>
      </c>
      <c r="T343" s="40">
        <v>34.760574551471436</v>
      </c>
      <c r="U343" s="40">
        <v>34.760574551471436</v>
      </c>
      <c r="V343" s="40">
        <v>34.760574551471436</v>
      </c>
      <c r="W343" s="40">
        <v>34.760574551471436</v>
      </c>
      <c r="X343" s="41">
        <v>34.760574551471436</v>
      </c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</row>
    <row r="344" spans="2:41" x14ac:dyDescent="0.35">
      <c r="B344" s="8"/>
      <c r="C344" s="39" t="str">
        <f>INDEX(_Sector,2,2)</f>
        <v>Commercial</v>
      </c>
      <c r="D344" s="56"/>
      <c r="E344" s="48">
        <f>INDEX(eleclrg_Com,5)</f>
        <v>69.33808664422105</v>
      </c>
      <c r="F344" s="48">
        <f t="array" ref="F344:X344">$E$344</f>
        <v>69.33808664422105</v>
      </c>
      <c r="G344" s="48">
        <v>69.33808664422105</v>
      </c>
      <c r="H344" s="48">
        <v>69.33808664422105</v>
      </c>
      <c r="I344" s="48">
        <v>69.33808664422105</v>
      </c>
      <c r="J344" s="48">
        <v>69.33808664422105</v>
      </c>
      <c r="K344" s="48">
        <v>69.33808664422105</v>
      </c>
      <c r="L344" s="48">
        <v>69.33808664422105</v>
      </c>
      <c r="M344" s="48">
        <v>69.33808664422105</v>
      </c>
      <c r="N344" s="48">
        <v>69.33808664422105</v>
      </c>
      <c r="O344" s="48">
        <v>69.33808664422105</v>
      </c>
      <c r="P344" s="48">
        <v>69.33808664422105</v>
      </c>
      <c r="Q344" s="48">
        <v>69.33808664422105</v>
      </c>
      <c r="R344" s="48">
        <v>69.33808664422105</v>
      </c>
      <c r="S344" s="48">
        <v>69.33808664422105</v>
      </c>
      <c r="T344" s="48">
        <v>69.33808664422105</v>
      </c>
      <c r="U344" s="48">
        <v>69.33808664422105</v>
      </c>
      <c r="V344" s="48">
        <v>69.33808664422105</v>
      </c>
      <c r="W344" s="48">
        <v>69.33808664422105</v>
      </c>
      <c r="X344" s="49">
        <v>69.33808664422105</v>
      </c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</row>
    <row r="345" spans="2:41" x14ac:dyDescent="0.3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</row>
  </sheetData>
  <mergeCells count="2">
    <mergeCell ref="C99:AN99"/>
    <mergeCell ref="C43:AN43"/>
  </mergeCells>
  <conditionalFormatting sqref="E335">
    <cfRule type="containsBlanks" dxfId="1511" priority="39" stopIfTrue="1">
      <formula>LEN(TRIM(E335))=0</formula>
    </cfRule>
    <cfRule type="notContainsBlanks" dxfId="1510" priority="40" stopIfTrue="1">
      <formula>LEN(TRIM(E335))&gt;0</formula>
    </cfRule>
  </conditionalFormatting>
  <conditionalFormatting sqref="E336">
    <cfRule type="containsBlanks" dxfId="1509" priority="41" stopIfTrue="1">
      <formula>LEN(TRIM(E336))=0</formula>
    </cfRule>
    <cfRule type="notContainsBlanks" dxfId="1508" priority="42" stopIfTrue="1">
      <formula>LEN(TRIM(E336))&gt;0</formula>
    </cfRule>
  </conditionalFormatting>
  <conditionalFormatting sqref="E337">
    <cfRule type="containsBlanks" dxfId="1507" priority="43" stopIfTrue="1">
      <formula>LEN(TRIM(E337))=0</formula>
    </cfRule>
    <cfRule type="notContainsBlanks" dxfId="1506" priority="44" stopIfTrue="1">
      <formula>LEN(TRIM(E337))&gt;0</formula>
    </cfRule>
  </conditionalFormatting>
  <conditionalFormatting sqref="E343:X343">
    <cfRule type="containsBlanks" dxfId="1505" priority="49" stopIfTrue="1">
      <formula>LEN(TRIM(E343))=0</formula>
    </cfRule>
    <cfRule type="notContainsBlanks" dxfId="1504" priority="50" stopIfTrue="1">
      <formula>LEN(TRIM(E343))&gt;0</formula>
    </cfRule>
  </conditionalFormatting>
  <conditionalFormatting sqref="E344:X344">
    <cfRule type="containsBlanks" dxfId="1503" priority="51" stopIfTrue="1">
      <formula>LEN(TRIM(E344))=0</formula>
    </cfRule>
    <cfRule type="notContainsBlanks" dxfId="1502" priority="52" stopIfTrue="1">
      <formula>LEN(TRIM(E344))&gt;0</formula>
    </cfRule>
  </conditionalFormatting>
  <conditionalFormatting sqref="E321">
    <cfRule type="containsBlanks" dxfId="1501" priority="53" stopIfTrue="1">
      <formula>LEN(TRIM(E321))=0</formula>
    </cfRule>
    <cfRule type="notContainsBlanks" dxfId="1500" priority="54" stopIfTrue="1">
      <formula>LEN(TRIM(E321))&gt;0</formula>
    </cfRule>
  </conditionalFormatting>
  <conditionalFormatting sqref="E322">
    <cfRule type="containsBlanks" dxfId="1499" priority="55" stopIfTrue="1">
      <formula>LEN(TRIM(E322))=0</formula>
    </cfRule>
    <cfRule type="notContainsBlanks" dxfId="1498" priority="56" stopIfTrue="1">
      <formula>LEN(TRIM(E322))&gt;0</formula>
    </cfRule>
  </conditionalFormatting>
  <conditionalFormatting sqref="E323">
    <cfRule type="containsBlanks" dxfId="1497" priority="57" stopIfTrue="1">
      <formula>LEN(TRIM(E323))=0</formula>
    </cfRule>
    <cfRule type="notContainsBlanks" dxfId="1496" priority="58" stopIfTrue="1">
      <formula>LEN(TRIM(E323))&gt;0</formula>
    </cfRule>
  </conditionalFormatting>
  <conditionalFormatting sqref="E329:X329">
    <cfRule type="containsBlanks" dxfId="1495" priority="63" stopIfTrue="1">
      <formula>LEN(TRIM(E329))=0</formula>
    </cfRule>
    <cfRule type="notContainsBlanks" dxfId="1494" priority="64" stopIfTrue="1">
      <formula>LEN(TRIM(E329))&gt;0</formula>
    </cfRule>
  </conditionalFormatting>
  <conditionalFormatting sqref="E330:X330">
    <cfRule type="containsBlanks" dxfId="1493" priority="65" stopIfTrue="1">
      <formula>LEN(TRIM(E330))=0</formula>
    </cfRule>
    <cfRule type="notContainsBlanks" dxfId="1492" priority="66" stopIfTrue="1">
      <formula>LEN(TRIM(E330))&gt;0</formula>
    </cfRule>
  </conditionalFormatting>
  <conditionalFormatting sqref="E307">
    <cfRule type="containsBlanks" dxfId="1491" priority="67" stopIfTrue="1">
      <formula>LEN(TRIM(E307))=0</formula>
    </cfRule>
    <cfRule type="notContainsBlanks" dxfId="1490" priority="68" stopIfTrue="1">
      <formula>LEN(TRIM(E307))&gt;0</formula>
    </cfRule>
  </conditionalFormatting>
  <conditionalFormatting sqref="E308">
    <cfRule type="containsBlanks" dxfId="1489" priority="69" stopIfTrue="1">
      <formula>LEN(TRIM(E308))=0</formula>
    </cfRule>
    <cfRule type="notContainsBlanks" dxfId="1488" priority="70" stopIfTrue="1">
      <formula>LEN(TRIM(E308))&gt;0</formula>
    </cfRule>
  </conditionalFormatting>
  <conditionalFormatting sqref="E309">
    <cfRule type="containsBlanks" dxfId="1487" priority="71" stopIfTrue="1">
      <formula>LEN(TRIM(E309))=0</formula>
    </cfRule>
    <cfRule type="notContainsBlanks" dxfId="1486" priority="72" stopIfTrue="1">
      <formula>LEN(TRIM(E309))&gt;0</formula>
    </cfRule>
  </conditionalFormatting>
  <conditionalFormatting sqref="E315:X315">
    <cfRule type="containsBlanks" dxfId="1485" priority="77" stopIfTrue="1">
      <formula>LEN(TRIM(E315))=0</formula>
    </cfRule>
    <cfRule type="notContainsBlanks" dxfId="1484" priority="78" stopIfTrue="1">
      <formula>LEN(TRIM(E315))&gt;0</formula>
    </cfRule>
  </conditionalFormatting>
  <conditionalFormatting sqref="E316:X316">
    <cfRule type="containsBlanks" dxfId="1483" priority="79" stopIfTrue="1">
      <formula>LEN(TRIM(E316))=0</formula>
    </cfRule>
    <cfRule type="notContainsBlanks" dxfId="1482" priority="80" stopIfTrue="1">
      <formula>LEN(TRIM(E316))&gt;0</formula>
    </cfRule>
  </conditionalFormatting>
  <conditionalFormatting sqref="E293">
    <cfRule type="containsBlanks" dxfId="1481" priority="81" stopIfTrue="1">
      <formula>LEN(TRIM(E293))=0</formula>
    </cfRule>
    <cfRule type="notContainsBlanks" dxfId="1480" priority="82" stopIfTrue="1">
      <formula>LEN(TRIM(E293))&gt;0</formula>
    </cfRule>
  </conditionalFormatting>
  <conditionalFormatting sqref="E294">
    <cfRule type="containsBlanks" dxfId="1479" priority="83" stopIfTrue="1">
      <formula>LEN(TRIM(E294))=0</formula>
    </cfRule>
    <cfRule type="notContainsBlanks" dxfId="1478" priority="84" stopIfTrue="1">
      <formula>LEN(TRIM(E294))&gt;0</formula>
    </cfRule>
  </conditionalFormatting>
  <conditionalFormatting sqref="E295">
    <cfRule type="containsBlanks" dxfId="1477" priority="85" stopIfTrue="1">
      <formula>LEN(TRIM(E295))=0</formula>
    </cfRule>
    <cfRule type="notContainsBlanks" dxfId="1476" priority="86" stopIfTrue="1">
      <formula>LEN(TRIM(E295))&gt;0</formula>
    </cfRule>
  </conditionalFormatting>
  <conditionalFormatting sqref="E301:X301">
    <cfRule type="containsBlanks" dxfId="1475" priority="91" stopIfTrue="1">
      <formula>LEN(TRIM(E301))=0</formula>
    </cfRule>
    <cfRule type="notContainsBlanks" dxfId="1474" priority="92" stopIfTrue="1">
      <formula>LEN(TRIM(E301))&gt;0</formula>
    </cfRule>
  </conditionalFormatting>
  <conditionalFormatting sqref="E302:X302">
    <cfRule type="containsBlanks" dxfId="1473" priority="93" stopIfTrue="1">
      <formula>LEN(TRIM(E302))=0</formula>
    </cfRule>
    <cfRule type="notContainsBlanks" dxfId="1472" priority="94" stopIfTrue="1">
      <formula>LEN(TRIM(E302))&gt;0</formula>
    </cfRule>
  </conditionalFormatting>
  <conditionalFormatting sqref="E279">
    <cfRule type="containsBlanks" dxfId="1471" priority="95" stopIfTrue="1">
      <formula>LEN(TRIM(E279))=0</formula>
    </cfRule>
    <cfRule type="notContainsBlanks" dxfId="1470" priority="96" stopIfTrue="1">
      <formula>LEN(TRIM(E279))&gt;0</formula>
    </cfRule>
  </conditionalFormatting>
  <conditionalFormatting sqref="E280">
    <cfRule type="containsBlanks" dxfId="1469" priority="97" stopIfTrue="1">
      <formula>LEN(TRIM(E280))=0</formula>
    </cfRule>
    <cfRule type="notContainsBlanks" dxfId="1468" priority="98" stopIfTrue="1">
      <formula>LEN(TRIM(E280))&gt;0</formula>
    </cfRule>
  </conditionalFormatting>
  <conditionalFormatting sqref="E281">
    <cfRule type="containsBlanks" dxfId="1467" priority="99" stopIfTrue="1">
      <formula>LEN(TRIM(E281))=0</formula>
    </cfRule>
    <cfRule type="notContainsBlanks" dxfId="1466" priority="100" stopIfTrue="1">
      <formula>LEN(TRIM(E281))&gt;0</formula>
    </cfRule>
  </conditionalFormatting>
  <conditionalFormatting sqref="E287:X287">
    <cfRule type="containsBlanks" dxfId="1465" priority="105" stopIfTrue="1">
      <formula>LEN(TRIM(E287))=0</formula>
    </cfRule>
    <cfRule type="notContainsBlanks" dxfId="1464" priority="106" stopIfTrue="1">
      <formula>LEN(TRIM(E287))&gt;0</formula>
    </cfRule>
  </conditionalFormatting>
  <conditionalFormatting sqref="E288:X288">
    <cfRule type="containsBlanks" dxfId="1463" priority="107" stopIfTrue="1">
      <formula>LEN(TRIM(E288))=0</formula>
    </cfRule>
    <cfRule type="notContainsBlanks" dxfId="1462" priority="108" stopIfTrue="1">
      <formula>LEN(TRIM(E288))&gt;0</formula>
    </cfRule>
  </conditionalFormatting>
  <conditionalFormatting sqref="E207:AN207">
    <cfRule type="containsBlanks" dxfId="1461" priority="109" stopIfTrue="1">
      <formula>LEN(TRIM(E207))=0</formula>
    </cfRule>
    <cfRule type="notContainsBlanks" dxfId="1460" priority="110" stopIfTrue="1">
      <formula>LEN(TRIM(E207))&gt;0</formula>
    </cfRule>
  </conditionalFormatting>
  <conditionalFormatting sqref="E208:AN208">
    <cfRule type="containsBlanks" dxfId="1459" priority="111" stopIfTrue="1">
      <formula>LEN(TRIM(E208))=0</formula>
    </cfRule>
    <cfRule type="notContainsBlanks" dxfId="1458" priority="112" stopIfTrue="1">
      <formula>LEN(TRIM(E208))&gt;0</formula>
    </cfRule>
  </conditionalFormatting>
  <conditionalFormatting sqref="E210:AN210">
    <cfRule type="containsBlanks" dxfId="1457" priority="113" stopIfTrue="1">
      <formula>LEN(TRIM(E210))=0</formula>
    </cfRule>
    <cfRule type="notContainsBlanks" dxfId="1456" priority="114" stopIfTrue="1">
      <formula>LEN(TRIM(E210))&gt;0</formula>
    </cfRule>
  </conditionalFormatting>
  <conditionalFormatting sqref="E211:AN211">
    <cfRule type="containsBlanks" dxfId="1455" priority="115" stopIfTrue="1">
      <formula>LEN(TRIM(E211))=0</formula>
    </cfRule>
    <cfRule type="notContainsBlanks" dxfId="1454" priority="116" stopIfTrue="1">
      <formula>LEN(TRIM(E211))&gt;0</formula>
    </cfRule>
  </conditionalFormatting>
  <conditionalFormatting sqref="E212:AN212">
    <cfRule type="containsBlanks" dxfId="1453" priority="117" stopIfTrue="1">
      <formula>LEN(TRIM(E212))=0</formula>
    </cfRule>
    <cfRule type="notContainsBlanks" dxfId="1452" priority="118" stopIfTrue="1">
      <formula>LEN(TRIM(E212))&gt;0</formula>
    </cfRule>
  </conditionalFormatting>
  <conditionalFormatting sqref="E213:AN213">
    <cfRule type="containsBlanks" dxfId="1451" priority="119" stopIfTrue="1">
      <formula>LEN(TRIM(E213))=0</formula>
    </cfRule>
    <cfRule type="notContainsBlanks" dxfId="1450" priority="120" stopIfTrue="1">
      <formula>LEN(TRIM(E213))&gt;0</formula>
    </cfRule>
  </conditionalFormatting>
  <conditionalFormatting sqref="E216:AN216">
    <cfRule type="containsBlanks" dxfId="1449" priority="121" stopIfTrue="1">
      <formula>LEN(TRIM(E216))=0</formula>
    </cfRule>
    <cfRule type="notContainsBlanks" dxfId="1448" priority="122" stopIfTrue="1">
      <formula>LEN(TRIM(E216))&gt;0</formula>
    </cfRule>
  </conditionalFormatting>
  <conditionalFormatting sqref="E218:AN218">
    <cfRule type="containsBlanks" dxfId="1447" priority="123" stopIfTrue="1">
      <formula>LEN(TRIM(E218))=0</formula>
    </cfRule>
    <cfRule type="notContainsBlanks" dxfId="1446" priority="124" stopIfTrue="1">
      <formula>LEN(TRIM(E218))&gt;0</formula>
    </cfRule>
  </conditionalFormatting>
  <conditionalFormatting sqref="E221:AN221">
    <cfRule type="containsBlanks" dxfId="1445" priority="125" stopIfTrue="1">
      <formula>LEN(TRIM(E221))=0</formula>
    </cfRule>
    <cfRule type="notContainsBlanks" dxfId="1444" priority="126" stopIfTrue="1">
      <formula>LEN(TRIM(E221))&gt;0</formula>
    </cfRule>
  </conditionalFormatting>
  <conditionalFormatting sqref="E222:AN222">
    <cfRule type="containsBlanks" dxfId="1443" priority="127" stopIfTrue="1">
      <formula>LEN(TRIM(E222))=0</formula>
    </cfRule>
    <cfRule type="notContainsBlanks" dxfId="1442" priority="128" stopIfTrue="1">
      <formula>LEN(TRIM(E222))&gt;0</formula>
    </cfRule>
  </conditionalFormatting>
  <conditionalFormatting sqref="E224:AN224">
    <cfRule type="containsBlanks" dxfId="1441" priority="129" stopIfTrue="1">
      <formula>LEN(TRIM(E224))=0</formula>
    </cfRule>
    <cfRule type="notContainsBlanks" dxfId="1440" priority="130" stopIfTrue="1">
      <formula>LEN(TRIM(E224))&gt;0</formula>
    </cfRule>
  </conditionalFormatting>
  <conditionalFormatting sqref="E225:AN225">
    <cfRule type="containsBlanks" dxfId="1439" priority="131" stopIfTrue="1">
      <formula>LEN(TRIM(E225))=0</formula>
    </cfRule>
    <cfRule type="notContainsBlanks" dxfId="1438" priority="132" stopIfTrue="1">
      <formula>LEN(TRIM(E225))&gt;0</formula>
    </cfRule>
  </conditionalFormatting>
  <conditionalFormatting sqref="E226:AN226">
    <cfRule type="containsBlanks" dxfId="1437" priority="133" stopIfTrue="1">
      <formula>LEN(TRIM(E226))=0</formula>
    </cfRule>
    <cfRule type="notContainsBlanks" dxfId="1436" priority="134" stopIfTrue="1">
      <formula>LEN(TRIM(E226))&gt;0</formula>
    </cfRule>
  </conditionalFormatting>
  <conditionalFormatting sqref="E227:AN227">
    <cfRule type="containsBlanks" dxfId="1435" priority="135" stopIfTrue="1">
      <formula>LEN(TRIM(E227))=0</formula>
    </cfRule>
  </conditionalFormatting>
  <conditionalFormatting sqref="E227:AN227">
    <cfRule type="notContainsBlanks" dxfId="1434" priority="136" stopIfTrue="1">
      <formula>LEN(TRIM(E227))&gt;0</formula>
    </cfRule>
  </conditionalFormatting>
  <conditionalFormatting sqref="E230:AN230">
    <cfRule type="containsBlanks" dxfId="1433" priority="137" stopIfTrue="1">
      <formula>LEN(TRIM(E230))=0</formula>
    </cfRule>
  </conditionalFormatting>
  <conditionalFormatting sqref="E230:AN230">
    <cfRule type="notContainsBlanks" dxfId="1432" priority="138" stopIfTrue="1">
      <formula>LEN(TRIM(E230))&gt;0</formula>
    </cfRule>
  </conditionalFormatting>
  <conditionalFormatting sqref="E232:AN232">
    <cfRule type="containsBlanks" dxfId="1431" priority="139" stopIfTrue="1">
      <formula>LEN(TRIM(E232))=0</formula>
    </cfRule>
  </conditionalFormatting>
  <conditionalFormatting sqref="E232:AN232">
    <cfRule type="notContainsBlanks" dxfId="1430" priority="140" stopIfTrue="1">
      <formula>LEN(TRIM(E232))&gt;0</formula>
    </cfRule>
  </conditionalFormatting>
  <conditionalFormatting sqref="E235:AN235">
    <cfRule type="containsBlanks" dxfId="1429" priority="141" stopIfTrue="1">
      <formula>LEN(TRIM(E235))=0</formula>
    </cfRule>
  </conditionalFormatting>
  <conditionalFormatting sqref="E235:AN235">
    <cfRule type="notContainsBlanks" dxfId="1428" priority="142" stopIfTrue="1">
      <formula>LEN(TRIM(E235))&gt;0</formula>
    </cfRule>
  </conditionalFormatting>
  <conditionalFormatting sqref="E236:AN236">
    <cfRule type="containsBlanks" dxfId="1427" priority="143" stopIfTrue="1">
      <formula>LEN(TRIM(E236))=0</formula>
    </cfRule>
  </conditionalFormatting>
  <conditionalFormatting sqref="E236:AN236">
    <cfRule type="notContainsBlanks" dxfId="1426" priority="144" stopIfTrue="1">
      <formula>LEN(TRIM(E236))&gt;0</formula>
    </cfRule>
  </conditionalFormatting>
  <conditionalFormatting sqref="E238:AN238">
    <cfRule type="containsBlanks" dxfId="1425" priority="145" stopIfTrue="1">
      <formula>LEN(TRIM(E238))=0</formula>
    </cfRule>
  </conditionalFormatting>
  <conditionalFormatting sqref="E238:AN238">
    <cfRule type="notContainsBlanks" dxfId="1424" priority="146" stopIfTrue="1">
      <formula>LEN(TRIM(E238))&gt;0</formula>
    </cfRule>
  </conditionalFormatting>
  <conditionalFormatting sqref="E239:AN239">
    <cfRule type="containsBlanks" dxfId="1423" priority="147" stopIfTrue="1">
      <formula>LEN(TRIM(E239))=0</formula>
    </cfRule>
  </conditionalFormatting>
  <conditionalFormatting sqref="E239:AN239">
    <cfRule type="notContainsBlanks" dxfId="1422" priority="148" stopIfTrue="1">
      <formula>LEN(TRIM(E239))&gt;0</formula>
    </cfRule>
  </conditionalFormatting>
  <conditionalFormatting sqref="E240:AN240">
    <cfRule type="containsBlanks" dxfId="1421" priority="149" stopIfTrue="1">
      <formula>LEN(TRIM(E240))=0</formula>
    </cfRule>
  </conditionalFormatting>
  <conditionalFormatting sqref="E240:AN240">
    <cfRule type="notContainsBlanks" dxfId="1420" priority="150" stopIfTrue="1">
      <formula>LEN(TRIM(E240))&gt;0</formula>
    </cfRule>
  </conditionalFormatting>
  <conditionalFormatting sqref="E241:AN241">
    <cfRule type="containsBlanks" dxfId="1419" priority="151" stopIfTrue="1">
      <formula>LEN(TRIM(E241))=0</formula>
    </cfRule>
  </conditionalFormatting>
  <conditionalFormatting sqref="E241:AN241">
    <cfRule type="notContainsBlanks" dxfId="1418" priority="152" stopIfTrue="1">
      <formula>LEN(TRIM(E241))&gt;0</formula>
    </cfRule>
  </conditionalFormatting>
  <conditionalFormatting sqref="E244:AN244">
    <cfRule type="containsBlanks" dxfId="1417" priority="153" stopIfTrue="1">
      <formula>LEN(TRIM(E244))=0</formula>
    </cfRule>
  </conditionalFormatting>
  <conditionalFormatting sqref="E244:AN244">
    <cfRule type="notContainsBlanks" dxfId="1416" priority="154" stopIfTrue="1">
      <formula>LEN(TRIM(E244))&gt;0</formula>
    </cfRule>
  </conditionalFormatting>
  <conditionalFormatting sqref="E246:AN246">
    <cfRule type="containsBlanks" dxfId="1415" priority="155" stopIfTrue="1">
      <formula>LEN(TRIM(E246))=0</formula>
    </cfRule>
  </conditionalFormatting>
  <conditionalFormatting sqref="E246:AN246">
    <cfRule type="notContainsBlanks" dxfId="1414" priority="156" stopIfTrue="1">
      <formula>LEN(TRIM(E246))&gt;0</formula>
    </cfRule>
  </conditionalFormatting>
  <conditionalFormatting sqref="E249:AN249">
    <cfRule type="containsBlanks" dxfId="1413" priority="157" stopIfTrue="1">
      <formula>LEN(TRIM(E249))=0</formula>
    </cfRule>
  </conditionalFormatting>
  <conditionalFormatting sqref="E249:AN249">
    <cfRule type="notContainsBlanks" dxfId="1412" priority="158" stopIfTrue="1">
      <formula>LEN(TRIM(E249))&gt;0</formula>
    </cfRule>
  </conditionalFormatting>
  <conditionalFormatting sqref="E250:AN250">
    <cfRule type="containsBlanks" dxfId="1411" priority="159" stopIfTrue="1">
      <formula>LEN(TRIM(E250))=0</formula>
    </cfRule>
  </conditionalFormatting>
  <conditionalFormatting sqref="E250:AN250">
    <cfRule type="notContainsBlanks" dxfId="1410" priority="160" stopIfTrue="1">
      <formula>LEN(TRIM(E250))&gt;0</formula>
    </cfRule>
  </conditionalFormatting>
  <conditionalFormatting sqref="E252:AN252">
    <cfRule type="containsBlanks" dxfId="1409" priority="161" stopIfTrue="1">
      <formula>LEN(TRIM(E252))=0</formula>
    </cfRule>
  </conditionalFormatting>
  <conditionalFormatting sqref="E252:AN252">
    <cfRule type="notContainsBlanks" dxfId="1408" priority="162" stopIfTrue="1">
      <formula>LEN(TRIM(E252))&gt;0</formula>
    </cfRule>
  </conditionalFormatting>
  <conditionalFormatting sqref="E253:AN253">
    <cfRule type="containsBlanks" dxfId="1407" priority="163" stopIfTrue="1">
      <formula>LEN(TRIM(E253))=0</formula>
    </cfRule>
  </conditionalFormatting>
  <conditionalFormatting sqref="E253:AN253">
    <cfRule type="notContainsBlanks" dxfId="1406" priority="164" stopIfTrue="1">
      <formula>LEN(TRIM(E253))&gt;0</formula>
    </cfRule>
  </conditionalFormatting>
  <conditionalFormatting sqref="E254:AN254">
    <cfRule type="containsBlanks" dxfId="1405" priority="165" stopIfTrue="1">
      <formula>LEN(TRIM(E254))=0</formula>
    </cfRule>
  </conditionalFormatting>
  <conditionalFormatting sqref="E254:AN254">
    <cfRule type="notContainsBlanks" dxfId="1404" priority="166" stopIfTrue="1">
      <formula>LEN(TRIM(E254))&gt;0</formula>
    </cfRule>
  </conditionalFormatting>
  <conditionalFormatting sqref="E255:AN255">
    <cfRule type="containsBlanks" dxfId="1403" priority="167" stopIfTrue="1">
      <formula>LEN(TRIM(E255))=0</formula>
    </cfRule>
  </conditionalFormatting>
  <conditionalFormatting sqref="E255:AN255">
    <cfRule type="notContainsBlanks" dxfId="1402" priority="168" stopIfTrue="1">
      <formula>LEN(TRIM(E255))&gt;0</formula>
    </cfRule>
  </conditionalFormatting>
  <conditionalFormatting sqref="E258:AN258">
    <cfRule type="containsBlanks" dxfId="1401" priority="169" stopIfTrue="1">
      <formula>LEN(TRIM(E258))=0</formula>
    </cfRule>
  </conditionalFormatting>
  <conditionalFormatting sqref="E258:AN258">
    <cfRule type="notContainsBlanks" dxfId="1400" priority="170" stopIfTrue="1">
      <formula>LEN(TRIM(E258))&gt;0</formula>
    </cfRule>
  </conditionalFormatting>
  <conditionalFormatting sqref="E260:AN260">
    <cfRule type="containsBlanks" dxfId="1399" priority="171" stopIfTrue="1">
      <formula>LEN(TRIM(E260))=0</formula>
    </cfRule>
  </conditionalFormatting>
  <conditionalFormatting sqref="E260:AN260">
    <cfRule type="notContainsBlanks" dxfId="1398" priority="172" stopIfTrue="1">
      <formula>LEN(TRIM(E260))&gt;0</formula>
    </cfRule>
  </conditionalFormatting>
  <conditionalFormatting sqref="E263:AN263">
    <cfRule type="containsBlanks" dxfId="1397" priority="173" stopIfTrue="1">
      <formula>LEN(TRIM(E263))=0</formula>
    </cfRule>
  </conditionalFormatting>
  <conditionalFormatting sqref="E263:AN263">
    <cfRule type="notContainsBlanks" dxfId="1396" priority="174" stopIfTrue="1">
      <formula>LEN(TRIM(E263))&gt;0</formula>
    </cfRule>
  </conditionalFormatting>
  <conditionalFormatting sqref="E264:AN264">
    <cfRule type="containsBlanks" dxfId="1395" priority="175" stopIfTrue="1">
      <formula>LEN(TRIM(E264))=0</formula>
    </cfRule>
  </conditionalFormatting>
  <conditionalFormatting sqref="E264:AN264">
    <cfRule type="notContainsBlanks" dxfId="1394" priority="176" stopIfTrue="1">
      <formula>LEN(TRIM(E264))&gt;0</formula>
    </cfRule>
  </conditionalFormatting>
  <conditionalFormatting sqref="E266:AN266">
    <cfRule type="containsBlanks" dxfId="1393" priority="177" stopIfTrue="1">
      <formula>LEN(TRIM(E266))=0</formula>
    </cfRule>
  </conditionalFormatting>
  <conditionalFormatting sqref="E266:AN266">
    <cfRule type="notContainsBlanks" dxfId="1392" priority="178" stopIfTrue="1">
      <formula>LEN(TRIM(E266))&gt;0</formula>
    </cfRule>
  </conditionalFormatting>
  <conditionalFormatting sqref="E267:AN267">
    <cfRule type="containsBlanks" dxfId="1391" priority="179" stopIfTrue="1">
      <formula>LEN(TRIM(E267))=0</formula>
    </cfRule>
  </conditionalFormatting>
  <conditionalFormatting sqref="E267:AN267">
    <cfRule type="notContainsBlanks" dxfId="1390" priority="180" stopIfTrue="1">
      <formula>LEN(TRIM(E267))&gt;0</formula>
    </cfRule>
  </conditionalFormatting>
  <conditionalFormatting sqref="E268:AN268">
    <cfRule type="containsBlanks" dxfId="1389" priority="181" stopIfTrue="1">
      <formula>LEN(TRIM(E268))=0</formula>
    </cfRule>
  </conditionalFormatting>
  <conditionalFormatting sqref="E268:AN268">
    <cfRule type="notContainsBlanks" dxfId="1388" priority="182" stopIfTrue="1">
      <formula>LEN(TRIM(E268))&gt;0</formula>
    </cfRule>
  </conditionalFormatting>
  <conditionalFormatting sqref="E269:AN269">
    <cfRule type="containsBlanks" dxfId="1387" priority="183" stopIfTrue="1">
      <formula>LEN(TRIM(E269))=0</formula>
    </cfRule>
  </conditionalFormatting>
  <conditionalFormatting sqref="E269:AN269">
    <cfRule type="notContainsBlanks" dxfId="1386" priority="184" stopIfTrue="1">
      <formula>LEN(TRIM(E269))&gt;0</formula>
    </cfRule>
  </conditionalFormatting>
  <conditionalFormatting sqref="E272:AN272">
    <cfRule type="containsBlanks" dxfId="1385" priority="185" stopIfTrue="1">
      <formula>LEN(TRIM(E272))=0</formula>
    </cfRule>
  </conditionalFormatting>
  <conditionalFormatting sqref="E272:AN272">
    <cfRule type="notContainsBlanks" dxfId="1384" priority="186" stopIfTrue="1">
      <formula>LEN(TRIM(E272))&gt;0</formula>
    </cfRule>
  </conditionalFormatting>
  <conditionalFormatting sqref="E274:AN274">
    <cfRule type="containsBlanks" dxfId="1383" priority="187" stopIfTrue="1">
      <formula>LEN(TRIM(E274))=0</formula>
    </cfRule>
  </conditionalFormatting>
  <conditionalFormatting sqref="E274:AN274">
    <cfRule type="notContainsBlanks" dxfId="1382" priority="188" stopIfTrue="1">
      <formula>LEN(TRIM(E274))&gt;0</formula>
    </cfRule>
  </conditionalFormatting>
  <conditionalFormatting sqref="E198:AN198">
    <cfRule type="containsBlanks" dxfId="1381" priority="189" stopIfTrue="1">
      <formula>LEN(TRIM(E198))=0</formula>
    </cfRule>
    <cfRule type="notContainsBlanks" dxfId="1380" priority="190" stopIfTrue="1">
      <formula>LEN(TRIM(E198))&gt;0</formula>
    </cfRule>
  </conditionalFormatting>
  <conditionalFormatting sqref="E199:AN199">
    <cfRule type="containsBlanks" dxfId="1379" priority="191" stopIfTrue="1">
      <formula>LEN(TRIM(E199))=0</formula>
    </cfRule>
    <cfRule type="notContainsBlanks" dxfId="1378" priority="192" stopIfTrue="1">
      <formula>LEN(TRIM(E199))&gt;0</formula>
    </cfRule>
  </conditionalFormatting>
  <conditionalFormatting sqref="E200:AN200">
    <cfRule type="containsBlanks" dxfId="1377" priority="193" stopIfTrue="1">
      <formula>LEN(TRIM(E200))=0</formula>
    </cfRule>
    <cfRule type="notContainsBlanks" dxfId="1376" priority="194" stopIfTrue="1">
      <formula>LEN(TRIM(E200))&gt;0</formula>
    </cfRule>
  </conditionalFormatting>
  <conditionalFormatting sqref="E201:AN201">
    <cfRule type="containsBlanks" dxfId="1375" priority="195" stopIfTrue="1">
      <formula>LEN(TRIM(E201))=0</formula>
    </cfRule>
    <cfRule type="notContainsBlanks" dxfId="1374" priority="196" stopIfTrue="1">
      <formula>LEN(TRIM(E201))&gt;0</formula>
    </cfRule>
  </conditionalFormatting>
  <conditionalFormatting sqref="E202:AN202">
    <cfRule type="containsBlanks" dxfId="1373" priority="197" stopIfTrue="1">
      <formula>LEN(TRIM(E202))=0</formula>
    </cfRule>
    <cfRule type="notContainsBlanks" dxfId="1372" priority="198" stopIfTrue="1">
      <formula>LEN(TRIM(E202))&gt;0</formula>
    </cfRule>
  </conditionalFormatting>
  <conditionalFormatting sqref="E191:AN191">
    <cfRule type="containsBlanks" dxfId="1371" priority="199" stopIfTrue="1">
      <formula>LEN(TRIM(E191))=0</formula>
    </cfRule>
    <cfRule type="notContainsBlanks" dxfId="1370" priority="200" stopIfTrue="1">
      <formula>LEN(TRIM(E191))&gt;0</formula>
    </cfRule>
  </conditionalFormatting>
  <conditionalFormatting sqref="E192:AN192">
    <cfRule type="containsBlanks" dxfId="1369" priority="201" stopIfTrue="1">
      <formula>LEN(TRIM(E192))=0</formula>
    </cfRule>
    <cfRule type="notContainsBlanks" dxfId="1368" priority="202" stopIfTrue="1">
      <formula>LEN(TRIM(E192))&gt;0</formula>
    </cfRule>
  </conditionalFormatting>
  <conditionalFormatting sqref="E193:AN193">
    <cfRule type="containsBlanks" dxfId="1367" priority="203" stopIfTrue="1">
      <formula>LEN(TRIM(E193))=0</formula>
    </cfRule>
    <cfRule type="notContainsBlanks" dxfId="1366" priority="204" stopIfTrue="1">
      <formula>LEN(TRIM(E193))&gt;0</formula>
    </cfRule>
  </conditionalFormatting>
  <conditionalFormatting sqref="E194:AN194">
    <cfRule type="containsBlanks" dxfId="1365" priority="205" stopIfTrue="1">
      <formula>LEN(TRIM(E194))=0</formula>
    </cfRule>
    <cfRule type="notContainsBlanks" dxfId="1364" priority="206" stopIfTrue="1">
      <formula>LEN(TRIM(E194))&gt;0</formula>
    </cfRule>
  </conditionalFormatting>
  <conditionalFormatting sqref="E195:AN195">
    <cfRule type="containsBlanks" dxfId="1363" priority="207" stopIfTrue="1">
      <formula>LEN(TRIM(E195))=0</formula>
    </cfRule>
    <cfRule type="notContainsBlanks" dxfId="1362" priority="208" stopIfTrue="1">
      <formula>LEN(TRIM(E195))&gt;0</formula>
    </cfRule>
  </conditionalFormatting>
  <conditionalFormatting sqref="E184:AN184">
    <cfRule type="containsBlanks" dxfId="1361" priority="209" stopIfTrue="1">
      <formula>LEN(TRIM(E184))=0</formula>
    </cfRule>
    <cfRule type="notContainsBlanks" dxfId="1360" priority="210" stopIfTrue="1">
      <formula>LEN(TRIM(E184))&gt;0</formula>
    </cfRule>
  </conditionalFormatting>
  <conditionalFormatting sqref="E185:AN185">
    <cfRule type="containsBlanks" dxfId="1359" priority="211" stopIfTrue="1">
      <formula>LEN(TRIM(E185))=0</formula>
    </cfRule>
    <cfRule type="notContainsBlanks" dxfId="1358" priority="212" stopIfTrue="1">
      <formula>LEN(TRIM(E185))&gt;0</formula>
    </cfRule>
  </conditionalFormatting>
  <conditionalFormatting sqref="E186:AN186">
    <cfRule type="containsBlanks" dxfId="1357" priority="213" stopIfTrue="1">
      <formula>LEN(TRIM(E186))=0</formula>
    </cfRule>
    <cfRule type="notContainsBlanks" dxfId="1356" priority="214" stopIfTrue="1">
      <formula>LEN(TRIM(E186))&gt;0</formula>
    </cfRule>
  </conditionalFormatting>
  <conditionalFormatting sqref="E187:AN187">
    <cfRule type="containsBlanks" dxfId="1355" priority="215" stopIfTrue="1">
      <formula>LEN(TRIM(E187))=0</formula>
    </cfRule>
    <cfRule type="notContainsBlanks" dxfId="1354" priority="216" stopIfTrue="1">
      <formula>LEN(TRIM(E187))&gt;0</formula>
    </cfRule>
  </conditionalFormatting>
  <conditionalFormatting sqref="E188:AN188">
    <cfRule type="containsBlanks" dxfId="1353" priority="217" stopIfTrue="1">
      <formula>LEN(TRIM(E188))=0</formula>
    </cfRule>
    <cfRule type="notContainsBlanks" dxfId="1352" priority="218" stopIfTrue="1">
      <formula>LEN(TRIM(E188))&gt;0</formula>
    </cfRule>
  </conditionalFormatting>
  <conditionalFormatting sqref="E177:AN177">
    <cfRule type="containsBlanks" dxfId="1351" priority="219" stopIfTrue="1">
      <formula>LEN(TRIM(E177))=0</formula>
    </cfRule>
    <cfRule type="notContainsBlanks" dxfId="1350" priority="220" stopIfTrue="1">
      <formula>LEN(TRIM(E177))&gt;0</formula>
    </cfRule>
  </conditionalFormatting>
  <conditionalFormatting sqref="E178:AN178">
    <cfRule type="containsBlanks" dxfId="1349" priority="221" stopIfTrue="1">
      <formula>LEN(TRIM(E178))=0</formula>
    </cfRule>
    <cfRule type="notContainsBlanks" dxfId="1348" priority="222" stopIfTrue="1">
      <formula>LEN(TRIM(E178))&gt;0</formula>
    </cfRule>
  </conditionalFormatting>
  <conditionalFormatting sqref="E179:AN179">
    <cfRule type="containsBlanks" dxfId="1347" priority="223" stopIfTrue="1">
      <formula>LEN(TRIM(E179))=0</formula>
    </cfRule>
    <cfRule type="notContainsBlanks" dxfId="1346" priority="224" stopIfTrue="1">
      <formula>LEN(TRIM(E179))&gt;0</formula>
    </cfRule>
  </conditionalFormatting>
  <conditionalFormatting sqref="E180:AN180">
    <cfRule type="containsBlanks" dxfId="1345" priority="225" stopIfTrue="1">
      <formula>LEN(TRIM(E180))=0</formula>
    </cfRule>
    <cfRule type="notContainsBlanks" dxfId="1344" priority="226" stopIfTrue="1">
      <formula>LEN(TRIM(E180))&gt;0</formula>
    </cfRule>
  </conditionalFormatting>
  <conditionalFormatting sqref="E181:AN181">
    <cfRule type="containsBlanks" dxfId="1343" priority="227" stopIfTrue="1">
      <formula>LEN(TRIM(E181))=0</formula>
    </cfRule>
    <cfRule type="notContainsBlanks" dxfId="1342" priority="228" stopIfTrue="1">
      <formula>LEN(TRIM(E181))&gt;0</formula>
    </cfRule>
  </conditionalFormatting>
  <conditionalFormatting sqref="E170:AN170">
    <cfRule type="containsBlanks" dxfId="1341" priority="229" stopIfTrue="1">
      <formula>LEN(TRIM(E170))=0</formula>
    </cfRule>
    <cfRule type="notContainsBlanks" dxfId="1340" priority="230" stopIfTrue="1">
      <formula>LEN(TRIM(E170))&gt;0</formula>
    </cfRule>
  </conditionalFormatting>
  <conditionalFormatting sqref="E171:AN171">
    <cfRule type="containsBlanks" dxfId="1339" priority="231" stopIfTrue="1">
      <formula>LEN(TRIM(E171))=0</formula>
    </cfRule>
    <cfRule type="notContainsBlanks" dxfId="1338" priority="232" stopIfTrue="1">
      <formula>LEN(TRIM(E171))&gt;0</formula>
    </cfRule>
  </conditionalFormatting>
  <conditionalFormatting sqref="E172:AN172">
    <cfRule type="containsBlanks" dxfId="1337" priority="233" stopIfTrue="1">
      <formula>LEN(TRIM(E172))=0</formula>
    </cfRule>
    <cfRule type="notContainsBlanks" dxfId="1336" priority="234" stopIfTrue="1">
      <formula>LEN(TRIM(E172))&gt;0</formula>
    </cfRule>
  </conditionalFormatting>
  <conditionalFormatting sqref="E173:AN173">
    <cfRule type="containsBlanks" dxfId="1335" priority="235" stopIfTrue="1">
      <formula>LEN(TRIM(E173))=0</formula>
    </cfRule>
    <cfRule type="notContainsBlanks" dxfId="1334" priority="236" stopIfTrue="1">
      <formula>LEN(TRIM(E173))&gt;0</formula>
    </cfRule>
  </conditionalFormatting>
  <conditionalFormatting sqref="E174:AN174">
    <cfRule type="containsBlanks" dxfId="1333" priority="237" stopIfTrue="1">
      <formula>LEN(TRIM(E174))=0</formula>
    </cfRule>
    <cfRule type="notContainsBlanks" dxfId="1332" priority="238" stopIfTrue="1">
      <formula>LEN(TRIM(E174))&gt;0</formula>
    </cfRule>
  </conditionalFormatting>
  <conditionalFormatting sqref="E163:AN163">
    <cfRule type="containsBlanks" dxfId="1331" priority="239" stopIfTrue="1">
      <formula>LEN(TRIM(E163))=0</formula>
    </cfRule>
    <cfRule type="notContainsBlanks" dxfId="1330" priority="240" stopIfTrue="1">
      <formula>LEN(TRIM(E163))&gt;0</formula>
    </cfRule>
  </conditionalFormatting>
  <conditionalFormatting sqref="E164:AN164">
    <cfRule type="containsBlanks" dxfId="1329" priority="241" stopIfTrue="1">
      <formula>LEN(TRIM(E164))=0</formula>
    </cfRule>
    <cfRule type="notContainsBlanks" dxfId="1328" priority="242" stopIfTrue="1">
      <formula>LEN(TRIM(E164))&gt;0</formula>
    </cfRule>
  </conditionalFormatting>
  <conditionalFormatting sqref="E165:AN165">
    <cfRule type="containsBlanks" dxfId="1327" priority="243" stopIfTrue="1">
      <formula>LEN(TRIM(E165))=0</formula>
    </cfRule>
    <cfRule type="notContainsBlanks" dxfId="1326" priority="244" stopIfTrue="1">
      <formula>LEN(TRIM(E165))&gt;0</formula>
    </cfRule>
  </conditionalFormatting>
  <conditionalFormatting sqref="E166:AN166">
    <cfRule type="containsBlanks" dxfId="1325" priority="245" stopIfTrue="1">
      <formula>LEN(TRIM(E166))=0</formula>
    </cfRule>
    <cfRule type="notContainsBlanks" dxfId="1324" priority="246" stopIfTrue="1">
      <formula>LEN(TRIM(E166))&gt;0</formula>
    </cfRule>
  </conditionalFormatting>
  <conditionalFormatting sqref="E167:AN167">
    <cfRule type="containsBlanks" dxfId="1323" priority="247" stopIfTrue="1">
      <formula>LEN(TRIM(E167))=0</formula>
    </cfRule>
    <cfRule type="notContainsBlanks" dxfId="1322" priority="248" stopIfTrue="1">
      <formula>LEN(TRIM(E167))&gt;0</formula>
    </cfRule>
  </conditionalFormatting>
  <conditionalFormatting sqref="E156">
    <cfRule type="containsBlanks" dxfId="1321" priority="249" stopIfTrue="1">
      <formula>LEN(TRIM(E156))=0</formula>
    </cfRule>
    <cfRule type="notContainsBlanks" dxfId="1320" priority="250" stopIfTrue="1">
      <formula>LEN(TRIM(E156))&gt;0</formula>
    </cfRule>
  </conditionalFormatting>
  <conditionalFormatting sqref="E157">
    <cfRule type="containsBlanks" dxfId="1319" priority="251" stopIfTrue="1">
      <formula>LEN(TRIM(E157))=0</formula>
    </cfRule>
    <cfRule type="notContainsBlanks" dxfId="1318" priority="252" stopIfTrue="1">
      <formula>LEN(TRIM(E157))&gt;0</formula>
    </cfRule>
  </conditionalFormatting>
  <conditionalFormatting sqref="E158">
    <cfRule type="containsBlanks" dxfId="1317" priority="253" stopIfTrue="1">
      <formula>LEN(TRIM(E158))=0</formula>
    </cfRule>
    <cfRule type="notContainsBlanks" dxfId="1316" priority="254" stopIfTrue="1">
      <formula>LEN(TRIM(E158))&gt;0</formula>
    </cfRule>
  </conditionalFormatting>
  <conditionalFormatting sqref="E159">
    <cfRule type="containsBlanks" dxfId="1315" priority="255" stopIfTrue="1">
      <formula>LEN(TRIM(E159))=0</formula>
    </cfRule>
    <cfRule type="notContainsBlanks" dxfId="1314" priority="256" stopIfTrue="1">
      <formula>LEN(TRIM(E159))&gt;0</formula>
    </cfRule>
  </conditionalFormatting>
  <conditionalFormatting sqref="E160">
    <cfRule type="containsBlanks" dxfId="1313" priority="257" stopIfTrue="1">
      <formula>LEN(TRIM(E160))=0</formula>
    </cfRule>
    <cfRule type="notContainsBlanks" dxfId="1312" priority="258" stopIfTrue="1">
      <formula>LEN(TRIM(E160))&gt;0</formula>
    </cfRule>
  </conditionalFormatting>
  <conditionalFormatting sqref="E149:AN149">
    <cfRule type="containsBlanks" dxfId="1311" priority="259" stopIfTrue="1">
      <formula>LEN(TRIM(E149))=0</formula>
    </cfRule>
    <cfRule type="notContainsBlanks" dxfId="1310" priority="260" stopIfTrue="1">
      <formula>LEN(TRIM(E149))&gt;0</formula>
    </cfRule>
  </conditionalFormatting>
  <conditionalFormatting sqref="E150:AN150">
    <cfRule type="containsBlanks" dxfId="1309" priority="261" stopIfTrue="1">
      <formula>LEN(TRIM(E150))=0</formula>
    </cfRule>
    <cfRule type="notContainsBlanks" dxfId="1308" priority="262" stopIfTrue="1">
      <formula>LEN(TRIM(E150))&gt;0</formula>
    </cfRule>
  </conditionalFormatting>
  <conditionalFormatting sqref="E151:AN151">
    <cfRule type="containsBlanks" dxfId="1307" priority="263" stopIfTrue="1">
      <formula>LEN(TRIM(E151))=0</formula>
    </cfRule>
    <cfRule type="notContainsBlanks" dxfId="1306" priority="264" stopIfTrue="1">
      <formula>LEN(TRIM(E151))&gt;0</formula>
    </cfRule>
  </conditionalFormatting>
  <conditionalFormatting sqref="E152:AN152">
    <cfRule type="containsBlanks" dxfId="1305" priority="265" stopIfTrue="1">
      <formula>LEN(TRIM(E152))=0</formula>
    </cfRule>
    <cfRule type="notContainsBlanks" dxfId="1304" priority="266" stopIfTrue="1">
      <formula>LEN(TRIM(E152))&gt;0</formula>
    </cfRule>
  </conditionalFormatting>
  <conditionalFormatting sqref="E153:AN153">
    <cfRule type="containsBlanks" dxfId="1303" priority="267" stopIfTrue="1">
      <formula>LEN(TRIM(E153))=0</formula>
    </cfRule>
    <cfRule type="notContainsBlanks" dxfId="1302" priority="268" stopIfTrue="1">
      <formula>LEN(TRIM(E153))&gt;0</formula>
    </cfRule>
  </conditionalFormatting>
  <conditionalFormatting sqref="E141:AN141">
    <cfRule type="containsBlanks" dxfId="1301" priority="269" stopIfTrue="1">
      <formula>LEN(TRIM(E141))=0</formula>
    </cfRule>
    <cfRule type="notContainsBlanks" dxfId="1300" priority="270" stopIfTrue="1">
      <formula>LEN(TRIM(E141))&gt;0</formula>
    </cfRule>
  </conditionalFormatting>
  <conditionalFormatting sqref="E142:AN142">
    <cfRule type="containsBlanks" dxfId="1299" priority="271" stopIfTrue="1">
      <formula>LEN(TRIM(E142))=0</formula>
    </cfRule>
    <cfRule type="notContainsBlanks" dxfId="1298" priority="272" stopIfTrue="1">
      <formula>LEN(TRIM(E142))&gt;0</formula>
    </cfRule>
  </conditionalFormatting>
  <conditionalFormatting sqref="E143:AN143">
    <cfRule type="containsBlanks" dxfId="1297" priority="273" stopIfTrue="1">
      <formula>LEN(TRIM(E143))=0</formula>
    </cfRule>
    <cfRule type="notContainsBlanks" dxfId="1296" priority="274" stopIfTrue="1">
      <formula>LEN(TRIM(E143))&gt;0</formula>
    </cfRule>
  </conditionalFormatting>
  <conditionalFormatting sqref="E144:AN144">
    <cfRule type="containsBlanks" dxfId="1295" priority="275" stopIfTrue="1">
      <formula>LEN(TRIM(E144))=0</formula>
    </cfRule>
    <cfRule type="notContainsBlanks" dxfId="1294" priority="276" stopIfTrue="1">
      <formula>LEN(TRIM(E144))&gt;0</formula>
    </cfRule>
  </conditionalFormatting>
  <conditionalFormatting sqref="E145:AN145">
    <cfRule type="containsBlanks" dxfId="1293" priority="277" stopIfTrue="1">
      <formula>LEN(TRIM(E145))=0</formula>
    </cfRule>
    <cfRule type="notContainsBlanks" dxfId="1292" priority="278" stopIfTrue="1">
      <formula>LEN(TRIM(E145))&gt;0</formula>
    </cfRule>
  </conditionalFormatting>
  <conditionalFormatting sqref="E146:AN146">
    <cfRule type="containsBlanks" dxfId="1291" priority="279" stopIfTrue="1">
      <formula>LEN(TRIM(E146))=0</formula>
    </cfRule>
    <cfRule type="notContainsBlanks" dxfId="1290" priority="280" stopIfTrue="1">
      <formula>LEN(TRIM(E146))&gt;0</formula>
    </cfRule>
  </conditionalFormatting>
  <conditionalFormatting sqref="E134:AN134">
    <cfRule type="containsBlanks" dxfId="1289" priority="281" stopIfTrue="1">
      <formula>LEN(TRIM(E134))=0</formula>
    </cfRule>
    <cfRule type="notContainsBlanks" dxfId="1288" priority="282" stopIfTrue="1">
      <formula>LEN(TRIM(E134))&gt;0</formula>
    </cfRule>
  </conditionalFormatting>
  <conditionalFormatting sqref="E135:AN135">
    <cfRule type="containsBlanks" dxfId="1287" priority="283" stopIfTrue="1">
      <formula>LEN(TRIM(E135))=0</formula>
    </cfRule>
    <cfRule type="notContainsBlanks" dxfId="1286" priority="284" stopIfTrue="1">
      <formula>LEN(TRIM(E135))&gt;0</formula>
    </cfRule>
  </conditionalFormatting>
  <conditionalFormatting sqref="E136:AN136">
    <cfRule type="containsBlanks" dxfId="1285" priority="285" stopIfTrue="1">
      <formula>LEN(TRIM(E136))=0</formula>
    </cfRule>
    <cfRule type="notContainsBlanks" dxfId="1284" priority="286" stopIfTrue="1">
      <formula>LEN(TRIM(E136))&gt;0</formula>
    </cfRule>
  </conditionalFormatting>
  <conditionalFormatting sqref="E137:AN137">
    <cfRule type="containsBlanks" dxfId="1283" priority="287" stopIfTrue="1">
      <formula>LEN(TRIM(E137))=0</formula>
    </cfRule>
    <cfRule type="notContainsBlanks" dxfId="1282" priority="288" stopIfTrue="1">
      <formula>LEN(TRIM(E137))&gt;0</formula>
    </cfRule>
  </conditionalFormatting>
  <conditionalFormatting sqref="E138:AN138">
    <cfRule type="containsBlanks" dxfId="1281" priority="289" stopIfTrue="1">
      <formula>LEN(TRIM(E138))=0</formula>
    </cfRule>
    <cfRule type="notContainsBlanks" dxfId="1280" priority="290" stopIfTrue="1">
      <formula>LEN(TRIM(E138))&gt;0</formula>
    </cfRule>
  </conditionalFormatting>
  <conditionalFormatting sqref="E126:AN126">
    <cfRule type="containsBlanks" dxfId="1279" priority="291" stopIfTrue="1">
      <formula>LEN(TRIM(E126))=0</formula>
    </cfRule>
    <cfRule type="notContainsBlanks" dxfId="1278" priority="292" stopIfTrue="1">
      <formula>LEN(TRIM(E126))&gt;0</formula>
    </cfRule>
  </conditionalFormatting>
  <conditionalFormatting sqref="E127:AN127">
    <cfRule type="containsBlanks" dxfId="1277" priority="293" stopIfTrue="1">
      <formula>LEN(TRIM(E127))=0</formula>
    </cfRule>
    <cfRule type="notContainsBlanks" dxfId="1276" priority="294" stopIfTrue="1">
      <formula>LEN(TRIM(E127))&gt;0</formula>
    </cfRule>
  </conditionalFormatting>
  <conditionalFormatting sqref="E128:AN128">
    <cfRule type="containsBlanks" dxfId="1275" priority="295" stopIfTrue="1">
      <formula>LEN(TRIM(E128))=0</formula>
    </cfRule>
    <cfRule type="notContainsBlanks" dxfId="1274" priority="296" stopIfTrue="1">
      <formula>LEN(TRIM(E128))&gt;0</formula>
    </cfRule>
  </conditionalFormatting>
  <conditionalFormatting sqref="E129:AN129">
    <cfRule type="containsBlanks" dxfId="1273" priority="297" stopIfTrue="1">
      <formula>LEN(TRIM(E129))=0</formula>
    </cfRule>
    <cfRule type="notContainsBlanks" dxfId="1272" priority="298" stopIfTrue="1">
      <formula>LEN(TRIM(E129))&gt;0</formula>
    </cfRule>
  </conditionalFormatting>
  <conditionalFormatting sqref="E130:AN130">
    <cfRule type="containsBlanks" dxfId="1271" priority="299" stopIfTrue="1">
      <formula>LEN(TRIM(E130))=0</formula>
    </cfRule>
    <cfRule type="notContainsBlanks" dxfId="1270" priority="300" stopIfTrue="1">
      <formula>LEN(TRIM(E130))&gt;0</formula>
    </cfRule>
  </conditionalFormatting>
  <conditionalFormatting sqref="E131:AN131">
    <cfRule type="containsBlanks" dxfId="1269" priority="301" stopIfTrue="1">
      <formula>LEN(TRIM(E131))=0</formula>
    </cfRule>
    <cfRule type="notContainsBlanks" dxfId="1268" priority="302" stopIfTrue="1">
      <formula>LEN(TRIM(E131))&gt;0</formula>
    </cfRule>
  </conditionalFormatting>
  <conditionalFormatting sqref="E120">
    <cfRule type="containsBlanks" dxfId="1267" priority="303">
      <formula>LEN(TRIM(E120))=0</formula>
    </cfRule>
    <cfRule type="notContainsBlanks" dxfId="1266" priority="304">
      <formula>LEN(TRIM(E120))&gt;0</formula>
    </cfRule>
    <cfRule type="expression" dxfId="1265" priority="309">
      <formula>LEFT(effTrend,1)="L"</formula>
    </cfRule>
    <cfRule type="expression" dxfId="1264" priority="310">
      <formula>LEFT(effTrend,1)="G"</formula>
    </cfRule>
  </conditionalFormatting>
  <conditionalFormatting sqref="E121:AN121">
    <cfRule type="containsBlanks" dxfId="1263" priority="311" stopIfTrue="1">
      <formula>LEN(TRIM(E121))=0</formula>
    </cfRule>
    <cfRule type="notContainsBlanks" dxfId="1262" priority="383" stopIfTrue="1">
      <formula>LEN(TRIM(E121))&gt;0</formula>
    </cfRule>
  </conditionalFormatting>
  <conditionalFormatting sqref="E123:AN123">
    <cfRule type="containsBlanks" dxfId="1261" priority="312" stopIfTrue="1">
      <formula>LEN(TRIM(E123))=0</formula>
    </cfRule>
    <cfRule type="notContainsBlanks" dxfId="1260" priority="384" stopIfTrue="1">
      <formula>LEN(TRIM(E123))&gt;0</formula>
    </cfRule>
  </conditionalFormatting>
  <conditionalFormatting sqref="F121">
    <cfRule type="expression" dxfId="1259" priority="313" stopIfTrue="1">
      <formula>F$121&gt;maxEff</formula>
    </cfRule>
  </conditionalFormatting>
  <conditionalFormatting sqref="F123">
    <cfRule type="expression" dxfId="1258" priority="314" stopIfTrue="1">
      <formula>OR(F$123&gt;maxEff,F$123&lt;F$121)</formula>
    </cfRule>
  </conditionalFormatting>
  <conditionalFormatting sqref="G121">
    <cfRule type="expression" dxfId="1257" priority="315" stopIfTrue="1">
      <formula>G$121&gt;maxEff</formula>
    </cfRule>
  </conditionalFormatting>
  <conditionalFormatting sqref="G123">
    <cfRule type="expression" dxfId="1256" priority="316" stopIfTrue="1">
      <formula>OR(G$123&gt;maxEff,G$123&lt;G$121)</formula>
    </cfRule>
  </conditionalFormatting>
  <conditionalFormatting sqref="H121">
    <cfRule type="expression" dxfId="1255" priority="317" stopIfTrue="1">
      <formula>H$121&gt;maxEff</formula>
    </cfRule>
  </conditionalFormatting>
  <conditionalFormatting sqref="H123">
    <cfRule type="expression" dxfId="1254" priority="318" stopIfTrue="1">
      <formula>OR(H$123&gt;maxEff,H$123&lt;H$121)</formula>
    </cfRule>
  </conditionalFormatting>
  <conditionalFormatting sqref="I121">
    <cfRule type="expression" dxfId="1253" priority="319" stopIfTrue="1">
      <formula>I$121&gt;maxEff</formula>
    </cfRule>
  </conditionalFormatting>
  <conditionalFormatting sqref="I123">
    <cfRule type="expression" dxfId="1252" priority="320" stopIfTrue="1">
      <formula>OR(I$123&gt;maxEff,I$123&lt;I$121)</formula>
    </cfRule>
  </conditionalFormatting>
  <conditionalFormatting sqref="J121">
    <cfRule type="expression" dxfId="1251" priority="321" stopIfTrue="1">
      <formula>J$121&gt;maxEff</formula>
    </cfRule>
  </conditionalFormatting>
  <conditionalFormatting sqref="J123">
    <cfRule type="expression" dxfId="1250" priority="322" stopIfTrue="1">
      <formula>OR(J$123&gt;maxEff,J$123&lt;J$121)</formula>
    </cfRule>
  </conditionalFormatting>
  <conditionalFormatting sqref="K121">
    <cfRule type="expression" dxfId="1249" priority="323" stopIfTrue="1">
      <formula>K$121&gt;maxEff</formula>
    </cfRule>
  </conditionalFormatting>
  <conditionalFormatting sqref="K123">
    <cfRule type="expression" dxfId="1248" priority="324" stopIfTrue="1">
      <formula>OR(K$123&gt;maxEff,K$123&lt;K$121)</formula>
    </cfRule>
  </conditionalFormatting>
  <conditionalFormatting sqref="L121">
    <cfRule type="expression" dxfId="1247" priority="325" stopIfTrue="1">
      <formula>L$121&gt;maxEff</formula>
    </cfRule>
  </conditionalFormatting>
  <conditionalFormatting sqref="L123">
    <cfRule type="expression" dxfId="1246" priority="326" stopIfTrue="1">
      <formula>OR(L$123&gt;maxEff,L$123&lt;L$121)</formula>
    </cfRule>
  </conditionalFormatting>
  <conditionalFormatting sqref="M121">
    <cfRule type="expression" dxfId="1245" priority="327" stopIfTrue="1">
      <formula>M$121&gt;maxEff</formula>
    </cfRule>
  </conditionalFormatting>
  <conditionalFormatting sqref="M123">
    <cfRule type="expression" dxfId="1244" priority="328" stopIfTrue="1">
      <formula>OR(M$123&gt;maxEff,M$123&lt;M$121)</formula>
    </cfRule>
  </conditionalFormatting>
  <conditionalFormatting sqref="N121">
    <cfRule type="expression" dxfId="1243" priority="329" stopIfTrue="1">
      <formula>N$121&gt;maxEff</formula>
    </cfRule>
  </conditionalFormatting>
  <conditionalFormatting sqref="N123">
    <cfRule type="expression" dxfId="1242" priority="330" stopIfTrue="1">
      <formula>OR(N$123&gt;maxEff,N$123&lt;N$121)</formula>
    </cfRule>
  </conditionalFormatting>
  <conditionalFormatting sqref="O121">
    <cfRule type="expression" dxfId="1241" priority="331" stopIfTrue="1">
      <formula>O$121&gt;maxEff</formula>
    </cfRule>
  </conditionalFormatting>
  <conditionalFormatting sqref="O123">
    <cfRule type="expression" dxfId="1240" priority="332" stopIfTrue="1">
      <formula>OR(O$123&gt;maxEff,O$123&lt;O$121)</formula>
    </cfRule>
  </conditionalFormatting>
  <conditionalFormatting sqref="P121">
    <cfRule type="expression" dxfId="1239" priority="333" stopIfTrue="1">
      <formula>P$121&gt;maxEff</formula>
    </cfRule>
  </conditionalFormatting>
  <conditionalFormatting sqref="P123">
    <cfRule type="expression" dxfId="1238" priority="334" stopIfTrue="1">
      <formula>OR(P$123&gt;maxEff,P$123&lt;P$121)</formula>
    </cfRule>
  </conditionalFormatting>
  <conditionalFormatting sqref="Q121">
    <cfRule type="expression" dxfId="1237" priority="335" stopIfTrue="1">
      <formula>Q$121&gt;maxEff</formula>
    </cfRule>
  </conditionalFormatting>
  <conditionalFormatting sqref="Q123">
    <cfRule type="expression" dxfId="1236" priority="336" stopIfTrue="1">
      <formula>OR(Q$123&gt;maxEff,Q$123&lt;Q$121)</formula>
    </cfRule>
  </conditionalFormatting>
  <conditionalFormatting sqref="R121">
    <cfRule type="expression" dxfId="1235" priority="337" stopIfTrue="1">
      <formula>R$121&gt;maxEff</formula>
    </cfRule>
  </conditionalFormatting>
  <conditionalFormatting sqref="R123">
    <cfRule type="expression" dxfId="1234" priority="338" stopIfTrue="1">
      <formula>OR(R$123&gt;maxEff,R$123&lt;R$121)</formula>
    </cfRule>
  </conditionalFormatting>
  <conditionalFormatting sqref="S121">
    <cfRule type="expression" dxfId="1233" priority="339" stopIfTrue="1">
      <formula>S$121&gt;maxEff</formula>
    </cfRule>
  </conditionalFormatting>
  <conditionalFormatting sqref="S123">
    <cfRule type="expression" dxfId="1232" priority="340" stopIfTrue="1">
      <formula>OR(S$123&gt;maxEff,S$123&lt;S$121)</formula>
    </cfRule>
  </conditionalFormatting>
  <conditionalFormatting sqref="T121">
    <cfRule type="expression" dxfId="1231" priority="341" stopIfTrue="1">
      <formula>T$121&gt;maxEff</formula>
    </cfRule>
  </conditionalFormatting>
  <conditionalFormatting sqref="T123">
    <cfRule type="expression" dxfId="1230" priority="342" stopIfTrue="1">
      <formula>OR(T$123&gt;maxEff,T$123&lt;T$121)</formula>
    </cfRule>
  </conditionalFormatting>
  <conditionalFormatting sqref="U121">
    <cfRule type="expression" dxfId="1229" priority="343" stopIfTrue="1">
      <formula>U$121&gt;maxEff</formula>
    </cfRule>
  </conditionalFormatting>
  <conditionalFormatting sqref="U123">
    <cfRule type="expression" dxfId="1228" priority="344" stopIfTrue="1">
      <formula>OR(U$123&gt;maxEff,U$123&lt;U$121)</formula>
    </cfRule>
  </conditionalFormatting>
  <conditionalFormatting sqref="V121">
    <cfRule type="expression" dxfId="1227" priority="345" stopIfTrue="1">
      <formula>V$121&gt;maxEff</formula>
    </cfRule>
  </conditionalFormatting>
  <conditionalFormatting sqref="V123">
    <cfRule type="expression" dxfId="1226" priority="346" stopIfTrue="1">
      <formula>OR(V$123&gt;maxEff,V$123&lt;V$121)</formula>
    </cfRule>
  </conditionalFormatting>
  <conditionalFormatting sqref="W121">
    <cfRule type="expression" dxfId="1225" priority="347" stopIfTrue="1">
      <formula>W$121&gt;maxEff</formula>
    </cfRule>
  </conditionalFormatting>
  <conditionalFormatting sqref="W123">
    <cfRule type="expression" dxfId="1224" priority="348" stopIfTrue="1">
      <formula>OR(W$123&gt;maxEff,W$123&lt;W$121)</formula>
    </cfRule>
  </conditionalFormatting>
  <conditionalFormatting sqref="X121">
    <cfRule type="expression" dxfId="1223" priority="349" stopIfTrue="1">
      <formula>X$121&gt;maxEff</formula>
    </cfRule>
  </conditionalFormatting>
  <conditionalFormatting sqref="X123">
    <cfRule type="expression" dxfId="1222" priority="350" stopIfTrue="1">
      <formula>OR(X$123&gt;maxEff,X$123&lt;X$121)</formula>
    </cfRule>
  </conditionalFormatting>
  <conditionalFormatting sqref="Y121">
    <cfRule type="expression" dxfId="1221" priority="351" stopIfTrue="1">
      <formula>Y$121&gt;maxEff</formula>
    </cfRule>
  </conditionalFormatting>
  <conditionalFormatting sqref="Y123">
    <cfRule type="expression" dxfId="1220" priority="352" stopIfTrue="1">
      <formula>OR(Y$123&gt;maxEff,Y$123&lt;Y$121)</formula>
    </cfRule>
  </conditionalFormatting>
  <conditionalFormatting sqref="Z121">
    <cfRule type="expression" dxfId="1219" priority="353" stopIfTrue="1">
      <formula>Z$121&gt;maxEff</formula>
    </cfRule>
  </conditionalFormatting>
  <conditionalFormatting sqref="Z123">
    <cfRule type="expression" dxfId="1218" priority="354" stopIfTrue="1">
      <formula>OR(Z$123&gt;maxEff,Z$123&lt;Z$121)</formula>
    </cfRule>
  </conditionalFormatting>
  <conditionalFormatting sqref="AA121">
    <cfRule type="expression" dxfId="1217" priority="355" stopIfTrue="1">
      <formula>AA$121&gt;maxEff</formula>
    </cfRule>
  </conditionalFormatting>
  <conditionalFormatting sqref="AA123">
    <cfRule type="expression" dxfId="1216" priority="356" stopIfTrue="1">
      <formula>OR(AA$123&gt;maxEff,AA$123&lt;AA$121)</formula>
    </cfRule>
  </conditionalFormatting>
  <conditionalFormatting sqref="AB121">
    <cfRule type="expression" dxfId="1215" priority="357" stopIfTrue="1">
      <formula>AB$121&gt;maxEff</formula>
    </cfRule>
  </conditionalFormatting>
  <conditionalFormatting sqref="AB123">
    <cfRule type="expression" dxfId="1214" priority="358" stopIfTrue="1">
      <formula>OR(AB$123&gt;maxEff,AB$123&lt;AB$121)</formula>
    </cfRule>
  </conditionalFormatting>
  <conditionalFormatting sqref="AC121">
    <cfRule type="expression" dxfId="1213" priority="359" stopIfTrue="1">
      <formula>AC$121&gt;maxEff</formula>
    </cfRule>
  </conditionalFormatting>
  <conditionalFormatting sqref="AC123">
    <cfRule type="expression" dxfId="1212" priority="360" stopIfTrue="1">
      <formula>OR(AC$123&gt;maxEff,AC$123&lt;AC$121)</formula>
    </cfRule>
  </conditionalFormatting>
  <conditionalFormatting sqref="AD121">
    <cfRule type="expression" dxfId="1211" priority="361" stopIfTrue="1">
      <formula>AD$121&gt;maxEff</formula>
    </cfRule>
  </conditionalFormatting>
  <conditionalFormatting sqref="AD123">
    <cfRule type="expression" dxfId="1210" priority="362" stopIfTrue="1">
      <formula>OR(AD$123&gt;maxEff,AD$123&lt;AD$121)</formula>
    </cfRule>
  </conditionalFormatting>
  <conditionalFormatting sqref="AE121">
    <cfRule type="expression" dxfId="1209" priority="363" stopIfTrue="1">
      <formula>AE$121&gt;maxEff</formula>
    </cfRule>
  </conditionalFormatting>
  <conditionalFormatting sqref="AE123">
    <cfRule type="expression" dxfId="1208" priority="364" stopIfTrue="1">
      <formula>OR(AE$123&gt;maxEff,AE$123&lt;AE$121)</formula>
    </cfRule>
  </conditionalFormatting>
  <conditionalFormatting sqref="AF121">
    <cfRule type="expression" dxfId="1207" priority="365" stopIfTrue="1">
      <formula>AF$121&gt;maxEff</formula>
    </cfRule>
  </conditionalFormatting>
  <conditionalFormatting sqref="AF123">
    <cfRule type="expression" dxfId="1206" priority="366" stopIfTrue="1">
      <formula>OR(AF$123&gt;maxEff,AF$123&lt;AF$121)</formula>
    </cfRule>
  </conditionalFormatting>
  <conditionalFormatting sqref="AG121">
    <cfRule type="expression" dxfId="1205" priority="367" stopIfTrue="1">
      <formula>AG$121&gt;maxEff</formula>
    </cfRule>
  </conditionalFormatting>
  <conditionalFormatting sqref="AG123">
    <cfRule type="expression" dxfId="1204" priority="368" stopIfTrue="1">
      <formula>OR(AG$123&gt;maxEff,AG$123&lt;AG$121)</formula>
    </cfRule>
  </conditionalFormatting>
  <conditionalFormatting sqref="AH121">
    <cfRule type="expression" dxfId="1203" priority="369" stopIfTrue="1">
      <formula>AH$121&gt;maxEff</formula>
    </cfRule>
  </conditionalFormatting>
  <conditionalFormatting sqref="AH123">
    <cfRule type="expression" dxfId="1202" priority="370" stopIfTrue="1">
      <formula>OR(AH$123&gt;maxEff,AH$123&lt;AH$121)</formula>
    </cfRule>
  </conditionalFormatting>
  <conditionalFormatting sqref="AI121">
    <cfRule type="expression" dxfId="1201" priority="371" stopIfTrue="1">
      <formula>AI$121&gt;maxEff</formula>
    </cfRule>
  </conditionalFormatting>
  <conditionalFormatting sqref="AI123">
    <cfRule type="expression" dxfId="1200" priority="372" stopIfTrue="1">
      <formula>OR(AI$123&gt;maxEff,AI$123&lt;AI$121)</formula>
    </cfRule>
  </conditionalFormatting>
  <conditionalFormatting sqref="AJ121">
    <cfRule type="expression" dxfId="1199" priority="373" stopIfTrue="1">
      <formula>AJ$121&gt;maxEff</formula>
    </cfRule>
  </conditionalFormatting>
  <conditionalFormatting sqref="AJ123">
    <cfRule type="expression" dxfId="1198" priority="374" stopIfTrue="1">
      <formula>OR(AJ$123&gt;maxEff,AJ$123&lt;AJ$121)</formula>
    </cfRule>
  </conditionalFormatting>
  <conditionalFormatting sqref="AK121">
    <cfRule type="expression" dxfId="1197" priority="375" stopIfTrue="1">
      <formula>AK$121&gt;maxEff</formula>
    </cfRule>
  </conditionalFormatting>
  <conditionalFormatting sqref="AK123">
    <cfRule type="expression" dxfId="1196" priority="376" stopIfTrue="1">
      <formula>OR(AK$123&gt;maxEff,AK$123&lt;AK$121)</formula>
    </cfRule>
  </conditionalFormatting>
  <conditionalFormatting sqref="AL121">
    <cfRule type="expression" dxfId="1195" priority="377" stopIfTrue="1">
      <formula>AL$121&gt;maxEff</formula>
    </cfRule>
  </conditionalFormatting>
  <conditionalFormatting sqref="AL123">
    <cfRule type="expression" dxfId="1194" priority="378" stopIfTrue="1">
      <formula>OR(AL$123&gt;maxEff,AL$123&lt;AL$121)</formula>
    </cfRule>
  </conditionalFormatting>
  <conditionalFormatting sqref="AM121">
    <cfRule type="expression" dxfId="1193" priority="379" stopIfTrue="1">
      <formula>AM$121&gt;maxEff</formula>
    </cfRule>
  </conditionalFormatting>
  <conditionalFormatting sqref="AM123">
    <cfRule type="expression" dxfId="1192" priority="380" stopIfTrue="1">
      <formula>OR(AM$123&gt;maxEff,AM$123&lt;AM$121)</formula>
    </cfRule>
  </conditionalFormatting>
  <conditionalFormatting sqref="AN121">
    <cfRule type="expression" dxfId="1191" priority="381" stopIfTrue="1">
      <formula>AN$121&gt;maxEff</formula>
    </cfRule>
  </conditionalFormatting>
  <conditionalFormatting sqref="AN123">
    <cfRule type="expression" dxfId="1190" priority="382" stopIfTrue="1">
      <formula>OR(AN$123&gt;maxEff,AN$123&lt;AN$121)</formula>
    </cfRule>
  </conditionalFormatting>
  <conditionalFormatting sqref="E113:E117">
    <cfRule type="containsBlanks" dxfId="1189" priority="385" stopIfTrue="1">
      <formula>LEN(TRIM(E113))=0</formula>
    </cfRule>
    <cfRule type="expression" dxfId="1188" priority="386" stopIfTrue="1">
      <formula>SUM($E$113:$E$117)&lt;&gt;1</formula>
    </cfRule>
    <cfRule type="notContainsBlanks" dxfId="1187" priority="387" stopIfTrue="1">
      <formula>LEN(TRIM(E113))&gt;0</formula>
    </cfRule>
  </conditionalFormatting>
  <conditionalFormatting sqref="F113:F117">
    <cfRule type="containsBlanks" dxfId="1186" priority="388" stopIfTrue="1">
      <formula>LEN(TRIM(F113))=0</formula>
    </cfRule>
    <cfRule type="expression" dxfId="1185" priority="389" stopIfTrue="1">
      <formula>SUM($F$113:$F$117)&lt;&gt;1</formula>
    </cfRule>
    <cfRule type="notContainsBlanks" dxfId="1184" priority="390" stopIfTrue="1">
      <formula>LEN(TRIM(F113))&gt;0</formula>
    </cfRule>
  </conditionalFormatting>
  <conditionalFormatting sqref="G113:G117">
    <cfRule type="containsBlanks" dxfId="1183" priority="391" stopIfTrue="1">
      <formula>LEN(TRIM(G113))=0</formula>
    </cfRule>
    <cfRule type="expression" dxfId="1182" priority="392" stopIfTrue="1">
      <formula>SUM($G$113:$G$117)&lt;&gt;1</formula>
    </cfRule>
    <cfRule type="notContainsBlanks" dxfId="1181" priority="393" stopIfTrue="1">
      <formula>LEN(TRIM(G113))&gt;0</formula>
    </cfRule>
  </conditionalFormatting>
  <conditionalFormatting sqref="H113:H117">
    <cfRule type="containsBlanks" dxfId="1180" priority="394" stopIfTrue="1">
      <formula>LEN(TRIM(H113))=0</formula>
    </cfRule>
    <cfRule type="expression" dxfId="1179" priority="395" stopIfTrue="1">
      <formula>SUM($H$113:$H$117)&lt;&gt;1</formula>
    </cfRule>
    <cfRule type="notContainsBlanks" dxfId="1178" priority="396" stopIfTrue="1">
      <formula>LEN(TRIM(H113))&gt;0</formula>
    </cfRule>
  </conditionalFormatting>
  <conditionalFormatting sqref="I113:I117">
    <cfRule type="containsBlanks" dxfId="1177" priority="397" stopIfTrue="1">
      <formula>LEN(TRIM(I113))=0</formula>
    </cfRule>
    <cfRule type="expression" dxfId="1176" priority="398" stopIfTrue="1">
      <formula>SUM($I$113:$I$117)&lt;&gt;1</formula>
    </cfRule>
    <cfRule type="notContainsBlanks" dxfId="1175" priority="399" stopIfTrue="1">
      <formula>LEN(TRIM(I113))&gt;0</formula>
    </cfRule>
  </conditionalFormatting>
  <conditionalFormatting sqref="J113:J117">
    <cfRule type="containsBlanks" dxfId="1174" priority="400" stopIfTrue="1">
      <formula>LEN(TRIM(J113))=0</formula>
    </cfRule>
    <cfRule type="expression" dxfId="1173" priority="401" stopIfTrue="1">
      <formula>SUM($J$113:$J$117)&lt;&gt;1</formula>
    </cfRule>
    <cfRule type="notContainsBlanks" dxfId="1172" priority="402" stopIfTrue="1">
      <formula>LEN(TRIM(J113))&gt;0</formula>
    </cfRule>
  </conditionalFormatting>
  <conditionalFormatting sqref="K113:K117">
    <cfRule type="containsBlanks" dxfId="1171" priority="403" stopIfTrue="1">
      <formula>LEN(TRIM(K113))=0</formula>
    </cfRule>
    <cfRule type="expression" dxfId="1170" priority="404" stopIfTrue="1">
      <formula>SUM($K$113:$K$117)&lt;&gt;1</formula>
    </cfRule>
    <cfRule type="notContainsBlanks" dxfId="1169" priority="405" stopIfTrue="1">
      <formula>LEN(TRIM(K113))&gt;0</formula>
    </cfRule>
  </conditionalFormatting>
  <conditionalFormatting sqref="L113:L117">
    <cfRule type="containsBlanks" dxfId="1168" priority="406" stopIfTrue="1">
      <formula>LEN(TRIM(L113))=0</formula>
    </cfRule>
    <cfRule type="expression" dxfId="1167" priority="407" stopIfTrue="1">
      <formula>SUM($L$113:$L$117)&lt;&gt;1</formula>
    </cfRule>
    <cfRule type="notContainsBlanks" dxfId="1166" priority="408" stopIfTrue="1">
      <formula>LEN(TRIM(L113))&gt;0</formula>
    </cfRule>
  </conditionalFormatting>
  <conditionalFormatting sqref="M113:M117">
    <cfRule type="containsBlanks" dxfId="1165" priority="409" stopIfTrue="1">
      <formula>LEN(TRIM(M113))=0</formula>
    </cfRule>
    <cfRule type="expression" dxfId="1164" priority="410" stopIfTrue="1">
      <formula>SUM($M$113:$M$117)&lt;&gt;1</formula>
    </cfRule>
    <cfRule type="notContainsBlanks" dxfId="1163" priority="411" stopIfTrue="1">
      <formula>LEN(TRIM(M113))&gt;0</formula>
    </cfRule>
  </conditionalFormatting>
  <conditionalFormatting sqref="N113:N117">
    <cfRule type="containsBlanks" dxfId="1162" priority="412" stopIfTrue="1">
      <formula>LEN(TRIM(N113))=0</formula>
    </cfRule>
    <cfRule type="expression" dxfId="1161" priority="413" stopIfTrue="1">
      <formula>SUM($N$113:$N$117)&lt;&gt;1</formula>
    </cfRule>
    <cfRule type="notContainsBlanks" dxfId="1160" priority="414" stopIfTrue="1">
      <formula>LEN(TRIM(N113))&gt;0</formula>
    </cfRule>
  </conditionalFormatting>
  <conditionalFormatting sqref="O113:O117">
    <cfRule type="containsBlanks" dxfId="1159" priority="415" stopIfTrue="1">
      <formula>LEN(TRIM(O113))=0</formula>
    </cfRule>
    <cfRule type="expression" dxfId="1158" priority="416" stopIfTrue="1">
      <formula>SUM($O$113:$O$117)&lt;&gt;1</formula>
    </cfRule>
    <cfRule type="notContainsBlanks" dxfId="1157" priority="417" stopIfTrue="1">
      <formula>LEN(TRIM(O113))&gt;0</formula>
    </cfRule>
  </conditionalFormatting>
  <conditionalFormatting sqref="P113:P117">
    <cfRule type="containsBlanks" dxfId="1156" priority="418" stopIfTrue="1">
      <formula>LEN(TRIM(P113))=0</formula>
    </cfRule>
    <cfRule type="expression" dxfId="1155" priority="419" stopIfTrue="1">
      <formula>SUM($P$113:$P$117)&lt;&gt;1</formula>
    </cfRule>
    <cfRule type="notContainsBlanks" dxfId="1154" priority="420" stopIfTrue="1">
      <formula>LEN(TRIM(P113))&gt;0</formula>
    </cfRule>
  </conditionalFormatting>
  <conditionalFormatting sqref="Q113:Q117">
    <cfRule type="containsBlanks" dxfId="1153" priority="421" stopIfTrue="1">
      <formula>LEN(TRIM(Q113))=0</formula>
    </cfRule>
    <cfRule type="expression" dxfId="1152" priority="422" stopIfTrue="1">
      <formula>SUM($Q$113:$Q$117)&lt;&gt;1</formula>
    </cfRule>
    <cfRule type="notContainsBlanks" dxfId="1151" priority="423" stopIfTrue="1">
      <formula>LEN(TRIM(Q113))&gt;0</formula>
    </cfRule>
  </conditionalFormatting>
  <conditionalFormatting sqref="R113:R117">
    <cfRule type="containsBlanks" dxfId="1150" priority="424" stopIfTrue="1">
      <formula>LEN(TRIM(R113))=0</formula>
    </cfRule>
    <cfRule type="expression" dxfId="1149" priority="425" stopIfTrue="1">
      <formula>SUM($R$113:$R$117)&lt;&gt;1</formula>
    </cfRule>
    <cfRule type="notContainsBlanks" dxfId="1148" priority="426" stopIfTrue="1">
      <formula>LEN(TRIM(R113))&gt;0</formula>
    </cfRule>
  </conditionalFormatting>
  <conditionalFormatting sqref="S113:S117">
    <cfRule type="containsBlanks" dxfId="1147" priority="427" stopIfTrue="1">
      <formula>LEN(TRIM(S113))=0</formula>
    </cfRule>
  </conditionalFormatting>
  <conditionalFormatting sqref="S113:S117">
    <cfRule type="expression" dxfId="1146" priority="428" stopIfTrue="1">
      <formula>SUM($S$113:$S$117)&lt;&gt;1</formula>
    </cfRule>
  </conditionalFormatting>
  <conditionalFormatting sqref="S113:S117">
    <cfRule type="notContainsBlanks" dxfId="1145" priority="429" stopIfTrue="1">
      <formula>LEN(TRIM(S113))&gt;0</formula>
    </cfRule>
  </conditionalFormatting>
  <conditionalFormatting sqref="T113:T117">
    <cfRule type="containsBlanks" dxfId="1144" priority="430" stopIfTrue="1">
      <formula>LEN(TRIM(T113))=0</formula>
    </cfRule>
  </conditionalFormatting>
  <conditionalFormatting sqref="T113:T117">
    <cfRule type="expression" dxfId="1143" priority="431" stopIfTrue="1">
      <formula>SUM($T$113:$T$117)&lt;&gt;1</formula>
    </cfRule>
  </conditionalFormatting>
  <conditionalFormatting sqref="T113:T117">
    <cfRule type="notContainsBlanks" dxfId="1142" priority="432" stopIfTrue="1">
      <formula>LEN(TRIM(T113))&gt;0</formula>
    </cfRule>
  </conditionalFormatting>
  <conditionalFormatting sqref="U113:U117">
    <cfRule type="containsBlanks" dxfId="1141" priority="433" stopIfTrue="1">
      <formula>LEN(TRIM(U113))=0</formula>
    </cfRule>
  </conditionalFormatting>
  <conditionalFormatting sqref="U113:U117">
    <cfRule type="expression" dxfId="1140" priority="434" stopIfTrue="1">
      <formula>SUM($U$113:$U$117)&lt;&gt;1</formula>
    </cfRule>
  </conditionalFormatting>
  <conditionalFormatting sqref="U113:U117">
    <cfRule type="notContainsBlanks" dxfId="1139" priority="435" stopIfTrue="1">
      <formula>LEN(TRIM(U113))&gt;0</formula>
    </cfRule>
  </conditionalFormatting>
  <conditionalFormatting sqref="V113:V117">
    <cfRule type="containsBlanks" dxfId="1138" priority="436" stopIfTrue="1">
      <formula>LEN(TRIM(V113))=0</formula>
    </cfRule>
  </conditionalFormatting>
  <conditionalFormatting sqref="V113:V117">
    <cfRule type="expression" dxfId="1137" priority="437" stopIfTrue="1">
      <formula>SUM($V$113:$V$117)&lt;&gt;1</formula>
    </cfRule>
  </conditionalFormatting>
  <conditionalFormatting sqref="V113:V117">
    <cfRule type="notContainsBlanks" dxfId="1136" priority="438" stopIfTrue="1">
      <formula>LEN(TRIM(V113))&gt;0</formula>
    </cfRule>
  </conditionalFormatting>
  <conditionalFormatting sqref="W113:W117">
    <cfRule type="containsBlanks" dxfId="1135" priority="439" stopIfTrue="1">
      <formula>LEN(TRIM(W113))=0</formula>
    </cfRule>
  </conditionalFormatting>
  <conditionalFormatting sqref="W113:W117">
    <cfRule type="expression" dxfId="1134" priority="440" stopIfTrue="1">
      <formula>SUM($W$113:$W$117)&lt;&gt;1</formula>
    </cfRule>
  </conditionalFormatting>
  <conditionalFormatting sqref="W113:W117">
    <cfRule type="notContainsBlanks" dxfId="1133" priority="441" stopIfTrue="1">
      <formula>LEN(TRIM(W113))&gt;0</formula>
    </cfRule>
  </conditionalFormatting>
  <conditionalFormatting sqref="X113:X117">
    <cfRule type="containsBlanks" dxfId="1132" priority="442" stopIfTrue="1">
      <formula>LEN(TRIM(X113))=0</formula>
    </cfRule>
  </conditionalFormatting>
  <conditionalFormatting sqref="X113:X117">
    <cfRule type="expression" dxfId="1131" priority="443" stopIfTrue="1">
      <formula>SUM($X$113:$X$117)&lt;&gt;1</formula>
    </cfRule>
  </conditionalFormatting>
  <conditionalFormatting sqref="X113:X117">
    <cfRule type="notContainsBlanks" dxfId="1130" priority="444" stopIfTrue="1">
      <formula>LEN(TRIM(X113))&gt;0</formula>
    </cfRule>
  </conditionalFormatting>
  <conditionalFormatting sqref="Y113:Y117">
    <cfRule type="containsBlanks" dxfId="1129" priority="445" stopIfTrue="1">
      <formula>LEN(TRIM(Y113))=0</formula>
    </cfRule>
  </conditionalFormatting>
  <conditionalFormatting sqref="Y113:Y117">
    <cfRule type="expression" dxfId="1128" priority="446" stopIfTrue="1">
      <formula>SUM($Y$113:$Y$117)&lt;&gt;1</formula>
    </cfRule>
  </conditionalFormatting>
  <conditionalFormatting sqref="Y113:Y117">
    <cfRule type="notContainsBlanks" dxfId="1127" priority="447" stopIfTrue="1">
      <formula>LEN(TRIM(Y113))&gt;0</formula>
    </cfRule>
  </conditionalFormatting>
  <conditionalFormatting sqref="Z113:Z117">
    <cfRule type="containsBlanks" dxfId="1126" priority="448" stopIfTrue="1">
      <formula>LEN(TRIM(Z113))=0</formula>
    </cfRule>
  </conditionalFormatting>
  <conditionalFormatting sqref="Z113:Z117">
    <cfRule type="expression" dxfId="1125" priority="449" stopIfTrue="1">
      <formula>SUM($Z$113:$Z$117)&lt;&gt;1</formula>
    </cfRule>
  </conditionalFormatting>
  <conditionalFormatting sqref="Z113:Z117">
    <cfRule type="notContainsBlanks" dxfId="1124" priority="450" stopIfTrue="1">
      <formula>LEN(TRIM(Z113))&gt;0</formula>
    </cfRule>
  </conditionalFormatting>
  <conditionalFormatting sqref="AA113:AA117">
    <cfRule type="containsBlanks" dxfId="1123" priority="451" stopIfTrue="1">
      <formula>LEN(TRIM(AA113))=0</formula>
    </cfRule>
  </conditionalFormatting>
  <conditionalFormatting sqref="AA113:AA117">
    <cfRule type="expression" dxfId="1122" priority="452" stopIfTrue="1">
      <formula>SUM($AA$113:$AA$117)&lt;&gt;1</formula>
    </cfRule>
  </conditionalFormatting>
  <conditionalFormatting sqref="AA113:AA117">
    <cfRule type="notContainsBlanks" dxfId="1121" priority="453" stopIfTrue="1">
      <formula>LEN(TRIM(AA113))&gt;0</formula>
    </cfRule>
  </conditionalFormatting>
  <conditionalFormatting sqref="AB113:AB117">
    <cfRule type="containsBlanks" dxfId="1120" priority="454" stopIfTrue="1">
      <formula>LEN(TRIM(AB113))=0</formula>
    </cfRule>
  </conditionalFormatting>
  <conditionalFormatting sqref="AB113:AB117">
    <cfRule type="expression" dxfId="1119" priority="455" stopIfTrue="1">
      <formula>SUM($AB$113:$AB$117)&lt;&gt;1</formula>
    </cfRule>
  </conditionalFormatting>
  <conditionalFormatting sqref="AB113:AB117">
    <cfRule type="notContainsBlanks" dxfId="1118" priority="456" stopIfTrue="1">
      <formula>LEN(TRIM(AB113))&gt;0</formula>
    </cfRule>
  </conditionalFormatting>
  <conditionalFormatting sqref="AC113:AC117">
    <cfRule type="containsBlanks" dxfId="1117" priority="457" stopIfTrue="1">
      <formula>LEN(TRIM(AC113))=0</formula>
    </cfRule>
  </conditionalFormatting>
  <conditionalFormatting sqref="AC113:AC117">
    <cfRule type="expression" dxfId="1116" priority="458" stopIfTrue="1">
      <formula>SUM($AC$113:$AC$117)&lt;&gt;1</formula>
    </cfRule>
  </conditionalFormatting>
  <conditionalFormatting sqref="AC113:AC117">
    <cfRule type="notContainsBlanks" dxfId="1115" priority="459" stopIfTrue="1">
      <formula>LEN(TRIM(AC113))&gt;0</formula>
    </cfRule>
  </conditionalFormatting>
  <conditionalFormatting sqref="AD113:AD117">
    <cfRule type="containsBlanks" dxfId="1114" priority="460" stopIfTrue="1">
      <formula>LEN(TRIM(AD113))=0</formula>
    </cfRule>
  </conditionalFormatting>
  <conditionalFormatting sqref="AD113:AD117">
    <cfRule type="expression" dxfId="1113" priority="461" stopIfTrue="1">
      <formula>SUM($AD$113:$AD$117)&lt;&gt;1</formula>
    </cfRule>
  </conditionalFormatting>
  <conditionalFormatting sqref="AD113:AD117">
    <cfRule type="notContainsBlanks" dxfId="1112" priority="462" stopIfTrue="1">
      <formula>LEN(TRIM(AD113))&gt;0</formula>
    </cfRule>
  </conditionalFormatting>
  <conditionalFormatting sqref="AE113:AE117">
    <cfRule type="containsBlanks" dxfId="1111" priority="463" stopIfTrue="1">
      <formula>LEN(TRIM(AE113))=0</formula>
    </cfRule>
  </conditionalFormatting>
  <conditionalFormatting sqref="AE113:AE117">
    <cfRule type="expression" dxfId="1110" priority="464" stopIfTrue="1">
      <formula>SUM($AE$113:$AE$117)&lt;&gt;1</formula>
    </cfRule>
  </conditionalFormatting>
  <conditionalFormatting sqref="AE113:AE117">
    <cfRule type="notContainsBlanks" dxfId="1109" priority="465" stopIfTrue="1">
      <formula>LEN(TRIM(AE113))&gt;0</formula>
    </cfRule>
  </conditionalFormatting>
  <conditionalFormatting sqref="AF113:AF117">
    <cfRule type="containsBlanks" dxfId="1108" priority="466" stopIfTrue="1">
      <formula>LEN(TRIM(AF113))=0</formula>
    </cfRule>
  </conditionalFormatting>
  <conditionalFormatting sqref="AF113:AF117">
    <cfRule type="expression" dxfId="1107" priority="467" stopIfTrue="1">
      <formula>SUM($AF$113:$AF$117)&lt;&gt;1</formula>
    </cfRule>
  </conditionalFormatting>
  <conditionalFormatting sqref="AF113:AF117">
    <cfRule type="notContainsBlanks" dxfId="1106" priority="468" stopIfTrue="1">
      <formula>LEN(TRIM(AF113))&gt;0</formula>
    </cfRule>
  </conditionalFormatting>
  <conditionalFormatting sqref="AG113:AG117">
    <cfRule type="containsBlanks" dxfId="1105" priority="469" stopIfTrue="1">
      <formula>LEN(TRIM(AG113))=0</formula>
    </cfRule>
  </conditionalFormatting>
  <conditionalFormatting sqref="AG113:AG117">
    <cfRule type="expression" dxfId="1104" priority="470" stopIfTrue="1">
      <formula>SUM($AG$113:$AG$117)&lt;&gt;1</formula>
    </cfRule>
  </conditionalFormatting>
  <conditionalFormatting sqref="AG113:AG117">
    <cfRule type="notContainsBlanks" dxfId="1103" priority="471" stopIfTrue="1">
      <formula>LEN(TRIM(AG113))&gt;0</formula>
    </cfRule>
  </conditionalFormatting>
  <conditionalFormatting sqref="AH113:AH117">
    <cfRule type="containsBlanks" dxfId="1102" priority="472" stopIfTrue="1">
      <formula>LEN(TRIM(AH113))=0</formula>
    </cfRule>
  </conditionalFormatting>
  <conditionalFormatting sqref="AH113:AH117">
    <cfRule type="expression" dxfId="1101" priority="473" stopIfTrue="1">
      <formula>SUM($AH$113:$AH$117)&lt;&gt;1</formula>
    </cfRule>
  </conditionalFormatting>
  <conditionalFormatting sqref="AH113:AH117">
    <cfRule type="notContainsBlanks" dxfId="1100" priority="474" stopIfTrue="1">
      <formula>LEN(TRIM(AH113))&gt;0</formula>
    </cfRule>
  </conditionalFormatting>
  <conditionalFormatting sqref="AI113:AI117">
    <cfRule type="containsBlanks" dxfId="1099" priority="475" stopIfTrue="1">
      <formula>LEN(TRIM(AI113))=0</formula>
    </cfRule>
  </conditionalFormatting>
  <conditionalFormatting sqref="AI113:AI117">
    <cfRule type="expression" dxfId="1098" priority="476" stopIfTrue="1">
      <formula>SUM($AI$113:$AI$117)&lt;&gt;1</formula>
    </cfRule>
  </conditionalFormatting>
  <conditionalFormatting sqref="AI113:AI117">
    <cfRule type="notContainsBlanks" dxfId="1097" priority="477" stopIfTrue="1">
      <formula>LEN(TRIM(AI113))&gt;0</formula>
    </cfRule>
  </conditionalFormatting>
  <conditionalFormatting sqref="AJ113:AJ117">
    <cfRule type="containsBlanks" dxfId="1096" priority="478" stopIfTrue="1">
      <formula>LEN(TRIM(AJ113))=0</formula>
    </cfRule>
  </conditionalFormatting>
  <conditionalFormatting sqref="AJ113:AJ117">
    <cfRule type="expression" dxfId="1095" priority="479" stopIfTrue="1">
      <formula>SUM($AJ$113:$AJ$117)&lt;&gt;1</formula>
    </cfRule>
  </conditionalFormatting>
  <conditionalFormatting sqref="AJ113:AJ117">
    <cfRule type="notContainsBlanks" dxfId="1094" priority="480" stopIfTrue="1">
      <formula>LEN(TRIM(AJ113))&gt;0</formula>
    </cfRule>
  </conditionalFormatting>
  <conditionalFormatting sqref="AK113:AK117">
    <cfRule type="containsBlanks" dxfId="1093" priority="481" stopIfTrue="1">
      <formula>LEN(TRIM(AK113))=0</formula>
    </cfRule>
  </conditionalFormatting>
  <conditionalFormatting sqref="AK113:AK117">
    <cfRule type="expression" dxfId="1092" priority="482" stopIfTrue="1">
      <formula>SUM($AK$113:$AK$117)&lt;&gt;1</formula>
    </cfRule>
  </conditionalFormatting>
  <conditionalFormatting sqref="AK113:AK117">
    <cfRule type="notContainsBlanks" dxfId="1091" priority="483" stopIfTrue="1">
      <formula>LEN(TRIM(AK113))&gt;0</formula>
    </cfRule>
  </conditionalFormatting>
  <conditionalFormatting sqref="AL113:AL117">
    <cfRule type="containsBlanks" dxfId="1090" priority="484" stopIfTrue="1">
      <formula>LEN(TRIM(AL113))=0</formula>
    </cfRule>
  </conditionalFormatting>
  <conditionalFormatting sqref="AL113:AL117">
    <cfRule type="expression" dxfId="1089" priority="485" stopIfTrue="1">
      <formula>SUM($AL$113:$AL$117)&lt;&gt;1</formula>
    </cfRule>
  </conditionalFormatting>
  <conditionalFormatting sqref="AL113:AL117">
    <cfRule type="notContainsBlanks" dxfId="1088" priority="486" stopIfTrue="1">
      <formula>LEN(TRIM(AL113))&gt;0</formula>
    </cfRule>
  </conditionalFormatting>
  <conditionalFormatting sqref="AM113:AM117">
    <cfRule type="containsBlanks" dxfId="1087" priority="487" stopIfTrue="1">
      <formula>LEN(TRIM(AM113))=0</formula>
    </cfRule>
  </conditionalFormatting>
  <conditionalFormatting sqref="AM113:AM117">
    <cfRule type="expression" dxfId="1086" priority="488" stopIfTrue="1">
      <formula>SUM($AM$113:$AM$117)&lt;&gt;1</formula>
    </cfRule>
  </conditionalFormatting>
  <conditionalFormatting sqref="AM113:AM117">
    <cfRule type="notContainsBlanks" dxfId="1085" priority="489" stopIfTrue="1">
      <formula>LEN(TRIM(AM113))&gt;0</formula>
    </cfRule>
  </conditionalFormatting>
  <conditionalFormatting sqref="AN113:AN117">
    <cfRule type="containsBlanks" dxfId="1084" priority="490" stopIfTrue="1">
      <formula>LEN(TRIM(AN113))=0</formula>
    </cfRule>
  </conditionalFormatting>
  <conditionalFormatting sqref="AN113:AN117">
    <cfRule type="expression" dxfId="1083" priority="491" stopIfTrue="1">
      <formula>SUM($AN$113:$AN$117)&lt;&gt;1</formula>
    </cfRule>
  </conditionalFormatting>
  <conditionalFormatting sqref="AN113:AN117">
    <cfRule type="notContainsBlanks" dxfId="1082" priority="492" stopIfTrue="1">
      <formula>LEN(TRIM(AN113))&gt;0</formula>
    </cfRule>
  </conditionalFormatting>
  <conditionalFormatting sqref="E107:E111">
    <cfRule type="containsBlanks" dxfId="1081" priority="503" stopIfTrue="1">
      <formula>LEN(TRIM(E107))=0</formula>
    </cfRule>
  </conditionalFormatting>
  <conditionalFormatting sqref="E107:E111">
    <cfRule type="expression" dxfId="1080" priority="504" stopIfTrue="1">
      <formula>SUM($E$107:$E$111)&lt;&gt;1</formula>
    </cfRule>
  </conditionalFormatting>
  <conditionalFormatting sqref="E107:E111">
    <cfRule type="notContainsBlanks" dxfId="1079" priority="505" stopIfTrue="1">
      <formula>LEN(TRIM(E107))&gt;0</formula>
    </cfRule>
  </conditionalFormatting>
  <conditionalFormatting sqref="F107:F111">
    <cfRule type="containsBlanks" dxfId="1078" priority="506" stopIfTrue="1">
      <formula>LEN(TRIM(F107))=0</formula>
    </cfRule>
  </conditionalFormatting>
  <conditionalFormatting sqref="F107:F111">
    <cfRule type="expression" dxfId="1077" priority="507" stopIfTrue="1">
      <formula>SUM($F$107:$F$111)&lt;&gt;1</formula>
    </cfRule>
  </conditionalFormatting>
  <conditionalFormatting sqref="F107:F111">
    <cfRule type="notContainsBlanks" dxfId="1076" priority="508" stopIfTrue="1">
      <formula>LEN(TRIM(F107))&gt;0</formula>
    </cfRule>
  </conditionalFormatting>
  <conditionalFormatting sqref="G107:G111">
    <cfRule type="containsBlanks" dxfId="1075" priority="509" stopIfTrue="1">
      <formula>LEN(TRIM(G107))=0</formula>
    </cfRule>
  </conditionalFormatting>
  <conditionalFormatting sqref="G107:G111">
    <cfRule type="expression" dxfId="1074" priority="510" stopIfTrue="1">
      <formula>SUM($G$107:$G$111)&lt;&gt;1</formula>
    </cfRule>
  </conditionalFormatting>
  <conditionalFormatting sqref="G107:G111">
    <cfRule type="notContainsBlanks" dxfId="1073" priority="511" stopIfTrue="1">
      <formula>LEN(TRIM(G107))&gt;0</formula>
    </cfRule>
  </conditionalFormatting>
  <conditionalFormatting sqref="H107:H111">
    <cfRule type="containsBlanks" dxfId="1072" priority="512" stopIfTrue="1">
      <formula>LEN(TRIM(H107))=0</formula>
    </cfRule>
  </conditionalFormatting>
  <conditionalFormatting sqref="H107:H111">
    <cfRule type="expression" dxfId="1071" priority="513" stopIfTrue="1">
      <formula>SUM($H$107:$H$111)&lt;&gt;1</formula>
    </cfRule>
  </conditionalFormatting>
  <conditionalFormatting sqref="H107:H111">
    <cfRule type="notContainsBlanks" dxfId="1070" priority="514" stopIfTrue="1">
      <formula>LEN(TRIM(H107))&gt;0</formula>
    </cfRule>
  </conditionalFormatting>
  <conditionalFormatting sqref="I107:I111">
    <cfRule type="containsBlanks" dxfId="1069" priority="515" stopIfTrue="1">
      <formula>LEN(TRIM(I107))=0</formula>
    </cfRule>
  </conditionalFormatting>
  <conditionalFormatting sqref="I107:I111">
    <cfRule type="expression" dxfId="1068" priority="516" stopIfTrue="1">
      <formula>SUM($I$107:$I$111)&lt;&gt;1</formula>
    </cfRule>
  </conditionalFormatting>
  <conditionalFormatting sqref="I107:I111">
    <cfRule type="notContainsBlanks" dxfId="1067" priority="517" stopIfTrue="1">
      <formula>LEN(TRIM(I107))&gt;0</formula>
    </cfRule>
  </conditionalFormatting>
  <conditionalFormatting sqref="J107:J111">
    <cfRule type="containsBlanks" dxfId="1066" priority="518" stopIfTrue="1">
      <formula>LEN(TRIM(J107))=0</formula>
    </cfRule>
  </conditionalFormatting>
  <conditionalFormatting sqref="J107:J111">
    <cfRule type="expression" dxfId="1065" priority="519" stopIfTrue="1">
      <formula>SUM($J$107:$J$111)&lt;&gt;1</formula>
    </cfRule>
  </conditionalFormatting>
  <conditionalFormatting sqref="J107:J111">
    <cfRule type="notContainsBlanks" dxfId="1064" priority="520" stopIfTrue="1">
      <formula>LEN(TRIM(J107))&gt;0</formula>
    </cfRule>
  </conditionalFormatting>
  <conditionalFormatting sqref="K107:K111">
    <cfRule type="containsBlanks" dxfId="1063" priority="521" stopIfTrue="1">
      <formula>LEN(TRIM(K107))=0</formula>
    </cfRule>
  </conditionalFormatting>
  <conditionalFormatting sqref="K107:K111">
    <cfRule type="expression" dxfId="1062" priority="522" stopIfTrue="1">
      <formula>SUM($K$107:$K$111)&lt;&gt;1</formula>
    </cfRule>
  </conditionalFormatting>
  <conditionalFormatting sqref="K107:K111">
    <cfRule type="notContainsBlanks" dxfId="1061" priority="523" stopIfTrue="1">
      <formula>LEN(TRIM(K107))&gt;0</formula>
    </cfRule>
  </conditionalFormatting>
  <conditionalFormatting sqref="L107:L111">
    <cfRule type="containsBlanks" dxfId="1060" priority="524" stopIfTrue="1">
      <formula>LEN(TRIM(L107))=0</formula>
    </cfRule>
  </conditionalFormatting>
  <conditionalFormatting sqref="L107:L111">
    <cfRule type="expression" dxfId="1059" priority="525" stopIfTrue="1">
      <formula>SUM($L$107:$L$111)&lt;&gt;1</formula>
    </cfRule>
  </conditionalFormatting>
  <conditionalFormatting sqref="L107:L111">
    <cfRule type="notContainsBlanks" dxfId="1058" priority="526" stopIfTrue="1">
      <formula>LEN(TRIM(L107))&gt;0</formula>
    </cfRule>
  </conditionalFormatting>
  <conditionalFormatting sqref="M107:M111">
    <cfRule type="containsBlanks" dxfId="1057" priority="527" stopIfTrue="1">
      <formula>LEN(TRIM(M107))=0</formula>
    </cfRule>
  </conditionalFormatting>
  <conditionalFormatting sqref="M107:M111">
    <cfRule type="expression" dxfId="1056" priority="528" stopIfTrue="1">
      <formula>SUM($M$107:$M$111)&lt;&gt;1</formula>
    </cfRule>
  </conditionalFormatting>
  <conditionalFormatting sqref="M107:M111">
    <cfRule type="notContainsBlanks" dxfId="1055" priority="529" stopIfTrue="1">
      <formula>LEN(TRIM(M107))&gt;0</formula>
    </cfRule>
  </conditionalFormatting>
  <conditionalFormatting sqref="N107:N111">
    <cfRule type="containsBlanks" dxfId="1054" priority="530" stopIfTrue="1">
      <formula>LEN(TRIM(N107))=0</formula>
    </cfRule>
  </conditionalFormatting>
  <conditionalFormatting sqref="N107:N111">
    <cfRule type="expression" dxfId="1053" priority="531" stopIfTrue="1">
      <formula>SUM($N$107:$N$111)&lt;&gt;1</formula>
    </cfRule>
  </conditionalFormatting>
  <conditionalFormatting sqref="N107:N111">
    <cfRule type="notContainsBlanks" dxfId="1052" priority="532" stopIfTrue="1">
      <formula>LEN(TRIM(N107))&gt;0</formula>
    </cfRule>
  </conditionalFormatting>
  <conditionalFormatting sqref="O107:O111">
    <cfRule type="containsBlanks" dxfId="1051" priority="533" stopIfTrue="1">
      <formula>LEN(TRIM(O107))=0</formula>
    </cfRule>
  </conditionalFormatting>
  <conditionalFormatting sqref="O107:O111">
    <cfRule type="expression" dxfId="1050" priority="534" stopIfTrue="1">
      <formula>SUM($O$107:$O$111)&lt;&gt;1</formula>
    </cfRule>
  </conditionalFormatting>
  <conditionalFormatting sqref="O107:O111">
    <cfRule type="notContainsBlanks" dxfId="1049" priority="535" stopIfTrue="1">
      <formula>LEN(TRIM(O107))&gt;0</formula>
    </cfRule>
  </conditionalFormatting>
  <conditionalFormatting sqref="P107:P111">
    <cfRule type="containsBlanks" dxfId="1048" priority="536" stopIfTrue="1">
      <formula>LEN(TRIM(P107))=0</formula>
    </cfRule>
  </conditionalFormatting>
  <conditionalFormatting sqref="P107:P111">
    <cfRule type="expression" dxfId="1047" priority="537" stopIfTrue="1">
      <formula>SUM($P$107:$P$111)&lt;&gt;1</formula>
    </cfRule>
  </conditionalFormatting>
  <conditionalFormatting sqref="P107:P111">
    <cfRule type="notContainsBlanks" dxfId="1046" priority="538" stopIfTrue="1">
      <formula>LEN(TRIM(P107))&gt;0</formula>
    </cfRule>
  </conditionalFormatting>
  <conditionalFormatting sqref="Q107:Q111">
    <cfRule type="containsBlanks" dxfId="1045" priority="539" stopIfTrue="1">
      <formula>LEN(TRIM(Q107))=0</formula>
    </cfRule>
  </conditionalFormatting>
  <conditionalFormatting sqref="Q107:Q111">
    <cfRule type="expression" dxfId="1044" priority="540" stopIfTrue="1">
      <formula>SUM($Q$107:$Q$111)&lt;&gt;1</formula>
    </cfRule>
  </conditionalFormatting>
  <conditionalFormatting sqref="Q107:Q111">
    <cfRule type="notContainsBlanks" dxfId="1043" priority="541" stopIfTrue="1">
      <formula>LEN(TRIM(Q107))&gt;0</formula>
    </cfRule>
  </conditionalFormatting>
  <conditionalFormatting sqref="R107:R111">
    <cfRule type="containsBlanks" dxfId="1042" priority="542" stopIfTrue="1">
      <formula>LEN(TRIM(R107))=0</formula>
    </cfRule>
  </conditionalFormatting>
  <conditionalFormatting sqref="R107:R111">
    <cfRule type="expression" dxfId="1041" priority="543" stopIfTrue="1">
      <formula>SUM($R$107:$R$111)&lt;&gt;1</formula>
    </cfRule>
  </conditionalFormatting>
  <conditionalFormatting sqref="R107:R111">
    <cfRule type="notContainsBlanks" dxfId="1040" priority="544" stopIfTrue="1">
      <formula>LEN(TRIM(R107))&gt;0</formula>
    </cfRule>
  </conditionalFormatting>
  <conditionalFormatting sqref="S107:S111">
    <cfRule type="containsBlanks" dxfId="1039" priority="545" stopIfTrue="1">
      <formula>LEN(TRIM(S107))=0</formula>
    </cfRule>
  </conditionalFormatting>
  <conditionalFormatting sqref="S107:S111">
    <cfRule type="expression" dxfId="1038" priority="546" stopIfTrue="1">
      <formula>SUM($S$107:$S$111)&lt;&gt;1</formula>
    </cfRule>
  </conditionalFormatting>
  <conditionalFormatting sqref="S107:S111">
    <cfRule type="notContainsBlanks" dxfId="1037" priority="547" stopIfTrue="1">
      <formula>LEN(TRIM(S107))&gt;0</formula>
    </cfRule>
  </conditionalFormatting>
  <conditionalFormatting sqref="T107:T111">
    <cfRule type="containsBlanks" dxfId="1036" priority="548" stopIfTrue="1">
      <formula>LEN(TRIM(T107))=0</formula>
    </cfRule>
  </conditionalFormatting>
  <conditionalFormatting sqref="T107:T111">
    <cfRule type="expression" dxfId="1035" priority="549" stopIfTrue="1">
      <formula>SUM($T$107:$T$111)&lt;&gt;1</formula>
    </cfRule>
  </conditionalFormatting>
  <conditionalFormatting sqref="T107:T111">
    <cfRule type="notContainsBlanks" dxfId="1034" priority="550" stopIfTrue="1">
      <formula>LEN(TRIM(T107))&gt;0</formula>
    </cfRule>
  </conditionalFormatting>
  <conditionalFormatting sqref="U107:U111">
    <cfRule type="containsBlanks" dxfId="1033" priority="551" stopIfTrue="1">
      <formula>LEN(TRIM(U107))=0</formula>
    </cfRule>
  </conditionalFormatting>
  <conditionalFormatting sqref="U107:U111">
    <cfRule type="expression" dxfId="1032" priority="552" stopIfTrue="1">
      <formula>SUM($U$107:$U$111)&lt;&gt;1</formula>
    </cfRule>
  </conditionalFormatting>
  <conditionalFormatting sqref="U107:U111">
    <cfRule type="notContainsBlanks" dxfId="1031" priority="553" stopIfTrue="1">
      <formula>LEN(TRIM(U107))&gt;0</formula>
    </cfRule>
  </conditionalFormatting>
  <conditionalFormatting sqref="V107:V111">
    <cfRule type="containsBlanks" dxfId="1030" priority="554" stopIfTrue="1">
      <formula>LEN(TRIM(V107))=0</formula>
    </cfRule>
  </conditionalFormatting>
  <conditionalFormatting sqref="V107:V111">
    <cfRule type="expression" dxfId="1029" priority="555" stopIfTrue="1">
      <formula>SUM($V$107:$V$111)&lt;&gt;1</formula>
    </cfRule>
  </conditionalFormatting>
  <conditionalFormatting sqref="V107:V111">
    <cfRule type="notContainsBlanks" dxfId="1028" priority="556" stopIfTrue="1">
      <formula>LEN(TRIM(V107))&gt;0</formula>
    </cfRule>
  </conditionalFormatting>
  <conditionalFormatting sqref="W107:W111">
    <cfRule type="containsBlanks" dxfId="1027" priority="557" stopIfTrue="1">
      <formula>LEN(TRIM(W107))=0</formula>
    </cfRule>
  </conditionalFormatting>
  <conditionalFormatting sqref="W107:W111">
    <cfRule type="expression" dxfId="1026" priority="558" stopIfTrue="1">
      <formula>SUM($W$107:$W$111)&lt;&gt;1</formula>
    </cfRule>
  </conditionalFormatting>
  <conditionalFormatting sqref="W107:W111">
    <cfRule type="notContainsBlanks" dxfId="1025" priority="559" stopIfTrue="1">
      <formula>LEN(TRIM(W107))&gt;0</formula>
    </cfRule>
  </conditionalFormatting>
  <conditionalFormatting sqref="X107:X111">
    <cfRule type="containsBlanks" dxfId="1024" priority="560" stopIfTrue="1">
      <formula>LEN(TRIM(X107))=0</formula>
    </cfRule>
  </conditionalFormatting>
  <conditionalFormatting sqref="X107:X111">
    <cfRule type="expression" dxfId="1023" priority="561" stopIfTrue="1">
      <formula>SUM($X$107:$X$111)&lt;&gt;1</formula>
    </cfRule>
  </conditionalFormatting>
  <conditionalFormatting sqref="X107:X111">
    <cfRule type="notContainsBlanks" dxfId="1022" priority="562" stopIfTrue="1">
      <formula>LEN(TRIM(X107))&gt;0</formula>
    </cfRule>
  </conditionalFormatting>
  <conditionalFormatting sqref="Y107:Y111">
    <cfRule type="containsBlanks" dxfId="1021" priority="563" stopIfTrue="1">
      <formula>LEN(TRIM(Y107))=0</formula>
    </cfRule>
  </conditionalFormatting>
  <conditionalFormatting sqref="Y107:Y111">
    <cfRule type="expression" dxfId="1020" priority="564" stopIfTrue="1">
      <formula>SUM($Y$107:$Y$111)&lt;&gt;1</formula>
    </cfRule>
  </conditionalFormatting>
  <conditionalFormatting sqref="Y107:Y111">
    <cfRule type="notContainsBlanks" dxfId="1019" priority="565" stopIfTrue="1">
      <formula>LEN(TRIM(Y107))&gt;0</formula>
    </cfRule>
  </conditionalFormatting>
  <conditionalFormatting sqref="Z107:Z111">
    <cfRule type="containsBlanks" dxfId="1018" priority="566" stopIfTrue="1">
      <formula>LEN(TRIM(Z107))=0</formula>
    </cfRule>
  </conditionalFormatting>
  <conditionalFormatting sqref="Z107:Z111">
    <cfRule type="expression" dxfId="1017" priority="567" stopIfTrue="1">
      <formula>SUM($Z$107:$Z$111)&lt;&gt;1</formula>
    </cfRule>
  </conditionalFormatting>
  <conditionalFormatting sqref="Z107:Z111">
    <cfRule type="notContainsBlanks" dxfId="1016" priority="568" stopIfTrue="1">
      <formula>LEN(TRIM(Z107))&gt;0</formula>
    </cfRule>
  </conditionalFormatting>
  <conditionalFormatting sqref="AA107:AA111">
    <cfRule type="containsBlanks" dxfId="1015" priority="569" stopIfTrue="1">
      <formula>LEN(TRIM(AA107))=0</formula>
    </cfRule>
  </conditionalFormatting>
  <conditionalFormatting sqref="AA107:AA111">
    <cfRule type="expression" dxfId="1014" priority="570" stopIfTrue="1">
      <formula>SUM($AA$107:$AA$111)&lt;&gt;1</formula>
    </cfRule>
  </conditionalFormatting>
  <conditionalFormatting sqref="AA107:AA111">
    <cfRule type="notContainsBlanks" dxfId="1013" priority="571" stopIfTrue="1">
      <formula>LEN(TRIM(AA107))&gt;0</formula>
    </cfRule>
  </conditionalFormatting>
  <conditionalFormatting sqref="AB107:AB111">
    <cfRule type="containsBlanks" dxfId="1012" priority="572" stopIfTrue="1">
      <formula>LEN(TRIM(AB107))=0</formula>
    </cfRule>
  </conditionalFormatting>
  <conditionalFormatting sqref="AB107:AB111">
    <cfRule type="expression" dxfId="1011" priority="573" stopIfTrue="1">
      <formula>SUM($AB$107:$AB$111)&lt;&gt;1</formula>
    </cfRule>
  </conditionalFormatting>
  <conditionalFormatting sqref="AB107:AB111">
    <cfRule type="notContainsBlanks" dxfId="1010" priority="574" stopIfTrue="1">
      <formula>LEN(TRIM(AB107))&gt;0</formula>
    </cfRule>
  </conditionalFormatting>
  <conditionalFormatting sqref="AC107:AC111">
    <cfRule type="containsBlanks" dxfId="1009" priority="575" stopIfTrue="1">
      <formula>LEN(TRIM(AC107))=0</formula>
    </cfRule>
  </conditionalFormatting>
  <conditionalFormatting sqref="AC107:AC111">
    <cfRule type="expression" dxfId="1008" priority="576" stopIfTrue="1">
      <formula>SUM($AC$107:$AC$111)&lt;&gt;1</formula>
    </cfRule>
  </conditionalFormatting>
  <conditionalFormatting sqref="AC107:AC111">
    <cfRule type="notContainsBlanks" dxfId="1007" priority="577" stopIfTrue="1">
      <formula>LEN(TRIM(AC107))&gt;0</formula>
    </cfRule>
  </conditionalFormatting>
  <conditionalFormatting sqref="AD107:AD111">
    <cfRule type="containsBlanks" dxfId="1006" priority="578" stopIfTrue="1">
      <formula>LEN(TRIM(AD107))=0</formula>
    </cfRule>
  </conditionalFormatting>
  <conditionalFormatting sqref="AD107:AD111">
    <cfRule type="expression" dxfId="1005" priority="579" stopIfTrue="1">
      <formula>SUM($AD$107:$AD$111)&lt;&gt;1</formula>
    </cfRule>
  </conditionalFormatting>
  <conditionalFormatting sqref="AD107:AD111">
    <cfRule type="notContainsBlanks" dxfId="1004" priority="580" stopIfTrue="1">
      <formula>LEN(TRIM(AD107))&gt;0</formula>
    </cfRule>
  </conditionalFormatting>
  <conditionalFormatting sqref="AE107:AE111">
    <cfRule type="containsBlanks" dxfId="1003" priority="581" stopIfTrue="1">
      <formula>LEN(TRIM(AE107))=0</formula>
    </cfRule>
  </conditionalFormatting>
  <conditionalFormatting sqref="AE107:AE111">
    <cfRule type="expression" dxfId="1002" priority="582" stopIfTrue="1">
      <formula>SUM($AE$107:$AE$111)&lt;&gt;1</formula>
    </cfRule>
  </conditionalFormatting>
  <conditionalFormatting sqref="AE107:AE111">
    <cfRule type="notContainsBlanks" dxfId="1001" priority="583" stopIfTrue="1">
      <formula>LEN(TRIM(AE107))&gt;0</formula>
    </cfRule>
  </conditionalFormatting>
  <conditionalFormatting sqref="AF107:AF111">
    <cfRule type="containsBlanks" dxfId="1000" priority="584" stopIfTrue="1">
      <formula>LEN(TRIM(AF107))=0</formula>
    </cfRule>
  </conditionalFormatting>
  <conditionalFormatting sqref="AF107:AF111">
    <cfRule type="expression" dxfId="999" priority="585" stopIfTrue="1">
      <formula>SUM($AF$107:$AF$111)&lt;&gt;1</formula>
    </cfRule>
  </conditionalFormatting>
  <conditionalFormatting sqref="AF107:AF111">
    <cfRule type="notContainsBlanks" dxfId="998" priority="586" stopIfTrue="1">
      <formula>LEN(TRIM(AF107))&gt;0</formula>
    </cfRule>
  </conditionalFormatting>
  <conditionalFormatting sqref="AG107:AG111">
    <cfRule type="containsBlanks" dxfId="997" priority="587" stopIfTrue="1">
      <formula>LEN(TRIM(AG107))=0</formula>
    </cfRule>
  </conditionalFormatting>
  <conditionalFormatting sqref="AG107:AG111">
    <cfRule type="expression" dxfId="996" priority="588" stopIfTrue="1">
      <formula>SUM($AG$107:$AG$111)&lt;&gt;1</formula>
    </cfRule>
  </conditionalFormatting>
  <conditionalFormatting sqref="AG107:AG111">
    <cfRule type="notContainsBlanks" dxfId="995" priority="589" stopIfTrue="1">
      <formula>LEN(TRIM(AG107))&gt;0</formula>
    </cfRule>
  </conditionalFormatting>
  <conditionalFormatting sqref="AH107:AH111">
    <cfRule type="containsBlanks" dxfId="994" priority="590" stopIfTrue="1">
      <formula>LEN(TRIM(AH107))=0</formula>
    </cfRule>
  </conditionalFormatting>
  <conditionalFormatting sqref="AH107:AH111">
    <cfRule type="expression" dxfId="993" priority="591" stopIfTrue="1">
      <formula>SUM($AH$107:$AH$111)&lt;&gt;1</formula>
    </cfRule>
  </conditionalFormatting>
  <conditionalFormatting sqref="AH107:AH111">
    <cfRule type="notContainsBlanks" dxfId="992" priority="592" stopIfTrue="1">
      <formula>LEN(TRIM(AH107))&gt;0</formula>
    </cfRule>
  </conditionalFormatting>
  <conditionalFormatting sqref="AI107:AI111">
    <cfRule type="containsBlanks" dxfId="991" priority="593" stopIfTrue="1">
      <formula>LEN(TRIM(AI107))=0</formula>
    </cfRule>
  </conditionalFormatting>
  <conditionalFormatting sqref="AI107:AI111">
    <cfRule type="expression" dxfId="990" priority="594" stopIfTrue="1">
      <formula>SUM($AI$107:$AI$111)&lt;&gt;1</formula>
    </cfRule>
  </conditionalFormatting>
  <conditionalFormatting sqref="AI107:AI111">
    <cfRule type="notContainsBlanks" dxfId="989" priority="595" stopIfTrue="1">
      <formula>LEN(TRIM(AI107))&gt;0</formula>
    </cfRule>
  </conditionalFormatting>
  <conditionalFormatting sqref="AJ107:AJ111">
    <cfRule type="containsBlanks" dxfId="988" priority="596" stopIfTrue="1">
      <formula>LEN(TRIM(AJ107))=0</formula>
    </cfRule>
  </conditionalFormatting>
  <conditionalFormatting sqref="AJ107:AJ111">
    <cfRule type="expression" dxfId="987" priority="597" stopIfTrue="1">
      <formula>SUM($AJ$107:$AJ$111)&lt;&gt;1</formula>
    </cfRule>
  </conditionalFormatting>
  <conditionalFormatting sqref="AJ107:AJ111">
    <cfRule type="notContainsBlanks" dxfId="986" priority="598" stopIfTrue="1">
      <formula>LEN(TRIM(AJ107))&gt;0</formula>
    </cfRule>
  </conditionalFormatting>
  <conditionalFormatting sqref="AK107:AK111">
    <cfRule type="containsBlanks" dxfId="985" priority="599" stopIfTrue="1">
      <formula>LEN(TRIM(AK107))=0</formula>
    </cfRule>
  </conditionalFormatting>
  <conditionalFormatting sqref="AK107:AK111">
    <cfRule type="expression" dxfId="984" priority="600" stopIfTrue="1">
      <formula>SUM($AK$107:$AK$111)&lt;&gt;1</formula>
    </cfRule>
  </conditionalFormatting>
  <conditionalFormatting sqref="AK107:AK111">
    <cfRule type="notContainsBlanks" dxfId="983" priority="601" stopIfTrue="1">
      <formula>LEN(TRIM(AK107))&gt;0</formula>
    </cfRule>
  </conditionalFormatting>
  <conditionalFormatting sqref="AL107:AL111">
    <cfRule type="containsBlanks" dxfId="982" priority="602" stopIfTrue="1">
      <formula>LEN(TRIM(AL107))=0</formula>
    </cfRule>
  </conditionalFormatting>
  <conditionalFormatting sqref="AL107:AL111">
    <cfRule type="expression" dxfId="981" priority="603" stopIfTrue="1">
      <formula>SUM($AL$107:$AL$111)&lt;&gt;1</formula>
    </cfRule>
  </conditionalFormatting>
  <conditionalFormatting sqref="AL107:AL111">
    <cfRule type="notContainsBlanks" dxfId="980" priority="604" stopIfTrue="1">
      <formula>LEN(TRIM(AL107))&gt;0</formula>
    </cfRule>
  </conditionalFormatting>
  <conditionalFormatting sqref="AM107:AM111">
    <cfRule type="containsBlanks" dxfId="979" priority="605" stopIfTrue="1">
      <formula>LEN(TRIM(AM107))=0</formula>
    </cfRule>
  </conditionalFormatting>
  <conditionalFormatting sqref="AM107:AM111">
    <cfRule type="expression" dxfId="978" priority="606" stopIfTrue="1">
      <formula>SUM($AM$107:$AM$111)&lt;&gt;1</formula>
    </cfRule>
  </conditionalFormatting>
  <conditionalFormatting sqref="AM107:AM111">
    <cfRule type="notContainsBlanks" dxfId="977" priority="607" stopIfTrue="1">
      <formula>LEN(TRIM(AM107))&gt;0</formula>
    </cfRule>
  </conditionalFormatting>
  <conditionalFormatting sqref="AN107:AN111">
    <cfRule type="containsBlanks" dxfId="976" priority="608" stopIfTrue="1">
      <formula>LEN(TRIM(AN107))=0</formula>
    </cfRule>
  </conditionalFormatting>
  <conditionalFormatting sqref="AN107:AN111">
    <cfRule type="expression" dxfId="975" priority="609" stopIfTrue="1">
      <formula>SUM($AN$107:$AN$111)&lt;&gt;1</formula>
    </cfRule>
  </conditionalFormatting>
  <conditionalFormatting sqref="AN107:AN111">
    <cfRule type="notContainsBlanks" dxfId="974" priority="610" stopIfTrue="1">
      <formula>LEN(TRIM(AN107))&gt;0</formula>
    </cfRule>
  </conditionalFormatting>
  <conditionalFormatting sqref="E101:E105">
    <cfRule type="containsBlanks" dxfId="973" priority="621" stopIfTrue="1">
      <formula>LEN(TRIM(E101))=0</formula>
    </cfRule>
    <cfRule type="expression" dxfId="972" priority="622" stopIfTrue="1">
      <formula>SUM($E$101:$E$105)&lt;&gt;1</formula>
    </cfRule>
    <cfRule type="notContainsBlanks" dxfId="971" priority="623" stopIfTrue="1">
      <formula>LEN(TRIM(E101))&gt;0</formula>
    </cfRule>
  </conditionalFormatting>
  <conditionalFormatting sqref="F101:F105">
    <cfRule type="containsBlanks" dxfId="970" priority="624" stopIfTrue="1">
      <formula>LEN(TRIM(F101))=0</formula>
    </cfRule>
    <cfRule type="expression" dxfId="969" priority="625" stopIfTrue="1">
      <formula>SUM($F$101:$F$105)&lt;&gt;1</formula>
    </cfRule>
    <cfRule type="notContainsBlanks" dxfId="968" priority="626" stopIfTrue="1">
      <formula>LEN(TRIM(F101))&gt;0</formula>
    </cfRule>
  </conditionalFormatting>
  <conditionalFormatting sqref="G101:G105">
    <cfRule type="containsBlanks" dxfId="967" priority="627" stopIfTrue="1">
      <formula>LEN(TRIM(G101))=0</formula>
    </cfRule>
    <cfRule type="expression" dxfId="966" priority="628" stopIfTrue="1">
      <formula>SUM($G$101:$G$105)&lt;&gt;1</formula>
    </cfRule>
    <cfRule type="notContainsBlanks" dxfId="965" priority="629" stopIfTrue="1">
      <formula>LEN(TRIM(G101))&gt;0</formula>
    </cfRule>
  </conditionalFormatting>
  <conditionalFormatting sqref="H101:H105">
    <cfRule type="containsBlanks" dxfId="964" priority="630" stopIfTrue="1">
      <formula>LEN(TRIM(H101))=0</formula>
    </cfRule>
    <cfRule type="expression" dxfId="963" priority="631" stopIfTrue="1">
      <formula>SUM($H$101:$H$105)&lt;&gt;1</formula>
    </cfRule>
    <cfRule type="notContainsBlanks" dxfId="962" priority="632" stopIfTrue="1">
      <formula>LEN(TRIM(H101))&gt;0</formula>
    </cfRule>
  </conditionalFormatting>
  <conditionalFormatting sqref="I101:I105">
    <cfRule type="containsBlanks" dxfId="961" priority="633" stopIfTrue="1">
      <formula>LEN(TRIM(I101))=0</formula>
    </cfRule>
    <cfRule type="expression" dxfId="960" priority="634" stopIfTrue="1">
      <formula>SUM($I$101:$I$105)&lt;&gt;1</formula>
    </cfRule>
    <cfRule type="notContainsBlanks" dxfId="959" priority="635" stopIfTrue="1">
      <formula>LEN(TRIM(I101))&gt;0</formula>
    </cfRule>
  </conditionalFormatting>
  <conditionalFormatting sqref="J101:J105">
    <cfRule type="containsBlanks" dxfId="958" priority="636" stopIfTrue="1">
      <formula>LEN(TRIM(J101))=0</formula>
    </cfRule>
    <cfRule type="expression" dxfId="957" priority="637" stopIfTrue="1">
      <formula>SUM($J$101:$J$105)&lt;&gt;1</formula>
    </cfRule>
    <cfRule type="notContainsBlanks" dxfId="956" priority="638" stopIfTrue="1">
      <formula>LEN(TRIM(J101))&gt;0</formula>
    </cfRule>
  </conditionalFormatting>
  <conditionalFormatting sqref="K101:K105">
    <cfRule type="containsBlanks" dxfId="955" priority="639" stopIfTrue="1">
      <formula>LEN(TRIM(K101))=0</formula>
    </cfRule>
    <cfRule type="expression" dxfId="954" priority="640" stopIfTrue="1">
      <formula>SUM($K$101:$K$105)&lt;&gt;1</formula>
    </cfRule>
    <cfRule type="notContainsBlanks" dxfId="953" priority="641" stopIfTrue="1">
      <formula>LEN(TRIM(K101))&gt;0</formula>
    </cfRule>
  </conditionalFormatting>
  <conditionalFormatting sqref="L101:L105">
    <cfRule type="containsBlanks" dxfId="952" priority="642" stopIfTrue="1">
      <formula>LEN(TRIM(L101))=0</formula>
    </cfRule>
    <cfRule type="expression" dxfId="951" priority="643" stopIfTrue="1">
      <formula>SUM($L$101:$L$105)&lt;&gt;1</formula>
    </cfRule>
    <cfRule type="notContainsBlanks" dxfId="950" priority="644" stopIfTrue="1">
      <formula>LEN(TRIM(L101))&gt;0</formula>
    </cfRule>
  </conditionalFormatting>
  <conditionalFormatting sqref="M101:M105">
    <cfRule type="containsBlanks" dxfId="949" priority="645" stopIfTrue="1">
      <formula>LEN(TRIM(M101))=0</formula>
    </cfRule>
    <cfRule type="expression" dxfId="948" priority="646" stopIfTrue="1">
      <formula>SUM($M$101:$M$105)&lt;&gt;1</formula>
    </cfRule>
    <cfRule type="notContainsBlanks" dxfId="947" priority="647" stopIfTrue="1">
      <formula>LEN(TRIM(M101))&gt;0</formula>
    </cfRule>
  </conditionalFormatting>
  <conditionalFormatting sqref="N101:N105">
    <cfRule type="containsBlanks" dxfId="946" priority="648" stopIfTrue="1">
      <formula>LEN(TRIM(N101))=0</formula>
    </cfRule>
    <cfRule type="expression" dxfId="945" priority="649" stopIfTrue="1">
      <formula>SUM($N$101:$N$105)&lt;&gt;1</formula>
    </cfRule>
    <cfRule type="notContainsBlanks" dxfId="944" priority="650" stopIfTrue="1">
      <formula>LEN(TRIM(N101))&gt;0</formula>
    </cfRule>
  </conditionalFormatting>
  <conditionalFormatting sqref="O101:O105">
    <cfRule type="containsBlanks" dxfId="943" priority="651" stopIfTrue="1">
      <formula>LEN(TRIM(O101))=0</formula>
    </cfRule>
    <cfRule type="expression" dxfId="942" priority="652" stopIfTrue="1">
      <formula>SUM($O$101:$O$105)&lt;&gt;1</formula>
    </cfRule>
    <cfRule type="notContainsBlanks" dxfId="941" priority="653" stopIfTrue="1">
      <formula>LEN(TRIM(O101))&gt;0</formula>
    </cfRule>
  </conditionalFormatting>
  <conditionalFormatting sqref="P101:P105">
    <cfRule type="containsBlanks" dxfId="940" priority="654" stopIfTrue="1">
      <formula>LEN(TRIM(P101))=0</formula>
    </cfRule>
  </conditionalFormatting>
  <conditionalFormatting sqref="P101:P105">
    <cfRule type="expression" dxfId="939" priority="655" stopIfTrue="1">
      <formula>SUM($P$101:$P$105)&lt;&gt;1</formula>
    </cfRule>
  </conditionalFormatting>
  <conditionalFormatting sqref="P101:P105">
    <cfRule type="notContainsBlanks" dxfId="938" priority="656" stopIfTrue="1">
      <formula>LEN(TRIM(P101))&gt;0</formula>
    </cfRule>
  </conditionalFormatting>
  <conditionalFormatting sqref="Q101:Q105">
    <cfRule type="containsBlanks" dxfId="937" priority="657" stopIfTrue="1">
      <formula>LEN(TRIM(Q101))=0</formula>
    </cfRule>
  </conditionalFormatting>
  <conditionalFormatting sqref="Q101:Q105">
    <cfRule type="expression" dxfId="936" priority="658" stopIfTrue="1">
      <formula>SUM($Q$101:$Q$105)&lt;&gt;1</formula>
    </cfRule>
  </conditionalFormatting>
  <conditionalFormatting sqref="Q101:Q105">
    <cfRule type="notContainsBlanks" dxfId="935" priority="659" stopIfTrue="1">
      <formula>LEN(TRIM(Q101))&gt;0</formula>
    </cfRule>
  </conditionalFormatting>
  <conditionalFormatting sqref="R101:R105">
    <cfRule type="containsBlanks" dxfId="934" priority="660" stopIfTrue="1">
      <formula>LEN(TRIM(R101))=0</formula>
    </cfRule>
  </conditionalFormatting>
  <conditionalFormatting sqref="R101:R105">
    <cfRule type="expression" dxfId="933" priority="661" stopIfTrue="1">
      <formula>SUM($R$101:$R$105)&lt;&gt;1</formula>
    </cfRule>
  </conditionalFormatting>
  <conditionalFormatting sqref="R101:R105">
    <cfRule type="notContainsBlanks" dxfId="932" priority="662" stopIfTrue="1">
      <formula>LEN(TRIM(R101))&gt;0</formula>
    </cfRule>
  </conditionalFormatting>
  <conditionalFormatting sqref="S101:S105">
    <cfRule type="containsBlanks" dxfId="931" priority="663" stopIfTrue="1">
      <formula>LEN(TRIM(S101))=0</formula>
    </cfRule>
  </conditionalFormatting>
  <conditionalFormatting sqref="S101:S105">
    <cfRule type="expression" dxfId="930" priority="664" stopIfTrue="1">
      <formula>SUM($S$101:$S$105)&lt;&gt;1</formula>
    </cfRule>
  </conditionalFormatting>
  <conditionalFormatting sqref="S101:S105">
    <cfRule type="notContainsBlanks" dxfId="929" priority="665" stopIfTrue="1">
      <formula>LEN(TRIM(S101))&gt;0</formula>
    </cfRule>
  </conditionalFormatting>
  <conditionalFormatting sqref="T101:T105">
    <cfRule type="containsBlanks" dxfId="928" priority="666" stopIfTrue="1">
      <formula>LEN(TRIM(T101))=0</formula>
    </cfRule>
  </conditionalFormatting>
  <conditionalFormatting sqref="T101:T105">
    <cfRule type="expression" dxfId="927" priority="667" stopIfTrue="1">
      <formula>SUM($T$101:$T$105)&lt;&gt;1</formula>
    </cfRule>
  </conditionalFormatting>
  <conditionalFormatting sqref="T101:T105">
    <cfRule type="notContainsBlanks" dxfId="926" priority="668" stopIfTrue="1">
      <formula>LEN(TRIM(T101))&gt;0</formula>
    </cfRule>
  </conditionalFormatting>
  <conditionalFormatting sqref="U101:U105">
    <cfRule type="containsBlanks" dxfId="925" priority="669" stopIfTrue="1">
      <formula>LEN(TRIM(U101))=0</formula>
    </cfRule>
  </conditionalFormatting>
  <conditionalFormatting sqref="U101:U105">
    <cfRule type="expression" dxfId="924" priority="670" stopIfTrue="1">
      <formula>SUM($U$101:$U$105)&lt;&gt;1</formula>
    </cfRule>
  </conditionalFormatting>
  <conditionalFormatting sqref="U101:U105">
    <cfRule type="notContainsBlanks" dxfId="923" priority="671" stopIfTrue="1">
      <formula>LEN(TRIM(U101))&gt;0</formula>
    </cfRule>
  </conditionalFormatting>
  <conditionalFormatting sqref="V101:V105">
    <cfRule type="containsBlanks" dxfId="922" priority="672" stopIfTrue="1">
      <formula>LEN(TRIM(V101))=0</formula>
    </cfRule>
  </conditionalFormatting>
  <conditionalFormatting sqref="V101:V105">
    <cfRule type="expression" dxfId="921" priority="673" stopIfTrue="1">
      <formula>SUM($V$101:$V$105)&lt;&gt;1</formula>
    </cfRule>
  </conditionalFormatting>
  <conditionalFormatting sqref="V101:V105">
    <cfRule type="notContainsBlanks" dxfId="920" priority="674" stopIfTrue="1">
      <formula>LEN(TRIM(V101))&gt;0</formula>
    </cfRule>
  </conditionalFormatting>
  <conditionalFormatting sqref="W101:W105">
    <cfRule type="containsBlanks" dxfId="919" priority="675" stopIfTrue="1">
      <formula>LEN(TRIM(W101))=0</formula>
    </cfRule>
  </conditionalFormatting>
  <conditionalFormatting sqref="W101:W105">
    <cfRule type="expression" dxfId="918" priority="676" stopIfTrue="1">
      <formula>SUM($W$101:$W$105)&lt;&gt;1</formula>
    </cfRule>
  </conditionalFormatting>
  <conditionalFormatting sqref="W101:W105">
    <cfRule type="notContainsBlanks" dxfId="917" priority="677" stopIfTrue="1">
      <formula>LEN(TRIM(W101))&gt;0</formula>
    </cfRule>
  </conditionalFormatting>
  <conditionalFormatting sqref="X101:X105">
    <cfRule type="containsBlanks" dxfId="916" priority="678" stopIfTrue="1">
      <formula>LEN(TRIM(X101))=0</formula>
    </cfRule>
  </conditionalFormatting>
  <conditionalFormatting sqref="X101:X105">
    <cfRule type="expression" dxfId="915" priority="679" stopIfTrue="1">
      <formula>SUM($X$101:$X$105)&lt;&gt;1</formula>
    </cfRule>
  </conditionalFormatting>
  <conditionalFormatting sqref="X101:X105">
    <cfRule type="notContainsBlanks" dxfId="914" priority="680" stopIfTrue="1">
      <formula>LEN(TRIM(X101))&gt;0</formula>
    </cfRule>
  </conditionalFormatting>
  <conditionalFormatting sqref="Y101:Y105">
    <cfRule type="containsBlanks" dxfId="913" priority="681" stopIfTrue="1">
      <formula>LEN(TRIM(Y101))=0</formula>
    </cfRule>
  </conditionalFormatting>
  <conditionalFormatting sqref="Y101:Y105">
    <cfRule type="expression" dxfId="912" priority="682" stopIfTrue="1">
      <formula>SUM($Y$101:$Y$105)&lt;&gt;1</formula>
    </cfRule>
  </conditionalFormatting>
  <conditionalFormatting sqref="Y101:Y105">
    <cfRule type="notContainsBlanks" dxfId="911" priority="683" stopIfTrue="1">
      <formula>LEN(TRIM(Y101))&gt;0</formula>
    </cfRule>
  </conditionalFormatting>
  <conditionalFormatting sqref="Z101:Z105">
    <cfRule type="containsBlanks" dxfId="910" priority="684" stopIfTrue="1">
      <formula>LEN(TRIM(Z101))=0</formula>
    </cfRule>
  </conditionalFormatting>
  <conditionalFormatting sqref="Z101:Z105">
    <cfRule type="expression" dxfId="909" priority="685" stopIfTrue="1">
      <formula>SUM($Z$101:$Z$105)&lt;&gt;1</formula>
    </cfRule>
  </conditionalFormatting>
  <conditionalFormatting sqref="Z101:Z105">
    <cfRule type="notContainsBlanks" dxfId="908" priority="686" stopIfTrue="1">
      <formula>LEN(TRIM(Z101))&gt;0</formula>
    </cfRule>
  </conditionalFormatting>
  <conditionalFormatting sqref="AA101:AA105">
    <cfRule type="containsBlanks" dxfId="907" priority="687" stopIfTrue="1">
      <formula>LEN(TRIM(AA101))=0</formula>
    </cfRule>
  </conditionalFormatting>
  <conditionalFormatting sqref="AA101:AA105">
    <cfRule type="expression" dxfId="906" priority="688" stopIfTrue="1">
      <formula>SUM($AA$101:$AA$105)&lt;&gt;1</formula>
    </cfRule>
  </conditionalFormatting>
  <conditionalFormatting sqref="AA101:AA105">
    <cfRule type="notContainsBlanks" dxfId="905" priority="689" stopIfTrue="1">
      <formula>LEN(TRIM(AA101))&gt;0</formula>
    </cfRule>
  </conditionalFormatting>
  <conditionalFormatting sqref="AB101:AB105">
    <cfRule type="containsBlanks" dxfId="904" priority="690" stopIfTrue="1">
      <formula>LEN(TRIM(AB101))=0</formula>
    </cfRule>
  </conditionalFormatting>
  <conditionalFormatting sqref="AB101:AB105">
    <cfRule type="expression" dxfId="903" priority="691" stopIfTrue="1">
      <formula>SUM($AB$101:$AB$105)&lt;&gt;1</formula>
    </cfRule>
  </conditionalFormatting>
  <conditionalFormatting sqref="AB101:AB105">
    <cfRule type="notContainsBlanks" dxfId="902" priority="692" stopIfTrue="1">
      <formula>LEN(TRIM(AB101))&gt;0</formula>
    </cfRule>
  </conditionalFormatting>
  <conditionalFormatting sqref="AC101:AC105">
    <cfRule type="containsBlanks" dxfId="901" priority="693" stopIfTrue="1">
      <formula>LEN(TRIM(AC101))=0</formula>
    </cfRule>
  </conditionalFormatting>
  <conditionalFormatting sqref="AC101:AC105">
    <cfRule type="expression" dxfId="900" priority="694" stopIfTrue="1">
      <formula>SUM($AC$101:$AC$105)&lt;&gt;1</formula>
    </cfRule>
  </conditionalFormatting>
  <conditionalFormatting sqref="AC101:AC105">
    <cfRule type="notContainsBlanks" dxfId="899" priority="695" stopIfTrue="1">
      <formula>LEN(TRIM(AC101))&gt;0</formula>
    </cfRule>
  </conditionalFormatting>
  <conditionalFormatting sqref="AD101:AD105">
    <cfRule type="containsBlanks" dxfId="898" priority="696" stopIfTrue="1">
      <formula>LEN(TRIM(AD101))=0</formula>
    </cfRule>
  </conditionalFormatting>
  <conditionalFormatting sqref="AD101:AD105">
    <cfRule type="expression" dxfId="897" priority="697" stopIfTrue="1">
      <formula>SUM($AD$101:$AD$105)&lt;&gt;1</formula>
    </cfRule>
  </conditionalFormatting>
  <conditionalFormatting sqref="AD101:AD105">
    <cfRule type="notContainsBlanks" dxfId="896" priority="698" stopIfTrue="1">
      <formula>LEN(TRIM(AD101))&gt;0</formula>
    </cfRule>
  </conditionalFormatting>
  <conditionalFormatting sqref="AE101:AE105">
    <cfRule type="containsBlanks" dxfId="895" priority="699" stopIfTrue="1">
      <formula>LEN(TRIM(AE101))=0</formula>
    </cfRule>
  </conditionalFormatting>
  <conditionalFormatting sqref="AE101:AE105">
    <cfRule type="expression" dxfId="894" priority="700" stopIfTrue="1">
      <formula>SUM($AE$101:$AE$105)&lt;&gt;1</formula>
    </cfRule>
  </conditionalFormatting>
  <conditionalFormatting sqref="AE101:AE105">
    <cfRule type="notContainsBlanks" dxfId="893" priority="701" stopIfTrue="1">
      <formula>LEN(TRIM(AE101))&gt;0</formula>
    </cfRule>
  </conditionalFormatting>
  <conditionalFormatting sqref="AF101:AF105">
    <cfRule type="containsBlanks" dxfId="892" priority="702" stopIfTrue="1">
      <formula>LEN(TRIM(AF101))=0</formula>
    </cfRule>
  </conditionalFormatting>
  <conditionalFormatting sqref="AF101:AF105">
    <cfRule type="expression" dxfId="891" priority="703" stopIfTrue="1">
      <formula>SUM($AF$101:$AF$105)&lt;&gt;1</formula>
    </cfRule>
  </conditionalFormatting>
  <conditionalFormatting sqref="AF101:AF105">
    <cfRule type="notContainsBlanks" dxfId="890" priority="704" stopIfTrue="1">
      <formula>LEN(TRIM(AF101))&gt;0</formula>
    </cfRule>
  </conditionalFormatting>
  <conditionalFormatting sqref="AG101:AG105">
    <cfRule type="containsBlanks" dxfId="889" priority="705" stopIfTrue="1">
      <formula>LEN(TRIM(AG101))=0</formula>
    </cfRule>
  </conditionalFormatting>
  <conditionalFormatting sqref="AG101:AG105">
    <cfRule type="expression" dxfId="888" priority="706" stopIfTrue="1">
      <formula>SUM($AG$101:$AG$105)&lt;&gt;1</formula>
    </cfRule>
  </conditionalFormatting>
  <conditionalFormatting sqref="AG101:AG105">
    <cfRule type="notContainsBlanks" dxfId="887" priority="707" stopIfTrue="1">
      <formula>LEN(TRIM(AG101))&gt;0</formula>
    </cfRule>
  </conditionalFormatting>
  <conditionalFormatting sqref="AH101:AH105">
    <cfRule type="containsBlanks" dxfId="886" priority="708" stopIfTrue="1">
      <formula>LEN(TRIM(AH101))=0</formula>
    </cfRule>
  </conditionalFormatting>
  <conditionalFormatting sqref="AH101:AH105">
    <cfRule type="expression" dxfId="885" priority="709" stopIfTrue="1">
      <formula>SUM($AH$101:$AH$105)&lt;&gt;1</formula>
    </cfRule>
  </conditionalFormatting>
  <conditionalFormatting sqref="AH101:AH105">
    <cfRule type="notContainsBlanks" dxfId="884" priority="710" stopIfTrue="1">
      <formula>LEN(TRIM(AH101))&gt;0</formula>
    </cfRule>
  </conditionalFormatting>
  <conditionalFormatting sqref="AI101:AI105">
    <cfRule type="containsBlanks" dxfId="883" priority="711" stopIfTrue="1">
      <formula>LEN(TRIM(AI101))=0</formula>
    </cfRule>
  </conditionalFormatting>
  <conditionalFormatting sqref="AI101:AI105">
    <cfRule type="expression" dxfId="882" priority="712" stopIfTrue="1">
      <formula>SUM($AI$101:$AI$105)&lt;&gt;1</formula>
    </cfRule>
  </conditionalFormatting>
  <conditionalFormatting sqref="AI101:AI105">
    <cfRule type="notContainsBlanks" dxfId="881" priority="713" stopIfTrue="1">
      <formula>LEN(TRIM(AI101))&gt;0</formula>
    </cfRule>
  </conditionalFormatting>
  <conditionalFormatting sqref="AJ101:AJ105">
    <cfRule type="containsBlanks" dxfId="880" priority="714" stopIfTrue="1">
      <formula>LEN(TRIM(AJ101))=0</formula>
    </cfRule>
  </conditionalFormatting>
  <conditionalFormatting sqref="AJ101:AJ105">
    <cfRule type="expression" dxfId="879" priority="715" stopIfTrue="1">
      <formula>SUM($AJ$101:$AJ$105)&lt;&gt;1</formula>
    </cfRule>
  </conditionalFormatting>
  <conditionalFormatting sqref="AJ101:AJ105">
    <cfRule type="notContainsBlanks" dxfId="878" priority="716" stopIfTrue="1">
      <formula>LEN(TRIM(AJ101))&gt;0</formula>
    </cfRule>
  </conditionalFormatting>
  <conditionalFormatting sqref="AK101:AK105">
    <cfRule type="containsBlanks" dxfId="877" priority="717" stopIfTrue="1">
      <formula>LEN(TRIM(AK101))=0</formula>
    </cfRule>
  </conditionalFormatting>
  <conditionalFormatting sqref="AK101:AK105">
    <cfRule type="expression" dxfId="876" priority="718" stopIfTrue="1">
      <formula>SUM($AK$101:$AK$105)&lt;&gt;1</formula>
    </cfRule>
  </conditionalFormatting>
  <conditionalFormatting sqref="AK101:AK105">
    <cfRule type="notContainsBlanks" dxfId="875" priority="719" stopIfTrue="1">
      <formula>LEN(TRIM(AK101))&gt;0</formula>
    </cfRule>
  </conditionalFormatting>
  <conditionalFormatting sqref="AL101:AL105">
    <cfRule type="containsBlanks" dxfId="874" priority="720" stopIfTrue="1">
      <formula>LEN(TRIM(AL101))=0</formula>
    </cfRule>
  </conditionalFormatting>
  <conditionalFormatting sqref="AL101:AL105">
    <cfRule type="expression" dxfId="873" priority="721" stopIfTrue="1">
      <formula>SUM($AL$101:$AL$105)&lt;&gt;1</formula>
    </cfRule>
  </conditionalFormatting>
  <conditionalFormatting sqref="AL101:AL105">
    <cfRule type="notContainsBlanks" dxfId="872" priority="722" stopIfTrue="1">
      <formula>LEN(TRIM(AL101))&gt;0</formula>
    </cfRule>
  </conditionalFormatting>
  <conditionalFormatting sqref="AM101:AM105">
    <cfRule type="containsBlanks" dxfId="871" priority="723" stopIfTrue="1">
      <formula>LEN(TRIM(AM101))=0</formula>
    </cfRule>
  </conditionalFormatting>
  <conditionalFormatting sqref="AM101:AM105">
    <cfRule type="expression" dxfId="870" priority="724" stopIfTrue="1">
      <formula>SUM($AM$101:$AM$105)&lt;&gt;1</formula>
    </cfRule>
  </conditionalFormatting>
  <conditionalFormatting sqref="AM101:AM105">
    <cfRule type="notContainsBlanks" dxfId="869" priority="725" stopIfTrue="1">
      <formula>LEN(TRIM(AM101))&gt;0</formula>
    </cfRule>
  </conditionalFormatting>
  <conditionalFormatting sqref="AN101:AN105">
    <cfRule type="containsBlanks" dxfId="868" priority="726" stopIfTrue="1">
      <formula>LEN(TRIM(AN101))=0</formula>
    </cfRule>
  </conditionalFormatting>
  <conditionalFormatting sqref="AN101:AN105">
    <cfRule type="expression" dxfId="867" priority="727" stopIfTrue="1">
      <formula>SUM($AN$101:$AN$105)&lt;&gt;1</formula>
    </cfRule>
  </conditionalFormatting>
  <conditionalFormatting sqref="AN101:AN105">
    <cfRule type="notContainsBlanks" dxfId="866" priority="728" stopIfTrue="1">
      <formula>LEN(TRIM(AN101))&gt;0</formula>
    </cfRule>
  </conditionalFormatting>
  <conditionalFormatting sqref="E93:AN93">
    <cfRule type="containsBlanks" dxfId="865" priority="729" stopIfTrue="1">
      <formula>LEN(TRIM(E93))=0</formula>
    </cfRule>
  </conditionalFormatting>
  <conditionalFormatting sqref="E93:AN93">
    <cfRule type="notContainsBlanks" dxfId="864" priority="730" stopIfTrue="1">
      <formula>LEN(TRIM(E93))&gt;0</formula>
    </cfRule>
  </conditionalFormatting>
  <conditionalFormatting sqref="E94:AN94">
    <cfRule type="containsBlanks" dxfId="863" priority="731" stopIfTrue="1">
      <formula>LEN(TRIM(E94))=0</formula>
    </cfRule>
  </conditionalFormatting>
  <conditionalFormatting sqref="E94:AN94">
    <cfRule type="notContainsBlanks" dxfId="862" priority="732" stopIfTrue="1">
      <formula>LEN(TRIM(E94))&gt;0</formula>
    </cfRule>
  </conditionalFormatting>
  <conditionalFormatting sqref="E95:AN95">
    <cfRule type="containsBlanks" dxfId="861" priority="733" stopIfTrue="1">
      <formula>LEN(TRIM(E95))=0</formula>
    </cfRule>
  </conditionalFormatting>
  <conditionalFormatting sqref="E95:AN95">
    <cfRule type="notContainsBlanks" dxfId="860" priority="734" stopIfTrue="1">
      <formula>LEN(TRIM(E95))&gt;0</formula>
    </cfRule>
  </conditionalFormatting>
  <conditionalFormatting sqref="E96:AN96">
    <cfRule type="containsBlanks" dxfId="859" priority="735" stopIfTrue="1">
      <formula>LEN(TRIM(E96))=0</formula>
    </cfRule>
  </conditionalFormatting>
  <conditionalFormatting sqref="E96:AN96">
    <cfRule type="notContainsBlanks" dxfId="858" priority="736" stopIfTrue="1">
      <formula>LEN(TRIM(E96))&gt;0</formula>
    </cfRule>
  </conditionalFormatting>
  <conditionalFormatting sqref="E97:AN97">
    <cfRule type="containsBlanks" dxfId="857" priority="737" stopIfTrue="1">
      <formula>LEN(TRIM(E97))=0</formula>
    </cfRule>
  </conditionalFormatting>
  <conditionalFormatting sqref="E97:AN97">
    <cfRule type="notContainsBlanks" dxfId="856" priority="738" stopIfTrue="1">
      <formula>LEN(TRIM(E97))&gt;0</formula>
    </cfRule>
  </conditionalFormatting>
  <conditionalFormatting sqref="E85:AN85">
    <cfRule type="containsBlanks" dxfId="855" priority="739" stopIfTrue="1">
      <formula>LEN(TRIM(E85))=0</formula>
    </cfRule>
  </conditionalFormatting>
  <conditionalFormatting sqref="E85:AN85">
    <cfRule type="notContainsBlanks" dxfId="854" priority="740" stopIfTrue="1">
      <formula>LEN(TRIM(E85))&gt;0</formula>
    </cfRule>
  </conditionalFormatting>
  <conditionalFormatting sqref="E86:AN86">
    <cfRule type="containsBlanks" dxfId="853" priority="741" stopIfTrue="1">
      <formula>LEN(TRIM(E86))=0</formula>
    </cfRule>
  </conditionalFormatting>
  <conditionalFormatting sqref="E86:AN86">
    <cfRule type="notContainsBlanks" dxfId="852" priority="742" stopIfTrue="1">
      <formula>LEN(TRIM(E86))&gt;0</formula>
    </cfRule>
  </conditionalFormatting>
  <conditionalFormatting sqref="E87:AN87">
    <cfRule type="containsBlanks" dxfId="851" priority="743" stopIfTrue="1">
      <formula>LEN(TRIM(E87))=0</formula>
    </cfRule>
  </conditionalFormatting>
  <conditionalFormatting sqref="E87:AN87">
    <cfRule type="notContainsBlanks" dxfId="850" priority="744" stopIfTrue="1">
      <formula>LEN(TRIM(E87))&gt;0</formula>
    </cfRule>
  </conditionalFormatting>
  <conditionalFormatting sqref="E88:AN88">
    <cfRule type="containsBlanks" dxfId="849" priority="745" stopIfTrue="1">
      <formula>LEN(TRIM(E88))=0</formula>
    </cfRule>
  </conditionalFormatting>
  <conditionalFormatting sqref="E88:AN88">
    <cfRule type="notContainsBlanks" dxfId="848" priority="746" stopIfTrue="1">
      <formula>LEN(TRIM(E88))&gt;0</formula>
    </cfRule>
  </conditionalFormatting>
  <conditionalFormatting sqref="E89:AN89">
    <cfRule type="containsBlanks" dxfId="847" priority="747" stopIfTrue="1">
      <formula>LEN(TRIM(E89))=0</formula>
    </cfRule>
  </conditionalFormatting>
  <conditionalFormatting sqref="E89:AN89">
    <cfRule type="notContainsBlanks" dxfId="846" priority="748" stopIfTrue="1">
      <formula>LEN(TRIM(E89))&gt;0</formula>
    </cfRule>
  </conditionalFormatting>
  <conditionalFormatting sqref="E90:AN90">
    <cfRule type="containsBlanks" dxfId="845" priority="749" stopIfTrue="1">
      <formula>LEN(TRIM(E90))=0</formula>
    </cfRule>
  </conditionalFormatting>
  <conditionalFormatting sqref="E90:AN90">
    <cfRule type="notContainsBlanks" dxfId="844" priority="750" stopIfTrue="1">
      <formula>LEN(TRIM(E90))&gt;0</formula>
    </cfRule>
  </conditionalFormatting>
  <conditionalFormatting sqref="E78:AN78">
    <cfRule type="containsBlanks" dxfId="843" priority="751" stopIfTrue="1">
      <formula>LEN(TRIM(E78))=0</formula>
    </cfRule>
  </conditionalFormatting>
  <conditionalFormatting sqref="E78:AN78">
    <cfRule type="notContainsBlanks" dxfId="842" priority="752" stopIfTrue="1">
      <formula>LEN(TRIM(E78))&gt;0</formula>
    </cfRule>
  </conditionalFormatting>
  <conditionalFormatting sqref="E79:AN79">
    <cfRule type="containsBlanks" dxfId="841" priority="753" stopIfTrue="1">
      <formula>LEN(TRIM(E79))=0</formula>
    </cfRule>
  </conditionalFormatting>
  <conditionalFormatting sqref="E79:AN79">
    <cfRule type="notContainsBlanks" dxfId="840" priority="754" stopIfTrue="1">
      <formula>LEN(TRIM(E79))&gt;0</formula>
    </cfRule>
  </conditionalFormatting>
  <conditionalFormatting sqref="E80:AN80">
    <cfRule type="containsBlanks" dxfId="839" priority="755" stopIfTrue="1">
      <formula>LEN(TRIM(E80))=0</formula>
    </cfRule>
  </conditionalFormatting>
  <conditionalFormatting sqref="E80:AN80">
    <cfRule type="notContainsBlanks" dxfId="838" priority="756" stopIfTrue="1">
      <formula>LEN(TRIM(E80))&gt;0</formula>
    </cfRule>
  </conditionalFormatting>
  <conditionalFormatting sqref="E81:AN81">
    <cfRule type="containsBlanks" dxfId="837" priority="757" stopIfTrue="1">
      <formula>LEN(TRIM(E81))=0</formula>
    </cfRule>
  </conditionalFormatting>
  <conditionalFormatting sqref="E81:AN81">
    <cfRule type="notContainsBlanks" dxfId="836" priority="758" stopIfTrue="1">
      <formula>LEN(TRIM(E81))&gt;0</formula>
    </cfRule>
  </conditionalFormatting>
  <conditionalFormatting sqref="E82:AN82">
    <cfRule type="containsBlanks" dxfId="835" priority="759" stopIfTrue="1">
      <formula>LEN(TRIM(E82))=0</formula>
    </cfRule>
  </conditionalFormatting>
  <conditionalFormatting sqref="E82:AN82">
    <cfRule type="notContainsBlanks" dxfId="834" priority="760" stopIfTrue="1">
      <formula>LEN(TRIM(E82))&gt;0</formula>
    </cfRule>
  </conditionalFormatting>
  <conditionalFormatting sqref="E70:AN70">
    <cfRule type="containsBlanks" dxfId="833" priority="761" stopIfTrue="1">
      <formula>LEN(TRIM(E70))=0</formula>
    </cfRule>
  </conditionalFormatting>
  <conditionalFormatting sqref="E70:AN70">
    <cfRule type="notContainsBlanks" dxfId="832" priority="762" stopIfTrue="1">
      <formula>LEN(TRIM(E70))&gt;0</formula>
    </cfRule>
  </conditionalFormatting>
  <conditionalFormatting sqref="E71:AN71">
    <cfRule type="containsBlanks" dxfId="831" priority="763" stopIfTrue="1">
      <formula>LEN(TRIM(E71))=0</formula>
    </cfRule>
  </conditionalFormatting>
  <conditionalFormatting sqref="E71:AN71">
    <cfRule type="notContainsBlanks" dxfId="830" priority="764" stopIfTrue="1">
      <formula>LEN(TRIM(E71))&gt;0</formula>
    </cfRule>
  </conditionalFormatting>
  <conditionalFormatting sqref="E72:AN72">
    <cfRule type="containsBlanks" dxfId="829" priority="765" stopIfTrue="1">
      <formula>LEN(TRIM(E72))=0</formula>
    </cfRule>
  </conditionalFormatting>
  <conditionalFormatting sqref="E72:AN72">
    <cfRule type="notContainsBlanks" dxfId="828" priority="766" stopIfTrue="1">
      <formula>LEN(TRIM(E72))&gt;0</formula>
    </cfRule>
  </conditionalFormatting>
  <conditionalFormatting sqref="E73:AN73">
    <cfRule type="containsBlanks" dxfId="827" priority="767" stopIfTrue="1">
      <formula>LEN(TRIM(E73))=0</formula>
    </cfRule>
  </conditionalFormatting>
  <conditionalFormatting sqref="E73:AN73">
    <cfRule type="notContainsBlanks" dxfId="826" priority="768" stopIfTrue="1">
      <formula>LEN(TRIM(E73))&gt;0</formula>
    </cfRule>
  </conditionalFormatting>
  <conditionalFormatting sqref="E74:AN74">
    <cfRule type="containsBlanks" dxfId="825" priority="769" stopIfTrue="1">
      <formula>LEN(TRIM(E74))=0</formula>
    </cfRule>
  </conditionalFormatting>
  <conditionalFormatting sqref="E74:AN74">
    <cfRule type="notContainsBlanks" dxfId="824" priority="770" stopIfTrue="1">
      <formula>LEN(TRIM(E74))&gt;0</formula>
    </cfRule>
  </conditionalFormatting>
  <conditionalFormatting sqref="E75:AN75">
    <cfRule type="containsBlanks" dxfId="823" priority="771" stopIfTrue="1">
      <formula>LEN(TRIM(E75))=0</formula>
    </cfRule>
  </conditionalFormatting>
  <conditionalFormatting sqref="E75:AN75">
    <cfRule type="notContainsBlanks" dxfId="822" priority="772" stopIfTrue="1">
      <formula>LEN(TRIM(E75))&gt;0</formula>
    </cfRule>
  </conditionalFormatting>
  <conditionalFormatting sqref="E64">
    <cfRule type="containsBlanks" dxfId="821" priority="773">
      <formula>LEN(TRIM(E64))=0</formula>
    </cfRule>
  </conditionalFormatting>
  <conditionalFormatting sqref="E64">
    <cfRule type="notContainsBlanks" dxfId="820" priority="774">
      <formula>LEN(TRIM(E64))&gt;0</formula>
    </cfRule>
  </conditionalFormatting>
  <conditionalFormatting sqref="E64">
    <cfRule type="expression" dxfId="819" priority="779">
      <formula>LEFT(effTrend,1)="L"</formula>
    </cfRule>
  </conditionalFormatting>
  <conditionalFormatting sqref="E64">
    <cfRule type="expression" dxfId="818" priority="780">
      <formula>LEFT(effTrend,1)="G"</formula>
    </cfRule>
  </conditionalFormatting>
  <conditionalFormatting sqref="E65:AN65">
    <cfRule type="containsBlanks" dxfId="817" priority="781" stopIfTrue="1">
      <formula>LEN(TRIM(E65))=0</formula>
    </cfRule>
  </conditionalFormatting>
  <conditionalFormatting sqref="E67:AN67">
    <cfRule type="containsBlanks" dxfId="816" priority="782" stopIfTrue="1">
      <formula>LEN(TRIM(E67))=0</formula>
    </cfRule>
  </conditionalFormatting>
  <conditionalFormatting sqref="F65">
    <cfRule type="expression" dxfId="815" priority="783" stopIfTrue="1">
      <formula>F$65&gt;maxEff</formula>
    </cfRule>
  </conditionalFormatting>
  <conditionalFormatting sqref="F67">
    <cfRule type="expression" dxfId="814" priority="784" stopIfTrue="1">
      <formula>OR(F$67&gt;maxEff,F$67&lt;F$65)</formula>
    </cfRule>
  </conditionalFormatting>
  <conditionalFormatting sqref="G65">
    <cfRule type="expression" dxfId="813" priority="785" stopIfTrue="1">
      <formula>G$65&gt;maxEff</formula>
    </cfRule>
  </conditionalFormatting>
  <conditionalFormatting sqref="G67">
    <cfRule type="expression" dxfId="812" priority="786" stopIfTrue="1">
      <formula>OR(G$67&gt;maxEff,G$67&lt;G$65)</formula>
    </cfRule>
  </conditionalFormatting>
  <conditionalFormatting sqref="H65">
    <cfRule type="expression" dxfId="811" priority="787" stopIfTrue="1">
      <formula>H$65&gt;maxEff</formula>
    </cfRule>
  </conditionalFormatting>
  <conditionalFormatting sqref="H67">
    <cfRule type="expression" dxfId="810" priority="788" stopIfTrue="1">
      <formula>OR(H$67&gt;maxEff,H$67&lt;H$65)</formula>
    </cfRule>
  </conditionalFormatting>
  <conditionalFormatting sqref="I65">
    <cfRule type="expression" dxfId="809" priority="789" stopIfTrue="1">
      <formula>I$65&gt;maxEff</formula>
    </cfRule>
  </conditionalFormatting>
  <conditionalFormatting sqref="I67">
    <cfRule type="expression" dxfId="808" priority="790" stopIfTrue="1">
      <formula>OR(I$67&gt;maxEff,I$67&lt;I$65)</formula>
    </cfRule>
  </conditionalFormatting>
  <conditionalFormatting sqref="J65">
    <cfRule type="expression" dxfId="807" priority="791" stopIfTrue="1">
      <formula>J$65&gt;maxEff</formula>
    </cfRule>
  </conditionalFormatting>
  <conditionalFormatting sqref="J67">
    <cfRule type="expression" dxfId="806" priority="792" stopIfTrue="1">
      <formula>OR(J$67&gt;maxEff,J$67&lt;J$65)</formula>
    </cfRule>
  </conditionalFormatting>
  <conditionalFormatting sqref="K65">
    <cfRule type="expression" dxfId="805" priority="793" stopIfTrue="1">
      <formula>K$65&gt;maxEff</formula>
    </cfRule>
  </conditionalFormatting>
  <conditionalFormatting sqref="K67">
    <cfRule type="expression" dxfId="804" priority="794" stopIfTrue="1">
      <formula>OR(K$67&gt;maxEff,K$67&lt;K$65)</formula>
    </cfRule>
  </conditionalFormatting>
  <conditionalFormatting sqref="L65">
    <cfRule type="expression" dxfId="803" priority="795" stopIfTrue="1">
      <formula>L$65&gt;maxEff</formula>
    </cfRule>
  </conditionalFormatting>
  <conditionalFormatting sqref="L67">
    <cfRule type="expression" dxfId="802" priority="796" stopIfTrue="1">
      <formula>OR(L$67&gt;maxEff,L$67&lt;L$65)</formula>
    </cfRule>
  </conditionalFormatting>
  <conditionalFormatting sqref="M65">
    <cfRule type="expression" dxfId="801" priority="797" stopIfTrue="1">
      <formula>M$65&gt;maxEff</formula>
    </cfRule>
  </conditionalFormatting>
  <conditionalFormatting sqref="M67">
    <cfRule type="expression" dxfId="800" priority="798" stopIfTrue="1">
      <formula>OR(M$67&gt;maxEff,M$67&lt;M$65)</formula>
    </cfRule>
  </conditionalFormatting>
  <conditionalFormatting sqref="N65">
    <cfRule type="expression" dxfId="799" priority="799" stopIfTrue="1">
      <formula>N$65&gt;maxEff</formula>
    </cfRule>
  </conditionalFormatting>
  <conditionalFormatting sqref="N67">
    <cfRule type="expression" dxfId="798" priority="800" stopIfTrue="1">
      <formula>OR(N$67&gt;maxEff,N$67&lt;N$65)</formula>
    </cfRule>
  </conditionalFormatting>
  <conditionalFormatting sqref="O65">
    <cfRule type="expression" dxfId="797" priority="801" stopIfTrue="1">
      <formula>O$65&gt;maxEff</formula>
    </cfRule>
  </conditionalFormatting>
  <conditionalFormatting sqref="O67">
    <cfRule type="expression" dxfId="796" priority="802" stopIfTrue="1">
      <formula>OR(O$67&gt;maxEff,O$67&lt;O$65)</formula>
    </cfRule>
  </conditionalFormatting>
  <conditionalFormatting sqref="P65">
    <cfRule type="expression" dxfId="795" priority="803" stopIfTrue="1">
      <formula>P$65&gt;maxEff</formula>
    </cfRule>
  </conditionalFormatting>
  <conditionalFormatting sqref="P67">
    <cfRule type="expression" dxfId="794" priority="804" stopIfTrue="1">
      <formula>OR(P$67&gt;maxEff,P$67&lt;P$65)</formula>
    </cfRule>
  </conditionalFormatting>
  <conditionalFormatting sqref="Q65">
    <cfRule type="expression" dxfId="793" priority="805" stopIfTrue="1">
      <formula>Q$65&gt;maxEff</formula>
    </cfRule>
  </conditionalFormatting>
  <conditionalFormatting sqref="Q67">
    <cfRule type="expression" dxfId="792" priority="806" stopIfTrue="1">
      <formula>OR(Q$67&gt;maxEff,Q$67&lt;Q$65)</formula>
    </cfRule>
  </conditionalFormatting>
  <conditionalFormatting sqref="R65">
    <cfRule type="expression" dxfId="791" priority="807" stopIfTrue="1">
      <formula>R$65&gt;maxEff</formula>
    </cfRule>
  </conditionalFormatting>
  <conditionalFormatting sqref="R67">
    <cfRule type="expression" dxfId="790" priority="808" stopIfTrue="1">
      <formula>OR(R$67&gt;maxEff,R$67&lt;R$65)</formula>
    </cfRule>
  </conditionalFormatting>
  <conditionalFormatting sqref="S65">
    <cfRule type="expression" dxfId="789" priority="809" stopIfTrue="1">
      <formula>S$65&gt;maxEff</formula>
    </cfRule>
  </conditionalFormatting>
  <conditionalFormatting sqref="S67">
    <cfRule type="expression" dxfId="788" priority="810" stopIfTrue="1">
      <formula>OR(S$67&gt;maxEff,S$67&lt;S$65)</formula>
    </cfRule>
  </conditionalFormatting>
  <conditionalFormatting sqref="T65">
    <cfRule type="expression" dxfId="787" priority="811" stopIfTrue="1">
      <formula>T$65&gt;maxEff</formula>
    </cfRule>
  </conditionalFormatting>
  <conditionalFormatting sqref="T67">
    <cfRule type="expression" dxfId="786" priority="812" stopIfTrue="1">
      <formula>OR(T$67&gt;maxEff,T$67&lt;T$65)</formula>
    </cfRule>
  </conditionalFormatting>
  <conditionalFormatting sqref="U65">
    <cfRule type="expression" dxfId="785" priority="813" stopIfTrue="1">
      <formula>U$65&gt;maxEff</formula>
    </cfRule>
  </conditionalFormatting>
  <conditionalFormatting sqref="U67">
    <cfRule type="expression" dxfId="784" priority="814" stopIfTrue="1">
      <formula>OR(U$67&gt;maxEff,U$67&lt;U$65)</formula>
    </cfRule>
  </conditionalFormatting>
  <conditionalFormatting sqref="V65">
    <cfRule type="expression" dxfId="783" priority="815" stopIfTrue="1">
      <formula>V$65&gt;maxEff</formula>
    </cfRule>
  </conditionalFormatting>
  <conditionalFormatting sqref="V67">
    <cfRule type="expression" dxfId="782" priority="816" stopIfTrue="1">
      <formula>OR(V$67&gt;maxEff,V$67&lt;V$65)</formula>
    </cfRule>
  </conditionalFormatting>
  <conditionalFormatting sqref="W65">
    <cfRule type="expression" dxfId="781" priority="817" stopIfTrue="1">
      <formula>W$65&gt;maxEff</formula>
    </cfRule>
  </conditionalFormatting>
  <conditionalFormatting sqref="W67">
    <cfRule type="expression" dxfId="780" priority="818" stopIfTrue="1">
      <formula>OR(W$67&gt;maxEff,W$67&lt;W$65)</formula>
    </cfRule>
  </conditionalFormatting>
  <conditionalFormatting sqref="X65">
    <cfRule type="expression" dxfId="779" priority="819" stopIfTrue="1">
      <formula>X$65&gt;maxEff</formula>
    </cfRule>
  </conditionalFormatting>
  <conditionalFormatting sqref="X67">
    <cfRule type="expression" dxfId="778" priority="820" stopIfTrue="1">
      <formula>OR(X$67&gt;maxEff,X$67&lt;X$65)</formula>
    </cfRule>
  </conditionalFormatting>
  <conditionalFormatting sqref="Y65">
    <cfRule type="expression" dxfId="777" priority="821" stopIfTrue="1">
      <formula>Y$65&gt;maxEff</formula>
    </cfRule>
  </conditionalFormatting>
  <conditionalFormatting sqref="Y67">
    <cfRule type="expression" dxfId="776" priority="822" stopIfTrue="1">
      <formula>OR(Y$67&gt;maxEff,Y$67&lt;Y$65)</formula>
    </cfRule>
  </conditionalFormatting>
  <conditionalFormatting sqref="Z65">
    <cfRule type="expression" dxfId="775" priority="823" stopIfTrue="1">
      <formula>Z$65&gt;maxEff</formula>
    </cfRule>
  </conditionalFormatting>
  <conditionalFormatting sqref="Z67">
    <cfRule type="expression" dxfId="774" priority="824" stopIfTrue="1">
      <formula>OR(Z$67&gt;maxEff,Z$67&lt;Z$65)</formula>
    </cfRule>
  </conditionalFormatting>
  <conditionalFormatting sqref="AA65">
    <cfRule type="expression" dxfId="773" priority="825" stopIfTrue="1">
      <formula>AA$65&gt;maxEff</formula>
    </cfRule>
  </conditionalFormatting>
  <conditionalFormatting sqref="AA67">
    <cfRule type="expression" dxfId="772" priority="826" stopIfTrue="1">
      <formula>OR(AA$67&gt;maxEff,AA$67&lt;AA$65)</formula>
    </cfRule>
  </conditionalFormatting>
  <conditionalFormatting sqref="AB65">
    <cfRule type="expression" dxfId="771" priority="827" stopIfTrue="1">
      <formula>AB$65&gt;maxEff</formula>
    </cfRule>
  </conditionalFormatting>
  <conditionalFormatting sqref="AB67">
    <cfRule type="expression" dxfId="770" priority="828" stopIfTrue="1">
      <formula>OR(AB$67&gt;maxEff,AB$67&lt;AB$65)</formula>
    </cfRule>
  </conditionalFormatting>
  <conditionalFormatting sqref="AC65">
    <cfRule type="expression" dxfId="769" priority="829" stopIfTrue="1">
      <formula>AC$65&gt;maxEff</formula>
    </cfRule>
  </conditionalFormatting>
  <conditionalFormatting sqref="AC67">
    <cfRule type="expression" dxfId="768" priority="830" stopIfTrue="1">
      <formula>OR(AC$67&gt;maxEff,AC$67&lt;AC$65)</formula>
    </cfRule>
  </conditionalFormatting>
  <conditionalFormatting sqref="AD65">
    <cfRule type="expression" dxfId="767" priority="831" stopIfTrue="1">
      <formula>AD$65&gt;maxEff</formula>
    </cfRule>
  </conditionalFormatting>
  <conditionalFormatting sqref="AD67">
    <cfRule type="expression" dxfId="766" priority="832" stopIfTrue="1">
      <formula>OR(AD$67&gt;maxEff,AD$67&lt;AD$65)</formula>
    </cfRule>
  </conditionalFormatting>
  <conditionalFormatting sqref="AE65">
    <cfRule type="expression" dxfId="765" priority="833" stopIfTrue="1">
      <formula>AE$65&gt;maxEff</formula>
    </cfRule>
  </conditionalFormatting>
  <conditionalFormatting sqref="AE67">
    <cfRule type="expression" dxfId="764" priority="834" stopIfTrue="1">
      <formula>OR(AE$67&gt;maxEff,AE$67&lt;AE$65)</formula>
    </cfRule>
  </conditionalFormatting>
  <conditionalFormatting sqref="AF65">
    <cfRule type="expression" dxfId="763" priority="835" stopIfTrue="1">
      <formula>AF$65&gt;maxEff</formula>
    </cfRule>
  </conditionalFormatting>
  <conditionalFormatting sqref="AF67">
    <cfRule type="expression" dxfId="762" priority="836" stopIfTrue="1">
      <formula>OR(AF$67&gt;maxEff,AF$67&lt;AF$65)</formula>
    </cfRule>
  </conditionalFormatting>
  <conditionalFormatting sqref="AG65">
    <cfRule type="expression" dxfId="761" priority="837" stopIfTrue="1">
      <formula>AG$65&gt;maxEff</formula>
    </cfRule>
  </conditionalFormatting>
  <conditionalFormatting sqref="AG67">
    <cfRule type="expression" dxfId="760" priority="838" stopIfTrue="1">
      <formula>OR(AG$67&gt;maxEff,AG$67&lt;AG$65)</formula>
    </cfRule>
  </conditionalFormatting>
  <conditionalFormatting sqref="AH65">
    <cfRule type="expression" dxfId="759" priority="839" stopIfTrue="1">
      <formula>AH$65&gt;maxEff</formula>
    </cfRule>
  </conditionalFormatting>
  <conditionalFormatting sqref="AH67">
    <cfRule type="expression" dxfId="758" priority="840" stopIfTrue="1">
      <formula>OR(AH$67&gt;maxEff,AH$67&lt;AH$65)</formula>
    </cfRule>
  </conditionalFormatting>
  <conditionalFormatting sqref="AI65">
    <cfRule type="expression" dxfId="757" priority="841" stopIfTrue="1">
      <formula>AI$65&gt;maxEff</formula>
    </cfRule>
  </conditionalFormatting>
  <conditionalFormatting sqref="AI67">
    <cfRule type="expression" dxfId="756" priority="842" stopIfTrue="1">
      <formula>OR(AI$67&gt;maxEff,AI$67&lt;AI$65)</formula>
    </cfRule>
  </conditionalFormatting>
  <conditionalFormatting sqref="AJ65">
    <cfRule type="expression" dxfId="755" priority="843" stopIfTrue="1">
      <formula>AJ$65&gt;maxEff</formula>
    </cfRule>
  </conditionalFormatting>
  <conditionalFormatting sqref="AJ67">
    <cfRule type="expression" dxfId="754" priority="844" stopIfTrue="1">
      <formula>OR(AJ$67&gt;maxEff,AJ$67&lt;AJ$65)</formula>
    </cfRule>
  </conditionalFormatting>
  <conditionalFormatting sqref="AK65">
    <cfRule type="expression" dxfId="753" priority="845" stopIfTrue="1">
      <formula>AK$65&gt;maxEff</formula>
    </cfRule>
  </conditionalFormatting>
  <conditionalFormatting sqref="AK67">
    <cfRule type="expression" dxfId="752" priority="846" stopIfTrue="1">
      <formula>OR(AK$67&gt;maxEff,AK$67&lt;AK$65)</formula>
    </cfRule>
  </conditionalFormatting>
  <conditionalFormatting sqref="AL65">
    <cfRule type="expression" dxfId="751" priority="847" stopIfTrue="1">
      <formula>AL$65&gt;maxEff</formula>
    </cfRule>
  </conditionalFormatting>
  <conditionalFormatting sqref="AL67">
    <cfRule type="expression" dxfId="750" priority="848" stopIfTrue="1">
      <formula>OR(AL$67&gt;maxEff,AL$67&lt;AL$65)</formula>
    </cfRule>
  </conditionalFormatting>
  <conditionalFormatting sqref="AM65">
    <cfRule type="expression" dxfId="749" priority="849" stopIfTrue="1">
      <formula>AM$65&gt;maxEff</formula>
    </cfRule>
  </conditionalFormatting>
  <conditionalFormatting sqref="AM67">
    <cfRule type="expression" dxfId="748" priority="850" stopIfTrue="1">
      <formula>OR(AM$67&gt;maxEff,AM$67&lt;AM$65)</formula>
    </cfRule>
  </conditionalFormatting>
  <conditionalFormatting sqref="AN65">
    <cfRule type="expression" dxfId="747" priority="851" stopIfTrue="1">
      <formula>AN$65&gt;maxEff</formula>
    </cfRule>
  </conditionalFormatting>
  <conditionalFormatting sqref="AN67">
    <cfRule type="expression" dxfId="746" priority="852" stopIfTrue="1">
      <formula>OR(AN$67&gt;maxEff,AN$67&lt;AN$65)</formula>
    </cfRule>
  </conditionalFormatting>
  <conditionalFormatting sqref="E65:AN65">
    <cfRule type="notContainsBlanks" dxfId="745" priority="853" stopIfTrue="1">
      <formula>LEN(TRIM(E65))&gt;0</formula>
    </cfRule>
  </conditionalFormatting>
  <conditionalFormatting sqref="E67:AN67">
    <cfRule type="notContainsBlanks" dxfId="744" priority="854" stopIfTrue="1">
      <formula>LEN(TRIM(E67))&gt;0</formula>
    </cfRule>
  </conditionalFormatting>
  <conditionalFormatting sqref="E57:E61">
    <cfRule type="containsBlanks" dxfId="743" priority="855" stopIfTrue="1">
      <formula>LEN(TRIM(E57))=0</formula>
    </cfRule>
  </conditionalFormatting>
  <conditionalFormatting sqref="F57:F61">
    <cfRule type="notContainsBlanks" dxfId="742" priority="860" stopIfTrue="1">
      <formula>LEN(TRIM(F57))&gt;0</formula>
    </cfRule>
  </conditionalFormatting>
  <conditionalFormatting sqref="G57:G61">
    <cfRule type="containsBlanks" dxfId="741" priority="861" stopIfTrue="1">
      <formula>LEN(TRIM(G57))=0</formula>
    </cfRule>
  </conditionalFormatting>
  <conditionalFormatting sqref="E57:E61">
    <cfRule type="expression" dxfId="740" priority="856" stopIfTrue="1">
      <formula>SUM($E$57:$E$61)&lt;&gt;1</formula>
    </cfRule>
  </conditionalFormatting>
  <conditionalFormatting sqref="E57:E61">
    <cfRule type="notContainsBlanks" dxfId="739" priority="857" stopIfTrue="1">
      <formula>LEN(TRIM(E57))&gt;0</formula>
    </cfRule>
  </conditionalFormatting>
  <conditionalFormatting sqref="F57:F61">
    <cfRule type="containsBlanks" dxfId="738" priority="858" stopIfTrue="1">
      <formula>LEN(TRIM(F57))=0</formula>
    </cfRule>
  </conditionalFormatting>
  <conditionalFormatting sqref="F57:F61">
    <cfRule type="expression" dxfId="737" priority="859" stopIfTrue="1">
      <formula>SUM($F$57:$F$61)&lt;&gt;1</formula>
    </cfRule>
  </conditionalFormatting>
  <conditionalFormatting sqref="G57:G61">
    <cfRule type="expression" dxfId="736" priority="862" stopIfTrue="1">
      <formula>SUM($G$57:$G$61)&lt;&gt;1</formula>
    </cfRule>
  </conditionalFormatting>
  <conditionalFormatting sqref="G57:G61">
    <cfRule type="notContainsBlanks" dxfId="735" priority="863" stopIfTrue="1">
      <formula>LEN(TRIM(G57))&gt;0</formula>
    </cfRule>
  </conditionalFormatting>
  <conditionalFormatting sqref="H57:H61">
    <cfRule type="containsBlanks" dxfId="734" priority="864" stopIfTrue="1">
      <formula>LEN(TRIM(H57))=0</formula>
    </cfRule>
  </conditionalFormatting>
  <conditionalFormatting sqref="H57:H61">
    <cfRule type="expression" dxfId="733" priority="865" stopIfTrue="1">
      <formula>SUM($H$57:$H$61)&lt;&gt;1</formula>
    </cfRule>
  </conditionalFormatting>
  <conditionalFormatting sqref="H57:H61">
    <cfRule type="notContainsBlanks" dxfId="732" priority="866" stopIfTrue="1">
      <formula>LEN(TRIM(H57))&gt;0</formula>
    </cfRule>
  </conditionalFormatting>
  <conditionalFormatting sqref="I57:I61">
    <cfRule type="containsBlanks" dxfId="731" priority="867" stopIfTrue="1">
      <formula>LEN(TRIM(I57))=0</formula>
    </cfRule>
  </conditionalFormatting>
  <conditionalFormatting sqref="I57:I61">
    <cfRule type="expression" dxfId="730" priority="868" stopIfTrue="1">
      <formula>SUM($I$57:$I$61)&lt;&gt;1</formula>
    </cfRule>
  </conditionalFormatting>
  <conditionalFormatting sqref="I57:I61">
    <cfRule type="notContainsBlanks" dxfId="729" priority="869" stopIfTrue="1">
      <formula>LEN(TRIM(I57))&gt;0</formula>
    </cfRule>
  </conditionalFormatting>
  <conditionalFormatting sqref="J57:J61">
    <cfRule type="containsBlanks" dxfId="728" priority="870" stopIfTrue="1">
      <formula>LEN(TRIM(J57))=0</formula>
    </cfRule>
  </conditionalFormatting>
  <conditionalFormatting sqref="J57:J61">
    <cfRule type="expression" dxfId="727" priority="871" stopIfTrue="1">
      <formula>SUM($J$57:$J$61)&lt;&gt;1</formula>
    </cfRule>
  </conditionalFormatting>
  <conditionalFormatting sqref="J57:J61">
    <cfRule type="notContainsBlanks" dxfId="726" priority="872" stopIfTrue="1">
      <formula>LEN(TRIM(J57))&gt;0</formula>
    </cfRule>
  </conditionalFormatting>
  <conditionalFormatting sqref="K57:K61">
    <cfRule type="containsBlanks" dxfId="725" priority="873" stopIfTrue="1">
      <formula>LEN(TRIM(K57))=0</formula>
    </cfRule>
  </conditionalFormatting>
  <conditionalFormatting sqref="K57:K61">
    <cfRule type="expression" dxfId="724" priority="874" stopIfTrue="1">
      <formula>SUM($K$57:$K$61)&lt;&gt;1</formula>
    </cfRule>
  </conditionalFormatting>
  <conditionalFormatting sqref="K57:K61">
    <cfRule type="notContainsBlanks" dxfId="723" priority="875" stopIfTrue="1">
      <formula>LEN(TRIM(K57))&gt;0</formula>
    </cfRule>
  </conditionalFormatting>
  <conditionalFormatting sqref="L57:L61">
    <cfRule type="containsBlanks" dxfId="722" priority="876" stopIfTrue="1">
      <formula>LEN(TRIM(L57))=0</formula>
    </cfRule>
  </conditionalFormatting>
  <conditionalFormatting sqref="L57:L61">
    <cfRule type="expression" dxfId="721" priority="877" stopIfTrue="1">
      <formula>SUM($L$57:$L$61)&lt;&gt;1</formula>
    </cfRule>
  </conditionalFormatting>
  <conditionalFormatting sqref="L57:L61">
    <cfRule type="notContainsBlanks" dxfId="720" priority="878" stopIfTrue="1">
      <formula>LEN(TRIM(L57))&gt;0</formula>
    </cfRule>
  </conditionalFormatting>
  <conditionalFormatting sqref="M57:M61">
    <cfRule type="containsBlanks" dxfId="719" priority="879" stopIfTrue="1">
      <formula>LEN(TRIM(M57))=0</formula>
    </cfRule>
  </conditionalFormatting>
  <conditionalFormatting sqref="M57:M61">
    <cfRule type="expression" dxfId="718" priority="880" stopIfTrue="1">
      <formula>SUM($M$57:$M$61)&lt;&gt;1</formula>
    </cfRule>
  </conditionalFormatting>
  <conditionalFormatting sqref="M57:M61">
    <cfRule type="notContainsBlanks" dxfId="717" priority="881" stopIfTrue="1">
      <formula>LEN(TRIM(M57))&gt;0</formula>
    </cfRule>
  </conditionalFormatting>
  <conditionalFormatting sqref="N57:N61">
    <cfRule type="containsBlanks" dxfId="716" priority="882" stopIfTrue="1">
      <formula>LEN(TRIM(N57))=0</formula>
    </cfRule>
  </conditionalFormatting>
  <conditionalFormatting sqref="N57:N61">
    <cfRule type="expression" dxfId="715" priority="883" stopIfTrue="1">
      <formula>SUM($N$57:$N$61)&lt;&gt;1</formula>
    </cfRule>
  </conditionalFormatting>
  <conditionalFormatting sqref="N57:N61">
    <cfRule type="notContainsBlanks" dxfId="714" priority="884" stopIfTrue="1">
      <formula>LEN(TRIM(N57))&gt;0</formula>
    </cfRule>
  </conditionalFormatting>
  <conditionalFormatting sqref="O57:O61">
    <cfRule type="containsBlanks" dxfId="713" priority="885" stopIfTrue="1">
      <formula>LEN(TRIM(O57))=0</formula>
    </cfRule>
  </conditionalFormatting>
  <conditionalFormatting sqref="O57:O61">
    <cfRule type="expression" dxfId="712" priority="886" stopIfTrue="1">
      <formula>SUM($O$57:$O$61)&lt;&gt;1</formula>
    </cfRule>
  </conditionalFormatting>
  <conditionalFormatting sqref="O57:O61">
    <cfRule type="notContainsBlanks" dxfId="711" priority="887" stopIfTrue="1">
      <formula>LEN(TRIM(O57))&gt;0</formula>
    </cfRule>
  </conditionalFormatting>
  <conditionalFormatting sqref="P57:P61">
    <cfRule type="containsBlanks" dxfId="710" priority="888" stopIfTrue="1">
      <formula>LEN(TRIM(P57))=0</formula>
    </cfRule>
  </conditionalFormatting>
  <conditionalFormatting sqref="P57:P61">
    <cfRule type="expression" dxfId="709" priority="889" stopIfTrue="1">
      <formula>SUM($P$57:$P$61)&lt;&gt;1</formula>
    </cfRule>
  </conditionalFormatting>
  <conditionalFormatting sqref="P57:P61">
    <cfRule type="notContainsBlanks" dxfId="708" priority="890" stopIfTrue="1">
      <formula>LEN(TRIM(P57))&gt;0</formula>
    </cfRule>
  </conditionalFormatting>
  <conditionalFormatting sqref="Q57:Q61">
    <cfRule type="containsBlanks" dxfId="707" priority="891" stopIfTrue="1">
      <formula>LEN(TRIM(Q57))=0</formula>
    </cfRule>
  </conditionalFormatting>
  <conditionalFormatting sqref="Q57:Q61">
    <cfRule type="expression" dxfId="706" priority="892" stopIfTrue="1">
      <formula>SUM($Q$57:$Q$61)&lt;&gt;1</formula>
    </cfRule>
  </conditionalFormatting>
  <conditionalFormatting sqref="Q57:Q61">
    <cfRule type="notContainsBlanks" dxfId="705" priority="893" stopIfTrue="1">
      <formula>LEN(TRIM(Q57))&gt;0</formula>
    </cfRule>
  </conditionalFormatting>
  <conditionalFormatting sqref="R57:R61">
    <cfRule type="containsBlanks" dxfId="704" priority="894" stopIfTrue="1">
      <formula>LEN(TRIM(R57))=0</formula>
    </cfRule>
  </conditionalFormatting>
  <conditionalFormatting sqref="R57:R61">
    <cfRule type="expression" dxfId="703" priority="895" stopIfTrue="1">
      <formula>SUM($R$57:$R$61)&lt;&gt;1</formula>
    </cfRule>
  </conditionalFormatting>
  <conditionalFormatting sqref="R57:R61">
    <cfRule type="notContainsBlanks" dxfId="702" priority="896" stopIfTrue="1">
      <formula>LEN(TRIM(R57))&gt;0</formula>
    </cfRule>
  </conditionalFormatting>
  <conditionalFormatting sqref="S57:S61">
    <cfRule type="containsBlanks" dxfId="701" priority="897" stopIfTrue="1">
      <formula>LEN(TRIM(S57))=0</formula>
    </cfRule>
  </conditionalFormatting>
  <conditionalFormatting sqref="S57:S61">
    <cfRule type="expression" dxfId="700" priority="898" stopIfTrue="1">
      <formula>SUM($S$57:$S$61)&lt;&gt;1</formula>
    </cfRule>
  </conditionalFormatting>
  <conditionalFormatting sqref="S57:S61">
    <cfRule type="notContainsBlanks" dxfId="699" priority="899" stopIfTrue="1">
      <formula>LEN(TRIM(S57))&gt;0</formula>
    </cfRule>
  </conditionalFormatting>
  <conditionalFormatting sqref="T57:T61">
    <cfRule type="containsBlanks" dxfId="698" priority="900" stopIfTrue="1">
      <formula>LEN(TRIM(T57))=0</formula>
    </cfRule>
  </conditionalFormatting>
  <conditionalFormatting sqref="T57:T61">
    <cfRule type="expression" dxfId="697" priority="901" stopIfTrue="1">
      <formula>SUM($T$57:$T$61)&lt;&gt;1</formula>
    </cfRule>
  </conditionalFormatting>
  <conditionalFormatting sqref="T57:T61">
    <cfRule type="notContainsBlanks" dxfId="696" priority="902" stopIfTrue="1">
      <formula>LEN(TRIM(T57))&gt;0</formula>
    </cfRule>
  </conditionalFormatting>
  <conditionalFormatting sqref="U57:U61">
    <cfRule type="containsBlanks" dxfId="695" priority="903" stopIfTrue="1">
      <formula>LEN(TRIM(U57))=0</formula>
    </cfRule>
  </conditionalFormatting>
  <conditionalFormatting sqref="U57:U61">
    <cfRule type="expression" dxfId="694" priority="904" stopIfTrue="1">
      <formula>SUM($U$57:$U$61)&lt;&gt;1</formula>
    </cfRule>
  </conditionalFormatting>
  <conditionalFormatting sqref="U57:U61">
    <cfRule type="notContainsBlanks" dxfId="693" priority="905" stopIfTrue="1">
      <formula>LEN(TRIM(U57))&gt;0</formula>
    </cfRule>
  </conditionalFormatting>
  <conditionalFormatting sqref="V57:V61">
    <cfRule type="containsBlanks" dxfId="692" priority="906" stopIfTrue="1">
      <formula>LEN(TRIM(V57))=0</formula>
    </cfRule>
  </conditionalFormatting>
  <conditionalFormatting sqref="V57:V61">
    <cfRule type="expression" dxfId="691" priority="907" stopIfTrue="1">
      <formula>SUM($V$57:$V$61)&lt;&gt;1</formula>
    </cfRule>
  </conditionalFormatting>
  <conditionalFormatting sqref="V57:V61">
    <cfRule type="notContainsBlanks" dxfId="690" priority="908" stopIfTrue="1">
      <formula>LEN(TRIM(V57))&gt;0</formula>
    </cfRule>
  </conditionalFormatting>
  <conditionalFormatting sqref="W57:W61">
    <cfRule type="containsBlanks" dxfId="689" priority="909" stopIfTrue="1">
      <formula>LEN(TRIM(W57))=0</formula>
    </cfRule>
  </conditionalFormatting>
  <conditionalFormatting sqref="W57:W61">
    <cfRule type="expression" dxfId="688" priority="910" stopIfTrue="1">
      <formula>SUM($W$57:$W$61)&lt;&gt;1</formula>
    </cfRule>
  </conditionalFormatting>
  <conditionalFormatting sqref="W57:W61">
    <cfRule type="notContainsBlanks" dxfId="687" priority="911" stopIfTrue="1">
      <formula>LEN(TRIM(W57))&gt;0</formula>
    </cfRule>
  </conditionalFormatting>
  <conditionalFormatting sqref="X57:X61">
    <cfRule type="containsBlanks" dxfId="686" priority="912" stopIfTrue="1">
      <formula>LEN(TRIM(X57))=0</formula>
    </cfRule>
  </conditionalFormatting>
  <conditionalFormatting sqref="X57:X61">
    <cfRule type="expression" dxfId="685" priority="913" stopIfTrue="1">
      <formula>SUM($X$57:$X$61)&lt;&gt;1</formula>
    </cfRule>
  </conditionalFormatting>
  <conditionalFormatting sqref="X57:X61">
    <cfRule type="notContainsBlanks" dxfId="684" priority="914" stopIfTrue="1">
      <formula>LEN(TRIM(X57))&gt;0</formula>
    </cfRule>
  </conditionalFormatting>
  <conditionalFormatting sqref="Y57:Y61">
    <cfRule type="containsBlanks" dxfId="683" priority="915" stopIfTrue="1">
      <formula>LEN(TRIM(Y57))=0</formula>
    </cfRule>
  </conditionalFormatting>
  <conditionalFormatting sqref="Y57:Y61">
    <cfRule type="expression" dxfId="682" priority="916" stopIfTrue="1">
      <formula>SUM($Y$57:$Y$61)&lt;&gt;1</formula>
    </cfRule>
  </conditionalFormatting>
  <conditionalFormatting sqref="Y57:Y61">
    <cfRule type="notContainsBlanks" dxfId="681" priority="917" stopIfTrue="1">
      <formula>LEN(TRIM(Y57))&gt;0</formula>
    </cfRule>
  </conditionalFormatting>
  <conditionalFormatting sqref="Z57:Z61">
    <cfRule type="containsBlanks" dxfId="680" priority="918" stopIfTrue="1">
      <formula>LEN(TRIM(Z57))=0</formula>
    </cfRule>
  </conditionalFormatting>
  <conditionalFormatting sqref="Z57:Z61">
    <cfRule type="expression" dxfId="679" priority="919" stopIfTrue="1">
      <formula>SUM($Z$57:$Z$61)&lt;&gt;1</formula>
    </cfRule>
  </conditionalFormatting>
  <conditionalFormatting sqref="Z57:Z61">
    <cfRule type="notContainsBlanks" dxfId="678" priority="920" stopIfTrue="1">
      <formula>LEN(TRIM(Z57))&gt;0</formula>
    </cfRule>
  </conditionalFormatting>
  <conditionalFormatting sqref="AA57:AA61">
    <cfRule type="containsBlanks" dxfId="677" priority="921" stopIfTrue="1">
      <formula>LEN(TRIM(AA57))=0</formula>
    </cfRule>
  </conditionalFormatting>
  <conditionalFormatting sqref="AA57:AA61">
    <cfRule type="expression" dxfId="676" priority="922" stopIfTrue="1">
      <formula>SUM($AA$57:$AA$61)&lt;&gt;1</formula>
    </cfRule>
  </conditionalFormatting>
  <conditionalFormatting sqref="AA57:AA61">
    <cfRule type="notContainsBlanks" dxfId="675" priority="923" stopIfTrue="1">
      <formula>LEN(TRIM(AA57))&gt;0</formula>
    </cfRule>
  </conditionalFormatting>
  <conditionalFormatting sqref="AB57:AB61">
    <cfRule type="containsBlanks" dxfId="674" priority="924" stopIfTrue="1">
      <formula>LEN(TRIM(AB57))=0</formula>
    </cfRule>
  </conditionalFormatting>
  <conditionalFormatting sqref="AB57:AB61">
    <cfRule type="expression" dxfId="673" priority="925" stopIfTrue="1">
      <formula>SUM($AB$57:$AB$61)&lt;&gt;1</formula>
    </cfRule>
  </conditionalFormatting>
  <conditionalFormatting sqref="AB57:AB61">
    <cfRule type="notContainsBlanks" dxfId="672" priority="926" stopIfTrue="1">
      <formula>LEN(TRIM(AB57))&gt;0</formula>
    </cfRule>
  </conditionalFormatting>
  <conditionalFormatting sqref="AC57:AC61">
    <cfRule type="containsBlanks" dxfId="671" priority="927" stopIfTrue="1">
      <formula>LEN(TRIM(AC57))=0</formula>
    </cfRule>
  </conditionalFormatting>
  <conditionalFormatting sqref="AC57:AC61">
    <cfRule type="expression" dxfId="670" priority="928" stopIfTrue="1">
      <formula>SUM($AC$57:$AC$61)&lt;&gt;1</formula>
    </cfRule>
  </conditionalFormatting>
  <conditionalFormatting sqref="AC57:AC61">
    <cfRule type="notContainsBlanks" dxfId="669" priority="929" stopIfTrue="1">
      <formula>LEN(TRIM(AC57))&gt;0</formula>
    </cfRule>
  </conditionalFormatting>
  <conditionalFormatting sqref="AD57:AD61">
    <cfRule type="containsBlanks" dxfId="668" priority="930" stopIfTrue="1">
      <formula>LEN(TRIM(AD57))=0</formula>
    </cfRule>
  </conditionalFormatting>
  <conditionalFormatting sqref="AD57:AD61">
    <cfRule type="expression" dxfId="667" priority="931" stopIfTrue="1">
      <formula>SUM($AD$57:$AD$61)&lt;&gt;1</formula>
    </cfRule>
  </conditionalFormatting>
  <conditionalFormatting sqref="AD57:AD61">
    <cfRule type="notContainsBlanks" dxfId="666" priority="932" stopIfTrue="1">
      <formula>LEN(TRIM(AD57))&gt;0</formula>
    </cfRule>
  </conditionalFormatting>
  <conditionalFormatting sqref="AE57:AE61">
    <cfRule type="containsBlanks" dxfId="665" priority="933" stopIfTrue="1">
      <formula>LEN(TRIM(AE57))=0</formula>
    </cfRule>
  </conditionalFormatting>
  <conditionalFormatting sqref="AE57:AE61">
    <cfRule type="expression" dxfId="664" priority="934" stopIfTrue="1">
      <formula>SUM($AE$57:$AE$61)&lt;&gt;1</formula>
    </cfRule>
  </conditionalFormatting>
  <conditionalFormatting sqref="AE57:AE61">
    <cfRule type="notContainsBlanks" dxfId="663" priority="935" stopIfTrue="1">
      <formula>LEN(TRIM(AE57))&gt;0</formula>
    </cfRule>
  </conditionalFormatting>
  <conditionalFormatting sqref="AF57:AF61">
    <cfRule type="containsBlanks" dxfId="662" priority="936" stopIfTrue="1">
      <formula>LEN(TRIM(AF57))=0</formula>
    </cfRule>
  </conditionalFormatting>
  <conditionalFormatting sqref="AF57:AF61">
    <cfRule type="expression" dxfId="661" priority="937" stopIfTrue="1">
      <formula>SUM($AF$57:$AF$61)&lt;&gt;1</formula>
    </cfRule>
  </conditionalFormatting>
  <conditionalFormatting sqref="AF57:AF61">
    <cfRule type="notContainsBlanks" dxfId="660" priority="938" stopIfTrue="1">
      <formula>LEN(TRIM(AF57))&gt;0</formula>
    </cfRule>
  </conditionalFormatting>
  <conditionalFormatting sqref="AG57:AG61">
    <cfRule type="containsBlanks" dxfId="659" priority="939" stopIfTrue="1">
      <formula>LEN(TRIM(AG57))=0</formula>
    </cfRule>
  </conditionalFormatting>
  <conditionalFormatting sqref="AG57:AG61">
    <cfRule type="expression" dxfId="658" priority="940" stopIfTrue="1">
      <formula>SUM($AG$57:$AG$61)&lt;&gt;1</formula>
    </cfRule>
  </conditionalFormatting>
  <conditionalFormatting sqref="AG57:AG61">
    <cfRule type="notContainsBlanks" dxfId="657" priority="941" stopIfTrue="1">
      <formula>LEN(TRIM(AG57))&gt;0</formula>
    </cfRule>
  </conditionalFormatting>
  <conditionalFormatting sqref="AH57:AH61">
    <cfRule type="containsBlanks" dxfId="656" priority="942" stopIfTrue="1">
      <formula>LEN(TRIM(AH57))=0</formula>
    </cfRule>
  </conditionalFormatting>
  <conditionalFormatting sqref="AH57:AH61">
    <cfRule type="expression" dxfId="655" priority="943" stopIfTrue="1">
      <formula>SUM($AH$57:$AH$61)&lt;&gt;1</formula>
    </cfRule>
  </conditionalFormatting>
  <conditionalFormatting sqref="AH57:AH61">
    <cfRule type="notContainsBlanks" dxfId="654" priority="944" stopIfTrue="1">
      <formula>LEN(TRIM(AH57))&gt;0</formula>
    </cfRule>
  </conditionalFormatting>
  <conditionalFormatting sqref="AI57:AI61">
    <cfRule type="containsBlanks" dxfId="653" priority="945" stopIfTrue="1">
      <formula>LEN(TRIM(AI57))=0</formula>
    </cfRule>
  </conditionalFormatting>
  <conditionalFormatting sqref="AI57:AI61">
    <cfRule type="expression" dxfId="652" priority="946" stopIfTrue="1">
      <formula>SUM($AI$57:$AI$61)&lt;&gt;1</formula>
    </cfRule>
  </conditionalFormatting>
  <conditionalFormatting sqref="AI57:AI61">
    <cfRule type="notContainsBlanks" dxfId="651" priority="947" stopIfTrue="1">
      <formula>LEN(TRIM(AI57))&gt;0</formula>
    </cfRule>
  </conditionalFormatting>
  <conditionalFormatting sqref="AJ57:AJ61">
    <cfRule type="containsBlanks" dxfId="650" priority="948" stopIfTrue="1">
      <formula>LEN(TRIM(AJ57))=0</formula>
    </cfRule>
  </conditionalFormatting>
  <conditionalFormatting sqref="AJ57:AJ61">
    <cfRule type="expression" dxfId="649" priority="949" stopIfTrue="1">
      <formula>SUM($AJ$57:$AJ$61)&lt;&gt;1</formula>
    </cfRule>
  </conditionalFormatting>
  <conditionalFormatting sqref="AJ57:AJ61">
    <cfRule type="notContainsBlanks" dxfId="648" priority="950" stopIfTrue="1">
      <formula>LEN(TRIM(AJ57))&gt;0</formula>
    </cfRule>
  </conditionalFormatting>
  <conditionalFormatting sqref="AK57:AK61">
    <cfRule type="containsBlanks" dxfId="647" priority="951" stopIfTrue="1">
      <formula>LEN(TRIM(AK57))=0</formula>
    </cfRule>
  </conditionalFormatting>
  <conditionalFormatting sqref="AK57:AK61">
    <cfRule type="expression" dxfId="646" priority="952" stopIfTrue="1">
      <formula>SUM($AK$57:$AK$61)&lt;&gt;1</formula>
    </cfRule>
  </conditionalFormatting>
  <conditionalFormatting sqref="AK57:AK61">
    <cfRule type="notContainsBlanks" dxfId="645" priority="953" stopIfTrue="1">
      <formula>LEN(TRIM(AK57))&gt;0</formula>
    </cfRule>
  </conditionalFormatting>
  <conditionalFormatting sqref="AL57:AL61">
    <cfRule type="containsBlanks" dxfId="644" priority="954" stopIfTrue="1">
      <formula>LEN(TRIM(AL57))=0</formula>
    </cfRule>
  </conditionalFormatting>
  <conditionalFormatting sqref="AL57:AL61">
    <cfRule type="expression" dxfId="643" priority="955" stopIfTrue="1">
      <formula>SUM($AL$57:$AL$61)&lt;&gt;1</formula>
    </cfRule>
  </conditionalFormatting>
  <conditionalFormatting sqref="AL57:AL61">
    <cfRule type="notContainsBlanks" dxfId="642" priority="956" stopIfTrue="1">
      <formula>LEN(TRIM(AL57))&gt;0</formula>
    </cfRule>
  </conditionalFormatting>
  <conditionalFormatting sqref="AM57:AM61">
    <cfRule type="containsBlanks" dxfId="641" priority="957" stopIfTrue="1">
      <formula>LEN(TRIM(AM57))=0</formula>
    </cfRule>
  </conditionalFormatting>
  <conditionalFormatting sqref="AM57:AM61">
    <cfRule type="expression" dxfId="640" priority="958" stopIfTrue="1">
      <formula>SUM($AM$57:$AM$61)&lt;&gt;1</formula>
    </cfRule>
  </conditionalFormatting>
  <conditionalFormatting sqref="AM57:AM61">
    <cfRule type="notContainsBlanks" dxfId="639" priority="959" stopIfTrue="1">
      <formula>LEN(TRIM(AM57))&gt;0</formula>
    </cfRule>
  </conditionalFormatting>
  <conditionalFormatting sqref="AN57:AN61">
    <cfRule type="containsBlanks" dxfId="638" priority="960" stopIfTrue="1">
      <formula>LEN(TRIM(AN57))=0</formula>
    </cfRule>
  </conditionalFormatting>
  <conditionalFormatting sqref="AN57:AN61">
    <cfRule type="expression" dxfId="637" priority="961" stopIfTrue="1">
      <formula>SUM($AN$57:$AN$61)&lt;&gt;1</formula>
    </cfRule>
  </conditionalFormatting>
  <conditionalFormatting sqref="AN57:AN61">
    <cfRule type="notContainsBlanks" dxfId="636" priority="962" stopIfTrue="1">
      <formula>LEN(TRIM(AN57))&gt;0</formula>
    </cfRule>
  </conditionalFormatting>
  <conditionalFormatting sqref="E51:E55">
    <cfRule type="containsBlanks" dxfId="635" priority="973" stopIfTrue="1">
      <formula>LEN(TRIM(E51))=0</formula>
    </cfRule>
  </conditionalFormatting>
  <conditionalFormatting sqref="E51:E55">
    <cfRule type="expression" dxfId="634" priority="974" stopIfTrue="1">
      <formula>SUM($E$51:$E$55)&lt;&gt;1</formula>
    </cfRule>
  </conditionalFormatting>
  <conditionalFormatting sqref="E51:E55">
    <cfRule type="notContainsBlanks" dxfId="633" priority="975" stopIfTrue="1">
      <formula>LEN(TRIM(E51))&gt;0</formula>
    </cfRule>
  </conditionalFormatting>
  <conditionalFormatting sqref="F51:F55">
    <cfRule type="containsBlanks" dxfId="632" priority="976" stopIfTrue="1">
      <formula>LEN(TRIM(F51))=0</formula>
    </cfRule>
  </conditionalFormatting>
  <conditionalFormatting sqref="F51:F55">
    <cfRule type="expression" dxfId="631" priority="977" stopIfTrue="1">
      <formula>SUM($F$51:$F$55)&lt;&gt;1</formula>
    </cfRule>
  </conditionalFormatting>
  <conditionalFormatting sqref="F51:F55">
    <cfRule type="notContainsBlanks" dxfId="630" priority="978" stopIfTrue="1">
      <formula>LEN(TRIM(F51))&gt;0</formula>
    </cfRule>
  </conditionalFormatting>
  <conditionalFormatting sqref="G51:G55">
    <cfRule type="containsBlanks" dxfId="629" priority="979" stopIfTrue="1">
      <formula>LEN(TRIM(G51))=0</formula>
    </cfRule>
  </conditionalFormatting>
  <conditionalFormatting sqref="G51:G55">
    <cfRule type="expression" dxfId="628" priority="980" stopIfTrue="1">
      <formula>SUM($G$51:$G$55)&lt;&gt;1</formula>
    </cfRule>
  </conditionalFormatting>
  <conditionalFormatting sqref="G51:G55">
    <cfRule type="notContainsBlanks" dxfId="627" priority="981" stopIfTrue="1">
      <formula>LEN(TRIM(G51))&gt;0</formula>
    </cfRule>
  </conditionalFormatting>
  <conditionalFormatting sqref="H51:H55">
    <cfRule type="containsBlanks" dxfId="626" priority="982" stopIfTrue="1">
      <formula>LEN(TRIM(H51))=0</formula>
    </cfRule>
  </conditionalFormatting>
  <conditionalFormatting sqref="H51:H55">
    <cfRule type="expression" dxfId="625" priority="983" stopIfTrue="1">
      <formula>SUM($H$51:$H$55)&lt;&gt;1</formula>
    </cfRule>
  </conditionalFormatting>
  <conditionalFormatting sqref="H51:H55">
    <cfRule type="notContainsBlanks" dxfId="624" priority="984" stopIfTrue="1">
      <formula>LEN(TRIM(H51))&gt;0</formula>
    </cfRule>
  </conditionalFormatting>
  <conditionalFormatting sqref="I51:I55">
    <cfRule type="containsBlanks" dxfId="623" priority="985" stopIfTrue="1">
      <formula>LEN(TRIM(I51))=0</formula>
    </cfRule>
  </conditionalFormatting>
  <conditionalFormatting sqref="I51:I55">
    <cfRule type="expression" dxfId="622" priority="986" stopIfTrue="1">
      <formula>SUM($I$51:$I$55)&lt;&gt;1</formula>
    </cfRule>
  </conditionalFormatting>
  <conditionalFormatting sqref="I51:I55">
    <cfRule type="notContainsBlanks" dxfId="621" priority="987" stopIfTrue="1">
      <formula>LEN(TRIM(I51))&gt;0</formula>
    </cfRule>
  </conditionalFormatting>
  <conditionalFormatting sqref="J51:J55">
    <cfRule type="containsBlanks" dxfId="620" priority="988" stopIfTrue="1">
      <formula>LEN(TRIM(J51))=0</formula>
    </cfRule>
  </conditionalFormatting>
  <conditionalFormatting sqref="J51:J55">
    <cfRule type="expression" dxfId="619" priority="989" stopIfTrue="1">
      <formula>SUM($J$51:$J$55)&lt;&gt;1</formula>
    </cfRule>
  </conditionalFormatting>
  <conditionalFormatting sqref="J51:J55">
    <cfRule type="notContainsBlanks" dxfId="618" priority="990" stopIfTrue="1">
      <formula>LEN(TRIM(J51))&gt;0</formula>
    </cfRule>
  </conditionalFormatting>
  <conditionalFormatting sqref="K51:K55">
    <cfRule type="containsBlanks" dxfId="617" priority="991" stopIfTrue="1">
      <formula>LEN(TRIM(K51))=0</formula>
    </cfRule>
  </conditionalFormatting>
  <conditionalFormatting sqref="K51:K55">
    <cfRule type="expression" dxfId="616" priority="992" stopIfTrue="1">
      <formula>SUM($K$51:$K$55)&lt;&gt;1</formula>
    </cfRule>
  </conditionalFormatting>
  <conditionalFormatting sqref="K51:K55">
    <cfRule type="notContainsBlanks" dxfId="615" priority="993" stopIfTrue="1">
      <formula>LEN(TRIM(K51))&gt;0</formula>
    </cfRule>
  </conditionalFormatting>
  <conditionalFormatting sqref="L51:L55">
    <cfRule type="containsBlanks" dxfId="614" priority="994" stopIfTrue="1">
      <formula>LEN(TRIM(L51))=0</formula>
    </cfRule>
  </conditionalFormatting>
  <conditionalFormatting sqref="L51:L55">
    <cfRule type="expression" dxfId="613" priority="995" stopIfTrue="1">
      <formula>SUM($L$51:$L$55)&lt;&gt;1</formula>
    </cfRule>
  </conditionalFormatting>
  <conditionalFormatting sqref="L51:L55">
    <cfRule type="notContainsBlanks" dxfId="612" priority="996" stopIfTrue="1">
      <formula>LEN(TRIM(L51))&gt;0</formula>
    </cfRule>
  </conditionalFormatting>
  <conditionalFormatting sqref="M51:M55">
    <cfRule type="containsBlanks" dxfId="611" priority="997" stopIfTrue="1">
      <formula>LEN(TRIM(M51))=0</formula>
    </cfRule>
  </conditionalFormatting>
  <conditionalFormatting sqref="M51:M55">
    <cfRule type="expression" dxfId="610" priority="998" stopIfTrue="1">
      <formula>SUM($M$51:$M$55)&lt;&gt;1</formula>
    </cfRule>
  </conditionalFormatting>
  <conditionalFormatting sqref="M51:M55">
    <cfRule type="notContainsBlanks" dxfId="609" priority="999" stopIfTrue="1">
      <formula>LEN(TRIM(M51))&gt;0</formula>
    </cfRule>
  </conditionalFormatting>
  <conditionalFormatting sqref="N51:N55">
    <cfRule type="containsBlanks" dxfId="608" priority="1000" stopIfTrue="1">
      <formula>LEN(TRIM(N51))=0</formula>
    </cfRule>
  </conditionalFormatting>
  <conditionalFormatting sqref="N51:N55">
    <cfRule type="expression" dxfId="607" priority="1001" stopIfTrue="1">
      <formula>SUM($N$51:$N$55)&lt;&gt;1</formula>
    </cfRule>
  </conditionalFormatting>
  <conditionalFormatting sqref="N51:N55">
    <cfRule type="notContainsBlanks" dxfId="606" priority="1002" stopIfTrue="1">
      <formula>LEN(TRIM(N51))&gt;0</formula>
    </cfRule>
  </conditionalFormatting>
  <conditionalFormatting sqref="O51:O55">
    <cfRule type="containsBlanks" dxfId="605" priority="1003" stopIfTrue="1">
      <formula>LEN(TRIM(O51))=0</formula>
    </cfRule>
  </conditionalFormatting>
  <conditionalFormatting sqref="O51:O55">
    <cfRule type="expression" dxfId="604" priority="1004" stopIfTrue="1">
      <formula>SUM($O$51:$O$55)&lt;&gt;1</formula>
    </cfRule>
  </conditionalFormatting>
  <conditionalFormatting sqref="O51:O55">
    <cfRule type="notContainsBlanks" dxfId="603" priority="1005" stopIfTrue="1">
      <formula>LEN(TRIM(O51))&gt;0</formula>
    </cfRule>
  </conditionalFormatting>
  <conditionalFormatting sqref="P51:P55">
    <cfRule type="containsBlanks" dxfId="602" priority="1006" stopIfTrue="1">
      <formula>LEN(TRIM(P51))=0</formula>
    </cfRule>
  </conditionalFormatting>
  <conditionalFormatting sqref="P51:P55">
    <cfRule type="expression" dxfId="601" priority="1007" stopIfTrue="1">
      <formula>SUM($P$51:$P$55)&lt;&gt;1</formula>
    </cfRule>
  </conditionalFormatting>
  <conditionalFormatting sqref="P51:P55">
    <cfRule type="notContainsBlanks" dxfId="600" priority="1008" stopIfTrue="1">
      <formula>LEN(TRIM(P51))&gt;0</formula>
    </cfRule>
  </conditionalFormatting>
  <conditionalFormatting sqref="Q51:Q55">
    <cfRule type="containsBlanks" dxfId="599" priority="1009" stopIfTrue="1">
      <formula>LEN(TRIM(Q51))=0</formula>
    </cfRule>
  </conditionalFormatting>
  <conditionalFormatting sqref="Q51:Q55">
    <cfRule type="expression" dxfId="598" priority="1010" stopIfTrue="1">
      <formula>SUM($Q$51:$Q$55)&lt;&gt;1</formula>
    </cfRule>
  </conditionalFormatting>
  <conditionalFormatting sqref="Q51:Q55">
    <cfRule type="notContainsBlanks" dxfId="597" priority="1011" stopIfTrue="1">
      <formula>LEN(TRIM(Q51))&gt;0</formula>
    </cfRule>
  </conditionalFormatting>
  <conditionalFormatting sqref="R51:R55">
    <cfRule type="containsBlanks" dxfId="596" priority="1012" stopIfTrue="1">
      <formula>LEN(TRIM(R51))=0</formula>
    </cfRule>
  </conditionalFormatting>
  <conditionalFormatting sqref="R51:R55">
    <cfRule type="expression" dxfId="595" priority="1013" stopIfTrue="1">
      <formula>SUM($R$51:$R$55)&lt;&gt;1</formula>
    </cfRule>
  </conditionalFormatting>
  <conditionalFormatting sqref="R51:R55">
    <cfRule type="notContainsBlanks" dxfId="594" priority="1014" stopIfTrue="1">
      <formula>LEN(TRIM(R51))&gt;0</formula>
    </cfRule>
  </conditionalFormatting>
  <conditionalFormatting sqref="S51:S55">
    <cfRule type="containsBlanks" dxfId="593" priority="1015" stopIfTrue="1">
      <formula>LEN(TRIM(S51))=0</formula>
    </cfRule>
  </conditionalFormatting>
  <conditionalFormatting sqref="S51:S55">
    <cfRule type="expression" dxfId="592" priority="1016" stopIfTrue="1">
      <formula>SUM($S$51:$S$55)&lt;&gt;1</formula>
    </cfRule>
  </conditionalFormatting>
  <conditionalFormatting sqref="S51:S55">
    <cfRule type="notContainsBlanks" dxfId="591" priority="1017" stopIfTrue="1">
      <formula>LEN(TRIM(S51))&gt;0</formula>
    </cfRule>
  </conditionalFormatting>
  <conditionalFormatting sqref="T51:T55">
    <cfRule type="containsBlanks" dxfId="590" priority="1018" stopIfTrue="1">
      <formula>LEN(TRIM(T51))=0</formula>
    </cfRule>
  </conditionalFormatting>
  <conditionalFormatting sqref="T51:T55">
    <cfRule type="expression" dxfId="589" priority="1019" stopIfTrue="1">
      <formula>SUM($T$51:$T$55)&lt;&gt;1</formula>
    </cfRule>
  </conditionalFormatting>
  <conditionalFormatting sqref="T51:T55">
    <cfRule type="notContainsBlanks" dxfId="588" priority="1020" stopIfTrue="1">
      <formula>LEN(TRIM(T51))&gt;0</formula>
    </cfRule>
  </conditionalFormatting>
  <conditionalFormatting sqref="U51:U55">
    <cfRule type="containsBlanks" dxfId="587" priority="1021" stopIfTrue="1">
      <formula>LEN(TRIM(U51))=0</formula>
    </cfRule>
  </conditionalFormatting>
  <conditionalFormatting sqref="U51:U55">
    <cfRule type="expression" dxfId="586" priority="1022" stopIfTrue="1">
      <formula>SUM($U$51:$U$55)&lt;&gt;1</formula>
    </cfRule>
  </conditionalFormatting>
  <conditionalFormatting sqref="U51:U55">
    <cfRule type="notContainsBlanks" dxfId="585" priority="1023" stopIfTrue="1">
      <formula>LEN(TRIM(U51))&gt;0</formula>
    </cfRule>
  </conditionalFormatting>
  <conditionalFormatting sqref="V51:V55">
    <cfRule type="containsBlanks" dxfId="584" priority="1024" stopIfTrue="1">
      <formula>LEN(TRIM(V51))=0</formula>
    </cfRule>
  </conditionalFormatting>
  <conditionalFormatting sqref="V51:V55">
    <cfRule type="expression" dxfId="583" priority="1025" stopIfTrue="1">
      <formula>SUM($V$51:$V$55)&lt;&gt;1</formula>
    </cfRule>
  </conditionalFormatting>
  <conditionalFormatting sqref="V51:V55">
    <cfRule type="notContainsBlanks" dxfId="582" priority="1026" stopIfTrue="1">
      <formula>LEN(TRIM(V51))&gt;0</formula>
    </cfRule>
  </conditionalFormatting>
  <conditionalFormatting sqref="W51:W55">
    <cfRule type="containsBlanks" dxfId="581" priority="1027" stopIfTrue="1">
      <formula>LEN(TRIM(W51))=0</formula>
    </cfRule>
  </conditionalFormatting>
  <conditionalFormatting sqref="W51:W55">
    <cfRule type="expression" dxfId="580" priority="1028" stopIfTrue="1">
      <formula>SUM($W$51:$W$55)&lt;&gt;1</formula>
    </cfRule>
  </conditionalFormatting>
  <conditionalFormatting sqref="W51:W55">
    <cfRule type="notContainsBlanks" dxfId="579" priority="1029" stopIfTrue="1">
      <formula>LEN(TRIM(W51))&gt;0</formula>
    </cfRule>
  </conditionalFormatting>
  <conditionalFormatting sqref="X51:X55">
    <cfRule type="containsBlanks" dxfId="578" priority="1030" stopIfTrue="1">
      <formula>LEN(TRIM(X51))=0</formula>
    </cfRule>
  </conditionalFormatting>
  <conditionalFormatting sqref="X51:X55">
    <cfRule type="expression" dxfId="577" priority="1031" stopIfTrue="1">
      <formula>SUM($X$51:$X$55)&lt;&gt;1</formula>
    </cfRule>
  </conditionalFormatting>
  <conditionalFormatting sqref="X51:X55">
    <cfRule type="notContainsBlanks" dxfId="576" priority="1032" stopIfTrue="1">
      <formula>LEN(TRIM(X51))&gt;0</formula>
    </cfRule>
  </conditionalFormatting>
  <conditionalFormatting sqref="Y51:Y55">
    <cfRule type="containsBlanks" dxfId="575" priority="1033" stopIfTrue="1">
      <formula>LEN(TRIM(Y51))=0</formula>
    </cfRule>
  </conditionalFormatting>
  <conditionalFormatting sqref="Y51:Y55">
    <cfRule type="expression" dxfId="574" priority="1034" stopIfTrue="1">
      <formula>SUM($Y$51:$Y$55)&lt;&gt;1</formula>
    </cfRule>
  </conditionalFormatting>
  <conditionalFormatting sqref="Y51:Y55">
    <cfRule type="notContainsBlanks" dxfId="573" priority="1035" stopIfTrue="1">
      <formula>LEN(TRIM(Y51))&gt;0</formula>
    </cfRule>
  </conditionalFormatting>
  <conditionalFormatting sqref="Z51:Z55">
    <cfRule type="containsBlanks" dxfId="572" priority="1036" stopIfTrue="1">
      <formula>LEN(TRIM(Z51))=0</formula>
    </cfRule>
  </conditionalFormatting>
  <conditionalFormatting sqref="Z51:Z55">
    <cfRule type="expression" dxfId="571" priority="1037" stopIfTrue="1">
      <formula>SUM($Z$51:$Z$55)&lt;&gt;1</formula>
    </cfRule>
  </conditionalFormatting>
  <conditionalFormatting sqref="Z51:Z55">
    <cfRule type="notContainsBlanks" dxfId="570" priority="1038" stopIfTrue="1">
      <formula>LEN(TRIM(Z51))&gt;0</formula>
    </cfRule>
  </conditionalFormatting>
  <conditionalFormatting sqref="AA51:AA55">
    <cfRule type="containsBlanks" dxfId="569" priority="1039" stopIfTrue="1">
      <formula>LEN(TRIM(AA51))=0</formula>
    </cfRule>
  </conditionalFormatting>
  <conditionalFormatting sqref="AA51:AA55">
    <cfRule type="expression" dxfId="568" priority="1040" stopIfTrue="1">
      <formula>SUM($AA$51:$AA$55)&lt;&gt;1</formula>
    </cfRule>
  </conditionalFormatting>
  <conditionalFormatting sqref="AA51:AA55">
    <cfRule type="notContainsBlanks" dxfId="567" priority="1041" stopIfTrue="1">
      <formula>LEN(TRIM(AA51))&gt;0</formula>
    </cfRule>
  </conditionalFormatting>
  <conditionalFormatting sqref="AB51:AB55">
    <cfRule type="containsBlanks" dxfId="566" priority="1042" stopIfTrue="1">
      <formula>LEN(TRIM(AB51))=0</formula>
    </cfRule>
  </conditionalFormatting>
  <conditionalFormatting sqref="AB51:AB55">
    <cfRule type="expression" dxfId="565" priority="1043" stopIfTrue="1">
      <formula>SUM($AB$51:$AB$55)&lt;&gt;1</formula>
    </cfRule>
  </conditionalFormatting>
  <conditionalFormatting sqref="AB51:AB55">
    <cfRule type="notContainsBlanks" dxfId="564" priority="1044" stopIfTrue="1">
      <formula>LEN(TRIM(AB51))&gt;0</formula>
    </cfRule>
  </conditionalFormatting>
  <conditionalFormatting sqref="AC51:AC55">
    <cfRule type="containsBlanks" dxfId="563" priority="1045" stopIfTrue="1">
      <formula>LEN(TRIM(AC51))=0</formula>
    </cfRule>
  </conditionalFormatting>
  <conditionalFormatting sqref="AC51:AC55">
    <cfRule type="expression" dxfId="562" priority="1046" stopIfTrue="1">
      <formula>SUM($AC$51:$AC$55)&lt;&gt;1</formula>
    </cfRule>
  </conditionalFormatting>
  <conditionalFormatting sqref="AC51:AC55">
    <cfRule type="notContainsBlanks" dxfId="561" priority="1047" stopIfTrue="1">
      <formula>LEN(TRIM(AC51))&gt;0</formula>
    </cfRule>
  </conditionalFormatting>
  <conditionalFormatting sqref="AD51:AD55">
    <cfRule type="containsBlanks" dxfId="560" priority="1048" stopIfTrue="1">
      <formula>LEN(TRIM(AD51))=0</formula>
    </cfRule>
  </conditionalFormatting>
  <conditionalFormatting sqref="AD51:AD55">
    <cfRule type="expression" dxfId="559" priority="1049" stopIfTrue="1">
      <formula>SUM($AD$51:$AD$55)&lt;&gt;1</formula>
    </cfRule>
  </conditionalFormatting>
  <conditionalFormatting sqref="AD51:AD55">
    <cfRule type="notContainsBlanks" dxfId="558" priority="1050" stopIfTrue="1">
      <formula>LEN(TRIM(AD51))&gt;0</formula>
    </cfRule>
  </conditionalFormatting>
  <conditionalFormatting sqref="AE51:AE55">
    <cfRule type="containsBlanks" dxfId="557" priority="1051" stopIfTrue="1">
      <formula>LEN(TRIM(AE51))=0</formula>
    </cfRule>
  </conditionalFormatting>
  <conditionalFormatting sqref="AE51:AE55">
    <cfRule type="expression" dxfId="556" priority="1052" stopIfTrue="1">
      <formula>SUM($AE$51:$AE$55)&lt;&gt;1</formula>
    </cfRule>
  </conditionalFormatting>
  <conditionalFormatting sqref="AE51:AE55">
    <cfRule type="notContainsBlanks" dxfId="555" priority="1053" stopIfTrue="1">
      <formula>LEN(TRIM(AE51))&gt;0</formula>
    </cfRule>
  </conditionalFormatting>
  <conditionalFormatting sqref="AF51:AF55">
    <cfRule type="containsBlanks" dxfId="554" priority="1054" stopIfTrue="1">
      <formula>LEN(TRIM(AF51))=0</formula>
    </cfRule>
  </conditionalFormatting>
  <conditionalFormatting sqref="AF51:AF55">
    <cfRule type="expression" dxfId="553" priority="1055" stopIfTrue="1">
      <formula>SUM($AF$51:$AF$55)&lt;&gt;1</formula>
    </cfRule>
  </conditionalFormatting>
  <conditionalFormatting sqref="AF51:AF55">
    <cfRule type="notContainsBlanks" dxfId="552" priority="1056" stopIfTrue="1">
      <formula>LEN(TRIM(AF51))&gt;0</formula>
    </cfRule>
  </conditionalFormatting>
  <conditionalFormatting sqref="AG51:AG55">
    <cfRule type="containsBlanks" dxfId="551" priority="1057" stopIfTrue="1">
      <formula>LEN(TRIM(AG51))=0</formula>
    </cfRule>
  </conditionalFormatting>
  <conditionalFormatting sqref="AG51:AG55">
    <cfRule type="expression" dxfId="550" priority="1058" stopIfTrue="1">
      <formula>SUM($AG$51:$AG$55)&lt;&gt;1</formula>
    </cfRule>
  </conditionalFormatting>
  <conditionalFormatting sqref="AG51:AG55">
    <cfRule type="notContainsBlanks" dxfId="549" priority="1059" stopIfTrue="1">
      <formula>LEN(TRIM(AG51))&gt;0</formula>
    </cfRule>
  </conditionalFormatting>
  <conditionalFormatting sqref="AH51:AH55">
    <cfRule type="containsBlanks" dxfId="548" priority="1060" stopIfTrue="1">
      <formula>LEN(TRIM(AH51))=0</formula>
    </cfRule>
  </conditionalFormatting>
  <conditionalFormatting sqref="AH51:AH55">
    <cfRule type="expression" dxfId="547" priority="1061" stopIfTrue="1">
      <formula>SUM($AH$51:$AH$55)&lt;&gt;1</formula>
    </cfRule>
  </conditionalFormatting>
  <conditionalFormatting sqref="AH51:AH55">
    <cfRule type="notContainsBlanks" dxfId="546" priority="1062" stopIfTrue="1">
      <formula>LEN(TRIM(AH51))&gt;0</formula>
    </cfRule>
  </conditionalFormatting>
  <conditionalFormatting sqref="AI51:AI55">
    <cfRule type="containsBlanks" dxfId="545" priority="1063" stopIfTrue="1">
      <formula>LEN(TRIM(AI51))=0</formula>
    </cfRule>
  </conditionalFormatting>
  <conditionalFormatting sqref="AI51:AI55">
    <cfRule type="expression" dxfId="544" priority="1064" stopIfTrue="1">
      <formula>SUM($AI$51:$AI$55)&lt;&gt;1</formula>
    </cfRule>
  </conditionalFormatting>
  <conditionalFormatting sqref="AI51:AI55">
    <cfRule type="notContainsBlanks" dxfId="543" priority="1065" stopIfTrue="1">
      <formula>LEN(TRIM(AI51))&gt;0</formula>
    </cfRule>
  </conditionalFormatting>
  <conditionalFormatting sqref="AJ51:AJ55">
    <cfRule type="containsBlanks" dxfId="542" priority="1066" stopIfTrue="1">
      <formula>LEN(TRIM(AJ51))=0</formula>
    </cfRule>
  </conditionalFormatting>
  <conditionalFormatting sqref="AJ51:AJ55">
    <cfRule type="expression" dxfId="541" priority="1067" stopIfTrue="1">
      <formula>SUM($AJ$51:$AJ$55)&lt;&gt;1</formula>
    </cfRule>
  </conditionalFormatting>
  <conditionalFormatting sqref="AJ51:AJ55">
    <cfRule type="notContainsBlanks" dxfId="540" priority="1068" stopIfTrue="1">
      <formula>LEN(TRIM(AJ51))&gt;0</formula>
    </cfRule>
  </conditionalFormatting>
  <conditionalFormatting sqref="AK51:AK55">
    <cfRule type="containsBlanks" dxfId="539" priority="1069" stopIfTrue="1">
      <formula>LEN(TRIM(AK51))=0</formula>
    </cfRule>
  </conditionalFormatting>
  <conditionalFormatting sqref="AK51:AK55">
    <cfRule type="expression" dxfId="538" priority="1070" stopIfTrue="1">
      <formula>SUM($AK$51:$AK$55)&lt;&gt;1</formula>
    </cfRule>
  </conditionalFormatting>
  <conditionalFormatting sqref="AK51:AK55">
    <cfRule type="notContainsBlanks" dxfId="537" priority="1071" stopIfTrue="1">
      <formula>LEN(TRIM(AK51))&gt;0</formula>
    </cfRule>
  </conditionalFormatting>
  <conditionalFormatting sqref="AL51:AL55">
    <cfRule type="containsBlanks" dxfId="536" priority="1072" stopIfTrue="1">
      <formula>LEN(TRIM(AL51))=0</formula>
    </cfRule>
  </conditionalFormatting>
  <conditionalFormatting sqref="AL51:AL55">
    <cfRule type="expression" dxfId="535" priority="1073" stopIfTrue="1">
      <formula>SUM($AL$51:$AL$55)&lt;&gt;1</formula>
    </cfRule>
  </conditionalFormatting>
  <conditionalFormatting sqref="AL51:AL55">
    <cfRule type="notContainsBlanks" dxfId="534" priority="1074" stopIfTrue="1">
      <formula>LEN(TRIM(AL51))&gt;0</formula>
    </cfRule>
  </conditionalFormatting>
  <conditionalFormatting sqref="AM51:AM55">
    <cfRule type="containsBlanks" dxfId="533" priority="1075" stopIfTrue="1">
      <formula>LEN(TRIM(AM51))=0</formula>
    </cfRule>
  </conditionalFormatting>
  <conditionalFormatting sqref="AM51:AM55">
    <cfRule type="expression" dxfId="532" priority="1076" stopIfTrue="1">
      <formula>SUM($AM$51:$AM$55)&lt;&gt;1</formula>
    </cfRule>
  </conditionalFormatting>
  <conditionalFormatting sqref="AM51:AM55">
    <cfRule type="notContainsBlanks" dxfId="531" priority="1077" stopIfTrue="1">
      <formula>LEN(TRIM(AM51))&gt;0</formula>
    </cfRule>
  </conditionalFormatting>
  <conditionalFormatting sqref="AN51:AN55">
    <cfRule type="containsBlanks" dxfId="530" priority="1078" stopIfTrue="1">
      <formula>LEN(TRIM(AN51))=0</formula>
    </cfRule>
  </conditionalFormatting>
  <conditionalFormatting sqref="AN51:AN55">
    <cfRule type="expression" dxfId="529" priority="1079" stopIfTrue="1">
      <formula>SUM($AN$51:$AN$55)&lt;&gt;1</formula>
    </cfRule>
  </conditionalFormatting>
  <conditionalFormatting sqref="AN51:AN55">
    <cfRule type="notContainsBlanks" dxfId="528" priority="1080" stopIfTrue="1">
      <formula>LEN(TRIM(AN51))&gt;0</formula>
    </cfRule>
  </conditionalFormatting>
  <conditionalFormatting sqref="E45:E49">
    <cfRule type="containsBlanks" dxfId="527" priority="1091" stopIfTrue="1">
      <formula>LEN(TRIM(E45))=0</formula>
    </cfRule>
  </conditionalFormatting>
  <conditionalFormatting sqref="E45:E49">
    <cfRule type="expression" dxfId="526" priority="1092" stopIfTrue="1">
      <formula>SUM($E$45:$E$49)&lt;&gt;1</formula>
    </cfRule>
  </conditionalFormatting>
  <conditionalFormatting sqref="E45:E49">
    <cfRule type="notContainsBlanks" dxfId="525" priority="1093" stopIfTrue="1">
      <formula>LEN(TRIM(E45))&gt;0</formula>
    </cfRule>
  </conditionalFormatting>
  <conditionalFormatting sqref="F45:F49">
    <cfRule type="containsBlanks" dxfId="524" priority="1094" stopIfTrue="1">
      <formula>LEN(TRIM(F45))=0</formula>
    </cfRule>
  </conditionalFormatting>
  <conditionalFormatting sqref="F45:F49">
    <cfRule type="expression" dxfId="523" priority="1095" stopIfTrue="1">
      <formula>SUM($F$45:$F$49)&lt;&gt;1</formula>
    </cfRule>
  </conditionalFormatting>
  <conditionalFormatting sqref="F45:F49">
    <cfRule type="notContainsBlanks" dxfId="522" priority="1096" stopIfTrue="1">
      <formula>LEN(TRIM(F45))&gt;0</formula>
    </cfRule>
  </conditionalFormatting>
  <conditionalFormatting sqref="G45:G49">
    <cfRule type="containsBlanks" dxfId="521" priority="1097" stopIfTrue="1">
      <formula>LEN(TRIM(G45))=0</formula>
    </cfRule>
  </conditionalFormatting>
  <conditionalFormatting sqref="G45:G49">
    <cfRule type="expression" dxfId="520" priority="1098" stopIfTrue="1">
      <formula>SUM($G$45:$G$49)&lt;&gt;1</formula>
    </cfRule>
  </conditionalFormatting>
  <conditionalFormatting sqref="G45:G49">
    <cfRule type="notContainsBlanks" dxfId="519" priority="1099" stopIfTrue="1">
      <formula>LEN(TRIM(G45))&gt;0</formula>
    </cfRule>
  </conditionalFormatting>
  <conditionalFormatting sqref="H45:H49">
    <cfRule type="containsBlanks" dxfId="518" priority="1100" stopIfTrue="1">
      <formula>LEN(TRIM(H45))=0</formula>
    </cfRule>
  </conditionalFormatting>
  <conditionalFormatting sqref="H45:H49">
    <cfRule type="expression" dxfId="517" priority="1101" stopIfTrue="1">
      <formula>SUM($H$45:$H$49)&lt;&gt;1</formula>
    </cfRule>
  </conditionalFormatting>
  <conditionalFormatting sqref="H45:H49">
    <cfRule type="notContainsBlanks" dxfId="516" priority="1102" stopIfTrue="1">
      <formula>LEN(TRIM(H45))&gt;0</formula>
    </cfRule>
  </conditionalFormatting>
  <conditionalFormatting sqref="I45:I49">
    <cfRule type="containsBlanks" dxfId="515" priority="1103" stopIfTrue="1">
      <formula>LEN(TRIM(I45))=0</formula>
    </cfRule>
  </conditionalFormatting>
  <conditionalFormatting sqref="I45:I49">
    <cfRule type="expression" dxfId="514" priority="1104" stopIfTrue="1">
      <formula>SUM($I$45:$I$49)&lt;&gt;1</formula>
    </cfRule>
  </conditionalFormatting>
  <conditionalFormatting sqref="I45:I49">
    <cfRule type="notContainsBlanks" dxfId="513" priority="1105" stopIfTrue="1">
      <formula>LEN(TRIM(I45))&gt;0</formula>
    </cfRule>
  </conditionalFormatting>
  <conditionalFormatting sqref="J45:J49">
    <cfRule type="containsBlanks" dxfId="512" priority="1106" stopIfTrue="1">
      <formula>LEN(TRIM(J45))=0</formula>
    </cfRule>
  </conditionalFormatting>
  <conditionalFormatting sqref="J45:J49">
    <cfRule type="expression" dxfId="511" priority="1107" stopIfTrue="1">
      <formula>SUM($J$45:$J$49)&lt;&gt;1</formula>
    </cfRule>
  </conditionalFormatting>
  <conditionalFormatting sqref="J45:J49">
    <cfRule type="notContainsBlanks" dxfId="510" priority="1108" stopIfTrue="1">
      <formula>LEN(TRIM(J45))&gt;0</formula>
    </cfRule>
  </conditionalFormatting>
  <conditionalFormatting sqref="K45:K49">
    <cfRule type="containsBlanks" dxfId="509" priority="1109" stopIfTrue="1">
      <formula>LEN(TRIM(K45))=0</formula>
    </cfRule>
  </conditionalFormatting>
  <conditionalFormatting sqref="K45:K49">
    <cfRule type="expression" dxfId="508" priority="1110" stopIfTrue="1">
      <formula>SUM($K$45:$K$49)&lt;&gt;1</formula>
    </cfRule>
  </conditionalFormatting>
  <conditionalFormatting sqref="K45:K49">
    <cfRule type="notContainsBlanks" dxfId="507" priority="1111" stopIfTrue="1">
      <formula>LEN(TRIM(K45))&gt;0</formula>
    </cfRule>
  </conditionalFormatting>
  <conditionalFormatting sqref="L45:L49">
    <cfRule type="containsBlanks" dxfId="506" priority="1112" stopIfTrue="1">
      <formula>LEN(TRIM(L45))=0</formula>
    </cfRule>
  </conditionalFormatting>
  <conditionalFormatting sqref="L45:L49">
    <cfRule type="expression" dxfId="505" priority="1113" stopIfTrue="1">
      <formula>SUM($L$45:$L$49)&lt;&gt;1</formula>
    </cfRule>
  </conditionalFormatting>
  <conditionalFormatting sqref="L45:L49">
    <cfRule type="notContainsBlanks" dxfId="504" priority="1114" stopIfTrue="1">
      <formula>LEN(TRIM(L45))&gt;0</formula>
    </cfRule>
  </conditionalFormatting>
  <conditionalFormatting sqref="M45:M49">
    <cfRule type="containsBlanks" dxfId="503" priority="1115" stopIfTrue="1">
      <formula>LEN(TRIM(M45))=0</formula>
    </cfRule>
  </conditionalFormatting>
  <conditionalFormatting sqref="M45:M49">
    <cfRule type="expression" dxfId="502" priority="1116" stopIfTrue="1">
      <formula>SUM($M$45:$M$49)&lt;&gt;1</formula>
    </cfRule>
  </conditionalFormatting>
  <conditionalFormatting sqref="M45:M49">
    <cfRule type="notContainsBlanks" dxfId="501" priority="1117" stopIfTrue="1">
      <formula>LEN(TRIM(M45))&gt;0</formula>
    </cfRule>
  </conditionalFormatting>
  <conditionalFormatting sqref="N45:N49">
    <cfRule type="containsBlanks" dxfId="500" priority="1118" stopIfTrue="1">
      <formula>LEN(TRIM(N45))=0</formula>
    </cfRule>
  </conditionalFormatting>
  <conditionalFormatting sqref="N45:N49">
    <cfRule type="expression" dxfId="499" priority="1119" stopIfTrue="1">
      <formula>SUM($N$45:$N$49)&lt;&gt;1</formula>
    </cfRule>
  </conditionalFormatting>
  <conditionalFormatting sqref="N45:N49">
    <cfRule type="notContainsBlanks" dxfId="498" priority="1120" stopIfTrue="1">
      <formula>LEN(TRIM(N45))&gt;0</formula>
    </cfRule>
  </conditionalFormatting>
  <conditionalFormatting sqref="O45:O49">
    <cfRule type="containsBlanks" dxfId="497" priority="1121" stopIfTrue="1">
      <formula>LEN(TRIM(O45))=0</formula>
    </cfRule>
  </conditionalFormatting>
  <conditionalFormatting sqref="O45:O49">
    <cfRule type="expression" dxfId="496" priority="1122" stopIfTrue="1">
      <formula>SUM($O$45:$O$49)&lt;&gt;1</formula>
    </cfRule>
  </conditionalFormatting>
  <conditionalFormatting sqref="O45:O49">
    <cfRule type="notContainsBlanks" dxfId="495" priority="1123" stopIfTrue="1">
      <formula>LEN(TRIM(O45))&gt;0</formula>
    </cfRule>
  </conditionalFormatting>
  <conditionalFormatting sqref="P45:P49">
    <cfRule type="containsBlanks" dxfId="494" priority="1124" stopIfTrue="1">
      <formula>LEN(TRIM(P45))=0</formula>
    </cfRule>
  </conditionalFormatting>
  <conditionalFormatting sqref="P45:P49">
    <cfRule type="expression" dxfId="493" priority="1125" stopIfTrue="1">
      <formula>SUM($P$45:$P$49)&lt;&gt;1</formula>
    </cfRule>
  </conditionalFormatting>
  <conditionalFormatting sqref="P45:P49">
    <cfRule type="notContainsBlanks" dxfId="492" priority="1126" stopIfTrue="1">
      <formula>LEN(TRIM(P45))&gt;0</formula>
    </cfRule>
  </conditionalFormatting>
  <conditionalFormatting sqref="Q45:Q49">
    <cfRule type="containsBlanks" dxfId="491" priority="1127" stopIfTrue="1">
      <formula>LEN(TRIM(Q45))=0</formula>
    </cfRule>
  </conditionalFormatting>
  <conditionalFormatting sqref="Q45:Q49">
    <cfRule type="expression" dxfId="490" priority="1128" stopIfTrue="1">
      <formula>SUM($Q$45:$Q$49)&lt;&gt;1</formula>
    </cfRule>
  </conditionalFormatting>
  <conditionalFormatting sqref="Q45:Q49">
    <cfRule type="notContainsBlanks" dxfId="489" priority="1129" stopIfTrue="1">
      <formula>LEN(TRIM(Q45))&gt;0</formula>
    </cfRule>
  </conditionalFormatting>
  <conditionalFormatting sqref="R45:R49">
    <cfRule type="containsBlanks" dxfId="488" priority="1130" stopIfTrue="1">
      <formula>LEN(TRIM(R45))=0</formula>
    </cfRule>
  </conditionalFormatting>
  <conditionalFormatting sqref="R45:R49">
    <cfRule type="expression" dxfId="487" priority="1131" stopIfTrue="1">
      <formula>SUM($R$45:$R$49)&lt;&gt;1</formula>
    </cfRule>
  </conditionalFormatting>
  <conditionalFormatting sqref="R45:R49">
    <cfRule type="notContainsBlanks" dxfId="486" priority="1132" stopIfTrue="1">
      <formula>LEN(TRIM(R45))&gt;0</formula>
    </cfRule>
  </conditionalFormatting>
  <conditionalFormatting sqref="S45:S49">
    <cfRule type="containsBlanks" dxfId="485" priority="1133" stopIfTrue="1">
      <formula>LEN(TRIM(S45))=0</formula>
    </cfRule>
  </conditionalFormatting>
  <conditionalFormatting sqref="S45:S49">
    <cfRule type="expression" dxfId="484" priority="1134" stopIfTrue="1">
      <formula>SUM($S$45:$S$49)&lt;&gt;1</formula>
    </cfRule>
  </conditionalFormatting>
  <conditionalFormatting sqref="S45:S49">
    <cfRule type="notContainsBlanks" dxfId="483" priority="1135" stopIfTrue="1">
      <formula>LEN(TRIM(S45))&gt;0</formula>
    </cfRule>
  </conditionalFormatting>
  <conditionalFormatting sqref="T45:T49">
    <cfRule type="containsBlanks" dxfId="482" priority="1136" stopIfTrue="1">
      <formula>LEN(TRIM(T45))=0</formula>
    </cfRule>
  </conditionalFormatting>
  <conditionalFormatting sqref="T45:T49">
    <cfRule type="expression" dxfId="481" priority="1137" stopIfTrue="1">
      <formula>SUM($T$45:$T$49)&lt;&gt;1</formula>
    </cfRule>
  </conditionalFormatting>
  <conditionalFormatting sqref="T45:T49">
    <cfRule type="notContainsBlanks" dxfId="480" priority="1138" stopIfTrue="1">
      <formula>LEN(TRIM(T45))&gt;0</formula>
    </cfRule>
  </conditionalFormatting>
  <conditionalFormatting sqref="U45:U49">
    <cfRule type="containsBlanks" dxfId="479" priority="1139" stopIfTrue="1">
      <formula>LEN(TRIM(U45))=0</formula>
    </cfRule>
  </conditionalFormatting>
  <conditionalFormatting sqref="U45:U49">
    <cfRule type="expression" dxfId="478" priority="1140" stopIfTrue="1">
      <formula>SUM($U$45:$U$49)&lt;&gt;1</formula>
    </cfRule>
  </conditionalFormatting>
  <conditionalFormatting sqref="U45:U49">
    <cfRule type="notContainsBlanks" dxfId="477" priority="1141" stopIfTrue="1">
      <formula>LEN(TRIM(U45))&gt;0</formula>
    </cfRule>
  </conditionalFormatting>
  <conditionalFormatting sqref="V45:V49">
    <cfRule type="containsBlanks" dxfId="476" priority="1142" stopIfTrue="1">
      <formula>LEN(TRIM(V45))=0</formula>
    </cfRule>
  </conditionalFormatting>
  <conditionalFormatting sqref="V45:V49">
    <cfRule type="expression" dxfId="475" priority="1143" stopIfTrue="1">
      <formula>SUM($V$45:$V$49)&lt;&gt;1</formula>
    </cfRule>
  </conditionalFormatting>
  <conditionalFormatting sqref="V45:V49">
    <cfRule type="notContainsBlanks" dxfId="474" priority="1144" stopIfTrue="1">
      <formula>LEN(TRIM(V45))&gt;0</formula>
    </cfRule>
  </conditionalFormatting>
  <conditionalFormatting sqref="W45:W49">
    <cfRule type="containsBlanks" dxfId="473" priority="1145" stopIfTrue="1">
      <formula>LEN(TRIM(W45))=0</formula>
    </cfRule>
  </conditionalFormatting>
  <conditionalFormatting sqref="W45:W49">
    <cfRule type="expression" dxfId="472" priority="1146" stopIfTrue="1">
      <formula>SUM($W$45:$W$49)&lt;&gt;1</formula>
    </cfRule>
  </conditionalFormatting>
  <conditionalFormatting sqref="W45:W49">
    <cfRule type="notContainsBlanks" dxfId="471" priority="1147" stopIfTrue="1">
      <formula>LEN(TRIM(W45))&gt;0</formula>
    </cfRule>
  </conditionalFormatting>
  <conditionalFormatting sqref="X45:X49">
    <cfRule type="containsBlanks" dxfId="470" priority="1148" stopIfTrue="1">
      <formula>LEN(TRIM(X45))=0</formula>
    </cfRule>
  </conditionalFormatting>
  <conditionalFormatting sqref="X45:X49">
    <cfRule type="expression" dxfId="469" priority="1149" stopIfTrue="1">
      <formula>SUM($X$45:$X$49)&lt;&gt;1</formula>
    </cfRule>
  </conditionalFormatting>
  <conditionalFormatting sqref="X45:X49">
    <cfRule type="notContainsBlanks" dxfId="468" priority="1150" stopIfTrue="1">
      <formula>LEN(TRIM(X45))&gt;0</formula>
    </cfRule>
  </conditionalFormatting>
  <conditionalFormatting sqref="Y45:Y49">
    <cfRule type="containsBlanks" dxfId="467" priority="1151" stopIfTrue="1">
      <formula>LEN(TRIM(Y45))=0</formula>
    </cfRule>
  </conditionalFormatting>
  <conditionalFormatting sqref="Y45:Y49">
    <cfRule type="expression" dxfId="466" priority="1152" stopIfTrue="1">
      <formula>SUM($Y$45:$Y$49)&lt;&gt;1</formula>
    </cfRule>
  </conditionalFormatting>
  <conditionalFormatting sqref="Y45:Y49">
    <cfRule type="notContainsBlanks" dxfId="465" priority="1153" stopIfTrue="1">
      <formula>LEN(TRIM(Y45))&gt;0</formula>
    </cfRule>
  </conditionalFormatting>
  <conditionalFormatting sqref="Z45:Z49">
    <cfRule type="containsBlanks" dxfId="464" priority="1154" stopIfTrue="1">
      <formula>LEN(TRIM(Z45))=0</formula>
    </cfRule>
  </conditionalFormatting>
  <conditionalFormatting sqref="Z45:Z49">
    <cfRule type="expression" dxfId="463" priority="1155" stopIfTrue="1">
      <formula>SUM($Z$45:$Z$49)&lt;&gt;1</formula>
    </cfRule>
  </conditionalFormatting>
  <conditionalFormatting sqref="Z45:Z49">
    <cfRule type="notContainsBlanks" dxfId="462" priority="1156" stopIfTrue="1">
      <formula>LEN(TRIM(Z45))&gt;0</formula>
    </cfRule>
  </conditionalFormatting>
  <conditionalFormatting sqref="AA45:AA49">
    <cfRule type="containsBlanks" dxfId="461" priority="1157" stopIfTrue="1">
      <formula>LEN(TRIM(AA45))=0</formula>
    </cfRule>
  </conditionalFormatting>
  <conditionalFormatting sqref="AA45:AA49">
    <cfRule type="expression" dxfId="460" priority="1158" stopIfTrue="1">
      <formula>SUM($AA$45:$AA$49)&lt;&gt;1</formula>
    </cfRule>
  </conditionalFormatting>
  <conditionalFormatting sqref="AA45:AA49">
    <cfRule type="notContainsBlanks" dxfId="459" priority="1159" stopIfTrue="1">
      <formula>LEN(TRIM(AA45))&gt;0</formula>
    </cfRule>
  </conditionalFormatting>
  <conditionalFormatting sqref="AB45:AB49">
    <cfRule type="containsBlanks" dxfId="458" priority="1160" stopIfTrue="1">
      <formula>LEN(TRIM(AB45))=0</formula>
    </cfRule>
  </conditionalFormatting>
  <conditionalFormatting sqref="AB45:AB49">
    <cfRule type="expression" dxfId="457" priority="1161" stopIfTrue="1">
      <formula>SUM($AB$45:$AB$49)&lt;&gt;1</formula>
    </cfRule>
  </conditionalFormatting>
  <conditionalFormatting sqref="AB45:AB49">
    <cfRule type="notContainsBlanks" dxfId="456" priority="1162" stopIfTrue="1">
      <formula>LEN(TRIM(AB45))&gt;0</formula>
    </cfRule>
  </conditionalFormatting>
  <conditionalFormatting sqref="AC45:AC49">
    <cfRule type="containsBlanks" dxfId="455" priority="1163" stopIfTrue="1">
      <formula>LEN(TRIM(AC45))=0</formula>
    </cfRule>
  </conditionalFormatting>
  <conditionalFormatting sqref="AC45:AC49">
    <cfRule type="expression" dxfId="454" priority="1164" stopIfTrue="1">
      <formula>SUM($AC$45:$AC$49)&lt;&gt;1</formula>
    </cfRule>
  </conditionalFormatting>
  <conditionalFormatting sqref="AC45:AC49">
    <cfRule type="notContainsBlanks" dxfId="453" priority="1165" stopIfTrue="1">
      <formula>LEN(TRIM(AC45))&gt;0</formula>
    </cfRule>
  </conditionalFormatting>
  <conditionalFormatting sqref="AD45:AD49">
    <cfRule type="containsBlanks" dxfId="452" priority="1166" stopIfTrue="1">
      <formula>LEN(TRIM(AD45))=0</formula>
    </cfRule>
  </conditionalFormatting>
  <conditionalFormatting sqref="AD45:AD49">
    <cfRule type="expression" dxfId="451" priority="1167" stopIfTrue="1">
      <formula>SUM($AD$45:$AD$49)&lt;&gt;1</formula>
    </cfRule>
  </conditionalFormatting>
  <conditionalFormatting sqref="AD45:AD49">
    <cfRule type="notContainsBlanks" dxfId="450" priority="1168" stopIfTrue="1">
      <formula>LEN(TRIM(AD45))&gt;0</formula>
    </cfRule>
  </conditionalFormatting>
  <conditionalFormatting sqref="AE45:AE49">
    <cfRule type="containsBlanks" dxfId="449" priority="1169" stopIfTrue="1">
      <formula>LEN(TRIM(AE45))=0</formula>
    </cfRule>
  </conditionalFormatting>
  <conditionalFormatting sqref="AE45:AE49">
    <cfRule type="expression" dxfId="448" priority="1170" stopIfTrue="1">
      <formula>SUM($AE$45:$AE$49)&lt;&gt;1</formula>
    </cfRule>
  </conditionalFormatting>
  <conditionalFormatting sqref="AE45:AE49">
    <cfRule type="notContainsBlanks" dxfId="447" priority="1171" stopIfTrue="1">
      <formula>LEN(TRIM(AE45))&gt;0</formula>
    </cfRule>
  </conditionalFormatting>
  <conditionalFormatting sqref="AF45:AF49">
    <cfRule type="containsBlanks" dxfId="446" priority="1172" stopIfTrue="1">
      <formula>LEN(TRIM(AF45))=0</formula>
    </cfRule>
  </conditionalFormatting>
  <conditionalFormatting sqref="AF45:AF49">
    <cfRule type="expression" dxfId="445" priority="1173" stopIfTrue="1">
      <formula>SUM($AF$45:$AF$49)&lt;&gt;1</formula>
    </cfRule>
  </conditionalFormatting>
  <conditionalFormatting sqref="AF45:AF49">
    <cfRule type="notContainsBlanks" dxfId="444" priority="1174" stopIfTrue="1">
      <formula>LEN(TRIM(AF45))&gt;0</formula>
    </cfRule>
  </conditionalFormatting>
  <conditionalFormatting sqref="AG45:AG49">
    <cfRule type="containsBlanks" dxfId="443" priority="1175" stopIfTrue="1">
      <formula>LEN(TRIM(AG45))=0</formula>
    </cfRule>
  </conditionalFormatting>
  <conditionalFormatting sqref="AG45:AG49">
    <cfRule type="expression" dxfId="442" priority="1176" stopIfTrue="1">
      <formula>SUM($AG$45:$AG$49)&lt;&gt;1</formula>
    </cfRule>
  </conditionalFormatting>
  <conditionalFormatting sqref="AG45:AG49">
    <cfRule type="notContainsBlanks" dxfId="441" priority="1177" stopIfTrue="1">
      <formula>LEN(TRIM(AG45))&gt;0</formula>
    </cfRule>
  </conditionalFormatting>
  <conditionalFormatting sqref="AH45:AH49">
    <cfRule type="containsBlanks" dxfId="440" priority="1178" stopIfTrue="1">
      <formula>LEN(TRIM(AH45))=0</formula>
    </cfRule>
  </conditionalFormatting>
  <conditionalFormatting sqref="AH45:AH49">
    <cfRule type="expression" dxfId="439" priority="1179" stopIfTrue="1">
      <formula>SUM($AH$45:$AH$49)&lt;&gt;1</formula>
    </cfRule>
  </conditionalFormatting>
  <conditionalFormatting sqref="AH45:AH49">
    <cfRule type="notContainsBlanks" dxfId="438" priority="1180" stopIfTrue="1">
      <formula>LEN(TRIM(AH45))&gt;0</formula>
    </cfRule>
  </conditionalFormatting>
  <conditionalFormatting sqref="AI45:AI49">
    <cfRule type="containsBlanks" dxfId="437" priority="1181" stopIfTrue="1">
      <formula>LEN(TRIM(AI45))=0</formula>
    </cfRule>
  </conditionalFormatting>
  <conditionalFormatting sqref="AI45:AI49">
    <cfRule type="expression" dxfId="436" priority="1182" stopIfTrue="1">
      <formula>SUM($AI$45:$AI$49)&lt;&gt;1</formula>
    </cfRule>
  </conditionalFormatting>
  <conditionalFormatting sqref="AI45:AI49">
    <cfRule type="notContainsBlanks" dxfId="435" priority="1183" stopIfTrue="1">
      <formula>LEN(TRIM(AI45))&gt;0</formula>
    </cfRule>
  </conditionalFormatting>
  <conditionalFormatting sqref="AJ45:AJ49">
    <cfRule type="containsBlanks" dxfId="434" priority="1184" stopIfTrue="1">
      <formula>LEN(TRIM(AJ45))=0</formula>
    </cfRule>
  </conditionalFormatting>
  <conditionalFormatting sqref="AJ45:AJ49">
    <cfRule type="expression" dxfId="433" priority="1185" stopIfTrue="1">
      <formula>SUM($AJ$45:$AJ$49)&lt;&gt;1</formula>
    </cfRule>
  </conditionalFormatting>
  <conditionalFormatting sqref="AJ45:AJ49">
    <cfRule type="notContainsBlanks" dxfId="432" priority="1186" stopIfTrue="1">
      <formula>LEN(TRIM(AJ45))&gt;0</formula>
    </cfRule>
  </conditionalFormatting>
  <conditionalFormatting sqref="AK45:AK49">
    <cfRule type="containsBlanks" dxfId="431" priority="1187" stopIfTrue="1">
      <formula>LEN(TRIM(AK45))=0</formula>
    </cfRule>
  </conditionalFormatting>
  <conditionalFormatting sqref="AK45:AK49">
    <cfRule type="expression" dxfId="430" priority="1188" stopIfTrue="1">
      <formula>SUM($AK$45:$AK$49)&lt;&gt;1</formula>
    </cfRule>
  </conditionalFormatting>
  <conditionalFormatting sqref="AK45:AK49">
    <cfRule type="notContainsBlanks" dxfId="429" priority="1189" stopIfTrue="1">
      <formula>LEN(TRIM(AK45))&gt;0</formula>
    </cfRule>
  </conditionalFormatting>
  <conditionalFormatting sqref="AL45:AL49">
    <cfRule type="containsBlanks" dxfId="428" priority="1190" stopIfTrue="1">
      <formula>LEN(TRIM(AL45))=0</formula>
    </cfRule>
  </conditionalFormatting>
  <conditionalFormatting sqref="AL45:AL49">
    <cfRule type="expression" dxfId="427" priority="1191" stopIfTrue="1">
      <formula>SUM($AL$45:$AL$49)&lt;&gt;1</formula>
    </cfRule>
  </conditionalFormatting>
  <conditionalFormatting sqref="AL45:AL49">
    <cfRule type="notContainsBlanks" dxfId="426" priority="1192" stopIfTrue="1">
      <formula>LEN(TRIM(AL45))&gt;0</formula>
    </cfRule>
  </conditionalFormatting>
  <conditionalFormatting sqref="AM45:AM49">
    <cfRule type="containsBlanks" dxfId="425" priority="1193" stopIfTrue="1">
      <formula>LEN(TRIM(AM45))=0</formula>
    </cfRule>
  </conditionalFormatting>
  <conditionalFormatting sqref="AM45:AM49">
    <cfRule type="expression" dxfId="424" priority="1194" stopIfTrue="1">
      <formula>SUM($AM$45:$AM$49)&lt;&gt;1</formula>
    </cfRule>
  </conditionalFormatting>
  <conditionalFormatting sqref="AM45:AM49">
    <cfRule type="notContainsBlanks" dxfId="423" priority="1195" stopIfTrue="1">
      <formula>LEN(TRIM(AM45))&gt;0</formula>
    </cfRule>
  </conditionalFormatting>
  <conditionalFormatting sqref="AN45:AN49">
    <cfRule type="containsBlanks" dxfId="422" priority="1196" stopIfTrue="1">
      <formula>LEN(TRIM(AN45))=0</formula>
    </cfRule>
  </conditionalFormatting>
  <conditionalFormatting sqref="AN45:AN49">
    <cfRule type="expression" dxfId="421" priority="1197" stopIfTrue="1">
      <formula>SUM($AN$45:$AN$49)&lt;&gt;1</formula>
    </cfRule>
  </conditionalFormatting>
  <conditionalFormatting sqref="AN45:AN49">
    <cfRule type="notContainsBlanks" dxfId="420" priority="1198" stopIfTrue="1">
      <formula>LEN(TRIM(AN45))&gt;0</formula>
    </cfRule>
  </conditionalFormatting>
  <conditionalFormatting sqref="E22:AN22">
    <cfRule type="containsBlanks" dxfId="419" priority="1199" stopIfTrue="1">
      <formula>LEN(TRIM(E22))=0</formula>
    </cfRule>
  </conditionalFormatting>
  <conditionalFormatting sqref="E22:AN22">
    <cfRule type="notContainsBlanks" dxfId="418" priority="1200" stopIfTrue="1">
      <formula>LEN(TRIM(E22))&gt;0</formula>
    </cfRule>
  </conditionalFormatting>
  <conditionalFormatting sqref="E23:AN23">
    <cfRule type="containsBlanks" dxfId="417" priority="1201" stopIfTrue="1">
      <formula>LEN(TRIM(E23))=0</formula>
    </cfRule>
  </conditionalFormatting>
  <conditionalFormatting sqref="E23:AN23">
    <cfRule type="notContainsBlanks" dxfId="416" priority="1202" stopIfTrue="1">
      <formula>LEN(TRIM(E23))&gt;0</formula>
    </cfRule>
  </conditionalFormatting>
  <conditionalFormatting sqref="E25:AN25">
    <cfRule type="containsBlanks" dxfId="415" priority="1203" stopIfTrue="1">
      <formula>LEN(TRIM(E25))=0</formula>
    </cfRule>
  </conditionalFormatting>
  <conditionalFormatting sqref="E25:AN25">
    <cfRule type="notContainsBlanks" dxfId="414" priority="1204" stopIfTrue="1">
      <formula>LEN(TRIM(E25))&gt;0</formula>
    </cfRule>
  </conditionalFormatting>
  <conditionalFormatting sqref="E26:AN26">
    <cfRule type="containsBlanks" dxfId="413" priority="1205" stopIfTrue="1">
      <formula>LEN(TRIM(E26))=0</formula>
    </cfRule>
  </conditionalFormatting>
  <conditionalFormatting sqref="E26:AN26">
    <cfRule type="notContainsBlanks" dxfId="412" priority="1206" stopIfTrue="1">
      <formula>LEN(TRIM(E26))&gt;0</formula>
    </cfRule>
  </conditionalFormatting>
  <conditionalFormatting sqref="E29:AN29">
    <cfRule type="containsBlanks" dxfId="411" priority="1207" stopIfTrue="1">
      <formula>LEN(TRIM(E29))=0</formula>
    </cfRule>
  </conditionalFormatting>
  <conditionalFormatting sqref="E29:AN29">
    <cfRule type="notContainsBlanks" dxfId="410" priority="1208" stopIfTrue="1">
      <formula>LEN(TRIM(E29))&gt;0</formula>
    </cfRule>
  </conditionalFormatting>
  <conditionalFormatting sqref="E30:AN30">
    <cfRule type="containsBlanks" dxfId="409" priority="1209" stopIfTrue="1">
      <formula>LEN(TRIM(E30))=0</formula>
    </cfRule>
  </conditionalFormatting>
  <conditionalFormatting sqref="E30:AN30">
    <cfRule type="notContainsBlanks" dxfId="408" priority="1210" stopIfTrue="1">
      <formula>LEN(TRIM(E30))&gt;0</formula>
    </cfRule>
  </conditionalFormatting>
  <conditionalFormatting sqref="E33:AN33">
    <cfRule type="containsBlanks" dxfId="407" priority="1211" stopIfTrue="1">
      <formula>LEN(TRIM(E33))=0</formula>
    </cfRule>
  </conditionalFormatting>
  <conditionalFormatting sqref="E33:AN33">
    <cfRule type="notContainsBlanks" dxfId="406" priority="1212" stopIfTrue="1">
      <formula>LEN(TRIM(E33))&gt;0</formula>
    </cfRule>
  </conditionalFormatting>
  <conditionalFormatting sqref="E34:AN34">
    <cfRule type="containsBlanks" dxfId="405" priority="1213" stopIfTrue="1">
      <formula>LEN(TRIM(E34))=0</formula>
    </cfRule>
  </conditionalFormatting>
  <conditionalFormatting sqref="E34:AN34">
    <cfRule type="notContainsBlanks" dxfId="404" priority="1214" stopIfTrue="1">
      <formula>LEN(TRIM(E34))&gt;0</formula>
    </cfRule>
  </conditionalFormatting>
  <conditionalFormatting sqref="E36:AN36">
    <cfRule type="containsBlanks" dxfId="403" priority="1215" stopIfTrue="1">
      <formula>LEN(TRIM(E36))=0</formula>
    </cfRule>
  </conditionalFormatting>
  <conditionalFormatting sqref="E36:AN36">
    <cfRule type="notContainsBlanks" dxfId="402" priority="1216" stopIfTrue="1">
      <formula>LEN(TRIM(E36))&gt;0</formula>
    </cfRule>
  </conditionalFormatting>
  <conditionalFormatting sqref="E37:AN37">
    <cfRule type="containsBlanks" dxfId="401" priority="1217" stopIfTrue="1">
      <formula>LEN(TRIM(E37))=0</formula>
    </cfRule>
  </conditionalFormatting>
  <conditionalFormatting sqref="E37:AN37">
    <cfRule type="notContainsBlanks" dxfId="400" priority="1218" stopIfTrue="1">
      <formula>LEN(TRIM(E37))&gt;0</formula>
    </cfRule>
  </conditionalFormatting>
  <conditionalFormatting sqref="E40:AN40">
    <cfRule type="containsBlanks" dxfId="399" priority="1219" stopIfTrue="1">
      <formula>LEN(TRIM(E40))=0</formula>
    </cfRule>
  </conditionalFormatting>
  <conditionalFormatting sqref="E40:AN40">
    <cfRule type="notContainsBlanks" dxfId="398" priority="1220" stopIfTrue="1">
      <formula>LEN(TRIM(E40))&gt;0</formula>
    </cfRule>
  </conditionalFormatting>
  <conditionalFormatting sqref="E41:AN41">
    <cfRule type="containsBlanks" dxfId="397" priority="1221" stopIfTrue="1">
      <formula>LEN(TRIM(E41))=0</formula>
    </cfRule>
  </conditionalFormatting>
  <conditionalFormatting sqref="E41:AN41">
    <cfRule type="notContainsBlanks" dxfId="396" priority="1222" stopIfTrue="1">
      <formula>LEN(TRIM(E41))&gt;0</formula>
    </cfRule>
  </conditionalFormatting>
  <conditionalFormatting sqref="E6:AN6">
    <cfRule type="containsBlanks" dxfId="395" priority="1223" stopIfTrue="1">
      <formula>LEN(TRIM(E6))=0</formula>
    </cfRule>
  </conditionalFormatting>
  <conditionalFormatting sqref="E6:AN6">
    <cfRule type="notContainsBlanks" dxfId="394" priority="1224" stopIfTrue="1">
      <formula>LEN(TRIM(E6))&gt;0</formula>
    </cfRule>
  </conditionalFormatting>
  <conditionalFormatting sqref="E7:AN7">
    <cfRule type="containsBlanks" dxfId="393" priority="1225" stopIfTrue="1">
      <formula>LEN(TRIM(E7))=0</formula>
    </cfRule>
  </conditionalFormatting>
  <conditionalFormatting sqref="E7:AN7">
    <cfRule type="notContainsBlanks" dxfId="392" priority="1226" stopIfTrue="1">
      <formula>LEN(TRIM(E7))&gt;0</formula>
    </cfRule>
  </conditionalFormatting>
  <conditionalFormatting sqref="E9:AN9">
    <cfRule type="containsBlanks" dxfId="391" priority="1227" stopIfTrue="1">
      <formula>LEN(TRIM(E9))=0</formula>
    </cfRule>
  </conditionalFormatting>
  <conditionalFormatting sqref="E9:AN9">
    <cfRule type="notContainsBlanks" dxfId="390" priority="1228" stopIfTrue="1">
      <formula>LEN(TRIM(E9))&gt;0</formula>
    </cfRule>
  </conditionalFormatting>
  <conditionalFormatting sqref="E10:AN10">
    <cfRule type="containsBlanks" dxfId="389" priority="1229" stopIfTrue="1">
      <formula>LEN(TRIM(E10))=0</formula>
    </cfRule>
  </conditionalFormatting>
  <conditionalFormatting sqref="E10:AN10">
    <cfRule type="notContainsBlanks" dxfId="388" priority="1230" stopIfTrue="1">
      <formula>LEN(TRIM(E10))&gt;0</formula>
    </cfRule>
  </conditionalFormatting>
  <conditionalFormatting sqref="E12:AN12">
    <cfRule type="containsBlanks" dxfId="387" priority="1231" stopIfTrue="1">
      <formula>LEN(TRIM(E12))=0</formula>
    </cfRule>
  </conditionalFormatting>
  <conditionalFormatting sqref="E12:AN12">
    <cfRule type="notContainsBlanks" dxfId="386" priority="1232" stopIfTrue="1">
      <formula>LEN(TRIM(E12))&gt;0</formula>
    </cfRule>
  </conditionalFormatting>
  <conditionalFormatting sqref="E13:AN13">
    <cfRule type="containsBlanks" dxfId="385" priority="1233" stopIfTrue="1">
      <formula>LEN(TRIM(E13))=0</formula>
    </cfRule>
  </conditionalFormatting>
  <conditionalFormatting sqref="E13:AN13">
    <cfRule type="notContainsBlanks" dxfId="384" priority="1234" stopIfTrue="1">
      <formula>LEN(TRIM(E13))&gt;0</formula>
    </cfRule>
  </conditionalFormatting>
  <conditionalFormatting sqref="E16:AN16">
    <cfRule type="containsBlanks" dxfId="383" priority="1235" stopIfTrue="1">
      <formula>LEN(TRIM(E16))=0</formula>
    </cfRule>
  </conditionalFormatting>
  <conditionalFormatting sqref="E16:AN16">
    <cfRule type="notContainsBlanks" dxfId="382" priority="1236" stopIfTrue="1">
      <formula>LEN(TRIM(E16))&gt;0</formula>
    </cfRule>
  </conditionalFormatting>
  <conditionalFormatting sqref="E17:AN17">
    <cfRule type="containsBlanks" dxfId="381" priority="1237" stopIfTrue="1">
      <formula>LEN(TRIM(E17))=0</formula>
    </cfRule>
  </conditionalFormatting>
  <conditionalFormatting sqref="E17:AN17">
    <cfRule type="notContainsBlanks" dxfId="380" priority="1238" stopIfTrue="1">
      <formula>LEN(TRIM(E17))&gt;0</formula>
    </cfRule>
  </conditionalFormatting>
  <conditionalFormatting sqref="E283:E284">
    <cfRule type="containsBlanks" dxfId="379" priority="35" stopIfTrue="1">
      <formula>LEN(TRIM(E283))=0</formula>
    </cfRule>
    <cfRule type="notContainsBlanks" dxfId="378" priority="36" stopIfTrue="1">
      <formula>LEN(TRIM(E283))&gt;0</formula>
    </cfRule>
  </conditionalFormatting>
  <conditionalFormatting sqref="E297:E298">
    <cfRule type="containsBlanks" dxfId="377" priority="33" stopIfTrue="1">
      <formula>LEN(TRIM(E297))=0</formula>
    </cfRule>
    <cfRule type="notContainsBlanks" dxfId="376" priority="34" stopIfTrue="1">
      <formula>LEN(TRIM(E297))&gt;0</formula>
    </cfRule>
  </conditionalFormatting>
  <conditionalFormatting sqref="E311:E312">
    <cfRule type="containsBlanks" dxfId="375" priority="27" stopIfTrue="1">
      <formula>LEN(TRIM(E311))=0</formula>
    </cfRule>
    <cfRule type="notContainsBlanks" dxfId="374" priority="28" stopIfTrue="1">
      <formula>LEN(TRIM(E311))&gt;0</formula>
    </cfRule>
  </conditionalFormatting>
  <conditionalFormatting sqref="E325:E326">
    <cfRule type="containsBlanks" dxfId="373" priority="21" stopIfTrue="1">
      <formula>LEN(TRIM(E325))=0</formula>
    </cfRule>
    <cfRule type="notContainsBlanks" dxfId="372" priority="22" stopIfTrue="1">
      <formula>LEN(TRIM(E325))&gt;0</formula>
    </cfRule>
  </conditionalFormatting>
  <conditionalFormatting sqref="E339:E340">
    <cfRule type="containsBlanks" dxfId="371" priority="15" stopIfTrue="1">
      <formula>LEN(TRIM(E339))=0</formula>
    </cfRule>
    <cfRule type="notContainsBlanks" dxfId="370" priority="16" stopIfTrue="1">
      <formula>LEN(TRIM(E339))&gt;0</formula>
    </cfRule>
  </conditionalFormatting>
  <conditionalFormatting sqref="F339:X340">
    <cfRule type="containsBlanks" dxfId="369" priority="9" stopIfTrue="1">
      <formula>LEN(TRIM(F339))=0</formula>
    </cfRule>
    <cfRule type="notContainsBlanks" dxfId="368" priority="10" stopIfTrue="1">
      <formula>LEN(TRIM(F339))&gt;0</formula>
    </cfRule>
  </conditionalFormatting>
  <conditionalFormatting sqref="F325:X326">
    <cfRule type="containsBlanks" dxfId="367" priority="7" stopIfTrue="1">
      <formula>LEN(TRIM(F325))=0</formula>
    </cfRule>
    <cfRule type="notContainsBlanks" dxfId="366" priority="8" stopIfTrue="1">
      <formula>LEN(TRIM(F325))&gt;0</formula>
    </cfRule>
  </conditionalFormatting>
  <conditionalFormatting sqref="F311:X312">
    <cfRule type="containsBlanks" dxfId="365" priority="5" stopIfTrue="1">
      <formula>LEN(TRIM(F311))=0</formula>
    </cfRule>
    <cfRule type="notContainsBlanks" dxfId="364" priority="6" stopIfTrue="1">
      <formula>LEN(TRIM(F311))&gt;0</formula>
    </cfRule>
  </conditionalFormatting>
  <conditionalFormatting sqref="F297:X298">
    <cfRule type="containsBlanks" dxfId="363" priority="3" stopIfTrue="1">
      <formula>LEN(TRIM(F297))=0</formula>
    </cfRule>
    <cfRule type="notContainsBlanks" dxfId="362" priority="4" stopIfTrue="1">
      <formula>LEN(TRIM(F297))&gt;0</formula>
    </cfRule>
  </conditionalFormatting>
  <conditionalFormatting sqref="F283:X284">
    <cfRule type="containsBlanks" dxfId="361" priority="1" stopIfTrue="1">
      <formula>LEN(TRIM(F283))=0</formula>
    </cfRule>
    <cfRule type="notContainsBlanks" dxfId="360" priority="2" stopIfTrue="1">
      <formula>LEN(TRIM(F283))&gt;0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Z31"/>
  <sheetViews>
    <sheetView zoomScaleNormal="100" workbookViewId="0">
      <selection activeCell="K5" sqref="K5"/>
    </sheetView>
  </sheetViews>
  <sheetFormatPr defaultColWidth="3.453125" defaultRowHeight="14.5" x14ac:dyDescent="0.35"/>
  <cols>
    <col min="1" max="2" width="3.453125" style="6"/>
    <col min="3" max="3" width="24.7265625" style="6" bestFit="1" customWidth="1"/>
    <col min="4" max="4" width="10.7265625" style="6" bestFit="1" customWidth="1"/>
    <col min="5" max="9" width="6.453125" style="6" bestFit="1" customWidth="1"/>
    <col min="10" max="10" width="4.453125" style="6" bestFit="1" customWidth="1"/>
    <col min="11" max="11" width="12.1796875" style="6" bestFit="1" customWidth="1"/>
    <col min="12" max="12" width="2.453125" style="6" bestFit="1" customWidth="1"/>
    <col min="13" max="13" width="24.7265625" style="6" bestFit="1" customWidth="1"/>
    <col min="14" max="14" width="10.7265625" style="6" bestFit="1" customWidth="1"/>
    <col min="15" max="19" width="6.453125" style="6" bestFit="1" customWidth="1"/>
    <col min="20" max="20" width="3.453125" style="6"/>
    <col min="21" max="21" width="12.1796875" style="6" bestFit="1" customWidth="1"/>
    <col min="22" max="23" width="3.453125" style="6"/>
    <col min="24" max="24" width="19.08984375" style="6" bestFit="1" customWidth="1"/>
    <col min="25" max="25" width="21.6328125" style="6" bestFit="1" customWidth="1"/>
    <col min="26" max="26" width="11.7265625" style="6" bestFit="1" customWidth="1"/>
    <col min="27" max="27" width="12.1796875" style="6" bestFit="1" customWidth="1"/>
    <col min="28" max="16384" width="3.453125" style="6"/>
  </cols>
  <sheetData>
    <row r="2" spans="2:24" x14ac:dyDescent="0.35">
      <c r="B2" s="8"/>
      <c r="C2" s="8"/>
      <c r="D2" s="8"/>
      <c r="E2" s="8"/>
      <c r="F2" s="8"/>
      <c r="G2" s="8"/>
      <c r="H2" s="8"/>
      <c r="I2" s="8"/>
      <c r="J2" s="8"/>
      <c r="L2" s="8"/>
      <c r="M2" s="8"/>
      <c r="N2" s="8"/>
      <c r="O2" s="8"/>
      <c r="P2" s="8"/>
      <c r="Q2" s="8"/>
      <c r="R2" s="8"/>
      <c r="S2" s="8"/>
      <c r="T2" s="8"/>
    </row>
    <row r="3" spans="2:24" x14ac:dyDescent="0.35">
      <c r="B3" s="8"/>
      <c r="C3" s="135" t="s">
        <v>13</v>
      </c>
      <c r="D3" s="135"/>
      <c r="E3" s="135"/>
      <c r="F3" s="135"/>
      <c r="G3" s="135"/>
      <c r="H3" s="135"/>
      <c r="I3" s="135"/>
      <c r="J3" s="8"/>
      <c r="L3" s="8"/>
      <c r="M3" s="135" t="s">
        <v>15</v>
      </c>
      <c r="N3" s="135"/>
      <c r="O3" s="135"/>
      <c r="P3" s="135"/>
      <c r="Q3" s="135"/>
      <c r="R3" s="135"/>
      <c r="S3" s="135"/>
      <c r="T3" s="8"/>
    </row>
    <row r="4" spans="2:24" x14ac:dyDescent="0.35">
      <c r="B4" s="8"/>
      <c r="C4" s="8"/>
      <c r="D4" s="8"/>
      <c r="E4" s="8"/>
      <c r="F4" s="8"/>
      <c r="G4" s="8"/>
      <c r="H4" s="8"/>
      <c r="I4" s="8"/>
      <c r="J4" s="8"/>
      <c r="L4" s="8"/>
      <c r="M4" s="8"/>
      <c r="N4" s="8"/>
      <c r="O4" s="8"/>
      <c r="P4" s="8"/>
      <c r="Q4" s="8"/>
      <c r="R4" s="8"/>
      <c r="S4" s="8"/>
      <c r="T4" s="8"/>
    </row>
    <row r="5" spans="2:24" x14ac:dyDescent="0.35">
      <c r="B5" s="8"/>
      <c r="C5" s="23" t="str">
        <f>INDEX(_pcName,1)</f>
        <v>CADR 10-99</v>
      </c>
      <c r="D5" s="24"/>
      <c r="E5" s="26" t="str">
        <f t="array" ref="E5:I5">INDEX(_doShort,1,)</f>
        <v>EL0</v>
      </c>
      <c r="F5" s="26" t="str">
        <v>EL1</v>
      </c>
      <c r="G5" s="26" t="str">
        <v>EL2</v>
      </c>
      <c r="H5" s="26" t="str">
        <v>EL3</v>
      </c>
      <c r="I5" s="27" t="str">
        <v>EL4</v>
      </c>
      <c r="J5" s="8"/>
      <c r="L5" s="8"/>
      <c r="M5" s="23" t="str">
        <f>INDEX(_pcName,1)</f>
        <v>CADR 10-99</v>
      </c>
      <c r="N5" s="24"/>
      <c r="O5" s="26" t="str">
        <f t="array" ref="O5:S5">INDEX(_doShort,1,)</f>
        <v>EL0</v>
      </c>
      <c r="P5" s="26" t="str">
        <v>EL1</v>
      </c>
      <c r="Q5" s="26" t="str">
        <v>EL2</v>
      </c>
      <c r="R5" s="26" t="str">
        <v>EL3</v>
      </c>
      <c r="S5" s="27" t="str">
        <v>EL4</v>
      </c>
      <c r="T5" s="8"/>
    </row>
    <row r="6" spans="2:24" x14ac:dyDescent="0.35">
      <c r="B6" s="8"/>
      <c r="C6" s="19" t="s">
        <v>70</v>
      </c>
      <c r="D6" s="8"/>
      <c r="E6" s="8"/>
      <c r="F6" s="8"/>
      <c r="G6" s="8"/>
      <c r="H6" s="8"/>
      <c r="I6" s="18"/>
      <c r="J6" s="8"/>
      <c r="L6" s="8"/>
      <c r="M6" s="19" t="s">
        <v>70</v>
      </c>
      <c r="N6" s="8"/>
      <c r="O6" s="8"/>
      <c r="P6" s="8"/>
      <c r="Q6" s="8"/>
      <c r="R6" s="8"/>
      <c r="S6" s="18"/>
      <c r="T6" s="8"/>
    </row>
    <row r="7" spans="2:24" x14ac:dyDescent="0.35">
      <c r="B7" s="8"/>
      <c r="C7" s="10" t="s">
        <v>30</v>
      </c>
      <c r="D7" s="11" t="s">
        <v>144</v>
      </c>
      <c r="E7" s="32">
        <v>64.504715024821735</v>
      </c>
      <c r="F7" s="32">
        <v>66.165956190811087</v>
      </c>
      <c r="G7" s="32">
        <v>68.099891997757894</v>
      </c>
      <c r="H7" s="32">
        <v>78.641844287291221</v>
      </c>
      <c r="I7" s="55">
        <v>86.877037956547795</v>
      </c>
      <c r="J7" s="8"/>
      <c r="L7" s="8"/>
      <c r="M7" s="10" t="s">
        <v>30</v>
      </c>
      <c r="N7" s="123" t="s">
        <v>144</v>
      </c>
      <c r="O7" s="117">
        <v>62.305805317549925</v>
      </c>
      <c r="P7" s="117">
        <v>63.953015718625721</v>
      </c>
      <c r="Q7" s="117">
        <v>65.870617594523139</v>
      </c>
      <c r="R7" s="117">
        <v>76.323533049844016</v>
      </c>
      <c r="S7" s="55">
        <v>84.489172659919205</v>
      </c>
      <c r="T7" s="8"/>
    </row>
    <row r="8" spans="2:24" x14ac:dyDescent="0.35">
      <c r="B8" s="8"/>
      <c r="C8" s="10" t="s">
        <v>71</v>
      </c>
      <c r="D8" s="11" t="s">
        <v>144</v>
      </c>
      <c r="E8" s="32">
        <v>0</v>
      </c>
      <c r="F8" s="32">
        <v>0</v>
      </c>
      <c r="G8" s="32">
        <v>0</v>
      </c>
      <c r="H8" s="32">
        <v>0</v>
      </c>
      <c r="I8" s="55">
        <v>0</v>
      </c>
      <c r="J8" s="8"/>
      <c r="L8" s="8"/>
      <c r="M8" s="10" t="s">
        <v>71</v>
      </c>
      <c r="N8" s="123" t="s">
        <v>144</v>
      </c>
      <c r="O8" s="117">
        <v>0</v>
      </c>
      <c r="P8" s="117">
        <v>0</v>
      </c>
      <c r="Q8" s="117">
        <v>0</v>
      </c>
      <c r="R8" s="117">
        <v>0</v>
      </c>
      <c r="S8" s="55">
        <v>0</v>
      </c>
      <c r="T8" s="8"/>
    </row>
    <row r="9" spans="2:24" x14ac:dyDescent="0.35">
      <c r="B9" s="8"/>
      <c r="C9" s="19" t="s">
        <v>72</v>
      </c>
      <c r="D9" s="8"/>
      <c r="E9" s="8"/>
      <c r="F9" s="8"/>
      <c r="G9" s="8"/>
      <c r="H9" s="8"/>
      <c r="I9" s="18"/>
      <c r="J9" s="8"/>
      <c r="L9" s="8"/>
      <c r="M9" s="19" t="s">
        <v>72</v>
      </c>
      <c r="N9" s="116"/>
      <c r="O9" s="116"/>
      <c r="P9" s="116"/>
      <c r="Q9" s="116"/>
      <c r="R9" s="116"/>
      <c r="S9" s="18"/>
      <c r="T9" s="8"/>
    </row>
    <row r="10" spans="2:24" x14ac:dyDescent="0.35">
      <c r="B10" s="8"/>
      <c r="C10" s="10" t="s">
        <v>73</v>
      </c>
      <c r="D10" s="116" t="s">
        <v>74</v>
      </c>
      <c r="E10" s="120">
        <v>1.53</v>
      </c>
      <c r="F10" s="120">
        <v>1.69</v>
      </c>
      <c r="G10" s="120">
        <v>1.89</v>
      </c>
      <c r="H10" s="120">
        <v>3.37</v>
      </c>
      <c r="I10" s="41">
        <v>5.4</v>
      </c>
      <c r="J10" s="8"/>
      <c r="L10" s="8"/>
      <c r="M10" s="19" t="s">
        <v>73</v>
      </c>
      <c r="N10" s="116" t="s">
        <v>74</v>
      </c>
      <c r="O10" s="120">
        <v>1.53</v>
      </c>
      <c r="P10" s="120">
        <v>1.69</v>
      </c>
      <c r="Q10" s="120">
        <v>1.89</v>
      </c>
      <c r="R10" s="120">
        <v>3.37</v>
      </c>
      <c r="S10" s="41">
        <v>5.4</v>
      </c>
      <c r="T10" s="8"/>
    </row>
    <row r="11" spans="2:24" x14ac:dyDescent="0.35">
      <c r="B11" s="8"/>
      <c r="C11" s="10" t="str">
        <f>INDEX(_fuel,1)</f>
        <v>Electricity</v>
      </c>
      <c r="D11" s="116" t="s">
        <v>75</v>
      </c>
      <c r="E11" s="120">
        <v>40.02949355962847</v>
      </c>
      <c r="F11" s="120">
        <v>36.839701779885289</v>
      </c>
      <c r="G11" s="120">
        <v>33.791812853971351</v>
      </c>
      <c r="H11" s="120">
        <v>19.205876759927026</v>
      </c>
      <c r="I11" s="41">
        <v>11.940390114200001</v>
      </c>
      <c r="J11" s="40"/>
      <c r="K11" s="114"/>
      <c r="L11" s="8"/>
      <c r="M11" s="19" t="s">
        <v>143</v>
      </c>
      <c r="N11" s="116" t="s">
        <v>75</v>
      </c>
      <c r="O11" s="120">
        <v>83.205237373802646</v>
      </c>
      <c r="P11" s="120">
        <v>75.545948247890024</v>
      </c>
      <c r="Q11" s="120">
        <v>67.860873052327307</v>
      </c>
      <c r="R11" s="120">
        <v>38.150956169935455</v>
      </c>
      <c r="S11" s="41">
        <v>23.792480792160262</v>
      </c>
      <c r="T11" s="8"/>
      <c r="U11" s="114"/>
    </row>
    <row r="12" spans="2:24" x14ac:dyDescent="0.35">
      <c r="B12" s="8"/>
      <c r="C12" s="35" t="s">
        <v>76</v>
      </c>
      <c r="D12" s="56" t="s">
        <v>63</v>
      </c>
      <c r="E12" s="118">
        <v>0.28049792531120338</v>
      </c>
      <c r="F12" s="118">
        <v>0.42074688796680493</v>
      </c>
      <c r="G12" s="118">
        <v>0.1908713692946058</v>
      </c>
      <c r="H12" s="118">
        <v>7.4688796680497924E-2</v>
      </c>
      <c r="I12" s="119">
        <v>3.3195020746887967E-2</v>
      </c>
      <c r="J12" s="8"/>
      <c r="L12" s="8"/>
      <c r="M12" s="35" t="s">
        <v>76</v>
      </c>
      <c r="N12" s="56" t="s">
        <v>63</v>
      </c>
      <c r="O12" s="118">
        <v>0.28049792531120338</v>
      </c>
      <c r="P12" s="118">
        <v>0.42074688796680493</v>
      </c>
      <c r="Q12" s="118">
        <v>0.1908713692946058</v>
      </c>
      <c r="R12" s="118">
        <v>7.4688796680497924E-2</v>
      </c>
      <c r="S12" s="119">
        <v>3.3195020746887967E-2</v>
      </c>
      <c r="T12" s="8"/>
      <c r="X12" s="88"/>
    </row>
    <row r="13" spans="2:24" x14ac:dyDescent="0.35">
      <c r="B13" s="8"/>
      <c r="C13" s="8"/>
      <c r="D13" s="8"/>
      <c r="E13" s="8"/>
      <c r="F13" s="8"/>
      <c r="G13" s="8"/>
      <c r="H13" s="8"/>
      <c r="I13" s="8"/>
      <c r="J13" s="8"/>
      <c r="L13" s="8"/>
      <c r="M13" s="8"/>
      <c r="N13" s="8"/>
      <c r="O13" s="8"/>
      <c r="P13" s="8"/>
      <c r="Q13" s="8"/>
      <c r="R13" s="8"/>
      <c r="S13" s="8"/>
      <c r="T13" s="8"/>
      <c r="X13" s="88"/>
    </row>
    <row r="14" spans="2:24" x14ac:dyDescent="0.35">
      <c r="B14" s="8"/>
      <c r="C14" s="23" t="str">
        <f>INDEX(_pcName,2)</f>
        <v>CADR 100-149</v>
      </c>
      <c r="D14" s="24"/>
      <c r="E14" s="26" t="str">
        <f t="array" ref="E14:I14">INDEX(_doShort,2,)</f>
        <v>EL0</v>
      </c>
      <c r="F14" s="26" t="str">
        <v>EL1</v>
      </c>
      <c r="G14" s="26" t="str">
        <v>EL2</v>
      </c>
      <c r="H14" s="26" t="str">
        <v>EL3</v>
      </c>
      <c r="I14" s="27" t="str">
        <v>EL4</v>
      </c>
      <c r="J14" s="8"/>
      <c r="L14" s="8"/>
      <c r="M14" s="23" t="str">
        <f>INDEX(_pcName,2)</f>
        <v>CADR 100-149</v>
      </c>
      <c r="N14" s="24"/>
      <c r="O14" s="26" t="str">
        <f t="array" ref="O14:S14">INDEX(_doShort,2,)</f>
        <v>EL0</v>
      </c>
      <c r="P14" s="26" t="str">
        <v>EL1</v>
      </c>
      <c r="Q14" s="26" t="str">
        <v>EL2</v>
      </c>
      <c r="R14" s="26" t="str">
        <v>EL3</v>
      </c>
      <c r="S14" s="27" t="str">
        <v>EL4</v>
      </c>
      <c r="T14" s="8"/>
      <c r="X14" s="88"/>
    </row>
    <row r="15" spans="2:24" x14ac:dyDescent="0.35">
      <c r="B15" s="8"/>
      <c r="C15" s="19" t="s">
        <v>70</v>
      </c>
      <c r="D15" s="8"/>
      <c r="E15" s="8"/>
      <c r="F15" s="8"/>
      <c r="G15" s="8"/>
      <c r="H15" s="8"/>
      <c r="I15" s="18"/>
      <c r="J15" s="8"/>
      <c r="L15" s="8"/>
      <c r="M15" s="19" t="s">
        <v>70</v>
      </c>
      <c r="N15" s="8"/>
      <c r="O15" s="8"/>
      <c r="P15" s="8"/>
      <c r="Q15" s="8"/>
      <c r="R15" s="8"/>
      <c r="S15" s="18"/>
      <c r="T15" s="8"/>
      <c r="X15" s="88"/>
    </row>
    <row r="16" spans="2:24" x14ac:dyDescent="0.35">
      <c r="B16" s="8"/>
      <c r="C16" s="10" t="s">
        <v>30</v>
      </c>
      <c r="D16" s="11" t="s">
        <v>144</v>
      </c>
      <c r="E16" s="32">
        <v>88.979381125918096</v>
      </c>
      <c r="F16" s="32">
        <v>91.098303252988558</v>
      </c>
      <c r="G16" s="32">
        <v>93.347675487670998</v>
      </c>
      <c r="H16" s="32">
        <v>102.22123460821479</v>
      </c>
      <c r="I16" s="55">
        <v>110.70725690698275</v>
      </c>
      <c r="J16" s="8"/>
      <c r="L16" s="8"/>
      <c r="M16" s="10" t="s">
        <v>30</v>
      </c>
      <c r="N16" s="11" t="s">
        <v>144</v>
      </c>
      <c r="O16" s="32">
        <v>85.946151309620845</v>
      </c>
      <c r="P16" s="32">
        <v>88.047177119864884</v>
      </c>
      <c r="Q16" s="32">
        <v>90.277551262240507</v>
      </c>
      <c r="R16" s="32">
        <v>99.076164718958779</v>
      </c>
      <c r="S16" s="55">
        <v>107.49051447171512</v>
      </c>
      <c r="T16" s="8"/>
      <c r="X16" s="88"/>
    </row>
    <row r="17" spans="2:26" x14ac:dyDescent="0.35">
      <c r="B17" s="8"/>
      <c r="C17" s="10" t="s">
        <v>71</v>
      </c>
      <c r="D17" s="11" t="s">
        <v>144</v>
      </c>
      <c r="E17" s="32">
        <v>0</v>
      </c>
      <c r="F17" s="32">
        <v>0</v>
      </c>
      <c r="G17" s="32">
        <v>0</v>
      </c>
      <c r="H17" s="32">
        <v>0</v>
      </c>
      <c r="I17" s="55">
        <v>0</v>
      </c>
      <c r="J17" s="8"/>
      <c r="L17" s="8"/>
      <c r="M17" s="10" t="s">
        <v>71</v>
      </c>
      <c r="N17" s="11" t="s">
        <v>144</v>
      </c>
      <c r="O17" s="32">
        <v>0</v>
      </c>
      <c r="P17" s="32">
        <v>0</v>
      </c>
      <c r="Q17" s="32">
        <v>0</v>
      </c>
      <c r="R17" s="32">
        <v>0</v>
      </c>
      <c r="S17" s="55">
        <v>0</v>
      </c>
      <c r="T17" s="8"/>
      <c r="X17" s="88"/>
    </row>
    <row r="18" spans="2:26" x14ac:dyDescent="0.35">
      <c r="B18" s="8"/>
      <c r="C18" s="19" t="s">
        <v>72</v>
      </c>
      <c r="D18" s="8"/>
      <c r="E18" s="8"/>
      <c r="F18" s="8"/>
      <c r="G18" s="8"/>
      <c r="H18" s="8"/>
      <c r="I18" s="18"/>
      <c r="J18" s="8"/>
      <c r="L18" s="8"/>
      <c r="M18" s="19" t="s">
        <v>72</v>
      </c>
      <c r="N18" s="8"/>
      <c r="O18" s="8"/>
      <c r="P18" s="8"/>
      <c r="Q18" s="8"/>
      <c r="R18" s="8"/>
      <c r="S18" s="18"/>
      <c r="T18" s="8"/>
      <c r="X18" s="88"/>
      <c r="Z18" s="88"/>
    </row>
    <row r="19" spans="2:26" x14ac:dyDescent="0.35">
      <c r="B19" s="8"/>
      <c r="C19" s="10" t="s">
        <v>73</v>
      </c>
      <c r="D19" s="11" t="s">
        <v>74</v>
      </c>
      <c r="E19" s="40">
        <v>1.53</v>
      </c>
      <c r="F19" s="40">
        <v>1.9</v>
      </c>
      <c r="G19" s="40">
        <v>2.39</v>
      </c>
      <c r="H19" s="40">
        <v>5.4</v>
      </c>
      <c r="I19" s="41">
        <v>12.75</v>
      </c>
      <c r="J19" s="8"/>
      <c r="L19" s="8"/>
      <c r="M19" s="10" t="s">
        <v>73</v>
      </c>
      <c r="N19" s="11" t="s">
        <v>74</v>
      </c>
      <c r="O19" s="40">
        <v>1.53</v>
      </c>
      <c r="P19" s="40">
        <v>1.9</v>
      </c>
      <c r="Q19" s="40">
        <v>2.39</v>
      </c>
      <c r="R19" s="40">
        <v>5.4</v>
      </c>
      <c r="S19" s="41">
        <v>12.75</v>
      </c>
      <c r="T19" s="8"/>
      <c r="X19" s="88"/>
    </row>
    <row r="20" spans="2:26" x14ac:dyDescent="0.35">
      <c r="B20" s="8"/>
      <c r="C20" s="10" t="str">
        <f>INDEX(_fuel,1)</f>
        <v>Electricity</v>
      </c>
      <c r="D20" s="11" t="s">
        <v>75</v>
      </c>
      <c r="E20" s="40">
        <v>99.274282496879209</v>
      </c>
      <c r="F20" s="40">
        <v>80.500135656387144</v>
      </c>
      <c r="G20" s="40">
        <v>64.500793471479014</v>
      </c>
      <c r="H20" s="40">
        <v>29.917596235682506</v>
      </c>
      <c r="I20" s="41">
        <v>12.4672002051432</v>
      </c>
      <c r="J20" s="8"/>
      <c r="L20" s="8"/>
      <c r="M20" s="10" t="s">
        <v>143</v>
      </c>
      <c r="N20" s="11" t="s">
        <v>75</v>
      </c>
      <c r="O20" s="40">
        <v>207.7224447956134</v>
      </c>
      <c r="P20" s="40">
        <v>167.4741759990699</v>
      </c>
      <c r="Q20" s="40">
        <v>133.32201676871264</v>
      </c>
      <c r="R20" s="40">
        <v>59.505422700305076</v>
      </c>
      <c r="S20" s="41">
        <v>25.128209765112743</v>
      </c>
      <c r="T20" s="8"/>
    </row>
    <row r="21" spans="2:26" x14ac:dyDescent="0.35">
      <c r="B21" s="8"/>
      <c r="C21" s="35" t="s">
        <v>76</v>
      </c>
      <c r="D21" s="15" t="s">
        <v>63</v>
      </c>
      <c r="E21" s="121">
        <v>0.24375000000000002</v>
      </c>
      <c r="F21" s="121">
        <v>0.36562499999999998</v>
      </c>
      <c r="G21" s="121">
        <v>0.28125</v>
      </c>
      <c r="H21" s="121">
        <v>0.10546875</v>
      </c>
      <c r="I21" s="122">
        <v>3.90625E-3</v>
      </c>
      <c r="J21" s="8"/>
      <c r="L21" s="8"/>
      <c r="M21" s="35" t="s">
        <v>76</v>
      </c>
      <c r="N21" s="15" t="s">
        <v>63</v>
      </c>
      <c r="O21" s="121">
        <v>0.24375000000000002</v>
      </c>
      <c r="P21" s="121">
        <v>0.36562499999999998</v>
      </c>
      <c r="Q21" s="121">
        <v>0.28125</v>
      </c>
      <c r="R21" s="121">
        <v>0.10546875</v>
      </c>
      <c r="S21" s="122">
        <v>3.90625E-3</v>
      </c>
      <c r="T21" s="8"/>
    </row>
    <row r="22" spans="2:26" x14ac:dyDescent="0.35">
      <c r="B22" s="8"/>
      <c r="C22" s="8"/>
      <c r="D22" s="8"/>
      <c r="E22" s="8"/>
      <c r="F22" s="8"/>
      <c r="G22" s="8"/>
      <c r="H22" s="8"/>
      <c r="I22" s="8"/>
      <c r="J22" s="8"/>
      <c r="L22" s="8"/>
      <c r="M22" s="8"/>
      <c r="N22" s="8"/>
      <c r="O22" s="8"/>
      <c r="P22" s="8"/>
      <c r="Q22" s="8"/>
      <c r="R22" s="8"/>
      <c r="S22" s="8"/>
      <c r="T22" s="8"/>
    </row>
    <row r="23" spans="2:26" x14ac:dyDescent="0.35">
      <c r="B23" s="8"/>
      <c r="C23" s="23" t="str">
        <f>INDEX(_pcName,3)</f>
        <v>CADR 150+</v>
      </c>
      <c r="D23" s="24"/>
      <c r="E23" s="26" t="str">
        <f t="array" ref="E23:I23">INDEX(_doShort,3,)</f>
        <v>EL0</v>
      </c>
      <c r="F23" s="26" t="str">
        <v>EL1</v>
      </c>
      <c r="G23" s="26" t="str">
        <v>EL2</v>
      </c>
      <c r="H23" s="26" t="str">
        <v>EL3</v>
      </c>
      <c r="I23" s="27" t="str">
        <v>EL4</v>
      </c>
      <c r="J23" s="8"/>
      <c r="L23" s="8"/>
      <c r="M23" s="23" t="str">
        <f>INDEX(_pcName,3)</f>
        <v>CADR 150+</v>
      </c>
      <c r="N23" s="24"/>
      <c r="O23" s="26" t="str">
        <f t="array" ref="O23:S23">INDEX(_doShort,3,)</f>
        <v>EL0</v>
      </c>
      <c r="P23" s="26" t="str">
        <v>EL1</v>
      </c>
      <c r="Q23" s="26" t="str">
        <v>EL2</v>
      </c>
      <c r="R23" s="26" t="str">
        <v>EL3</v>
      </c>
      <c r="S23" s="27" t="str">
        <v>EL4</v>
      </c>
      <c r="T23" s="8"/>
    </row>
    <row r="24" spans="2:26" x14ac:dyDescent="0.35">
      <c r="B24" s="8"/>
      <c r="C24" s="19" t="s">
        <v>70</v>
      </c>
      <c r="D24" s="8"/>
      <c r="E24" s="8"/>
      <c r="F24" s="8"/>
      <c r="G24" s="8"/>
      <c r="H24" s="8"/>
      <c r="I24" s="18"/>
      <c r="J24" s="8"/>
      <c r="L24" s="8"/>
      <c r="M24" s="19" t="s">
        <v>70</v>
      </c>
      <c r="N24" s="8"/>
      <c r="O24" s="8"/>
      <c r="P24" s="8"/>
      <c r="Q24" s="8"/>
      <c r="R24" s="8"/>
      <c r="S24" s="18"/>
      <c r="T24" s="8"/>
    </row>
    <row r="25" spans="2:26" x14ac:dyDescent="0.35">
      <c r="B25" s="8"/>
      <c r="C25" s="10" t="s">
        <v>30</v>
      </c>
      <c r="D25" s="11" t="s">
        <v>144</v>
      </c>
      <c r="E25" s="32">
        <v>145.92208766309017</v>
      </c>
      <c r="F25" s="32">
        <v>147.88068542141497</v>
      </c>
      <c r="G25" s="32">
        <v>149.27425615234824</v>
      </c>
      <c r="H25" s="32">
        <v>152.78420255170266</v>
      </c>
      <c r="I25" s="55">
        <v>153.31968774262151</v>
      </c>
      <c r="J25" s="8"/>
      <c r="L25" s="8"/>
      <c r="M25" s="10" t="s">
        <v>30</v>
      </c>
      <c r="N25" s="11" t="s">
        <v>144</v>
      </c>
      <c r="O25" s="32">
        <v>140.94773044060653</v>
      </c>
      <c r="P25" s="32">
        <v>142.88978597419896</v>
      </c>
      <c r="Q25" s="32">
        <v>144.27158667215292</v>
      </c>
      <c r="R25" s="32">
        <v>147.75188822896851</v>
      </c>
      <c r="S25" s="55">
        <v>148.28285073709253</v>
      </c>
      <c r="T25" s="8"/>
    </row>
    <row r="26" spans="2:26" x14ac:dyDescent="0.35">
      <c r="B26" s="8"/>
      <c r="C26" s="10" t="s">
        <v>71</v>
      </c>
      <c r="D26" s="11" t="s">
        <v>144</v>
      </c>
      <c r="E26" s="32">
        <v>0</v>
      </c>
      <c r="F26" s="32">
        <v>0</v>
      </c>
      <c r="G26" s="32">
        <v>0</v>
      </c>
      <c r="H26" s="32">
        <v>0</v>
      </c>
      <c r="I26" s="55">
        <v>0</v>
      </c>
      <c r="J26" s="8"/>
      <c r="L26" s="8"/>
      <c r="M26" s="10" t="s">
        <v>71</v>
      </c>
      <c r="N26" s="11" t="s">
        <v>144</v>
      </c>
      <c r="O26" s="32">
        <v>0</v>
      </c>
      <c r="P26" s="32">
        <v>0</v>
      </c>
      <c r="Q26" s="32">
        <v>0</v>
      </c>
      <c r="R26" s="32">
        <v>0</v>
      </c>
      <c r="S26" s="55">
        <v>0</v>
      </c>
      <c r="T26" s="8"/>
    </row>
    <row r="27" spans="2:26" x14ac:dyDescent="0.35">
      <c r="B27" s="8"/>
      <c r="C27" s="19" t="s">
        <v>72</v>
      </c>
      <c r="D27" s="8"/>
      <c r="E27" s="8"/>
      <c r="F27" s="8"/>
      <c r="G27" s="8"/>
      <c r="H27" s="8"/>
      <c r="I27" s="18"/>
      <c r="J27" s="8"/>
      <c r="L27" s="8"/>
      <c r="M27" s="19" t="s">
        <v>72</v>
      </c>
      <c r="N27" s="8"/>
      <c r="O27" s="8"/>
      <c r="P27" s="8"/>
      <c r="Q27" s="8"/>
      <c r="R27" s="8"/>
      <c r="S27" s="18"/>
      <c r="T27" s="8"/>
    </row>
    <row r="28" spans="2:26" x14ac:dyDescent="0.35">
      <c r="B28" s="8"/>
      <c r="C28" s="10" t="s">
        <v>73</v>
      </c>
      <c r="D28" s="11" t="s">
        <v>74</v>
      </c>
      <c r="E28" s="40">
        <v>1.2</v>
      </c>
      <c r="F28" s="40">
        <v>2.0099999999999998</v>
      </c>
      <c r="G28" s="40">
        <v>2.91</v>
      </c>
      <c r="H28" s="40">
        <v>6.55</v>
      </c>
      <c r="I28" s="41">
        <v>7.41</v>
      </c>
      <c r="J28" s="8"/>
      <c r="L28" s="8"/>
      <c r="M28" s="10" t="s">
        <v>73</v>
      </c>
      <c r="N28" s="11" t="s">
        <v>74</v>
      </c>
      <c r="O28" s="40">
        <v>1.2</v>
      </c>
      <c r="P28" s="40">
        <v>2.0099999999999998</v>
      </c>
      <c r="Q28" s="40">
        <v>2.91</v>
      </c>
      <c r="R28" s="40">
        <v>6.55</v>
      </c>
      <c r="S28" s="41">
        <v>7.41</v>
      </c>
      <c r="T28" s="8"/>
    </row>
    <row r="29" spans="2:26" x14ac:dyDescent="0.35">
      <c r="B29" s="8"/>
      <c r="C29" s="10" t="s">
        <v>143</v>
      </c>
      <c r="D29" s="11" t="s">
        <v>75</v>
      </c>
      <c r="E29" s="40">
        <v>203.46821862422934</v>
      </c>
      <c r="F29" s="40">
        <v>122.26148038647598</v>
      </c>
      <c r="G29" s="40">
        <v>84.887937583821284</v>
      </c>
      <c r="H29" s="40">
        <v>39.268332337984738</v>
      </c>
      <c r="I29" s="41">
        <v>34.760574551471436</v>
      </c>
      <c r="J29" s="8"/>
      <c r="L29" s="8"/>
      <c r="M29" s="10" t="s">
        <v>143</v>
      </c>
      <c r="N29" s="11" t="s">
        <v>75</v>
      </c>
      <c r="O29" s="40">
        <v>424.09869043453654</v>
      </c>
      <c r="P29" s="40">
        <v>253.47970322143385</v>
      </c>
      <c r="Q29" s="40">
        <v>175.24362565247387</v>
      </c>
      <c r="R29" s="40">
        <v>78.421577083058011</v>
      </c>
      <c r="S29" s="41">
        <v>69.33808664422105</v>
      </c>
      <c r="T29" s="8"/>
    </row>
    <row r="30" spans="2:26" x14ac:dyDescent="0.35">
      <c r="B30" s="8"/>
      <c r="C30" s="35" t="s">
        <v>76</v>
      </c>
      <c r="D30" s="15" t="s">
        <v>63</v>
      </c>
      <c r="E30" s="121">
        <v>0.22184300341296928</v>
      </c>
      <c r="F30" s="121">
        <v>0.33276450511945393</v>
      </c>
      <c r="G30" s="121">
        <v>0.37713310580204779</v>
      </c>
      <c r="H30" s="121">
        <v>3.0716723549488054E-2</v>
      </c>
      <c r="I30" s="122">
        <v>3.7542662116040959E-2</v>
      </c>
      <c r="J30" s="8"/>
      <c r="L30" s="8"/>
      <c r="M30" s="35" t="s">
        <v>76</v>
      </c>
      <c r="N30" s="15" t="s">
        <v>63</v>
      </c>
      <c r="O30" s="121">
        <v>0.22184300341296928</v>
      </c>
      <c r="P30" s="121">
        <v>0.33276450511945393</v>
      </c>
      <c r="Q30" s="121">
        <v>0.37713310580204779</v>
      </c>
      <c r="R30" s="121">
        <v>3.0716723549488054E-2</v>
      </c>
      <c r="S30" s="122">
        <v>3.7542662116040959E-2</v>
      </c>
      <c r="T30" s="8"/>
    </row>
    <row r="31" spans="2:26" x14ac:dyDescent="0.35">
      <c r="B31" s="8"/>
      <c r="C31" s="8"/>
      <c r="D31" s="8"/>
      <c r="E31" s="8"/>
      <c r="F31" s="8"/>
      <c r="G31" s="8"/>
      <c r="H31" s="8"/>
      <c r="I31" s="8"/>
      <c r="J31" s="8"/>
      <c r="L31" s="8"/>
      <c r="M31" s="8"/>
      <c r="N31" s="8"/>
      <c r="O31" s="8"/>
      <c r="P31" s="8"/>
      <c r="Q31" s="8"/>
      <c r="R31" s="8"/>
      <c r="S31" s="8"/>
      <c r="T31" s="8"/>
    </row>
  </sheetData>
  <mergeCells count="2">
    <mergeCell ref="M3:S3"/>
    <mergeCell ref="C3:I3"/>
  </mergeCells>
  <conditionalFormatting sqref="O25:S25">
    <cfRule type="containsBlanks" dxfId="359" priority="5" stopIfTrue="1">
      <formula>LEN(TRIM(O25))=0</formula>
    </cfRule>
    <cfRule type="notContainsBlanks" dxfId="358" priority="6" stopIfTrue="1">
      <formula>LEN(TRIM(O25))&gt;0</formula>
    </cfRule>
  </conditionalFormatting>
  <conditionalFormatting sqref="O26:S26">
    <cfRule type="containsBlanks" dxfId="357" priority="7" stopIfTrue="1">
      <formula>LEN(TRIM(O26))=0</formula>
    </cfRule>
    <cfRule type="notContainsBlanks" dxfId="356" priority="8" stopIfTrue="1">
      <formula>LEN(TRIM(O26))&gt;0</formula>
    </cfRule>
  </conditionalFormatting>
  <conditionalFormatting sqref="O28:S28">
    <cfRule type="containsBlanks" dxfId="355" priority="9" stopIfTrue="1">
      <formula>LEN(TRIM(O28))=0</formula>
    </cfRule>
    <cfRule type="notContainsBlanks" dxfId="354" priority="10" stopIfTrue="1">
      <formula>LEN(TRIM(O28))&gt;0</formula>
    </cfRule>
  </conditionalFormatting>
  <conditionalFormatting sqref="O29:S29">
    <cfRule type="containsBlanks" dxfId="353" priority="11" stopIfTrue="1">
      <formula>LEN(TRIM(O29))=0</formula>
    </cfRule>
    <cfRule type="notContainsBlanks" dxfId="352" priority="12" stopIfTrue="1">
      <formula>LEN(TRIM(O29))&gt;0</formula>
    </cfRule>
  </conditionalFormatting>
  <conditionalFormatting sqref="O30:S30">
    <cfRule type="containsBlanks" dxfId="351" priority="13" stopIfTrue="1">
      <formula>LEN(TRIM(O30))=0</formula>
    </cfRule>
    <cfRule type="expression" dxfId="350" priority="14" stopIfTrue="1">
      <formula>SUM($O$30:$S$30)&lt;&gt;1</formula>
    </cfRule>
    <cfRule type="notContainsBlanks" dxfId="349" priority="15" stopIfTrue="1">
      <formula>LEN(TRIM(O30))&gt;0</formula>
    </cfRule>
  </conditionalFormatting>
  <conditionalFormatting sqref="O16:S16">
    <cfRule type="containsBlanks" dxfId="348" priority="16" stopIfTrue="1">
      <formula>LEN(TRIM(O16))=0</formula>
    </cfRule>
    <cfRule type="notContainsBlanks" dxfId="347" priority="17" stopIfTrue="1">
      <formula>LEN(TRIM(O16))&gt;0</formula>
    </cfRule>
  </conditionalFormatting>
  <conditionalFormatting sqref="O17:S17">
    <cfRule type="containsBlanks" dxfId="346" priority="18" stopIfTrue="1">
      <formula>LEN(TRIM(O17))=0</formula>
    </cfRule>
    <cfRule type="notContainsBlanks" dxfId="345" priority="19" stopIfTrue="1">
      <formula>LEN(TRIM(O17))&gt;0</formula>
    </cfRule>
  </conditionalFormatting>
  <conditionalFormatting sqref="O19:S19">
    <cfRule type="containsBlanks" dxfId="344" priority="20" stopIfTrue="1">
      <formula>LEN(TRIM(O19))=0</formula>
    </cfRule>
    <cfRule type="notContainsBlanks" dxfId="343" priority="21" stopIfTrue="1">
      <formula>LEN(TRIM(O19))&gt;0</formula>
    </cfRule>
  </conditionalFormatting>
  <conditionalFormatting sqref="O20:S20">
    <cfRule type="containsBlanks" dxfId="342" priority="22" stopIfTrue="1">
      <formula>LEN(TRIM(O20))=0</formula>
    </cfRule>
    <cfRule type="notContainsBlanks" dxfId="341" priority="23" stopIfTrue="1">
      <formula>LEN(TRIM(O20))&gt;0</formula>
    </cfRule>
  </conditionalFormatting>
  <conditionalFormatting sqref="O21:S21">
    <cfRule type="containsBlanks" dxfId="340" priority="24" stopIfTrue="1">
      <formula>LEN(TRIM(O21))=0</formula>
    </cfRule>
    <cfRule type="expression" dxfId="339" priority="25" stopIfTrue="1">
      <formula>SUM($O$21:$S$21)&lt;&gt;1</formula>
    </cfRule>
    <cfRule type="notContainsBlanks" dxfId="338" priority="26" stopIfTrue="1">
      <formula>LEN(TRIM(O21))&gt;0</formula>
    </cfRule>
  </conditionalFormatting>
  <conditionalFormatting sqref="O7:S7">
    <cfRule type="containsBlanks" dxfId="337" priority="27" stopIfTrue="1">
      <formula>LEN(TRIM(O7))=0</formula>
    </cfRule>
    <cfRule type="notContainsBlanks" dxfId="336" priority="28" stopIfTrue="1">
      <formula>LEN(TRIM(O7))&gt;0</formula>
    </cfRule>
  </conditionalFormatting>
  <conditionalFormatting sqref="O8:S8">
    <cfRule type="containsBlanks" dxfId="335" priority="29" stopIfTrue="1">
      <formula>LEN(TRIM(O8))=0</formula>
    </cfRule>
    <cfRule type="notContainsBlanks" dxfId="334" priority="30" stopIfTrue="1">
      <formula>LEN(TRIM(O8))&gt;0</formula>
    </cfRule>
  </conditionalFormatting>
  <conditionalFormatting sqref="E25:I25">
    <cfRule type="containsBlanks" dxfId="333" priority="38" stopIfTrue="1">
      <formula>LEN(TRIM(E25))=0</formula>
    </cfRule>
    <cfRule type="notContainsBlanks" dxfId="332" priority="39" stopIfTrue="1">
      <formula>LEN(TRIM(E25))&gt;0</formula>
    </cfRule>
  </conditionalFormatting>
  <conditionalFormatting sqref="E26:I26">
    <cfRule type="containsBlanks" dxfId="331" priority="40" stopIfTrue="1">
      <formula>LEN(TRIM(E26))=0</formula>
    </cfRule>
    <cfRule type="notContainsBlanks" dxfId="330" priority="41" stopIfTrue="1">
      <formula>LEN(TRIM(E26))&gt;0</formula>
    </cfRule>
  </conditionalFormatting>
  <conditionalFormatting sqref="E28:I28">
    <cfRule type="containsBlanks" dxfId="329" priority="42" stopIfTrue="1">
      <formula>LEN(TRIM(E28))=0</formula>
    </cfRule>
    <cfRule type="notContainsBlanks" dxfId="328" priority="43" stopIfTrue="1">
      <formula>LEN(TRIM(E28))&gt;0</formula>
    </cfRule>
  </conditionalFormatting>
  <conditionalFormatting sqref="E29:I29">
    <cfRule type="containsBlanks" dxfId="327" priority="44" stopIfTrue="1">
      <formula>LEN(TRIM(E29))=0</formula>
    </cfRule>
    <cfRule type="notContainsBlanks" dxfId="326" priority="45" stopIfTrue="1">
      <formula>LEN(TRIM(E29))&gt;0</formula>
    </cfRule>
  </conditionalFormatting>
  <conditionalFormatting sqref="E30:I30">
    <cfRule type="containsBlanks" dxfId="325" priority="46" stopIfTrue="1">
      <formula>LEN(TRIM(E30))=0</formula>
    </cfRule>
    <cfRule type="expression" dxfId="324" priority="47" stopIfTrue="1">
      <formula>SUM($E$30:$I$30)&lt;&gt;1</formula>
    </cfRule>
    <cfRule type="notContainsBlanks" dxfId="323" priority="48" stopIfTrue="1">
      <formula>LEN(TRIM(E30))&gt;0</formula>
    </cfRule>
  </conditionalFormatting>
  <conditionalFormatting sqref="E16:I16">
    <cfRule type="containsBlanks" dxfId="322" priority="49" stopIfTrue="1">
      <formula>LEN(TRIM(E16))=0</formula>
    </cfRule>
    <cfRule type="notContainsBlanks" dxfId="321" priority="50" stopIfTrue="1">
      <formula>LEN(TRIM(E16))&gt;0</formula>
    </cfRule>
  </conditionalFormatting>
  <conditionalFormatting sqref="E17:I17">
    <cfRule type="containsBlanks" dxfId="320" priority="51" stopIfTrue="1">
      <formula>LEN(TRIM(E17))=0</formula>
    </cfRule>
    <cfRule type="notContainsBlanks" dxfId="319" priority="52" stopIfTrue="1">
      <formula>LEN(TRIM(E17))&gt;0</formula>
    </cfRule>
  </conditionalFormatting>
  <conditionalFormatting sqref="E19:I19">
    <cfRule type="containsBlanks" dxfId="318" priority="53" stopIfTrue="1">
      <formula>LEN(TRIM(E19))=0</formula>
    </cfRule>
    <cfRule type="notContainsBlanks" dxfId="317" priority="54" stopIfTrue="1">
      <formula>LEN(TRIM(E19))&gt;0</formula>
    </cfRule>
  </conditionalFormatting>
  <conditionalFormatting sqref="E20:I20">
    <cfRule type="containsBlanks" dxfId="316" priority="55" stopIfTrue="1">
      <formula>LEN(TRIM(E20))=0</formula>
    </cfRule>
    <cfRule type="notContainsBlanks" dxfId="315" priority="56" stopIfTrue="1">
      <formula>LEN(TRIM(E20))&gt;0</formula>
    </cfRule>
  </conditionalFormatting>
  <conditionalFormatting sqref="E21:I21">
    <cfRule type="containsBlanks" dxfId="314" priority="57" stopIfTrue="1">
      <formula>LEN(TRIM(E21))=0</formula>
    </cfRule>
    <cfRule type="expression" dxfId="313" priority="58" stopIfTrue="1">
      <formula>SUM($E$21:$I$21)&lt;&gt;1</formula>
    </cfRule>
    <cfRule type="notContainsBlanks" dxfId="312" priority="59" stopIfTrue="1">
      <formula>LEN(TRIM(E21))&gt;0</formula>
    </cfRule>
  </conditionalFormatting>
  <conditionalFormatting sqref="E7:I7">
    <cfRule type="containsBlanks" dxfId="311" priority="60" stopIfTrue="1">
      <formula>LEN(TRIM(E7))=0</formula>
    </cfRule>
    <cfRule type="notContainsBlanks" dxfId="310" priority="61" stopIfTrue="1">
      <formula>LEN(TRIM(E7))&gt;0</formula>
    </cfRule>
  </conditionalFormatting>
  <conditionalFormatting sqref="E8:I8">
    <cfRule type="containsBlanks" dxfId="309" priority="62" stopIfTrue="1">
      <formula>LEN(TRIM(E8))=0</formula>
    </cfRule>
    <cfRule type="notContainsBlanks" dxfId="308" priority="63" stopIfTrue="1">
      <formula>LEN(TRIM(E8))&gt;0</formula>
    </cfRule>
  </conditionalFormatting>
  <conditionalFormatting sqref="E10:I12">
    <cfRule type="containsBlanks" dxfId="307" priority="3" stopIfTrue="1">
      <formula>LEN(TRIM(E10))=0</formula>
    </cfRule>
    <cfRule type="notContainsBlanks" dxfId="306" priority="4" stopIfTrue="1">
      <formula>LEN(TRIM(E10))&gt;0</formula>
    </cfRule>
  </conditionalFormatting>
  <conditionalFormatting sqref="O10:S12">
    <cfRule type="containsBlanks" dxfId="305" priority="1" stopIfTrue="1">
      <formula>LEN(TRIM(O10))=0</formula>
    </cfRule>
    <cfRule type="notContainsBlanks" dxfId="304" priority="2" stopIfTrue="1">
      <formula>LEN(TRIM(O10))&gt;0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BH217"/>
  <sheetViews>
    <sheetView zoomScale="85" zoomScaleNormal="85" workbookViewId="0">
      <selection activeCell="AZ22" sqref="AZ22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31" style="6" bestFit="1" customWidth="1"/>
    <col min="4" max="4" width="8" style="6" bestFit="1" customWidth="1"/>
    <col min="5" max="40" width="13.36328125" style="6" bestFit="1" customWidth="1"/>
    <col min="41" max="59" width="5.90625" style="6" bestFit="1" customWidth="1"/>
    <col min="60" max="60" width="3.453125" style="6" customWidth="1"/>
    <col min="61" max="16384" width="9.1796875" style="6"/>
  </cols>
  <sheetData>
    <row r="1" spans="2:60" x14ac:dyDescent="0.35"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</row>
    <row r="2" spans="2:60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</row>
    <row r="3" spans="2:60" x14ac:dyDescent="0.35">
      <c r="B3" s="8"/>
      <c r="C3" s="135" t="s">
        <v>13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8"/>
    </row>
    <row r="4" spans="2:60" x14ac:dyDescent="0.3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</row>
    <row r="5" spans="2:60" x14ac:dyDescent="0.35">
      <c r="B5" s="8"/>
      <c r="C5" s="23" t="s">
        <v>69</v>
      </c>
      <c r="D5" s="24"/>
      <c r="E5" s="26">
        <f t="array" ref="E5:AN5">_yS</f>
        <v>2024</v>
      </c>
      <c r="F5" s="26">
        <v>2025</v>
      </c>
      <c r="G5" s="26">
        <v>2026</v>
      </c>
      <c r="H5" s="26">
        <v>2027</v>
      </c>
      <c r="I5" s="26">
        <v>2028</v>
      </c>
      <c r="J5" s="26">
        <v>2029</v>
      </c>
      <c r="K5" s="26">
        <v>2030</v>
      </c>
      <c r="L5" s="26">
        <v>2031</v>
      </c>
      <c r="M5" s="26">
        <v>2032</v>
      </c>
      <c r="N5" s="26">
        <v>2033</v>
      </c>
      <c r="O5" s="26">
        <v>2034</v>
      </c>
      <c r="P5" s="26">
        <v>2035</v>
      </c>
      <c r="Q5" s="26">
        <v>2036</v>
      </c>
      <c r="R5" s="26">
        <v>2037</v>
      </c>
      <c r="S5" s="26">
        <v>2038</v>
      </c>
      <c r="T5" s="26">
        <v>2039</v>
      </c>
      <c r="U5" s="26">
        <v>2040</v>
      </c>
      <c r="V5" s="26">
        <v>2041</v>
      </c>
      <c r="W5" s="26">
        <v>2042</v>
      </c>
      <c r="X5" s="26">
        <v>2043</v>
      </c>
      <c r="Y5" s="26">
        <v>2044</v>
      </c>
      <c r="Z5" s="26">
        <v>2045</v>
      </c>
      <c r="AA5" s="26">
        <v>2046</v>
      </c>
      <c r="AB5" s="26">
        <v>2047</v>
      </c>
      <c r="AC5" s="26">
        <v>2048</v>
      </c>
      <c r="AD5" s="26">
        <v>2049</v>
      </c>
      <c r="AE5" s="26">
        <v>2050</v>
      </c>
      <c r="AF5" s="26">
        <v>2051</v>
      </c>
      <c r="AG5" s="26">
        <v>2052</v>
      </c>
      <c r="AH5" s="26">
        <v>2053</v>
      </c>
      <c r="AI5" s="26">
        <v>2054</v>
      </c>
      <c r="AJ5" s="26">
        <v>2055</v>
      </c>
      <c r="AK5" s="26">
        <v>2056</v>
      </c>
      <c r="AL5" s="26">
        <v>2057</v>
      </c>
      <c r="AM5" s="26">
        <v>2058</v>
      </c>
      <c r="AN5" s="27">
        <v>2059</v>
      </c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</row>
    <row r="6" spans="2:60" x14ac:dyDescent="0.35">
      <c r="B6" s="8"/>
      <c r="C6" s="28" t="s">
        <v>65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51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</row>
    <row r="7" spans="2:60" x14ac:dyDescent="0.35">
      <c r="B7" s="8"/>
      <c r="C7" s="47" t="str">
        <f>"Total Shipments [" &amp; sSScen &amp; "]"</f>
        <v>Total Shipments [AEO Reference]</v>
      </c>
      <c r="D7" s="11" t="str">
        <f>shpUnit</f>
        <v>mi units</v>
      </c>
      <c r="E7" s="40">
        <f t="array" aca="1" ref="E7:AN7" ca="1">tShpsmlBC_Res+tShpmedBC_Res+tShplrgBC_Res</f>
        <v>4.9276408704644972</v>
      </c>
      <c r="F7" s="40">
        <f ca="1"/>
        <v>5.159057660404974</v>
      </c>
      <c r="G7" s="40">
        <f ca="1"/>
        <v>5.407374741762057</v>
      </c>
      <c r="H7" s="40">
        <f ca="1"/>
        <v>5.6821848710471166</v>
      </c>
      <c r="I7" s="40">
        <f ca="1"/>
        <v>5.9802556119813488</v>
      </c>
      <c r="J7" s="40">
        <f ca="1"/>
        <v>6.2967355040572563</v>
      </c>
      <c r="K7" s="40">
        <f ca="1"/>
        <v>6.627838591331555</v>
      </c>
      <c r="L7" s="40">
        <f ca="1"/>
        <v>6.9710424514625755</v>
      </c>
      <c r="M7" s="40">
        <f ca="1"/>
        <v>7.3261988725487441</v>
      </c>
      <c r="N7" s="40">
        <f ca="1"/>
        <v>7.6948289444207623</v>
      </c>
      <c r="O7" s="40">
        <f ca="1"/>
        <v>8.079256715734676</v>
      </c>
      <c r="P7" s="40">
        <f ca="1"/>
        <v>8.4821950474126915</v>
      </c>
      <c r="Q7" s="40">
        <f ca="1"/>
        <v>8.9059238804216569</v>
      </c>
      <c r="R7" s="40">
        <f ca="1"/>
        <v>9.3518857442617485</v>
      </c>
      <c r="S7" s="40">
        <f ca="1"/>
        <v>9.8216838773690291</v>
      </c>
      <c r="T7" s="40">
        <f ca="1"/>
        <v>10.314376819919902</v>
      </c>
      <c r="U7" s="40">
        <f ca="1"/>
        <v>10.831461794786918</v>
      </c>
      <c r="V7" s="40">
        <f ca="1"/>
        <v>11.373563112189256</v>
      </c>
      <c r="W7" s="40">
        <f ca="1"/>
        <v>11.941604155500722</v>
      </c>
      <c r="X7" s="40">
        <f ca="1"/>
        <v>12.536822914663968</v>
      </c>
      <c r="Y7" s="40">
        <f ca="1"/>
        <v>13.160647424176677</v>
      </c>
      <c r="Z7" s="40">
        <f ca="1"/>
        <v>13.814714695629547</v>
      </c>
      <c r="AA7" s="40">
        <f ca="1"/>
        <v>14.500678301175171</v>
      </c>
      <c r="AB7" s="40">
        <f ca="1"/>
        <v>15.220201052562924</v>
      </c>
      <c r="AC7" s="40">
        <f ca="1"/>
        <v>15.974946122876265</v>
      </c>
      <c r="AD7" s="40">
        <f ca="1"/>
        <v>16.766593141221758</v>
      </c>
      <c r="AE7" s="40">
        <f ca="1"/>
        <v>17.596873860105397</v>
      </c>
      <c r="AF7" s="40">
        <f ca="1"/>
        <v>18.467604327068603</v>
      </c>
      <c r="AG7" s="40">
        <f ca="1"/>
        <v>19.380709181898695</v>
      </c>
      <c r="AH7" s="40">
        <f ca="1"/>
        <v>20.33823492617158</v>
      </c>
      <c r="AI7" s="40">
        <f ca="1"/>
        <v>21.342351096053193</v>
      </c>
      <c r="AJ7" s="40">
        <f ca="1"/>
        <v>22.395346274548231</v>
      </c>
      <c r="AK7" s="40">
        <f ca="1"/>
        <v>23.499625439721552</v>
      </c>
      <c r="AL7" s="40">
        <f ca="1"/>
        <v>24.657700429371836</v>
      </c>
      <c r="AM7" s="40">
        <f ca="1"/>
        <v>0</v>
      </c>
      <c r="AN7" s="41">
        <f ca="1"/>
        <v>0</v>
      </c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</row>
    <row r="8" spans="2:60" x14ac:dyDescent="0.35">
      <c r="B8" s="8"/>
      <c r="C8" s="47" t="s">
        <v>61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1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</row>
    <row r="9" spans="2:60" x14ac:dyDescent="0.35">
      <c r="B9" s="8"/>
      <c r="C9" s="20" t="str">
        <f>INDEX(_pcName,1)</f>
        <v>CADR 10-99</v>
      </c>
      <c r="D9" s="11" t="str">
        <f>shpUnit</f>
        <v>mi units</v>
      </c>
      <c r="E9" s="32">
        <f t="array" aca="1" ref="E9:AN9" ca="1">INDEX(tShpScensmlBC_Res,iSScen,)</f>
        <v>1.2811866263207694</v>
      </c>
      <c r="F9" s="32">
        <f ca="1"/>
        <v>1.3413549917052934</v>
      </c>
      <c r="G9" s="32">
        <f ca="1"/>
        <v>1.4059174328581348</v>
      </c>
      <c r="H9" s="32">
        <f ca="1"/>
        <v>1.4773680664722502</v>
      </c>
      <c r="I9" s="32">
        <f ca="1"/>
        <v>1.5548664591151506</v>
      </c>
      <c r="J9" s="32">
        <f ca="1"/>
        <v>1.6371512310548868</v>
      </c>
      <c r="K9" s="32">
        <f ca="1"/>
        <v>1.7232380337462043</v>
      </c>
      <c r="L9" s="32">
        <f ca="1"/>
        <v>1.8124710373802697</v>
      </c>
      <c r="M9" s="32">
        <f ca="1"/>
        <v>1.9048117068626735</v>
      </c>
      <c r="N9" s="32">
        <f ca="1"/>
        <v>2.0006555255493983</v>
      </c>
      <c r="O9" s="32">
        <f ca="1"/>
        <v>2.1006067460910156</v>
      </c>
      <c r="P9" s="32">
        <f ca="1"/>
        <v>2.2053707123272996</v>
      </c>
      <c r="Q9" s="32">
        <f ca="1"/>
        <v>2.3155402089096304</v>
      </c>
      <c r="R9" s="32">
        <f ca="1"/>
        <v>2.4314902935080545</v>
      </c>
      <c r="S9" s="32">
        <f ca="1"/>
        <v>2.5536378081159481</v>
      </c>
      <c r="T9" s="32">
        <f ca="1"/>
        <v>2.6817379731791746</v>
      </c>
      <c r="U9" s="32">
        <f ca="1"/>
        <v>2.8161800666445993</v>
      </c>
      <c r="V9" s="32">
        <f ca="1"/>
        <v>2.9571264091692067</v>
      </c>
      <c r="W9" s="32">
        <f ca="1"/>
        <v>3.1048170804301876</v>
      </c>
      <c r="X9" s="32">
        <f ca="1"/>
        <v>3.2595739578126319</v>
      </c>
      <c r="Y9" s="32">
        <f ca="1"/>
        <v>3.4217683302859361</v>
      </c>
      <c r="Z9" s="32">
        <f ca="1"/>
        <v>3.5918258208636824</v>
      </c>
      <c r="AA9" s="32">
        <f ca="1"/>
        <v>3.7701763583055445</v>
      </c>
      <c r="AB9" s="32">
        <f ca="1"/>
        <v>3.9572522736663602</v>
      </c>
      <c r="AC9" s="32">
        <f ca="1"/>
        <v>4.1534859919478286</v>
      </c>
      <c r="AD9" s="32">
        <f ca="1"/>
        <v>4.3593142167176575</v>
      </c>
      <c r="AE9" s="32">
        <f ca="1"/>
        <v>4.5751872036274035</v>
      </c>
      <c r="AF9" s="32">
        <f ca="1"/>
        <v>4.801577125037837</v>
      </c>
      <c r="AG9" s="32">
        <f ca="1"/>
        <v>5.0389843872936604</v>
      </c>
      <c r="AH9" s="32">
        <f ca="1"/>
        <v>5.287941080804611</v>
      </c>
      <c r="AI9" s="32">
        <f ca="1"/>
        <v>5.5490112849738304</v>
      </c>
      <c r="AJ9" s="32">
        <f ca="1"/>
        <v>5.8227900313825405</v>
      </c>
      <c r="AK9" s="32">
        <f ca="1"/>
        <v>6.1099026143276038</v>
      </c>
      <c r="AL9" s="32">
        <f ca="1"/>
        <v>6.4110021116366767</v>
      </c>
      <c r="AM9" s="32">
        <f ca="1"/>
        <v>0</v>
      </c>
      <c r="AN9" s="55">
        <f ca="1"/>
        <v>0</v>
      </c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</row>
    <row r="10" spans="2:60" x14ac:dyDescent="0.35">
      <c r="B10" s="8"/>
      <c r="C10" s="50" t="str">
        <f>INDEX(_SScen,1)</f>
        <v>AEO Reference</v>
      </c>
      <c r="D10" s="11" t="str">
        <f>Shipments!shpUnit</f>
        <v>mi units</v>
      </c>
      <c r="E10" s="32">
        <v>1.2811866263207694</v>
      </c>
      <c r="F10" s="32">
        <v>1.3413549917052934</v>
      </c>
      <c r="G10" s="32">
        <v>1.4059174328581348</v>
      </c>
      <c r="H10" s="32">
        <v>1.4773680664722502</v>
      </c>
      <c r="I10" s="32">
        <v>1.5548664591151506</v>
      </c>
      <c r="J10" s="32">
        <v>1.6371512310548868</v>
      </c>
      <c r="K10" s="32">
        <v>1.7232380337462043</v>
      </c>
      <c r="L10" s="32">
        <v>1.8124710373802697</v>
      </c>
      <c r="M10" s="32">
        <v>1.9048117068626735</v>
      </c>
      <c r="N10" s="32">
        <v>2.0006555255493983</v>
      </c>
      <c r="O10" s="32">
        <v>2.1006067460910156</v>
      </c>
      <c r="P10" s="32">
        <v>2.2053707123272996</v>
      </c>
      <c r="Q10" s="32">
        <v>2.3155402089096304</v>
      </c>
      <c r="R10" s="32">
        <v>2.4314902935080545</v>
      </c>
      <c r="S10" s="32">
        <v>2.5536378081159481</v>
      </c>
      <c r="T10" s="32">
        <v>2.6817379731791746</v>
      </c>
      <c r="U10" s="32">
        <v>2.8161800666445993</v>
      </c>
      <c r="V10" s="32">
        <v>2.9571264091692067</v>
      </c>
      <c r="W10" s="32">
        <v>3.1048170804301876</v>
      </c>
      <c r="X10" s="32">
        <v>3.2595739578126319</v>
      </c>
      <c r="Y10" s="32">
        <v>3.4217683302859361</v>
      </c>
      <c r="Z10" s="32">
        <v>3.5918258208636824</v>
      </c>
      <c r="AA10" s="32">
        <v>3.7701763583055445</v>
      </c>
      <c r="AB10" s="32">
        <v>3.9572522736663602</v>
      </c>
      <c r="AC10" s="32">
        <v>4.1534859919478286</v>
      </c>
      <c r="AD10" s="32">
        <v>4.3593142167176575</v>
      </c>
      <c r="AE10" s="32">
        <v>4.5751872036274035</v>
      </c>
      <c r="AF10" s="32">
        <v>4.801577125037837</v>
      </c>
      <c r="AG10" s="32">
        <v>5.0389843872936604</v>
      </c>
      <c r="AH10" s="32">
        <v>5.287941080804611</v>
      </c>
      <c r="AI10" s="32">
        <v>5.5490112849738304</v>
      </c>
      <c r="AJ10" s="32">
        <v>5.8227900313825405</v>
      </c>
      <c r="AK10" s="32">
        <v>6.1099026143276038</v>
      </c>
      <c r="AL10" s="32">
        <v>6.4110021116366767</v>
      </c>
      <c r="AM10" s="32"/>
      <c r="AN10" s="55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</row>
    <row r="11" spans="2:60" x14ac:dyDescent="0.35">
      <c r="B11" s="8"/>
      <c r="C11" s="50" t="str">
        <f>INDEX(_SScen,2)</f>
        <v>AEO Low</v>
      </c>
      <c r="D11" s="11" t="str">
        <f>Shipments!shpUnit</f>
        <v>mi units</v>
      </c>
      <c r="E11" s="32">
        <v>1.2659996704056105</v>
      </c>
      <c r="F11" s="32">
        <v>1.3204344136529</v>
      </c>
      <c r="G11" s="32">
        <v>1.3784964137010791</v>
      </c>
      <c r="H11" s="32">
        <v>1.4433338281997226</v>
      </c>
      <c r="I11" s="32">
        <v>1.5142800730910404</v>
      </c>
      <c r="J11" s="32">
        <v>1.5891668664420078</v>
      </c>
      <c r="K11" s="32">
        <v>1.6665792744487233</v>
      </c>
      <c r="L11" s="32">
        <v>1.746106698445385</v>
      </c>
      <c r="M11" s="32">
        <v>1.8289825263323096</v>
      </c>
      <c r="N11" s="32">
        <v>1.9143198722072228</v>
      </c>
      <c r="O11" s="32">
        <v>2.0018765655132529</v>
      </c>
      <c r="P11" s="32">
        <v>2.0924394029423152</v>
      </c>
      <c r="Q11" s="32">
        <v>2.1869273003838909</v>
      </c>
      <c r="R11" s="32">
        <v>2.285970967643765</v>
      </c>
      <c r="S11" s="32">
        <v>2.3900068140919517</v>
      </c>
      <c r="T11" s="32">
        <v>2.4988118096044061</v>
      </c>
      <c r="U11" s="32">
        <v>2.6122165091594503</v>
      </c>
      <c r="V11" s="32">
        <v>2.7302376196551403</v>
      </c>
      <c r="W11" s="32">
        <v>2.8529379917910118</v>
      </c>
      <c r="X11" s="32">
        <v>2.9801818934368787</v>
      </c>
      <c r="Y11" s="32">
        <v>3.1120213744516527</v>
      </c>
      <c r="Z11" s="32">
        <v>3.2486445086543605</v>
      </c>
      <c r="AA11" s="32">
        <v>3.39045456201434</v>
      </c>
      <c r="AB11" s="32">
        <v>3.5380153921096498</v>
      </c>
      <c r="AC11" s="32">
        <v>3.691270061020639</v>
      </c>
      <c r="AD11" s="32">
        <v>3.8502936073405967</v>
      </c>
      <c r="AE11" s="32">
        <v>4.0150699029052754</v>
      </c>
      <c r="AF11" s="32">
        <v>4.1871802471884587</v>
      </c>
      <c r="AG11" s="32">
        <v>4.3660460731056245</v>
      </c>
      <c r="AH11" s="32">
        <v>4.5519017210279999</v>
      </c>
      <c r="AI11" s="32">
        <v>4.7450065414719527</v>
      </c>
      <c r="AJ11" s="32">
        <v>4.9456424366752803</v>
      </c>
      <c r="AK11" s="32">
        <v>5.1541086600609427</v>
      </c>
      <c r="AL11" s="32">
        <v>5.3707156286559652</v>
      </c>
      <c r="AM11" s="32"/>
      <c r="AN11" s="55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</row>
    <row r="12" spans="2:60" x14ac:dyDescent="0.35">
      <c r="B12" s="8"/>
      <c r="C12" s="50" t="str">
        <f>INDEX(_SScen,3)</f>
        <v>AEO High</v>
      </c>
      <c r="D12" s="11" t="str">
        <f>Shipments!shpUnit</f>
        <v>mi units</v>
      </c>
      <c r="E12" s="32">
        <v>1.2958267803528862</v>
      </c>
      <c r="F12" s="32">
        <v>1.361652761876265</v>
      </c>
      <c r="G12" s="32">
        <v>1.4325243146832156</v>
      </c>
      <c r="H12" s="32">
        <v>1.5105841523272636</v>
      </c>
      <c r="I12" s="32">
        <v>1.5948394381167181</v>
      </c>
      <c r="J12" s="32">
        <v>1.6845490796805977</v>
      </c>
      <c r="K12" s="32">
        <v>1.7792712647246058</v>
      </c>
      <c r="L12" s="32">
        <v>1.8783953343548812</v>
      </c>
      <c r="M12" s="32">
        <v>1.9815687382705196</v>
      </c>
      <c r="N12" s="32">
        <v>2.0893209462747548</v>
      </c>
      <c r="O12" s="32">
        <v>2.2027834788129979</v>
      </c>
      <c r="P12" s="32">
        <v>2.3234560850066859</v>
      </c>
      <c r="Q12" s="32">
        <v>2.4513194682926742</v>
      </c>
      <c r="R12" s="32">
        <v>2.5868902040358299</v>
      </c>
      <c r="S12" s="32">
        <v>2.7305468546730465</v>
      </c>
      <c r="T12" s="32">
        <v>2.8823347264650003</v>
      </c>
      <c r="U12" s="32">
        <v>3.0429728886149348</v>
      </c>
      <c r="V12" s="32">
        <v>3.2127738993072557</v>
      </c>
      <c r="W12" s="32">
        <v>3.3921972264336024</v>
      </c>
      <c r="X12" s="32">
        <v>3.5819330026817955</v>
      </c>
      <c r="Y12" s="32">
        <v>3.7832034998218207</v>
      </c>
      <c r="Z12" s="32">
        <v>3.9967769761337952</v>
      </c>
      <c r="AA12" s="32">
        <v>4.2223068752061721</v>
      </c>
      <c r="AB12" s="32">
        <v>4.4609965132082507</v>
      </c>
      <c r="AC12" s="32">
        <v>4.7141865352960979</v>
      </c>
      <c r="AD12" s="32">
        <v>4.9817921492685322</v>
      </c>
      <c r="AE12" s="32">
        <v>5.2655782551094052</v>
      </c>
      <c r="AF12" s="32">
        <v>5.565858430329726</v>
      </c>
      <c r="AG12" s="32">
        <v>5.8838636050952022</v>
      </c>
      <c r="AH12" s="32">
        <v>6.2206636839920169</v>
      </c>
      <c r="AI12" s="32">
        <v>6.5773920010544469</v>
      </c>
      <c r="AJ12" s="32">
        <v>6.955251988311713</v>
      </c>
      <c r="AK12" s="32">
        <v>7.3555194044589181</v>
      </c>
      <c r="AL12" s="32">
        <v>7.7795463036101387</v>
      </c>
      <c r="AM12" s="32"/>
      <c r="AN12" s="55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</row>
    <row r="13" spans="2:60" x14ac:dyDescent="0.35">
      <c r="B13" s="8"/>
      <c r="C13" s="20" t="str">
        <f>INDEX(_pcName,2)</f>
        <v>CADR 100-149</v>
      </c>
      <c r="D13" s="11" t="str">
        <f>shpUnit</f>
        <v>mi units</v>
      </c>
      <c r="E13" s="32">
        <f t="array" aca="1" ref="E13:AN13" ca="1">INDEX(tShpScenmedBC_Res,iSScen,)</f>
        <v>1.1826338089114792</v>
      </c>
      <c r="F13" s="32">
        <f ca="1"/>
        <v>1.2381738384971936</v>
      </c>
      <c r="G13" s="32">
        <f ca="1"/>
        <v>1.2977699380228938</v>
      </c>
      <c r="H13" s="32">
        <f ca="1"/>
        <v>1.3637243690513079</v>
      </c>
      <c r="I13" s="32">
        <f ca="1"/>
        <v>1.4352613468755238</v>
      </c>
      <c r="J13" s="32">
        <f ca="1"/>
        <v>1.5112165209737416</v>
      </c>
      <c r="K13" s="32">
        <f ca="1"/>
        <v>1.5906812619195732</v>
      </c>
      <c r="L13" s="32">
        <f ca="1"/>
        <v>1.673050188351018</v>
      </c>
      <c r="M13" s="32">
        <f ca="1"/>
        <v>1.7582877294116985</v>
      </c>
      <c r="N13" s="32">
        <f ca="1"/>
        <v>1.8467589466609828</v>
      </c>
      <c r="O13" s="32">
        <f ca="1"/>
        <v>1.9390216117763224</v>
      </c>
      <c r="P13" s="32">
        <f ca="1"/>
        <v>2.0357268113790461</v>
      </c>
      <c r="Q13" s="32">
        <f ca="1"/>
        <v>2.1374217313011976</v>
      </c>
      <c r="R13" s="32">
        <f ca="1"/>
        <v>2.2444525786228198</v>
      </c>
      <c r="S13" s="32">
        <f ca="1"/>
        <v>2.3572041305685669</v>
      </c>
      <c r="T13" s="32">
        <f ca="1"/>
        <v>2.4754504367807764</v>
      </c>
      <c r="U13" s="32">
        <f ca="1"/>
        <v>2.5995508307488602</v>
      </c>
      <c r="V13" s="32">
        <f ca="1"/>
        <v>2.7296551469254209</v>
      </c>
      <c r="W13" s="32">
        <f ca="1"/>
        <v>2.8659849973201732</v>
      </c>
      <c r="X13" s="32">
        <f ca="1"/>
        <v>3.0088374995193523</v>
      </c>
      <c r="Y13" s="32">
        <f ca="1"/>
        <v>3.1585553818024019</v>
      </c>
      <c r="Z13" s="32">
        <f ca="1"/>
        <v>3.3155315269510912</v>
      </c>
      <c r="AA13" s="32">
        <f ca="1"/>
        <v>3.4801627922820408</v>
      </c>
      <c r="AB13" s="32">
        <f ca="1"/>
        <v>3.6528482526151018</v>
      </c>
      <c r="AC13" s="32">
        <f ca="1"/>
        <v>3.8339870694903033</v>
      </c>
      <c r="AD13" s="32">
        <f ca="1"/>
        <v>4.0239823538932216</v>
      </c>
      <c r="AE13" s="32">
        <f ca="1"/>
        <v>4.2232497264252959</v>
      </c>
      <c r="AF13" s="32">
        <f ca="1"/>
        <v>4.4322250384964645</v>
      </c>
      <c r="AG13" s="32">
        <f ca="1"/>
        <v>4.651370203655687</v>
      </c>
      <c r="AH13" s="32">
        <f ca="1"/>
        <v>4.88117638228118</v>
      </c>
      <c r="AI13" s="32">
        <f ca="1"/>
        <v>5.122164263052766</v>
      </c>
      <c r="AJ13" s="32">
        <f ca="1"/>
        <v>5.374883105891576</v>
      </c>
      <c r="AK13" s="32">
        <f ca="1"/>
        <v>5.639910105533172</v>
      </c>
      <c r="AL13" s="32">
        <f ca="1"/>
        <v>5.9178481030492405</v>
      </c>
      <c r="AM13" s="32">
        <f ca="1"/>
        <v>0</v>
      </c>
      <c r="AN13" s="55">
        <f ca="1"/>
        <v>0</v>
      </c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</row>
    <row r="14" spans="2:60" x14ac:dyDescent="0.35">
      <c r="B14" s="8"/>
      <c r="C14" s="50" t="str">
        <f>INDEX(_SScen,1)</f>
        <v>AEO Reference</v>
      </c>
      <c r="D14" s="11" t="str">
        <f>Shipments!shpUnit</f>
        <v>mi units</v>
      </c>
      <c r="E14" s="32">
        <v>1.1826338089114792</v>
      </c>
      <c r="F14" s="32">
        <v>1.2381738384971936</v>
      </c>
      <c r="G14" s="32">
        <v>1.2977699380228938</v>
      </c>
      <c r="H14" s="32">
        <v>1.3637243690513079</v>
      </c>
      <c r="I14" s="32">
        <v>1.4352613468755238</v>
      </c>
      <c r="J14" s="32">
        <v>1.5112165209737416</v>
      </c>
      <c r="K14" s="32">
        <v>1.5906812619195732</v>
      </c>
      <c r="L14" s="32">
        <v>1.673050188351018</v>
      </c>
      <c r="M14" s="32">
        <v>1.7582877294116985</v>
      </c>
      <c r="N14" s="32">
        <v>1.8467589466609828</v>
      </c>
      <c r="O14" s="32">
        <v>1.9390216117763224</v>
      </c>
      <c r="P14" s="32">
        <v>2.0357268113790461</v>
      </c>
      <c r="Q14" s="32">
        <v>2.1374217313011976</v>
      </c>
      <c r="R14" s="32">
        <v>2.2444525786228198</v>
      </c>
      <c r="S14" s="32">
        <v>2.3572041305685669</v>
      </c>
      <c r="T14" s="32">
        <v>2.4754504367807764</v>
      </c>
      <c r="U14" s="32">
        <v>2.5995508307488602</v>
      </c>
      <c r="V14" s="32">
        <v>2.7296551469254209</v>
      </c>
      <c r="W14" s="32">
        <v>2.8659849973201732</v>
      </c>
      <c r="X14" s="32">
        <v>3.0088374995193523</v>
      </c>
      <c r="Y14" s="32">
        <v>3.1585553818024019</v>
      </c>
      <c r="Z14" s="32">
        <v>3.3155315269510912</v>
      </c>
      <c r="AA14" s="32">
        <v>3.4801627922820408</v>
      </c>
      <c r="AB14" s="32">
        <v>3.6528482526151018</v>
      </c>
      <c r="AC14" s="32">
        <v>3.8339870694903033</v>
      </c>
      <c r="AD14" s="32">
        <v>4.0239823538932216</v>
      </c>
      <c r="AE14" s="32">
        <v>4.2232497264252959</v>
      </c>
      <c r="AF14" s="32">
        <v>4.4322250384964645</v>
      </c>
      <c r="AG14" s="32">
        <v>4.651370203655687</v>
      </c>
      <c r="AH14" s="32">
        <v>4.88117638228118</v>
      </c>
      <c r="AI14" s="32">
        <v>5.122164263052766</v>
      </c>
      <c r="AJ14" s="32">
        <v>5.374883105891576</v>
      </c>
      <c r="AK14" s="32">
        <v>5.639910105533172</v>
      </c>
      <c r="AL14" s="32">
        <v>5.9178481030492405</v>
      </c>
      <c r="AM14" s="32"/>
      <c r="AN14" s="55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</row>
    <row r="15" spans="2:60" x14ac:dyDescent="0.35">
      <c r="B15" s="8"/>
      <c r="C15" s="50" t="str">
        <f>INDEX(_SScen,2)</f>
        <v>AEO Low</v>
      </c>
      <c r="D15" s="11" t="str">
        <f>Shipments!shpUnit</f>
        <v>mi units</v>
      </c>
      <c r="E15" s="32">
        <v>1.1686150803744098</v>
      </c>
      <c r="F15" s="32">
        <v>1.2188625356795999</v>
      </c>
      <c r="G15" s="32">
        <v>1.2724582280317651</v>
      </c>
      <c r="H15" s="32">
        <v>1.3323081491074362</v>
      </c>
      <c r="I15" s="32">
        <v>1.3977969905455756</v>
      </c>
      <c r="J15" s="32">
        <v>1.4669232613310839</v>
      </c>
      <c r="K15" s="32">
        <v>1.5383808687218983</v>
      </c>
      <c r="L15" s="32">
        <v>1.6117907985649709</v>
      </c>
      <c r="M15" s="32">
        <v>1.6882915627682855</v>
      </c>
      <c r="N15" s="32">
        <v>1.7670644974220515</v>
      </c>
      <c r="O15" s="32">
        <v>1.8478860604737719</v>
      </c>
      <c r="P15" s="32">
        <v>1.9314825257929062</v>
      </c>
      <c r="Q15" s="32">
        <v>2.0187021234312836</v>
      </c>
      <c r="R15" s="32">
        <v>2.1101270470557827</v>
      </c>
      <c r="S15" s="32">
        <v>2.2061601360848786</v>
      </c>
      <c r="T15" s="32">
        <v>2.3065955165579131</v>
      </c>
      <c r="U15" s="32">
        <v>2.4112767776856456</v>
      </c>
      <c r="V15" s="32">
        <v>2.5202193412201295</v>
      </c>
      <c r="W15" s="32">
        <v>2.6334812231917031</v>
      </c>
      <c r="X15" s="32">
        <v>2.7509371324032719</v>
      </c>
      <c r="Y15" s="32">
        <v>2.8726351148784484</v>
      </c>
      <c r="Z15" s="32">
        <v>2.9987487772194097</v>
      </c>
      <c r="AA15" s="32">
        <v>3.1296503649363139</v>
      </c>
      <c r="AB15" s="32">
        <v>3.265860361947369</v>
      </c>
      <c r="AC15" s="32">
        <v>3.4073262101728976</v>
      </c>
      <c r="AD15" s="32">
        <v>3.5541171760067041</v>
      </c>
      <c r="AE15" s="32">
        <v>3.7062183719125623</v>
      </c>
      <c r="AF15" s="32">
        <v>3.8650894589431917</v>
      </c>
      <c r="AG15" s="32">
        <v>4.0301963751744223</v>
      </c>
      <c r="AH15" s="32">
        <v>4.2017554347950776</v>
      </c>
      <c r="AI15" s="32">
        <v>4.3800060382818016</v>
      </c>
      <c r="AJ15" s="32">
        <v>4.5652084030848732</v>
      </c>
      <c r="AK15" s="32">
        <v>4.7576387631331771</v>
      </c>
      <c r="AL15" s="32">
        <v>4.9575836572208907</v>
      </c>
      <c r="AM15" s="32"/>
      <c r="AN15" s="55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</row>
    <row r="16" spans="2:60" x14ac:dyDescent="0.35">
      <c r="B16" s="8"/>
      <c r="C16" s="50" t="str">
        <f>INDEX(_SScen,3)</f>
        <v>AEO High</v>
      </c>
      <c r="D16" s="11" t="str">
        <f>Shipments!shpUnit</f>
        <v>mi units</v>
      </c>
      <c r="E16" s="32">
        <v>1.1961477972488181</v>
      </c>
      <c r="F16" s="32">
        <v>1.2569102417319371</v>
      </c>
      <c r="G16" s="32">
        <v>1.3223301366306603</v>
      </c>
      <c r="H16" s="32">
        <v>1.3943853713790124</v>
      </c>
      <c r="I16" s="32">
        <v>1.472159481338509</v>
      </c>
      <c r="J16" s="32">
        <v>1.5549683812436286</v>
      </c>
      <c r="K16" s="32">
        <v>1.6424042443611744</v>
      </c>
      <c r="L16" s="32">
        <v>1.7339033855583519</v>
      </c>
      <c r="M16" s="32">
        <v>1.829140373788172</v>
      </c>
      <c r="N16" s="32">
        <v>1.9286039504074659</v>
      </c>
      <c r="O16" s="32">
        <v>2.0333385958273826</v>
      </c>
      <c r="P16" s="32">
        <v>2.1447286938523251</v>
      </c>
      <c r="Q16" s="32">
        <v>2.262756432270161</v>
      </c>
      <c r="R16" s="32">
        <v>2.3878986498792272</v>
      </c>
      <c r="S16" s="32">
        <v>2.5205047889289656</v>
      </c>
      <c r="T16" s="32">
        <v>2.6606166705830763</v>
      </c>
      <c r="U16" s="32">
        <v>2.8088980510291699</v>
      </c>
      <c r="V16" s="32">
        <v>2.9656374455143899</v>
      </c>
      <c r="W16" s="32">
        <v>3.1312589782464015</v>
      </c>
      <c r="X16" s="32">
        <v>3.3063996947831962</v>
      </c>
      <c r="Y16" s="32">
        <v>3.4921878459893723</v>
      </c>
      <c r="Z16" s="32">
        <v>3.6893325933542722</v>
      </c>
      <c r="AA16" s="32">
        <v>3.8975140386518508</v>
      </c>
      <c r="AB16" s="32">
        <v>4.117842935269155</v>
      </c>
      <c r="AC16" s="32">
        <v>4.3515568018117827</v>
      </c>
      <c r="AD16" s="32">
        <v>4.598577368555568</v>
      </c>
      <c r="AE16" s="32">
        <v>4.860533773947143</v>
      </c>
      <c r="AF16" s="32">
        <v>5.1377154741505153</v>
      </c>
      <c r="AG16" s="32">
        <v>5.4312587123955698</v>
      </c>
      <c r="AH16" s="32">
        <v>5.7421510929157078</v>
      </c>
      <c r="AI16" s="32">
        <v>6.0714387702041046</v>
      </c>
      <c r="AJ16" s="32">
        <v>6.4202326045954266</v>
      </c>
      <c r="AK16" s="32">
        <v>6.7897102195005399</v>
      </c>
      <c r="AL16" s="32">
        <v>7.1811196648708968</v>
      </c>
      <c r="AM16" s="32"/>
      <c r="AN16" s="55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</row>
    <row r="17" spans="2:60" x14ac:dyDescent="0.35">
      <c r="B17" s="8"/>
      <c r="C17" s="20" t="str">
        <f>INDEX(_pcName,3)</f>
        <v>CADR 150+</v>
      </c>
      <c r="D17" s="11" t="str">
        <f>shpUnit</f>
        <v>mi units</v>
      </c>
      <c r="E17" s="32">
        <f t="array" aca="1" ref="E17:AN17" ca="1">INDEX(tShpScenlrgBC_Res,iSScen,)</f>
        <v>2.4638204352322486</v>
      </c>
      <c r="F17" s="32">
        <f ca="1"/>
        <v>2.579528830202487</v>
      </c>
      <c r="G17" s="32">
        <f ca="1"/>
        <v>2.7036873708810285</v>
      </c>
      <c r="H17" s="32">
        <f ca="1"/>
        <v>2.8410924355235578</v>
      </c>
      <c r="I17" s="32">
        <f ca="1"/>
        <v>2.9901278059906744</v>
      </c>
      <c r="J17" s="32">
        <f ca="1"/>
        <v>3.1483677520286282</v>
      </c>
      <c r="K17" s="32">
        <f ca="1"/>
        <v>3.3139192956657775</v>
      </c>
      <c r="L17" s="32">
        <f ca="1"/>
        <v>3.4855212257312878</v>
      </c>
      <c r="M17" s="32">
        <f ca="1"/>
        <v>3.6630994362743721</v>
      </c>
      <c r="N17" s="32">
        <f ca="1"/>
        <v>3.8474144722103811</v>
      </c>
      <c r="O17" s="32">
        <f ca="1"/>
        <v>4.039628357867338</v>
      </c>
      <c r="P17" s="32">
        <f ca="1"/>
        <v>4.2410975237063457</v>
      </c>
      <c r="Q17" s="32">
        <f ca="1"/>
        <v>4.4529619402108285</v>
      </c>
      <c r="R17" s="32">
        <f ca="1"/>
        <v>4.6759428721308742</v>
      </c>
      <c r="S17" s="32">
        <f ca="1"/>
        <v>4.9108419386845155</v>
      </c>
      <c r="T17" s="32">
        <f ca="1"/>
        <v>5.157188409959951</v>
      </c>
      <c r="U17" s="32">
        <f ca="1"/>
        <v>5.4157308973934599</v>
      </c>
      <c r="V17" s="32">
        <f ca="1"/>
        <v>5.6867815560946271</v>
      </c>
      <c r="W17" s="32">
        <f ca="1"/>
        <v>5.9708020777503608</v>
      </c>
      <c r="X17" s="32">
        <f ca="1"/>
        <v>6.2684114573319842</v>
      </c>
      <c r="Y17" s="32">
        <f ca="1"/>
        <v>6.5803237120883376</v>
      </c>
      <c r="Z17" s="32">
        <f ca="1"/>
        <v>6.9073573478147736</v>
      </c>
      <c r="AA17" s="32">
        <f ca="1"/>
        <v>7.2503391505875854</v>
      </c>
      <c r="AB17" s="32">
        <f ca="1"/>
        <v>7.6101005262814621</v>
      </c>
      <c r="AC17" s="32">
        <f ca="1"/>
        <v>7.9874730614381324</v>
      </c>
      <c r="AD17" s="32">
        <f ca="1"/>
        <v>8.3832965706108791</v>
      </c>
      <c r="AE17" s="32">
        <f ca="1"/>
        <v>8.7984369300527003</v>
      </c>
      <c r="AF17" s="32">
        <f ca="1"/>
        <v>9.2338021635343015</v>
      </c>
      <c r="AG17" s="32">
        <f ca="1"/>
        <v>9.6903545909493474</v>
      </c>
      <c r="AH17" s="32">
        <f ca="1"/>
        <v>10.169117463085792</v>
      </c>
      <c r="AI17" s="32">
        <f ca="1"/>
        <v>10.671175548026596</v>
      </c>
      <c r="AJ17" s="32">
        <f ca="1"/>
        <v>11.197673137274116</v>
      </c>
      <c r="AK17" s="32">
        <f ca="1"/>
        <v>11.749812719860776</v>
      </c>
      <c r="AL17" s="32">
        <f ca="1"/>
        <v>12.328850214685918</v>
      </c>
      <c r="AM17" s="32">
        <f ca="1"/>
        <v>0</v>
      </c>
      <c r="AN17" s="55">
        <f ca="1"/>
        <v>0</v>
      </c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</row>
    <row r="18" spans="2:60" x14ac:dyDescent="0.35">
      <c r="B18" s="8"/>
      <c r="C18" s="50" t="str">
        <f>INDEX(_SScen,1)</f>
        <v>AEO Reference</v>
      </c>
      <c r="D18" s="11" t="str">
        <f>Shipments!shpUnit</f>
        <v>mi units</v>
      </c>
      <c r="E18" s="32">
        <v>2.4638204352322486</v>
      </c>
      <c r="F18" s="32">
        <v>2.579528830202487</v>
      </c>
      <c r="G18" s="32">
        <v>2.7036873708810285</v>
      </c>
      <c r="H18" s="32">
        <v>2.8410924355235578</v>
      </c>
      <c r="I18" s="32">
        <v>2.9901278059906744</v>
      </c>
      <c r="J18" s="32">
        <v>3.1483677520286282</v>
      </c>
      <c r="K18" s="32">
        <v>3.3139192956657775</v>
      </c>
      <c r="L18" s="32">
        <v>3.4855212257312878</v>
      </c>
      <c r="M18" s="32">
        <v>3.6630994362743721</v>
      </c>
      <c r="N18" s="32">
        <v>3.8474144722103811</v>
      </c>
      <c r="O18" s="32">
        <v>4.039628357867338</v>
      </c>
      <c r="P18" s="32">
        <v>4.2410975237063457</v>
      </c>
      <c r="Q18" s="32">
        <v>4.4529619402108285</v>
      </c>
      <c r="R18" s="32">
        <v>4.6759428721308742</v>
      </c>
      <c r="S18" s="32">
        <v>4.9108419386845155</v>
      </c>
      <c r="T18" s="32">
        <v>5.157188409959951</v>
      </c>
      <c r="U18" s="32">
        <v>5.4157308973934599</v>
      </c>
      <c r="V18" s="32">
        <v>5.6867815560946271</v>
      </c>
      <c r="W18" s="32">
        <v>5.9708020777503608</v>
      </c>
      <c r="X18" s="32">
        <v>6.2684114573319842</v>
      </c>
      <c r="Y18" s="32">
        <v>6.5803237120883376</v>
      </c>
      <c r="Z18" s="32">
        <v>6.9073573478147736</v>
      </c>
      <c r="AA18" s="32">
        <v>7.2503391505875854</v>
      </c>
      <c r="AB18" s="32">
        <v>7.6101005262814621</v>
      </c>
      <c r="AC18" s="32">
        <v>7.9874730614381324</v>
      </c>
      <c r="AD18" s="32">
        <v>8.3832965706108791</v>
      </c>
      <c r="AE18" s="32">
        <v>8.7984369300527003</v>
      </c>
      <c r="AF18" s="32">
        <v>9.2338021635343015</v>
      </c>
      <c r="AG18" s="32">
        <v>9.6903545909493474</v>
      </c>
      <c r="AH18" s="32">
        <v>10.169117463085792</v>
      </c>
      <c r="AI18" s="32">
        <v>10.671175548026596</v>
      </c>
      <c r="AJ18" s="32">
        <v>11.197673137274116</v>
      </c>
      <c r="AK18" s="32">
        <v>11.749812719860776</v>
      </c>
      <c r="AL18" s="32">
        <v>12.328850214685918</v>
      </c>
      <c r="AM18" s="32"/>
      <c r="AN18" s="55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</row>
    <row r="19" spans="2:60" x14ac:dyDescent="0.35">
      <c r="B19" s="8"/>
      <c r="C19" s="50" t="str">
        <f>INDEX(_SScen,2)</f>
        <v>AEO Low</v>
      </c>
      <c r="D19" s="11" t="str">
        <f>Shipments!shpUnit</f>
        <v>mi units</v>
      </c>
      <c r="E19" s="32">
        <v>2.4346147507800202</v>
      </c>
      <c r="F19" s="32">
        <v>2.5392969493324999</v>
      </c>
      <c r="G19" s="32">
        <v>2.6509546417328442</v>
      </c>
      <c r="H19" s="32">
        <v>2.775641977307159</v>
      </c>
      <c r="I19" s="32">
        <v>2.912077063636616</v>
      </c>
      <c r="J19" s="32">
        <v>3.0560901277730919</v>
      </c>
      <c r="K19" s="32">
        <v>3.2049601431706214</v>
      </c>
      <c r="L19" s="32">
        <v>3.3578974970103559</v>
      </c>
      <c r="M19" s="32">
        <v>3.5172740891005949</v>
      </c>
      <c r="N19" s="32">
        <v>3.6813843696292743</v>
      </c>
      <c r="O19" s="32">
        <v>3.849762625987025</v>
      </c>
      <c r="P19" s="32">
        <v>4.0239219287352217</v>
      </c>
      <c r="Q19" s="32">
        <v>4.2056294238151741</v>
      </c>
      <c r="R19" s="32">
        <v>4.3960980146995476</v>
      </c>
      <c r="S19" s="32">
        <v>4.5961669501768299</v>
      </c>
      <c r="T19" s="32">
        <v>4.8054073261623191</v>
      </c>
      <c r="U19" s="32">
        <v>5.0234932868450963</v>
      </c>
      <c r="V19" s="32">
        <v>5.2504569608752698</v>
      </c>
      <c r="W19" s="32">
        <v>5.4864192149827149</v>
      </c>
      <c r="X19" s="32">
        <v>5.7311190258401501</v>
      </c>
      <c r="Y19" s="32">
        <v>5.9846564893301011</v>
      </c>
      <c r="Z19" s="32">
        <v>6.2473932858737697</v>
      </c>
      <c r="AA19" s="32">
        <v>6.5201049269506539</v>
      </c>
      <c r="AB19" s="32">
        <v>6.8038757540570183</v>
      </c>
      <c r="AC19" s="32">
        <v>7.0985962711935366</v>
      </c>
      <c r="AD19" s="32">
        <v>7.4044107833473012</v>
      </c>
      <c r="AE19" s="32">
        <v>7.7212882748178382</v>
      </c>
      <c r="AF19" s="32">
        <v>8.0522697061316499</v>
      </c>
      <c r="AG19" s="32">
        <v>8.3962424482800468</v>
      </c>
      <c r="AH19" s="32">
        <v>8.7536571558230776</v>
      </c>
      <c r="AI19" s="32">
        <v>9.1250125797537542</v>
      </c>
      <c r="AJ19" s="32">
        <v>9.5108508397601526</v>
      </c>
      <c r="AK19" s="32">
        <v>9.9117474231941198</v>
      </c>
      <c r="AL19" s="32">
        <v>10.328299285876856</v>
      </c>
      <c r="AM19" s="32"/>
      <c r="AN19" s="55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2:60" x14ac:dyDescent="0.35">
      <c r="B20" s="8"/>
      <c r="C20" s="50" t="str">
        <f>INDEX(_SScen,3)</f>
        <v>AEO High</v>
      </c>
      <c r="D20" s="11" t="str">
        <f>Shipments!shpUnit</f>
        <v>mi units</v>
      </c>
      <c r="E20" s="32">
        <v>2.4919745776017042</v>
      </c>
      <c r="F20" s="32">
        <v>2.6185630036082022</v>
      </c>
      <c r="G20" s="32">
        <v>2.754854451313876</v>
      </c>
      <c r="H20" s="32">
        <v>2.904969523706276</v>
      </c>
      <c r="I20" s="32">
        <v>3.0669989194552274</v>
      </c>
      <c r="J20" s="32">
        <v>3.2395174609242261</v>
      </c>
      <c r="K20" s="32">
        <v>3.4216755090857802</v>
      </c>
      <c r="L20" s="32">
        <v>3.612298719913233</v>
      </c>
      <c r="M20" s="32">
        <v>3.8107091120586913</v>
      </c>
      <c r="N20" s="32">
        <v>4.0179248966822207</v>
      </c>
      <c r="O20" s="32">
        <v>4.2361220746403809</v>
      </c>
      <c r="P20" s="32">
        <v>4.468184778859011</v>
      </c>
      <c r="Q20" s="32">
        <v>4.7140759005628352</v>
      </c>
      <c r="R20" s="32">
        <v>4.9747888539150571</v>
      </c>
      <c r="S20" s="32">
        <v>5.251051643602012</v>
      </c>
      <c r="T20" s="32">
        <v>5.5429513970480766</v>
      </c>
      <c r="U20" s="32">
        <v>5.8518709396441047</v>
      </c>
      <c r="V20" s="32">
        <v>6.1784113448216456</v>
      </c>
      <c r="W20" s="32">
        <v>6.523456204680004</v>
      </c>
      <c r="X20" s="32">
        <v>6.8883326974649917</v>
      </c>
      <c r="Y20" s="32">
        <v>7.275391345811193</v>
      </c>
      <c r="Z20" s="32">
        <v>7.6861095694880675</v>
      </c>
      <c r="AA20" s="32">
        <v>8.1198209138580228</v>
      </c>
      <c r="AB20" s="32">
        <v>8.5788394484774049</v>
      </c>
      <c r="AC20" s="32">
        <v>9.0657433371078806</v>
      </c>
      <c r="AD20" s="32">
        <v>9.5803695178240993</v>
      </c>
      <c r="AE20" s="32">
        <v>10.126112029056548</v>
      </c>
      <c r="AF20" s="32">
        <v>10.70357390448024</v>
      </c>
      <c r="AG20" s="32">
        <v>11.315122317490772</v>
      </c>
      <c r="AH20" s="32">
        <v>11.962814776907724</v>
      </c>
      <c r="AI20" s="32">
        <v>12.648830771258552</v>
      </c>
      <c r="AJ20" s="32">
        <v>13.37548459290714</v>
      </c>
      <c r="AK20" s="32">
        <v>14.145229623959459</v>
      </c>
      <c r="AL20" s="32">
        <v>14.960665968481035</v>
      </c>
      <c r="AM20" s="32"/>
      <c r="AN20" s="55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2:60" x14ac:dyDescent="0.35">
      <c r="B21" s="8"/>
      <c r="C21" s="52" t="str">
        <f>"Standards Case [TSL " &amp; sTSL &amp; "]"</f>
        <v>Standards Case [TSL 3]</v>
      </c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4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</row>
    <row r="22" spans="2:60" x14ac:dyDescent="0.35">
      <c r="B22" s="8"/>
      <c r="C22" s="47" t="str">
        <f>"Total Shipments [" &amp; sSScen &amp; "]"</f>
        <v>Total Shipments [AEO Reference]</v>
      </c>
      <c r="D22" s="11" t="str">
        <f>shpUnit</f>
        <v>mi units</v>
      </c>
      <c r="E22" s="33">
        <f t="array" aca="1" ref="E22:AN22" ca="1">tShpsmlStd_Res+tShpmedStd_Res+tShplrgStd_Res</f>
        <v>4.9168644875105549</v>
      </c>
      <c r="F22" s="40">
        <f ca="1"/>
        <v>5.1503606093153333</v>
      </c>
      <c r="G22" s="40">
        <f ca="1"/>
        <v>5.3822165760920679</v>
      </c>
      <c r="H22" s="40">
        <f ca="1"/>
        <v>5.6593610323782775</v>
      </c>
      <c r="I22" s="40">
        <f ca="1"/>
        <v>5.9600065904095878</v>
      </c>
      <c r="J22" s="40">
        <f ca="1"/>
        <v>6.2764979351020163</v>
      </c>
      <c r="K22" s="40">
        <f ca="1"/>
        <v>6.6076675447949924</v>
      </c>
      <c r="L22" s="40">
        <f ca="1"/>
        <v>6.9510066722825226</v>
      </c>
      <c r="M22" s="40">
        <f ca="1"/>
        <v>7.3063725713342791</v>
      </c>
      <c r="N22" s="40">
        <f ca="1"/>
        <v>7.6752874077191207</v>
      </c>
      <c r="O22" s="40">
        <f ca="1"/>
        <v>8.0589069523252714</v>
      </c>
      <c r="P22" s="40">
        <f ca="1"/>
        <v>8.4610050238420271</v>
      </c>
      <c r="Q22" s="40">
        <f ca="1"/>
        <v>8.8838569290195242</v>
      </c>
      <c r="R22" s="40">
        <f ca="1"/>
        <v>9.3289027955300394</v>
      </c>
      <c r="S22" s="40">
        <f ca="1"/>
        <v>9.7977431733138154</v>
      </c>
      <c r="T22" s="40">
        <f ca="1"/>
        <v>10.28944016251732</v>
      </c>
      <c r="U22" s="40">
        <f ca="1"/>
        <v>10.805488611729704</v>
      </c>
      <c r="V22" s="40">
        <f ca="1"/>
        <v>11.346512632668482</v>
      </c>
      <c r="W22" s="40">
        <f ca="1"/>
        <v>11.913434737305531</v>
      </c>
      <c r="X22" s="40">
        <f ca="1"/>
        <v>12.507491365733266</v>
      </c>
      <c r="Y22" s="40">
        <f ca="1"/>
        <v>13.129955182579124</v>
      </c>
      <c r="Z22" s="40">
        <f ca="1"/>
        <v>13.782600144705858</v>
      </c>
      <c r="AA22" s="40">
        <f ca="1"/>
        <v>14.467076632543801</v>
      </c>
      <c r="AB22" s="40">
        <f ca="1"/>
        <v>15.185044292417057</v>
      </c>
      <c r="AC22" s="40">
        <f ca="1"/>
        <v>15.938163178453838</v>
      </c>
      <c r="AD22" s="40">
        <f ca="1"/>
        <v>16.728109809891009</v>
      </c>
      <c r="AE22" s="40">
        <f ca="1"/>
        <v>17.556612757265441</v>
      </c>
      <c r="AF22" s="40">
        <f ca="1"/>
        <v>18.425484742619247</v>
      </c>
      <c r="AG22" s="40">
        <f ca="1"/>
        <v>19.336646884727287</v>
      </c>
      <c r="AH22" s="40">
        <f ca="1"/>
        <v>20.292141942757837</v>
      </c>
      <c r="AI22" s="40">
        <f ca="1"/>
        <v>21.294135491061041</v>
      </c>
      <c r="AJ22" s="40">
        <f ca="1"/>
        <v>22.34491194501129</v>
      </c>
      <c r="AK22" s="40">
        <f ca="1"/>
        <v>23.446871919601428</v>
      </c>
      <c r="AL22" s="40">
        <f ca="1"/>
        <v>24.602522719685744</v>
      </c>
      <c r="AM22" s="40">
        <f ca="1"/>
        <v>0</v>
      </c>
      <c r="AN22" s="41">
        <f ca="1"/>
        <v>0</v>
      </c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2:60" x14ac:dyDescent="0.35">
      <c r="B23" s="8"/>
      <c r="C23" s="47" t="s">
        <v>61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1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2:60" x14ac:dyDescent="0.35">
      <c r="B24" s="8"/>
      <c r="C24" s="20" t="str">
        <f>INDEX(_pcName,1)</f>
        <v>CADR 10-99</v>
      </c>
      <c r="D24" s="11" t="str">
        <f>shpUnit</f>
        <v>mi units</v>
      </c>
      <c r="E24" s="32">
        <f t="array" aca="1" ref="E24:AN24" ca="1">tShpsmlBC_Res*(1+N(bElast)*MMULT(_yS/_yS,N(_yS=TRANSPOSE(_yS))*MMULT(N(OFFSET(_i,0,0,1,_nDO1)-1&lt;cslsml),$E$201:$AN$205*'CADR 10-99'!bcEff_Res)))</f>
        <v>1.2769208138455488</v>
      </c>
      <c r="F24" s="32">
        <f ca="1"/>
        <v>1.3379151220959933</v>
      </c>
      <c r="G24" s="32">
        <f ca="1"/>
        <v>1.3948179901024866</v>
      </c>
      <c r="H24" s="32">
        <f ca="1"/>
        <v>1.4672849917483499</v>
      </c>
      <c r="I24" s="32">
        <f ca="1"/>
        <v>1.5459091022403855</v>
      </c>
      <c r="J24" s="32">
        <f ca="1"/>
        <v>1.6281873374383431</v>
      </c>
      <c r="K24" s="32">
        <f ca="1"/>
        <v>1.7142921918413383</v>
      </c>
      <c r="L24" s="32">
        <f ca="1"/>
        <v>1.8035739887624236</v>
      </c>
      <c r="M24" s="32">
        <f ca="1"/>
        <v>1.8959967261970332</v>
      </c>
      <c r="N24" s="32">
        <f ca="1"/>
        <v>1.9919564752982315</v>
      </c>
      <c r="O24" s="32">
        <f ca="1"/>
        <v>2.0915368966518821</v>
      </c>
      <c r="P24" s="32">
        <f ca="1"/>
        <v>2.1959149940420191</v>
      </c>
      <c r="Q24" s="32">
        <f ca="1"/>
        <v>2.3056814271268866</v>
      </c>
      <c r="R24" s="32">
        <f ca="1"/>
        <v>2.4212101168214826</v>
      </c>
      <c r="S24" s="32">
        <f ca="1"/>
        <v>2.5429166342956346</v>
      </c>
      <c r="T24" s="32">
        <f ca="1"/>
        <v>2.6705577275215044</v>
      </c>
      <c r="U24" s="32">
        <f ca="1"/>
        <v>2.8045215450678054</v>
      </c>
      <c r="V24" s="32">
        <f ca="1"/>
        <v>2.9449702514077876</v>
      </c>
      <c r="W24" s="32">
        <f ca="1"/>
        <v>3.0921434668573538</v>
      </c>
      <c r="X24" s="32">
        <f ca="1"/>
        <v>3.2463623016253114</v>
      </c>
      <c r="Y24" s="32">
        <f ca="1"/>
        <v>3.4079279097534818</v>
      </c>
      <c r="Z24" s="32">
        <f ca="1"/>
        <v>3.5773274255338263</v>
      </c>
      <c r="AA24" s="32">
        <f ca="1"/>
        <v>3.7549892328288861</v>
      </c>
      <c r="AB24" s="32">
        <f ca="1"/>
        <v>3.9413441220956948</v>
      </c>
      <c r="AC24" s="32">
        <f ca="1"/>
        <v>4.1368229912325951</v>
      </c>
      <c r="AD24" s="32">
        <f ca="1"/>
        <v>4.3418610133283373</v>
      </c>
      <c r="AE24" s="32">
        <f ca="1"/>
        <v>4.5569068732617115</v>
      </c>
      <c r="AF24" s="32">
        <f ca="1"/>
        <v>4.7824310995505721</v>
      </c>
      <c r="AG24" s="32">
        <f ca="1"/>
        <v>5.0189323574471896</v>
      </c>
      <c r="AH24" s="32">
        <f ca="1"/>
        <v>5.2669408865501151</v>
      </c>
      <c r="AI24" s="32">
        <f ca="1"/>
        <v>5.5270188058872343</v>
      </c>
      <c r="AJ24" s="32">
        <f ca="1"/>
        <v>5.7997590825593788</v>
      </c>
      <c r="AK24" s="32">
        <f ca="1"/>
        <v>6.0857848463027127</v>
      </c>
      <c r="AL24" s="32">
        <f ca="1"/>
        <v>6.3857469213202087</v>
      </c>
      <c r="AM24" s="32">
        <f ca="1"/>
        <v>0</v>
      </c>
      <c r="AN24" s="55">
        <f ca="1"/>
        <v>0</v>
      </c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</row>
    <row r="25" spans="2:60" x14ac:dyDescent="0.35">
      <c r="B25" s="8"/>
      <c r="C25" s="20" t="str">
        <f>INDEX(_pcName,2)</f>
        <v>CADR 100-149</v>
      </c>
      <c r="D25" s="11" t="str">
        <f>shpUnit</f>
        <v>mi units</v>
      </c>
      <c r="E25" s="32">
        <f t="array" aca="1" ref="E25:AN25" ca="1">tShpmedBC_Res*(1+N(bElast)*MMULT(_yS/_yS,N(_yS=TRANSPOSE(_yS))*MMULT(N(OFFSET(_i,0,0,1,_nDO2)-1&lt;cslmed),$E$177:$AN$181*'CADR 100-149'!bcEff_Res)))</f>
        <v>1.1794699447254102</v>
      </c>
      <c r="F25" s="32">
        <f ca="1"/>
        <v>1.2356225446879998</v>
      </c>
      <c r="G25" s="32">
        <f ca="1"/>
        <v>1.2900210834278159</v>
      </c>
      <c r="H25" s="32">
        <f ca="1"/>
        <v>1.356706997874523</v>
      </c>
      <c r="I25" s="32">
        <f ca="1"/>
        <v>1.4290465277970914</v>
      </c>
      <c r="J25" s="32">
        <f ca="1"/>
        <v>1.5050159595408206</v>
      </c>
      <c r="K25" s="32">
        <f ca="1"/>
        <v>1.584511651842516</v>
      </c>
      <c r="L25" s="32">
        <f ca="1"/>
        <v>1.6669323242442993</v>
      </c>
      <c r="M25" s="32">
        <f ca="1"/>
        <v>1.7522439764547777</v>
      </c>
      <c r="N25" s="32">
        <f ca="1"/>
        <v>1.8408118964593529</v>
      </c>
      <c r="O25" s="32">
        <f ca="1"/>
        <v>1.9328388021054619</v>
      </c>
      <c r="P25" s="32">
        <f ca="1"/>
        <v>2.0292992464951989</v>
      </c>
      <c r="Q25" s="32">
        <f ca="1"/>
        <v>2.130739062861843</v>
      </c>
      <c r="R25" s="32">
        <f ca="1"/>
        <v>2.2375037902153556</v>
      </c>
      <c r="S25" s="32">
        <f ca="1"/>
        <v>2.3499774564838218</v>
      </c>
      <c r="T25" s="32">
        <f ca="1"/>
        <v>2.4679352480452632</v>
      </c>
      <c r="U25" s="32">
        <f ca="1"/>
        <v>2.5917358433102331</v>
      </c>
      <c r="V25" s="32">
        <f ca="1"/>
        <v>2.7215290795371727</v>
      </c>
      <c r="W25" s="32">
        <f ca="1"/>
        <v>2.8575363701527761</v>
      </c>
      <c r="X25" s="32">
        <f ca="1"/>
        <v>3.0000544330960675</v>
      </c>
      <c r="Y25" s="32">
        <f ca="1"/>
        <v>3.1493796144889883</v>
      </c>
      <c r="Z25" s="32">
        <f ca="1"/>
        <v>3.3059459645020977</v>
      </c>
      <c r="AA25" s="32">
        <f ca="1"/>
        <v>3.4701494847616776</v>
      </c>
      <c r="AB25" s="32">
        <f ca="1"/>
        <v>3.642388409321518</v>
      </c>
      <c r="AC25" s="32">
        <f ca="1"/>
        <v>3.823061079822919</v>
      </c>
      <c r="AD25" s="32">
        <f ca="1"/>
        <v>4.0125697970579202</v>
      </c>
      <c r="AE25" s="32">
        <f ca="1"/>
        <v>4.2113293571586237</v>
      </c>
      <c r="AF25" s="32">
        <f ca="1"/>
        <v>4.4197747519638177</v>
      </c>
      <c r="AG25" s="32">
        <f ca="1"/>
        <v>4.6383669854986316</v>
      </c>
      <c r="AH25" s="32">
        <f ca="1"/>
        <v>4.8675962516732278</v>
      </c>
      <c r="AI25" s="32">
        <f ca="1"/>
        <v>5.1079822170431228</v>
      </c>
      <c r="AJ25" s="32">
        <f ca="1"/>
        <v>5.3600730684418085</v>
      </c>
      <c r="AK25" s="32">
        <f ca="1"/>
        <v>5.6244448802672888</v>
      </c>
      <c r="AL25" s="32">
        <f ca="1"/>
        <v>5.9016993341316182</v>
      </c>
      <c r="AM25" s="32">
        <f ca="1"/>
        <v>0</v>
      </c>
      <c r="AN25" s="55">
        <f ca="1"/>
        <v>0</v>
      </c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2:60" x14ac:dyDescent="0.35">
      <c r="B26" s="8"/>
      <c r="C26" s="39" t="str">
        <f>INDEX(_pcName,3)</f>
        <v>CADR 150+</v>
      </c>
      <c r="D26" s="15" t="str">
        <f>shpUnit</f>
        <v>mi units</v>
      </c>
      <c r="E26" s="59">
        <f t="array" aca="1" ref="E26:AN26" ca="1">tShplrgBC_Res*(1+N(bElast)*MMULT(_yS/_yS,N(_yS=TRANSPOSE(_yS))*MMULT(N(OFFSET(_i,0,0,1,_nDO3)-1&lt;csllrg),$E$153:$AN$157*'CADR 150+'!bcEff_Res)))</f>
        <v>2.4604737289395966</v>
      </c>
      <c r="F26" s="59">
        <f ca="1"/>
        <v>2.57682294253134</v>
      </c>
      <c r="G26" s="59">
        <f ca="1"/>
        <v>2.6973775025617654</v>
      </c>
      <c r="H26" s="59">
        <f ca="1"/>
        <v>2.8353690427554046</v>
      </c>
      <c r="I26" s="59">
        <f ca="1"/>
        <v>2.9850509603721114</v>
      </c>
      <c r="J26" s="59">
        <f ca="1"/>
        <v>3.1432946381228524</v>
      </c>
      <c r="K26" s="59">
        <f ca="1"/>
        <v>3.3088637011111381</v>
      </c>
      <c r="L26" s="59">
        <f ca="1"/>
        <v>3.4805003592757999</v>
      </c>
      <c r="M26" s="59">
        <f ca="1"/>
        <v>3.6581318686824682</v>
      </c>
      <c r="N26" s="59">
        <f ca="1"/>
        <v>3.8425190359615362</v>
      </c>
      <c r="O26" s="59">
        <f ca="1"/>
        <v>4.034531253567927</v>
      </c>
      <c r="P26" s="59">
        <f ca="1"/>
        <v>4.2357907833048083</v>
      </c>
      <c r="Q26" s="59">
        <f ca="1"/>
        <v>4.4474364390307946</v>
      </c>
      <c r="R26" s="59">
        <f ca="1"/>
        <v>4.6701888884932012</v>
      </c>
      <c r="S26" s="59">
        <f ca="1"/>
        <v>4.9048490825343594</v>
      </c>
      <c r="T26" s="59">
        <f ca="1"/>
        <v>5.1509471869505514</v>
      </c>
      <c r="U26" s="59">
        <f ca="1"/>
        <v>5.4092312233516644</v>
      </c>
      <c r="V26" s="59">
        <f ca="1"/>
        <v>5.6800133017235215</v>
      </c>
      <c r="W26" s="59">
        <f ca="1"/>
        <v>5.9637549002954007</v>
      </c>
      <c r="X26" s="59">
        <f ca="1"/>
        <v>6.2610746310118879</v>
      </c>
      <c r="Y26" s="59">
        <f ca="1"/>
        <v>6.5726476583366553</v>
      </c>
      <c r="Z26" s="59">
        <f ca="1"/>
        <v>6.8993267546699339</v>
      </c>
      <c r="AA26" s="59">
        <f ca="1"/>
        <v>7.2419379149532359</v>
      </c>
      <c r="AB26" s="59">
        <f ca="1"/>
        <v>7.6013117609998444</v>
      </c>
      <c r="AC26" s="59">
        <f ca="1"/>
        <v>7.9782791073983228</v>
      </c>
      <c r="AD26" s="59">
        <f ca="1"/>
        <v>8.3736789995047509</v>
      </c>
      <c r="AE26" s="59">
        <f ca="1"/>
        <v>8.7883765268451057</v>
      </c>
      <c r="AF26" s="59">
        <f ca="1"/>
        <v>9.2232788911048598</v>
      </c>
      <c r="AG26" s="59">
        <f ca="1"/>
        <v>9.6793475417814658</v>
      </c>
      <c r="AH26" s="59">
        <f ca="1"/>
        <v>10.157604804534495</v>
      </c>
      <c r="AI26" s="59">
        <f ca="1"/>
        <v>10.659134468130686</v>
      </c>
      <c r="AJ26" s="59">
        <f ca="1"/>
        <v>11.185079794010106</v>
      </c>
      <c r="AK26" s="59">
        <f ca="1"/>
        <v>11.736642193031427</v>
      </c>
      <c r="AL26" s="59">
        <f ca="1"/>
        <v>12.31507646423392</v>
      </c>
      <c r="AM26" s="59">
        <f ca="1"/>
        <v>0</v>
      </c>
      <c r="AN26" s="60">
        <f ca="1"/>
        <v>0</v>
      </c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2:60" x14ac:dyDescent="0.3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</row>
    <row r="28" spans="2:60" x14ac:dyDescent="0.35">
      <c r="B28" s="8"/>
      <c r="C28" s="23" t="s">
        <v>68</v>
      </c>
      <c r="D28" s="24"/>
      <c r="E28" s="26">
        <f t="array" ref="E28:AN28">_yS</f>
        <v>2024</v>
      </c>
      <c r="F28" s="26">
        <v>2025</v>
      </c>
      <c r="G28" s="26">
        <v>2026</v>
      </c>
      <c r="H28" s="26">
        <v>2027</v>
      </c>
      <c r="I28" s="26">
        <v>2028</v>
      </c>
      <c r="J28" s="26">
        <v>2029</v>
      </c>
      <c r="K28" s="26">
        <v>2030</v>
      </c>
      <c r="L28" s="26">
        <v>2031</v>
      </c>
      <c r="M28" s="26">
        <v>2032</v>
      </c>
      <c r="N28" s="26">
        <v>2033</v>
      </c>
      <c r="O28" s="26">
        <v>2034</v>
      </c>
      <c r="P28" s="26">
        <v>2035</v>
      </c>
      <c r="Q28" s="26">
        <v>2036</v>
      </c>
      <c r="R28" s="26">
        <v>2037</v>
      </c>
      <c r="S28" s="26">
        <v>2038</v>
      </c>
      <c r="T28" s="26">
        <v>2039</v>
      </c>
      <c r="U28" s="26">
        <v>2040</v>
      </c>
      <c r="V28" s="26">
        <v>2041</v>
      </c>
      <c r="W28" s="26">
        <v>2042</v>
      </c>
      <c r="X28" s="26">
        <v>2043</v>
      </c>
      <c r="Y28" s="26">
        <v>2044</v>
      </c>
      <c r="Z28" s="26">
        <v>2045</v>
      </c>
      <c r="AA28" s="26">
        <v>2046</v>
      </c>
      <c r="AB28" s="26">
        <v>2047</v>
      </c>
      <c r="AC28" s="26">
        <v>2048</v>
      </c>
      <c r="AD28" s="26">
        <v>2049</v>
      </c>
      <c r="AE28" s="26">
        <v>2050</v>
      </c>
      <c r="AF28" s="26">
        <v>2051</v>
      </c>
      <c r="AG28" s="26">
        <v>2052</v>
      </c>
      <c r="AH28" s="26">
        <v>2053</v>
      </c>
      <c r="AI28" s="26">
        <v>2054</v>
      </c>
      <c r="AJ28" s="26">
        <v>2055</v>
      </c>
      <c r="AK28" s="26">
        <v>2056</v>
      </c>
      <c r="AL28" s="26">
        <v>2057</v>
      </c>
      <c r="AM28" s="26">
        <v>2058</v>
      </c>
      <c r="AN28" s="27">
        <v>2059</v>
      </c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2:60" x14ac:dyDescent="0.35">
      <c r="B29" s="8"/>
      <c r="C29" s="35" t="s">
        <v>58</v>
      </c>
      <c r="D29" s="15"/>
      <c r="E29" s="21">
        <f ca="1">IF(E28&lt;INDEX(tsl1stYear,iTSL),0,INDEX(_prcElast,E28-(INDEX(tsl1stYear,iTSL)-1)))</f>
        <v>-0.45</v>
      </c>
      <c r="F29" s="21">
        <f ca="1">IF(F28&lt;INDEX(tsl1stYear,iTSL),0,INDEX(_prcElast,F28-(INDEX(tsl1stYear,iTSL)-1)))</f>
        <v>-0.34875</v>
      </c>
      <c r="G29" s="21">
        <f ca="1">IF(G28&lt;INDEX(tsl1stYear,iTSL),0,INDEX(_prcElast,G28-(INDEX(tsl1stYear,iTSL)-1)))</f>
        <v>-0.28125</v>
      </c>
      <c r="H29" s="21">
        <f ca="1">IF(H28&lt;INDEX(tsl1stYear,iTSL),0,INDEX(_prcElast,H28-(INDEX(tsl1stYear,iTSL)-1)))</f>
        <v>-0.24375000000000005</v>
      </c>
      <c r="I29" s="21">
        <f ca="1">IF(I28&lt;INDEX(tsl1stYear,iTSL),0,INDEX(_prcElast,I28-(INDEX(tsl1stYear,iTSL)-1)))</f>
        <v>-0.20625000000000002</v>
      </c>
      <c r="J29" s="21">
        <f ca="1">IF(J28&lt;INDEX(tsl1stYear,iTSL),0,INDEX(_prcElast,J28-(INDEX(tsl1stYear,iTSL)-1)))</f>
        <v>-0.19650000000000001</v>
      </c>
      <c r="K29" s="21">
        <f ca="1">IF(K28&lt;INDEX(tsl1stYear,iTSL),0,INDEX(_prcElast,K28-(INDEX(tsl1stYear,iTSL)-1)))</f>
        <v>-0.18675</v>
      </c>
      <c r="L29" s="21">
        <f ca="1">IF(L28&lt;INDEX(tsl1stYear,iTSL),0,INDEX(_prcElast,L28-(INDEX(tsl1stYear,iTSL)-1)))</f>
        <v>-0.17700000000000002</v>
      </c>
      <c r="M29" s="21">
        <f ca="1">IF(M28&lt;INDEX(tsl1stYear,iTSL),0,INDEX(_prcElast,M28-(INDEX(tsl1stYear,iTSL)-1)))</f>
        <v>-0.16725000000000001</v>
      </c>
      <c r="N29" s="21">
        <f ca="1">IF(N28&lt;INDEX(tsl1stYear,iTSL),0,INDEX(_prcElast,N28-(INDEX(tsl1stYear,iTSL)-1)))</f>
        <v>-0.1575</v>
      </c>
      <c r="O29" s="21">
        <f ca="1">IF(O28&lt;INDEX(tsl1stYear,iTSL),0,INDEX(_prcElast,O28-(INDEX(tsl1stYear,iTSL)-1)))</f>
        <v>-0.15675</v>
      </c>
      <c r="P29" s="21">
        <f ca="1">IF(P28&lt;INDEX(tsl1stYear,iTSL),0,INDEX(_prcElast,P28-(INDEX(tsl1stYear,iTSL)-1)))</f>
        <v>-0.156</v>
      </c>
      <c r="Q29" s="21">
        <f ca="1">IF(Q28&lt;INDEX(tsl1stYear,iTSL),0,INDEX(_prcElast,Q28-(INDEX(tsl1stYear,iTSL)-1)))</f>
        <v>-0.15525</v>
      </c>
      <c r="R29" s="21">
        <f ca="1">IF(R28&lt;INDEX(tsl1stYear,iTSL),0,INDEX(_prcElast,R28-(INDEX(tsl1stYear,iTSL)-1)))</f>
        <v>-0.1545</v>
      </c>
      <c r="S29" s="21">
        <f ca="1">IF(S28&lt;INDEX(tsl1stYear,iTSL),0,INDEX(_prcElast,S28-(INDEX(tsl1stYear,iTSL)-1)))</f>
        <v>-0.15375000000000003</v>
      </c>
      <c r="T29" s="21">
        <f ca="1">IF(T28&lt;INDEX(tsl1stYear,iTSL),0,INDEX(_prcElast,T28-(INDEX(tsl1stYear,iTSL)-1)))</f>
        <v>-0.15300000000000002</v>
      </c>
      <c r="U29" s="21">
        <f ca="1">IF(U28&lt;INDEX(tsl1stYear,iTSL),0,INDEX(_prcElast,U28-(INDEX(tsl1stYear,iTSL)-1)))</f>
        <v>-0.15225000000000002</v>
      </c>
      <c r="V29" s="21">
        <f ca="1">IF(V28&lt;INDEX(tsl1stYear,iTSL),0,INDEX(_prcElast,V28-(INDEX(tsl1stYear,iTSL)-1)))</f>
        <v>-0.15150000000000002</v>
      </c>
      <c r="W29" s="21">
        <f ca="1">IF(W28&lt;INDEX(tsl1stYear,iTSL),0,INDEX(_prcElast,W28-(INDEX(tsl1stYear,iTSL)-1)))</f>
        <v>-0.15075000000000002</v>
      </c>
      <c r="X29" s="21">
        <f ca="1">IF(X28&lt;INDEX(tsl1stYear,iTSL),0,INDEX(_prcElast,X28-(INDEX(tsl1stYear,iTSL)-1)))</f>
        <v>-0.15000000000000002</v>
      </c>
      <c r="Y29" s="21">
        <f ca="1">IF(Y28&lt;INDEX(tsl1stYear,iTSL),0,INDEX(_prcElast,Y28-(INDEX(tsl1stYear,iTSL)-1)))</f>
        <v>-0.15000000000000002</v>
      </c>
      <c r="Z29" s="21">
        <f ca="1">IF(Z28&lt;INDEX(tsl1stYear,iTSL),0,INDEX(_prcElast,Z28-(INDEX(tsl1stYear,iTSL)-1)))</f>
        <v>-0.15000000000000002</v>
      </c>
      <c r="AA29" s="21">
        <f ca="1">IF(AA28&lt;INDEX(tsl1stYear,iTSL),0,INDEX(_prcElast,AA28-(INDEX(tsl1stYear,iTSL)-1)))</f>
        <v>-0.15000000000000002</v>
      </c>
      <c r="AB29" s="21">
        <f ca="1">IF(AB28&lt;INDEX(tsl1stYear,iTSL),0,INDEX(_prcElast,AB28-(INDEX(tsl1stYear,iTSL)-1)))</f>
        <v>-0.15000000000000002</v>
      </c>
      <c r="AC29" s="21">
        <f ca="1">IF(AC28&lt;INDEX(tsl1stYear,iTSL),0,INDEX(_prcElast,AC28-(INDEX(tsl1stYear,iTSL)-1)))</f>
        <v>-0.14999999999999986</v>
      </c>
      <c r="AD29" s="21">
        <f ca="1">IF(AD28&lt;INDEX(tsl1stYear,iTSL),0,INDEX(_prcElast,AD28-(INDEX(tsl1stYear,iTSL)-1)))</f>
        <v>-0.14999999999999986</v>
      </c>
      <c r="AE29" s="21">
        <f ca="1">IF(AE28&lt;INDEX(tsl1stYear,iTSL),0,INDEX(_prcElast,AE28-(INDEX(tsl1stYear,iTSL)-1)))</f>
        <v>-0.14999999999999986</v>
      </c>
      <c r="AF29" s="21">
        <f ca="1">IF(AF28&lt;INDEX(tsl1stYear,iTSL),0,INDEX(_prcElast,AF28-(INDEX(tsl1stYear,iTSL)-1)))</f>
        <v>-0.14999999999999986</v>
      </c>
      <c r="AG29" s="21">
        <f ca="1">IF(AG28&lt;INDEX(tsl1stYear,iTSL),0,INDEX(_prcElast,AG28-(INDEX(tsl1stYear,iTSL)-1)))</f>
        <v>-0.14999999999999986</v>
      </c>
      <c r="AH29" s="21">
        <f ca="1">IF(AH28&lt;INDEX(tsl1stYear,iTSL),0,INDEX(_prcElast,AH28-(INDEX(tsl1stYear,iTSL)-1)))</f>
        <v>-0.14999999999999986</v>
      </c>
      <c r="AI29" s="21">
        <f ca="1">IF(AI28&lt;INDEX(tsl1stYear,iTSL),0,INDEX(_prcElast,AI28-(INDEX(tsl1stYear,iTSL)-1)))</f>
        <v>-0.15</v>
      </c>
      <c r="AJ29" s="21">
        <f ca="1">IF(AJ28&lt;INDEX(tsl1stYear,iTSL),0,INDEX(_prcElast,AJ28-(INDEX(tsl1stYear,iTSL)-1)))</f>
        <v>-0.15</v>
      </c>
      <c r="AK29" s="21">
        <f ca="1">IF(AK28&lt;INDEX(tsl1stYear,iTSL),0,INDEX(_prcElast,AK28-(INDEX(tsl1stYear,iTSL)-1)))</f>
        <v>-0.15</v>
      </c>
      <c r="AL29" s="21">
        <f ca="1">IF(AL28&lt;INDEX(tsl1stYear,iTSL),0,INDEX(_prcElast,AL28-(INDEX(tsl1stYear,iTSL)-1)))</f>
        <v>-0.15</v>
      </c>
      <c r="AM29" s="21">
        <f ca="1">IF(AM28&lt;INDEX(tsl1stYear,iTSL),0,INDEX(_prcElast,AM28-(INDEX(tsl1stYear,iTSL)-1)))</f>
        <v>-0.15</v>
      </c>
      <c r="AN29" s="21">
        <f ca="1">IF(AN28&lt;INDEX(tsl1stYear,iTSL),0,INDEX(_prcElast,AN28-(INDEX(tsl1stYear,iTSL)-1)))</f>
        <v>-0.15</v>
      </c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2:60" x14ac:dyDescent="0.35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</row>
    <row r="31" spans="2:60" x14ac:dyDescent="0.35">
      <c r="B31" s="8"/>
      <c r="C31" s="23" t="s">
        <v>64</v>
      </c>
      <c r="D31" s="24"/>
      <c r="E31" s="26">
        <f t="array" ref="E31:BG31">_yL</f>
        <v>2024</v>
      </c>
      <c r="F31" s="26">
        <v>2025</v>
      </c>
      <c r="G31" s="26">
        <v>2026</v>
      </c>
      <c r="H31" s="26">
        <v>2027</v>
      </c>
      <c r="I31" s="26">
        <v>2028</v>
      </c>
      <c r="J31" s="26">
        <v>2029</v>
      </c>
      <c r="K31" s="26">
        <v>2030</v>
      </c>
      <c r="L31" s="26">
        <v>2031</v>
      </c>
      <c r="M31" s="26">
        <v>2032</v>
      </c>
      <c r="N31" s="26">
        <v>2033</v>
      </c>
      <c r="O31" s="26">
        <v>2034</v>
      </c>
      <c r="P31" s="26">
        <v>2035</v>
      </c>
      <c r="Q31" s="26">
        <v>2036</v>
      </c>
      <c r="R31" s="26">
        <v>2037</v>
      </c>
      <c r="S31" s="26">
        <v>2038</v>
      </c>
      <c r="T31" s="26">
        <v>2039</v>
      </c>
      <c r="U31" s="26">
        <v>2040</v>
      </c>
      <c r="V31" s="26">
        <v>2041</v>
      </c>
      <c r="W31" s="26">
        <v>2042</v>
      </c>
      <c r="X31" s="26">
        <v>2043</v>
      </c>
      <c r="Y31" s="26">
        <v>2044</v>
      </c>
      <c r="Z31" s="26">
        <v>2045</v>
      </c>
      <c r="AA31" s="26">
        <v>2046</v>
      </c>
      <c r="AB31" s="26">
        <v>2047</v>
      </c>
      <c r="AC31" s="26">
        <v>2048</v>
      </c>
      <c r="AD31" s="26">
        <v>2049</v>
      </c>
      <c r="AE31" s="26">
        <v>2050</v>
      </c>
      <c r="AF31" s="26">
        <v>2051</v>
      </c>
      <c r="AG31" s="26">
        <v>2052</v>
      </c>
      <c r="AH31" s="26">
        <v>2053</v>
      </c>
      <c r="AI31" s="26">
        <v>2054</v>
      </c>
      <c r="AJ31" s="26">
        <v>2055</v>
      </c>
      <c r="AK31" s="26">
        <v>2056</v>
      </c>
      <c r="AL31" s="26">
        <v>2057</v>
      </c>
      <c r="AM31" s="26">
        <v>2058</v>
      </c>
      <c r="AN31" s="26">
        <v>2059</v>
      </c>
      <c r="AO31" s="26">
        <v>2060</v>
      </c>
      <c r="AP31" s="26">
        <v>2061</v>
      </c>
      <c r="AQ31" s="26">
        <v>2062</v>
      </c>
      <c r="AR31" s="26">
        <v>2063</v>
      </c>
      <c r="AS31" s="26">
        <v>2064</v>
      </c>
      <c r="AT31" s="26">
        <v>2065</v>
      </c>
      <c r="AU31" s="26">
        <v>2066</v>
      </c>
      <c r="AV31" s="26">
        <v>2067</v>
      </c>
      <c r="AW31" s="26">
        <v>2068</v>
      </c>
      <c r="AX31" s="26">
        <v>2069</v>
      </c>
      <c r="AY31" s="26">
        <v>2070</v>
      </c>
      <c r="AZ31" s="26">
        <v>2071</v>
      </c>
      <c r="BA31" s="26">
        <v>2072</v>
      </c>
      <c r="BB31" s="26">
        <v>2073</v>
      </c>
      <c r="BC31" s="26">
        <v>2074</v>
      </c>
      <c r="BD31" s="26">
        <v>2075</v>
      </c>
      <c r="BE31" s="26">
        <v>2076</v>
      </c>
      <c r="BF31" s="26">
        <v>2077</v>
      </c>
      <c r="BG31" s="27">
        <v>2078</v>
      </c>
      <c r="BH31" s="8"/>
    </row>
    <row r="32" spans="2:60" x14ac:dyDescent="0.35">
      <c r="B32" s="8"/>
      <c r="C32" s="9" t="s">
        <v>65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18"/>
      <c r="BH32" s="8"/>
    </row>
    <row r="33" spans="2:60" x14ac:dyDescent="0.35">
      <c r="B33" s="8"/>
      <c r="C33" s="47" t="s">
        <v>66</v>
      </c>
      <c r="D33" s="11" t="str">
        <f>shpUnit</f>
        <v>mi units</v>
      </c>
      <c r="E33" s="40">
        <f t="array" aca="1" ref="E33:BG33" ca="1">tStksmlBC_Res+tStkmedBC_Res+tStklrgBC_Res</f>
        <v>4.9276408704644972</v>
      </c>
      <c r="F33" s="40">
        <f ca="1"/>
        <v>10.072420419852811</v>
      </c>
      <c r="G33" s="40">
        <f ca="1"/>
        <v>15.399726672961009</v>
      </c>
      <c r="H33" s="40">
        <f ca="1"/>
        <v>20.842650529393492</v>
      </c>
      <c r="I33" s="40">
        <f ca="1"/>
        <v>26.292784471125536</v>
      </c>
      <c r="J33" s="40">
        <f ca="1"/>
        <v>31.612331838679136</v>
      </c>
      <c r="K33" s="40">
        <f ca="1"/>
        <v>36.65923722756682</v>
      </c>
      <c r="L33" s="40">
        <f ca="1"/>
        <v>41.318650693717203</v>
      </c>
      <c r="M33" s="40">
        <f ca="1"/>
        <v>45.532607759055622</v>
      </c>
      <c r="N33" s="40">
        <f ca="1"/>
        <v>49.31522856863505</v>
      </c>
      <c r="O33" s="40">
        <f ca="1"/>
        <v>52.746344558254037</v>
      </c>
      <c r="P33" s="40">
        <f ca="1"/>
        <v>55.946182284829632</v>
      </c>
      <c r="Q33" s="40">
        <f ca="1"/>
        <v>59.04197325908828</v>
      </c>
      <c r="R33" s="40">
        <f ca="1"/>
        <v>62.140874787553685</v>
      </c>
      <c r="S33" s="40">
        <f ca="1"/>
        <v>65.318894271251125</v>
      </c>
      <c r="T33" s="40">
        <f ca="1"/>
        <v>68.621034696816452</v>
      </c>
      <c r="U33" s="40">
        <f ca="1"/>
        <v>72.0732074487143</v>
      </c>
      <c r="V33" s="40">
        <f ca="1"/>
        <v>75.689889973735973</v>
      </c>
      <c r="W33" s="40">
        <f ca="1"/>
        <v>79.483201416757197</v>
      </c>
      <c r="X33" s="40">
        <f ca="1"/>
        <v>83.461932479055434</v>
      </c>
      <c r="Y33" s="40">
        <f ca="1"/>
        <v>87.635004466168709</v>
      </c>
      <c r="Z33" s="40">
        <f ca="1"/>
        <v>92.011668063945464</v>
      </c>
      <c r="AA33" s="40">
        <f ca="1"/>
        <v>96.60159636336212</v>
      </c>
      <c r="AB33" s="40">
        <f ca="1"/>
        <v>101.4149920486503</v>
      </c>
      <c r="AC33" s="40">
        <f ca="1"/>
        <v>106.46265274316228</v>
      </c>
      <c r="AD33" s="40">
        <f ca="1"/>
        <v>111.75599258364321</v>
      </c>
      <c r="AE33" s="40">
        <f ca="1"/>
        <v>117.30704077946376</v>
      </c>
      <c r="AF33" s="40">
        <f ca="1"/>
        <v>123.12843181056934</v>
      </c>
      <c r="AG33" s="40">
        <f ca="1"/>
        <v>129.23340289127771</v>
      </c>
      <c r="AH33" s="40">
        <f ca="1"/>
        <v>135.63580723327303</v>
      </c>
      <c r="AI33" s="40">
        <f ca="1"/>
        <v>142.35014170090363</v>
      </c>
      <c r="AJ33" s="40">
        <f ca="1"/>
        <v>149.39158560023341</v>
      </c>
      <c r="AK33" s="40">
        <f ca="1"/>
        <v>156.77604846119124</v>
      </c>
      <c r="AL33" s="40">
        <f ca="1"/>
        <v>164.52021102647356</v>
      </c>
      <c r="AM33" s="40">
        <f ca="1"/>
        <v>146.76937401020081</v>
      </c>
      <c r="AN33" s="40">
        <f ca="1"/>
        <v>128.21539417502231</v>
      </c>
      <c r="AO33" s="40">
        <f ca="1"/>
        <v>109.08611928362308</v>
      </c>
      <c r="AP33" s="40">
        <f ca="1"/>
        <v>89.827793171111622</v>
      </c>
      <c r="AQ33" s="40">
        <f ca="1"/>
        <v>71.085979925203276</v>
      </c>
      <c r="AR33" s="40">
        <f ca="1"/>
        <v>53.632855673690287</v>
      </c>
      <c r="AS33" s="40">
        <f ca="1"/>
        <v>38.239708553904933</v>
      </c>
      <c r="AT33" s="40">
        <f ca="1"/>
        <v>25.516936911475206</v>
      </c>
      <c r="AU33" s="40">
        <f ca="1"/>
        <v>15.769337997229343</v>
      </c>
      <c r="AV33" s="40">
        <f ca="1"/>
        <v>8.9242847360785724</v>
      </c>
      <c r="AW33" s="40">
        <f ca="1"/>
        <v>4.5695875692318371</v>
      </c>
      <c r="AX33" s="40">
        <f ca="1"/>
        <v>2.08976764322653</v>
      </c>
      <c r="AY33" s="40">
        <f ca="1"/>
        <v>0.84126781568272779</v>
      </c>
      <c r="AZ33" s="40">
        <f ca="1"/>
        <v>0.29256766668538525</v>
      </c>
      <c r="BA33" s="40">
        <f ca="1"/>
        <v>8.4811058579352838E-2</v>
      </c>
      <c r="BB33" s="40">
        <f ca="1"/>
        <v>1.7973137375855031E-2</v>
      </c>
      <c r="BC33" s="40">
        <f ca="1"/>
        <v>0</v>
      </c>
      <c r="BD33" s="40">
        <f ca="1"/>
        <v>0</v>
      </c>
      <c r="BE33" s="40">
        <f ca="1"/>
        <v>0</v>
      </c>
      <c r="BF33" s="40">
        <f ca="1"/>
        <v>0</v>
      </c>
      <c r="BG33" s="41">
        <f ca="1"/>
        <v>0</v>
      </c>
      <c r="BH33" s="8"/>
    </row>
    <row r="34" spans="2:60" x14ac:dyDescent="0.35">
      <c r="B34" s="8"/>
      <c r="C34" s="47" t="s">
        <v>67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18"/>
      <c r="BH34" s="8"/>
    </row>
    <row r="35" spans="2:60" x14ac:dyDescent="0.35">
      <c r="B35" s="8"/>
      <c r="C35" s="20" t="str">
        <f>INDEX(_pcName,1)</f>
        <v>CADR 10-99</v>
      </c>
      <c r="D35" s="11" t="str">
        <f>shpUnit</f>
        <v>mi units</v>
      </c>
      <c r="E35" s="40">
        <f ca="1">SUMPRODUCT(N(OFFSET(tShpsmlBC_Res,0,0,1,1)),N(OFFSET(tpSurvAll_Res,0,1-OFFSET(_i,0,0,1,1),1,1)))</f>
        <v>1.2811866263207694</v>
      </c>
      <c r="F35" s="40">
        <f ca="1">SUMPRODUCT(OFFSET(tShpsmlBC_Res,0,0,1,2),N(OFFSET(tpSurvAll_Res,0,2-OFFSET(_i,0,0,1,2),1,1)))</f>
        <v>2.6188293091617316</v>
      </c>
      <c r="G35" s="40">
        <f ca="1">SUMPRODUCT(OFFSET(tShpsmlBC_Res,0,0,1,3),N(OFFSET(tpSurvAll_Res,0,3-OFFSET(_i,0,0,1,3),1,1)))</f>
        <v>4.0039289349698626</v>
      </c>
      <c r="H35" s="40">
        <f ca="1">SUMPRODUCT(OFFSET(tShpsmlBC_Res,0,0,1,4),N(OFFSET(tpSurvAll_Res,0,4-OFFSET(_i,0,0,1,4),1,1)))</f>
        <v>5.4190891376423078</v>
      </c>
      <c r="I35" s="40">
        <f ca="1">SUMPRODUCT(OFFSET(tShpsmlBC_Res,0,0,1,5),N(OFFSET(tpSurvAll_Res,0,5-OFFSET(_i,0,0,1,5),1,1)))</f>
        <v>6.83612396249264</v>
      </c>
      <c r="J35" s="40">
        <f ca="1">SUMPRODUCT(OFFSET(tShpsmlBC_Res,0,0,1,6),N(OFFSET(tpSurvAll_Res,0,6-OFFSET(_i,0,0,1,6),1,1)))</f>
        <v>8.2192062780565749</v>
      </c>
      <c r="K35" s="40">
        <f ca="1">SUMPRODUCT(OFFSET(tShpsmlBC_Res,0,0,1,7),N(OFFSET(tpSurvAll_Res,0,7-OFFSET(_i,0,0,1,7),1,1)))</f>
        <v>9.5314016791673737</v>
      </c>
      <c r="L35" s="40">
        <f ca="1">SUMPRODUCT(OFFSET(tShpsmlBC_Res,0,0,1,8),N(OFFSET(tpSurvAll_Res,0,8-OFFSET(_i,0,0,1,8),1,1)))</f>
        <v>10.742849180366472</v>
      </c>
      <c r="M35" s="40">
        <f ca="1">SUMPRODUCT(OFFSET(tShpsmlBC_Res,0,0,1,9),N(OFFSET(tpSurvAll_Res,0,9-OFFSET(_i,0,0,1,9),1,1)))</f>
        <v>11.838478017354465</v>
      </c>
      <c r="N35" s="40">
        <f ca="1">SUMPRODUCT(OFFSET(tShpsmlBC_Res,0,0,1,10),N(OFFSET(tpSurvAll_Res,0,10-OFFSET(_i,0,0,1,10),1,1)))</f>
        <v>12.821959427845112</v>
      </c>
      <c r="O35" s="40">
        <f ca="1">SUMPRODUCT(OFFSET(tShpsmlBC_Res,0,0,1,11),N(OFFSET(tpSurvAll_Res,0,11-OFFSET(_i,0,0,1,11),1,1)))</f>
        <v>13.714049585146052</v>
      </c>
      <c r="P35" s="40">
        <f ca="1">SUMPRODUCT(OFFSET(tShpsmlBC_Res,0,0,1,12),N(OFFSET(tpSurvAll_Res,0,12-OFFSET(_i,0,0,1,12),1,1)))</f>
        <v>14.546007394055703</v>
      </c>
      <c r="Q35" s="40">
        <f ca="1">SUMPRODUCT(OFFSET(tShpsmlBC_Res,0,0,1,13),N(OFFSET(tpSurvAll_Res,0,13-OFFSET(_i,0,0,1,13),1,1)))</f>
        <v>15.350913047362951</v>
      </c>
      <c r="R35" s="40">
        <f ca="1">SUMPRODUCT(OFFSET(tShpsmlBC_Res,0,0,1,14),N(OFFSET(tpSurvAll_Res,0,14-OFFSET(_i,0,0,1,14),1,1)))</f>
        <v>16.156627444763959</v>
      </c>
      <c r="S35" s="40">
        <f ca="1">SUMPRODUCT(OFFSET(tShpsmlBC_Res,0,0,1,15),N(OFFSET(tpSurvAll_Res,0,15-OFFSET(_i,0,0,1,15),1,1)))</f>
        <v>16.982912510525292</v>
      </c>
      <c r="T35" s="40">
        <f ca="1">SUMPRODUCT(OFFSET(tShpsmlBC_Res,0,0,1,16),N(OFFSET(tpSurvAll_Res,0,16-OFFSET(_i,0,0,1,16),1,1)))</f>
        <v>17.841469021172276</v>
      </c>
      <c r="U35" s="40">
        <f ca="1">SUMPRODUCT(OFFSET(tShpsmlBC_Res,0,0,1,17),N(OFFSET(tpSurvAll_Res,0,17-OFFSET(_i,0,0,1,17),1,1)))</f>
        <v>18.739033936665717</v>
      </c>
      <c r="V35" s="40">
        <f ca="1">SUMPRODUCT(OFFSET(tShpsmlBC_Res,0,0,1,18),N(OFFSET(tpSurvAll_Res,0,18-OFFSET(_i,0,0,1,18),1,1)))</f>
        <v>19.679371393171351</v>
      </c>
      <c r="W35" s="40">
        <f ca="1">SUMPRODUCT(OFFSET(tShpsmlBC_Res,0,0,1,19),N(OFFSET(tpSurvAll_Res,0,19-OFFSET(_i,0,0,1,19),1,1)))</f>
        <v>20.665632368356871</v>
      </c>
      <c r="X35" s="40">
        <f ca="1">SUMPRODUCT(OFFSET(tShpsmlBC_Res,0,0,1,20),N(OFFSET(tpSurvAll_Res,0,20-OFFSET(_i,0,0,1,20),1,1)))</f>
        <v>21.70010244455441</v>
      </c>
      <c r="Y35" s="40">
        <f ca="1">SUMPRODUCT(OFFSET(tShpsmlBC_Res,0,1,1,20),N(OFFSET(tpSurvAll_Res,0,20-OFFSET(_i,0,0,1,20),1,1)))</f>
        <v>22.785101161203865</v>
      </c>
      <c r="Z35" s="40">
        <f ca="1">SUMPRODUCT(OFFSET(tShpsmlBC_Res,0,2,1,20),N(OFFSET(tpSurvAll_Res,0,20-OFFSET(_i,0,0,1,20),1,1)))</f>
        <v>23.923033696625822</v>
      </c>
      <c r="AA35" s="40">
        <f ca="1">SUMPRODUCT(OFFSET(tShpsmlBC_Res,0,3,1,20),N(OFFSET(tpSurvAll_Res,0,20-OFFSET(_i,0,0,1,20),1,1)))</f>
        <v>25.116415054474153</v>
      </c>
      <c r="AB35" s="40">
        <f ca="1">SUMPRODUCT(OFFSET(tShpsmlBC_Res,0,4,1,20),N(OFFSET(tpSurvAll_Res,0,20-OFFSET(_i,0,0,1,20),1,1)))</f>
        <v>26.367897932649079</v>
      </c>
      <c r="AC35" s="40">
        <f ca="1">SUMPRODUCT(OFFSET(tShpsmlBC_Res,0,5,1,20),N(OFFSET(tpSurvAll_Res,0,20-OFFSET(_i,0,0,1,20),1,1)))</f>
        <v>27.680289713222194</v>
      </c>
      <c r="AD35" s="40">
        <f ca="1">SUMPRODUCT(OFFSET(tShpsmlBC_Res,0,6,1,20),N(OFFSET(tpSurvAll_Res,0,20-OFFSET(_i,0,0,1,20),1,1)))</f>
        <v>29.056558071747233</v>
      </c>
      <c r="AE35" s="40">
        <f ca="1">SUMPRODUCT(OFFSET(tShpsmlBC_Res,0,7,1,20),N(OFFSET(tpSurvAll_Res,0,20-OFFSET(_i,0,0,1,20),1,1)))</f>
        <v>30.499830602660577</v>
      </c>
      <c r="AF35" s="40">
        <f ca="1">SUMPRODUCT(OFFSET(tShpsmlBC_Res,0,8,1,20),N(OFFSET(tpSurvAll_Res,0,20-OFFSET(_i,0,0,1,20),1,1)))</f>
        <v>32.013392270748028</v>
      </c>
      <c r="AG35" s="40">
        <f ca="1">SUMPRODUCT(OFFSET(tShpsmlBC_Res,0,9,1,20),N(OFFSET(tpSurvAll_Res,0,20-OFFSET(_i,0,0,1,20),1,1)))</f>
        <v>33.600684751732203</v>
      </c>
      <c r="AH35" s="40">
        <f ca="1">SUMPRODUCT(OFFSET(tShpsmlBC_Res,0,10,1,20),N(OFFSET(tpSurvAll_Res,0,20-OFFSET(_i,0,0,1,20),1,1)))</f>
        <v>35.265309880650989</v>
      </c>
      <c r="AI35" s="40">
        <f ca="1">SUMPRODUCT(OFFSET(tShpsmlBC_Res,0,11,1,20),N(OFFSET(tpSurvAll_Res,0,20-OFFSET(_i,0,0,1,20),1,1)))</f>
        <v>37.011036842234944</v>
      </c>
      <c r="AJ35" s="40">
        <f ca="1">SUMPRODUCT(OFFSET(tShpsmlBC_Res,0,12,1,20),N(OFFSET(tpSurvAll_Res,0,20-OFFSET(_i,0,0,1,20),1,1)))</f>
        <v>38.841812256060685</v>
      </c>
      <c r="AK35" s="40">
        <f ca="1">SUMPRODUCT(OFFSET(tShpsmlBC_Res,0,13,1,20),N(OFFSET(tpSurvAll_Res,0,20-OFFSET(_i,0,0,1,20),1,1)))</f>
        <v>40.761772599909726</v>
      </c>
      <c r="AL35" s="40">
        <f ca="1">SUMPRODUCT(OFFSET(tShpsmlBC_Res,0,14,1,20),N(OFFSET(tpSurvAll_Res,0,20-OFFSET(_i,0,0,1,20),1,1)))</f>
        <v>42.775254866883124</v>
      </c>
      <c r="AM35" s="40">
        <f ca="1">SUMPRODUCT(OFFSET(tShpsmlBC_Res,0,15,1,20),N(OFFSET(tpSurvAll_Res,0,20-OFFSET(_i,0,0,1,20),1,1)))</f>
        <v>38.160037242652216</v>
      </c>
      <c r="AN35" s="40">
        <f ca="1">SUMPRODUCT(OFFSET(tShpsmlBC_Res,0,16,1,20),N(OFFSET(tpSurvAll_Res,0,20-OFFSET(_i,0,0,1,20),1,1)))</f>
        <v>33.336002485505801</v>
      </c>
      <c r="AO35" s="40">
        <f ca="1">SUMPRODUCT(OFFSET(tShpsmlBC_Res,0,17,1,19),N(OFFSET(tpSurvAll_Res,0,20-OFFSET(_i,0,0,1,19),1,1)))</f>
        <v>28.362391013741998</v>
      </c>
      <c r="AP35" s="40">
        <f ca="1">SUMPRODUCT(OFFSET(tShpsmlBC_Res,0,18,1,18),N(OFFSET(tpSurvAll_Res,0,20-OFFSET(_i,0,0,1,18),1,1)))</f>
        <v>23.355226224489019</v>
      </c>
      <c r="AQ35" s="40">
        <f ca="1">SUMPRODUCT(OFFSET(tShpsmlBC_Res,0,19,1,17),N(OFFSET(tpSurvAll_Res,0,20-OFFSET(_i,0,0,1,17),1,1)))</f>
        <v>18.482354780552853</v>
      </c>
      <c r="AR35" s="40">
        <f ca="1">SUMPRODUCT(OFFSET(tShpsmlBC_Res,0,20,1,16),N(OFFSET(tpSurvAll_Res,0,20-OFFSET(_i,0,0,1,16),1,1)))</f>
        <v>13.944542475159473</v>
      </c>
      <c r="AS35" s="40">
        <f ca="1">SUMPRODUCT(OFFSET(tShpsmlBC_Res,0,21,1,15),N(OFFSET(tpSurvAll_Res,0,20-OFFSET(_i,0,0,1,15),1,1)))</f>
        <v>9.942324224015282</v>
      </c>
      <c r="AT35" s="40">
        <f ca="1">SUMPRODUCT(OFFSET(tShpsmlBC_Res,0,22,1,14),N(OFFSET(tpSurvAll_Res,0,20-OFFSET(_i,0,0,1,14),1,1)))</f>
        <v>6.634403596983554</v>
      </c>
      <c r="AU35" s="40">
        <f ca="1">SUMPRODUCT(OFFSET(tShpsmlBC_Res,0,23,1,13),N(OFFSET(tpSurvAll_Res,0,20-OFFSET(_i,0,0,1,13),1,1)))</f>
        <v>4.1000278792796285</v>
      </c>
      <c r="AV35" s="40">
        <f ca="1">SUMPRODUCT(OFFSET(tShpsmlBC_Res,0,24,1,12),N(OFFSET(tpSurvAll_Res,0,20-OFFSET(_i,0,0,1,12),1,1)))</f>
        <v>2.3203140313804296</v>
      </c>
      <c r="AW35" s="40">
        <f ca="1">SUMPRODUCT(OFFSET(tShpsmlBC_Res,0,25,1,11),N(OFFSET(tpSurvAll_Res,0,20-OFFSET(_i,0,0,1,11),1,1)))</f>
        <v>1.1880927680002775</v>
      </c>
      <c r="AX35" s="40">
        <f ca="1">SUMPRODUCT(OFFSET(tShpsmlBC_Res,0,26,1,10),N(OFFSET(tpSurvAll_Res,0,20-OFFSET(_i,0,0,1,10),1,1)))</f>
        <v>0.54333958723889775</v>
      </c>
      <c r="AY35" s="40">
        <f ca="1">SUMPRODUCT(OFFSET(tShpsmlBC_Res,0,27,1,9),N(OFFSET(tpSurvAll_Res,0,20-OFFSET(_i,0,0,1,9),1,1)))</f>
        <v>0.21872963207750923</v>
      </c>
      <c r="AZ35" s="40">
        <f ca="1">SUMPRODUCT(OFFSET(tShpsmlBC_Res,0,28,1,8),N(OFFSET(tpSurvAll_Res,0,20-OFFSET(_i,0,0,1,8),1,1)))</f>
        <v>7.6067593338200151E-2</v>
      </c>
      <c r="BA35" s="40">
        <f ca="1">SUMPRODUCT(OFFSET(tShpsmlBC_Res,0,29,1,7),N(OFFSET(tpSurvAll_Res,0,20-OFFSET(_i,0,0,1,7),1,1)))</f>
        <v>2.2050875230631733E-2</v>
      </c>
      <c r="BB35" s="40">
        <f ca="1">SUMPRODUCT(OFFSET(tShpsmlBC_Res,0,30,1,6),N(OFFSET(tpSurvAll_Res,0,20-OFFSET(_i,0,0,1,6),1,1)))</f>
        <v>4.6730157177223078E-3</v>
      </c>
      <c r="BC35" s="40">
        <f ca="1">SUMPRODUCT(OFFSET(tShpsmlBC_Res,0,31,1,5),N(OFFSET(tpSurvAll_Res,0,20-OFFSET(_i,0,0,1,5),1,1)))</f>
        <v>0</v>
      </c>
      <c r="BD35" s="40">
        <f ca="1">SUMPRODUCT(OFFSET(tShpsmlBC_Res,0,32,1,4),N(OFFSET(tpSurvAll_Res,0,20-OFFSET(_i,0,0,1,4),1,1)))</f>
        <v>0</v>
      </c>
      <c r="BE35" s="40">
        <f ca="1">SUMPRODUCT(OFFSET(tShpsmlBC_Res,0,33,1,3),N(OFFSET(tpSurvAll_Res,0,20-OFFSET(_i,0,0,1,3),1,1)))</f>
        <v>0</v>
      </c>
      <c r="BF35" s="40">
        <f ca="1">SUMPRODUCT(OFFSET(tShpsmlBC_Res,0,34,1,2),N(OFFSET(tpSurvAll_Res,0,20-OFFSET(_i,0,0,1,2),1,1)))</f>
        <v>0</v>
      </c>
      <c r="BG35" s="41">
        <f ca="1">SUMPRODUCT(N(OFFSET(tShpsmlBC_Res,0,35,1,1)),N(OFFSET(tpSurvAll_Res,0,20-OFFSET(_i,0,0,1,1),1,1)))</f>
        <v>0</v>
      </c>
      <c r="BH35" s="8"/>
    </row>
    <row r="36" spans="2:60" x14ac:dyDescent="0.35">
      <c r="B36" s="8"/>
      <c r="C36" s="20" t="str">
        <f>INDEX(_pcName,2)</f>
        <v>CADR 100-149</v>
      </c>
      <c r="D36" s="11" t="str">
        <f>shpUnit</f>
        <v>mi units</v>
      </c>
      <c r="E36" s="40">
        <f ca="1">SUMPRODUCT(N(OFFSET(tShpmedBC_Res,0,0,1,1)),N(OFFSET(tpSurvAll_Res,0,1-OFFSET(_i,0,0,1,1),1,1)))</f>
        <v>1.1826338089114792</v>
      </c>
      <c r="F36" s="40">
        <f ca="1">SUMPRODUCT(OFFSET(tShpmedBC_Res,0,0,1,2),N(OFFSET(tpSurvAll_Res,0,2-OFFSET(_i,0,0,1,2),1,1)))</f>
        <v>2.4173809007646749</v>
      </c>
      <c r="G36" s="40">
        <f ca="1">SUMPRODUCT(OFFSET(tShpmedBC_Res,0,0,1,3),N(OFFSET(tpSurvAll_Res,0,3-OFFSET(_i,0,0,1,3),1,1)))</f>
        <v>3.6959344015106419</v>
      </c>
      <c r="H36" s="40">
        <f ca="1">SUMPRODUCT(OFFSET(tShpmedBC_Res,0,0,1,4),N(OFFSET(tpSurvAll_Res,0,4-OFFSET(_i,0,0,1,4),1,1)))</f>
        <v>5.002236127054438</v>
      </c>
      <c r="I36" s="40">
        <f ca="1">SUMPRODUCT(OFFSET(tShpmedBC_Res,0,0,1,5),N(OFFSET(tpSurvAll_Res,0,5-OFFSET(_i,0,0,1,5),1,1)))</f>
        <v>6.3102682730701281</v>
      </c>
      <c r="J36" s="40">
        <f ca="1">SUMPRODUCT(OFFSET(tShpmedBC_Res,0,0,1,6),N(OFFSET(tpSurvAll_Res,0,6-OFFSET(_i,0,0,1,6),1,1)))</f>
        <v>7.5869596412829932</v>
      </c>
      <c r="K36" s="40">
        <f ca="1">SUMPRODUCT(OFFSET(tShpmedBC_Res,0,0,1,7),N(OFFSET(tpSurvAll_Res,0,7-OFFSET(_i,0,0,1,7),1,1)))</f>
        <v>8.7982169346160362</v>
      </c>
      <c r="L36" s="40">
        <f ca="1">SUMPRODUCT(OFFSET(tShpmedBC_Res,0,0,1,8),N(OFFSET(tpSurvAll_Res,0,8-OFFSET(_i,0,0,1,8),1,1)))</f>
        <v>9.9164761664921279</v>
      </c>
      <c r="M36" s="40">
        <f ca="1">SUMPRODUCT(OFFSET(tShpmedBC_Res,0,0,1,9),N(OFFSET(tpSurvAll_Res,0,9-OFFSET(_i,0,0,1,9),1,1)))</f>
        <v>10.92782586217335</v>
      </c>
      <c r="N36" s="40">
        <f ca="1">SUMPRODUCT(OFFSET(tShpmedBC_Res,0,0,1,10),N(OFFSET(tpSurvAll_Res,0,10-OFFSET(_i,0,0,1,10),1,1)))</f>
        <v>11.835654856472413</v>
      </c>
      <c r="O36" s="40">
        <f ca="1">SUMPRODUCT(OFFSET(tShpmedBC_Res,0,0,1,11),N(OFFSET(tpSurvAll_Res,0,11-OFFSET(_i,0,0,1,11),1,1)))</f>
        <v>12.65912269398097</v>
      </c>
      <c r="P36" s="40">
        <f ca="1">SUMPRODUCT(OFFSET(tShpmedBC_Res,0,0,1,12),N(OFFSET(tpSurvAll_Res,0,12-OFFSET(_i,0,0,1,12),1,1)))</f>
        <v>13.427083748359113</v>
      </c>
      <c r="Q36" s="40">
        <f ca="1">SUMPRODUCT(OFFSET(tShpmedBC_Res,0,0,1,13),N(OFFSET(tpSurvAll_Res,0,13-OFFSET(_i,0,0,1,13),1,1)))</f>
        <v>14.170073582181185</v>
      </c>
      <c r="R36" s="40">
        <f ca="1">SUMPRODUCT(OFFSET(tShpmedBC_Res,0,0,1,14),N(OFFSET(tpSurvAll_Res,0,14-OFFSET(_i,0,0,1,14),1,1)))</f>
        <v>14.913809949012883</v>
      </c>
      <c r="S36" s="40">
        <f ca="1">SUMPRODUCT(OFFSET(tShpmedBC_Res,0,0,1,15),N(OFFSET(tpSurvAll_Res,0,15-OFFSET(_i,0,0,1,15),1,1)))</f>
        <v>15.676534625100272</v>
      </c>
      <c r="T36" s="40">
        <f ca="1">SUMPRODUCT(OFFSET(tShpmedBC_Res,0,0,1,16),N(OFFSET(tpSurvAll_Res,0,16-OFFSET(_i,0,0,1,16),1,1)))</f>
        <v>16.469048327235949</v>
      </c>
      <c r="U36" s="40">
        <f ca="1">SUMPRODUCT(OFFSET(tShpmedBC_Res,0,0,1,17),N(OFFSET(tpSurvAll_Res,0,17-OFFSET(_i,0,0,1,17),1,1)))</f>
        <v>17.29756978769143</v>
      </c>
      <c r="V36" s="40">
        <f ca="1">SUMPRODUCT(OFFSET(tShpmedBC_Res,0,0,1,18),N(OFFSET(tpSurvAll_Res,0,18-OFFSET(_i,0,0,1,18),1,1)))</f>
        <v>18.165573593696632</v>
      </c>
      <c r="W36" s="40">
        <f ca="1">SUMPRODUCT(OFFSET(tShpmedBC_Res,0,0,1,19),N(OFFSET(tpSurvAll_Res,0,19-OFFSET(_i,0,0,1,19),1,1)))</f>
        <v>19.075968340021721</v>
      </c>
      <c r="X36" s="40">
        <f ca="1">SUMPRODUCT(OFFSET(tShpmedBC_Res,0,0,1,20),N(OFFSET(tpSurvAll_Res,0,20-OFFSET(_i,0,0,1,20),1,1)))</f>
        <v>20.0308637949733</v>
      </c>
      <c r="Y36" s="40">
        <f ca="1">SUMPRODUCT(OFFSET(tShpmedBC_Res,0,1,1,20),N(OFFSET(tpSurvAll_Res,0,20-OFFSET(_i,0,0,1,20),1,1)))</f>
        <v>21.032401071880489</v>
      </c>
      <c r="Z36" s="40">
        <f ca="1">SUMPRODUCT(OFFSET(tShpmedBC_Res,0,2,1,20),N(OFFSET(tpSurvAll_Res,0,20-OFFSET(_i,0,0,1,20),1,1)))</f>
        <v>22.08280033534691</v>
      </c>
      <c r="AA36" s="40">
        <f ca="1">SUMPRODUCT(OFFSET(tShpmedBC_Res,0,3,1,20),N(OFFSET(tpSurvAll_Res,0,20-OFFSET(_i,0,0,1,20),1,1)))</f>
        <v>23.184383127206907</v>
      </c>
      <c r="AB36" s="40">
        <f ca="1">SUMPRODUCT(OFFSET(tShpmedBC_Res,0,4,1,20),N(OFFSET(tpSurvAll_Res,0,20-OFFSET(_i,0,0,1,20),1,1)))</f>
        <v>24.33959809167607</v>
      </c>
      <c r="AC36" s="40">
        <f ca="1">SUMPRODUCT(OFFSET(tShpmedBC_Res,0,5,1,20),N(OFFSET(tpSurvAll_Res,0,20-OFFSET(_i,0,0,1,20),1,1)))</f>
        <v>25.551036658358946</v>
      </c>
      <c r="AD36" s="40">
        <f ca="1">SUMPRODUCT(OFFSET(tShpmedBC_Res,0,6,1,20),N(OFFSET(tpSurvAll_Res,0,20-OFFSET(_i,0,0,1,20),1,1)))</f>
        <v>26.821438220074366</v>
      </c>
      <c r="AE36" s="40">
        <f ca="1">SUMPRODUCT(OFFSET(tShpmedBC_Res,0,7,1,20),N(OFFSET(tpSurvAll_Res,0,20-OFFSET(_i,0,0,1,20),1,1)))</f>
        <v>28.153689787071301</v>
      </c>
      <c r="AF36" s="40">
        <f ca="1">SUMPRODUCT(OFFSET(tShpmedBC_Res,0,8,1,20),N(OFFSET(tpSurvAll_Res,0,20-OFFSET(_i,0,0,1,20),1,1)))</f>
        <v>29.550823634536641</v>
      </c>
      <c r="AG36" s="40">
        <f ca="1">SUMPRODUCT(OFFSET(tShpmedBC_Res,0,9,1,20),N(OFFSET(tpSurvAll_Res,0,20-OFFSET(_i,0,0,1,20),1,1)))</f>
        <v>31.016016693906646</v>
      </c>
      <c r="AH36" s="40">
        <f ca="1">SUMPRODUCT(OFFSET(tShpmedBC_Res,0,10,1,20),N(OFFSET(tpSurvAll_Res,0,20-OFFSET(_i,0,0,1,20),1,1)))</f>
        <v>32.552593735985525</v>
      </c>
      <c r="AI36" s="40">
        <f ca="1">SUMPRODUCT(OFFSET(tShpmedBC_Res,0,11,1,20),N(OFFSET(tpSurvAll_Res,0,20-OFFSET(_i,0,0,1,20),1,1)))</f>
        <v>34.164034008216866</v>
      </c>
      <c r="AJ36" s="40">
        <f ca="1">SUMPRODUCT(OFFSET(tShpmedBC_Res,0,12,1,20),N(OFFSET(tpSurvAll_Res,0,20-OFFSET(_i,0,0,1,20),1,1)))</f>
        <v>35.853980544056014</v>
      </c>
      <c r="AK36" s="40">
        <f ca="1">SUMPRODUCT(OFFSET(tShpmedBC_Res,0,13,1,20),N(OFFSET(tpSurvAll_Res,0,20-OFFSET(_i,0,0,1,20),1,1)))</f>
        <v>37.6262516306859</v>
      </c>
      <c r="AL36" s="40">
        <f ca="1">SUMPRODUCT(OFFSET(tShpmedBC_Res,0,14,1,20),N(OFFSET(tpSurvAll_Res,0,20-OFFSET(_i,0,0,1,20),1,1)))</f>
        <v>39.484850646353657</v>
      </c>
      <c r="AM36" s="40">
        <f ca="1">SUMPRODUCT(OFFSET(tShpmedBC_Res,0,15,1,20),N(OFFSET(tpSurvAll_Res,0,20-OFFSET(_i,0,0,1,20),1,1)))</f>
        <v>35.224649762448202</v>
      </c>
      <c r="AN36" s="40">
        <f ca="1">SUMPRODUCT(OFFSET(tShpmedBC_Res,0,16,1,20),N(OFFSET(tpSurvAll_Res,0,20-OFFSET(_i,0,0,1,20),1,1)))</f>
        <v>30.771694602005351</v>
      </c>
      <c r="AO36" s="40">
        <f ca="1">SUMPRODUCT(OFFSET(tShpmedBC_Res,0,17,1,19),N(OFFSET(tpSurvAll_Res,0,20-OFFSET(_i,0,0,1,19),1,1)))</f>
        <v>26.180668628069537</v>
      </c>
      <c r="AP36" s="40">
        <f ca="1">SUMPRODUCT(OFFSET(tShpmedBC_Res,0,18,1,18),N(OFFSET(tpSurvAll_Res,0,20-OFFSET(_i,0,0,1,18),1,1)))</f>
        <v>21.558670361066788</v>
      </c>
      <c r="AQ36" s="40">
        <f ca="1">SUMPRODUCT(OFFSET(tShpmedBC_Res,0,19,1,17),N(OFFSET(tpSurvAll_Res,0,20-OFFSET(_i,0,0,1,17),1,1)))</f>
        <v>17.060635182048784</v>
      </c>
      <c r="AR36" s="40">
        <f ca="1">SUMPRODUCT(OFFSET(tShpmedBC_Res,0,20,1,16),N(OFFSET(tpSurvAll_Res,0,20-OFFSET(_i,0,0,1,16),1,1)))</f>
        <v>12.871885361685667</v>
      </c>
      <c r="AS36" s="40">
        <f ca="1">SUMPRODUCT(OFFSET(tShpmedBC_Res,0,21,1,15),N(OFFSET(tpSurvAll_Res,0,20-OFFSET(_i,0,0,1,15),1,1)))</f>
        <v>9.1775300529371826</v>
      </c>
      <c r="AT36" s="40">
        <f ca="1">SUMPRODUCT(OFFSET(tShpmedBC_Res,0,22,1,14),N(OFFSET(tpSurvAll_Res,0,20-OFFSET(_i,0,0,1,14),1,1)))</f>
        <v>6.1240648587540498</v>
      </c>
      <c r="AU36" s="40">
        <f ca="1">SUMPRODUCT(OFFSET(tShpmedBC_Res,0,23,1,13),N(OFFSET(tpSurvAll_Res,0,20-OFFSET(_i,0,0,1,13),1,1)))</f>
        <v>3.784641119335042</v>
      </c>
      <c r="AV36" s="40">
        <f ca="1">SUMPRODUCT(OFFSET(tShpmedBC_Res,0,24,1,12),N(OFFSET(tpSurvAll_Res,0,20-OFFSET(_i,0,0,1,12),1,1)))</f>
        <v>2.1418283366588575</v>
      </c>
      <c r="AW36" s="40">
        <f ca="1">SUMPRODUCT(OFFSET(tShpmedBC_Res,0,25,1,11),N(OFFSET(tpSurvAll_Res,0,20-OFFSET(_i,0,0,1,11),1,1)))</f>
        <v>1.0967010166156408</v>
      </c>
      <c r="AX36" s="40">
        <f ca="1">SUMPRODUCT(OFFSET(tShpmedBC_Res,0,26,1,10),N(OFFSET(tpSurvAll_Res,0,20-OFFSET(_i,0,0,1,10),1,1)))</f>
        <v>0.50154423437436724</v>
      </c>
      <c r="AY36" s="40">
        <f ca="1">SUMPRODUCT(OFFSET(tShpmedBC_Res,0,27,1,9),N(OFFSET(tpSurvAll_Res,0,20-OFFSET(_i,0,0,1,9),1,1)))</f>
        <v>0.20190427576385467</v>
      </c>
      <c r="AZ36" s="40">
        <f ca="1">SUMPRODUCT(OFFSET(tShpmedBC_Res,0,28,1,8),N(OFFSET(tpSurvAll_Res,0,20-OFFSET(_i,0,0,1,8),1,1)))</f>
        <v>7.0216240004492447E-2</v>
      </c>
      <c r="BA36" s="40">
        <f ca="1">SUMPRODUCT(OFFSET(tShpmedBC_Res,0,29,1,7),N(OFFSET(tpSurvAll_Res,0,20-OFFSET(_i,0,0,1,7),1,1)))</f>
        <v>2.0354654059044679E-2</v>
      </c>
      <c r="BB36" s="40">
        <f ca="1">SUMPRODUCT(OFFSET(tShpmedBC_Res,0,30,1,6),N(OFFSET(tpSurvAll_Res,0,20-OFFSET(_i,0,0,1,6),1,1)))</f>
        <v>4.3135529702052079E-3</v>
      </c>
      <c r="BC36" s="40">
        <f ca="1">SUMPRODUCT(OFFSET(tShpmedBC_Res,0,31,1,5),N(OFFSET(tpSurvAll_Res,0,20-OFFSET(_i,0,0,1,5),1,1)))</f>
        <v>0</v>
      </c>
      <c r="BD36" s="40">
        <f ca="1">SUMPRODUCT(OFFSET(tShpmedBC_Res,0,32,1,4),N(OFFSET(tpSurvAll_Res,0,20-OFFSET(_i,0,0,1,4),1,1)))</f>
        <v>0</v>
      </c>
      <c r="BE36" s="40">
        <f ca="1">SUMPRODUCT(OFFSET(tShpmedBC_Res,0,33,1,3),N(OFFSET(tpSurvAll_Res,0,20-OFFSET(_i,0,0,1,3),1,1)))</f>
        <v>0</v>
      </c>
      <c r="BF36" s="40">
        <f ca="1">SUMPRODUCT(OFFSET(tShpmedBC_Res,0,34,1,2),N(OFFSET(tpSurvAll_Res,0,20-OFFSET(_i,0,0,1,2),1,1)))</f>
        <v>0</v>
      </c>
      <c r="BG36" s="41">
        <f ca="1">SUMPRODUCT(N(OFFSET(tShpmedBC_Res,0,35,1,1)),N(OFFSET(tpSurvAll_Res,0,20-OFFSET(_i,0,0,1,1),1,1)))</f>
        <v>0</v>
      </c>
      <c r="BH36" s="8"/>
    </row>
    <row r="37" spans="2:60" x14ac:dyDescent="0.35">
      <c r="B37" s="8"/>
      <c r="C37" s="20" t="str">
        <f>INDEX(_pcName,3)</f>
        <v>CADR 150+</v>
      </c>
      <c r="D37" s="11" t="str">
        <f>shpUnit</f>
        <v>mi units</v>
      </c>
      <c r="E37" s="40">
        <f ca="1">SUMPRODUCT(N(OFFSET(tShplrgBC_Res,0,0,1,1)),N(OFFSET(tpSurvAll_Res,0,1-OFFSET(_i,0,0,1,1),1,1)))</f>
        <v>2.4638204352322486</v>
      </c>
      <c r="F37" s="40">
        <f ca="1">SUMPRODUCT(OFFSET(tShplrgBC_Res,0,0,1,2),N(OFFSET(tpSurvAll_Res,0,2-OFFSET(_i,0,0,1,2),1,1)))</f>
        <v>5.0362102099264057</v>
      </c>
      <c r="G37" s="40">
        <f ca="1">SUMPRODUCT(OFFSET(tShplrgBC_Res,0,0,1,3),N(OFFSET(tpSurvAll_Res,0,3-OFFSET(_i,0,0,1,3),1,1)))</f>
        <v>7.6998633364805045</v>
      </c>
      <c r="H37" s="40">
        <f ca="1">SUMPRODUCT(OFFSET(tShplrgBC_Res,0,0,1,4),N(OFFSET(tpSurvAll_Res,0,4-OFFSET(_i,0,0,1,4),1,1)))</f>
        <v>10.421325264696746</v>
      </c>
      <c r="I37" s="40">
        <f ca="1">SUMPRODUCT(OFFSET(tShplrgBC_Res,0,0,1,5),N(OFFSET(tpSurvAll_Res,0,5-OFFSET(_i,0,0,1,5),1,1)))</f>
        <v>13.146392235562768</v>
      </c>
      <c r="J37" s="40">
        <f ca="1">SUMPRODUCT(OFFSET(tShplrgBC_Res,0,0,1,6),N(OFFSET(tpSurvAll_Res,0,6-OFFSET(_i,0,0,1,6),1,1)))</f>
        <v>15.806165919339568</v>
      </c>
      <c r="K37" s="40">
        <f ca="1">SUMPRODUCT(OFFSET(tShplrgBC_Res,0,0,1,7),N(OFFSET(tpSurvAll_Res,0,7-OFFSET(_i,0,0,1,7),1,1)))</f>
        <v>18.32961861378341</v>
      </c>
      <c r="L37" s="40">
        <f ca="1">SUMPRODUCT(OFFSET(tShplrgBC_Res,0,0,1,8),N(OFFSET(tpSurvAll_Res,0,8-OFFSET(_i,0,0,1,8),1,1)))</f>
        <v>20.659325346858598</v>
      </c>
      <c r="M37" s="40">
        <f ca="1">SUMPRODUCT(OFFSET(tShplrgBC_Res,0,0,1,9),N(OFFSET(tpSurvAll_Res,0,9-OFFSET(_i,0,0,1,9),1,1)))</f>
        <v>22.766303879527811</v>
      </c>
      <c r="N37" s="40">
        <f ca="1">SUMPRODUCT(OFFSET(tShplrgBC_Res,0,0,1,10),N(OFFSET(tpSurvAll_Res,0,10-OFFSET(_i,0,0,1,10),1,1)))</f>
        <v>24.657614284317525</v>
      </c>
      <c r="O37" s="40">
        <f ca="1">SUMPRODUCT(OFFSET(tShplrgBC_Res,0,0,1,11),N(OFFSET(tpSurvAll_Res,0,11-OFFSET(_i,0,0,1,11),1,1)))</f>
        <v>26.373172279127019</v>
      </c>
      <c r="P37" s="40">
        <f ca="1">SUMPRODUCT(OFFSET(tShplrgBC_Res,0,0,1,12),N(OFFSET(tpSurvAll_Res,0,12-OFFSET(_i,0,0,1,12),1,1)))</f>
        <v>27.973091142414816</v>
      </c>
      <c r="Q37" s="40">
        <f ca="1">SUMPRODUCT(OFFSET(tShplrgBC_Res,0,0,1,13),N(OFFSET(tpSurvAll_Res,0,13-OFFSET(_i,0,0,1,13),1,1)))</f>
        <v>29.52098662954414</v>
      </c>
      <c r="R37" s="40">
        <f ca="1">SUMPRODUCT(OFFSET(tShplrgBC_Res,0,0,1,14),N(OFFSET(tpSurvAll_Res,0,14-OFFSET(_i,0,0,1,14),1,1)))</f>
        <v>31.070437393776842</v>
      </c>
      <c r="S37" s="40">
        <f ca="1">SUMPRODUCT(OFFSET(tShplrgBC_Res,0,0,1,15),N(OFFSET(tpSurvAll_Res,0,15-OFFSET(_i,0,0,1,15),1,1)))</f>
        <v>32.659447135625562</v>
      </c>
      <c r="T37" s="40">
        <f ca="1">SUMPRODUCT(OFFSET(tShplrgBC_Res,0,0,1,16),N(OFFSET(tpSurvAll_Res,0,16-OFFSET(_i,0,0,1,16),1,1)))</f>
        <v>34.310517348408219</v>
      </c>
      <c r="U37" s="40">
        <f ca="1">SUMPRODUCT(OFFSET(tShplrgBC_Res,0,0,1,17),N(OFFSET(tpSurvAll_Res,0,17-OFFSET(_i,0,0,1,17),1,1)))</f>
        <v>36.03660372435715</v>
      </c>
      <c r="V37" s="40">
        <f ca="1">SUMPRODUCT(OFFSET(tShplrgBC_Res,0,0,1,18),N(OFFSET(tpSurvAll_Res,0,18-OFFSET(_i,0,0,1,18),1,1)))</f>
        <v>37.844944986867986</v>
      </c>
      <c r="W37" s="40">
        <f ca="1">SUMPRODUCT(OFFSET(tShplrgBC_Res,0,0,1,19),N(OFFSET(tpSurvAll_Res,0,19-OFFSET(_i,0,0,1,19),1,1)))</f>
        <v>39.741600708378598</v>
      </c>
      <c r="X37" s="40">
        <f ca="1">SUMPRODUCT(OFFSET(tShplrgBC_Res,0,0,1,20),N(OFFSET(tpSurvAll_Res,0,20-OFFSET(_i,0,0,1,20),1,1)))</f>
        <v>41.730966239527717</v>
      </c>
      <c r="Y37" s="40">
        <f ca="1">SUMPRODUCT(OFFSET(tShplrgBC_Res,0,1,1,20),N(OFFSET(tpSurvAll_Res,0,20-OFFSET(_i,0,0,1,20),1,1)))</f>
        <v>43.817502233084348</v>
      </c>
      <c r="Z37" s="40">
        <f ca="1">SUMPRODUCT(OFFSET(tShplrgBC_Res,0,2,1,20),N(OFFSET(tpSurvAll_Res,0,20-OFFSET(_i,0,0,1,20),1,1)))</f>
        <v>46.005834031972732</v>
      </c>
      <c r="AA37" s="40">
        <f ca="1">SUMPRODUCT(OFFSET(tShplrgBC_Res,0,3,1,20),N(OFFSET(tpSurvAll_Res,0,20-OFFSET(_i,0,0,1,20),1,1)))</f>
        <v>48.300798181681067</v>
      </c>
      <c r="AB37" s="40">
        <f ca="1">SUMPRODUCT(OFFSET(tShplrgBC_Res,0,4,1,20),N(OFFSET(tpSurvAll_Res,0,20-OFFSET(_i,0,0,1,20),1,1)))</f>
        <v>50.707496024325145</v>
      </c>
      <c r="AC37" s="40">
        <f ca="1">SUMPRODUCT(OFFSET(tShplrgBC_Res,0,5,1,20),N(OFFSET(tpSurvAll_Res,0,20-OFFSET(_i,0,0,1,20),1,1)))</f>
        <v>53.23132637158114</v>
      </c>
      <c r="AD37" s="40">
        <f ca="1">SUMPRODUCT(OFFSET(tShplrgBC_Res,0,6,1,20),N(OFFSET(tpSurvAll_Res,0,20-OFFSET(_i,0,0,1,20),1,1)))</f>
        <v>55.87799629182161</v>
      </c>
      <c r="AE37" s="40">
        <f ca="1">SUMPRODUCT(OFFSET(tShplrgBC_Res,0,7,1,20),N(OFFSET(tpSurvAll_Res,0,20-OFFSET(_i,0,0,1,20),1,1)))</f>
        <v>58.653520389731881</v>
      </c>
      <c r="AF37" s="40">
        <f ca="1">SUMPRODUCT(OFFSET(tShplrgBC_Res,0,8,1,20),N(OFFSET(tpSurvAll_Res,0,20-OFFSET(_i,0,0,1,20),1,1)))</f>
        <v>61.564215905284662</v>
      </c>
      <c r="AG37" s="40">
        <f ca="1">SUMPRODUCT(OFFSET(tShplrgBC_Res,0,9,1,20),N(OFFSET(tpSurvAll_Res,0,20-OFFSET(_i,0,0,1,20),1,1)))</f>
        <v>64.616701445638839</v>
      </c>
      <c r="AH37" s="40">
        <f ca="1">SUMPRODUCT(OFFSET(tShplrgBC_Res,0,10,1,20),N(OFFSET(tpSurvAll_Res,0,20-OFFSET(_i,0,0,1,20),1,1)))</f>
        <v>67.817903616636514</v>
      </c>
      <c r="AI37" s="40">
        <f ca="1">SUMPRODUCT(OFFSET(tShplrgBC_Res,0,11,1,20),N(OFFSET(tpSurvAll_Res,0,20-OFFSET(_i,0,0,1,20),1,1)))</f>
        <v>71.175070850451817</v>
      </c>
      <c r="AJ37" s="40">
        <f ca="1">SUMPRODUCT(OFFSET(tShplrgBC_Res,0,12,1,20),N(OFFSET(tpSurvAll_Res,0,20-OFFSET(_i,0,0,1,20),1,1)))</f>
        <v>74.69579280011672</v>
      </c>
      <c r="AK37" s="40">
        <f ca="1">SUMPRODUCT(OFFSET(tShplrgBC_Res,0,13,1,20),N(OFFSET(tpSurvAll_Res,0,20-OFFSET(_i,0,0,1,20),1,1)))</f>
        <v>78.388024230595633</v>
      </c>
      <c r="AL37" s="40">
        <f ca="1">SUMPRODUCT(OFFSET(tShplrgBC_Res,0,14,1,20),N(OFFSET(tpSurvAll_Res,0,20-OFFSET(_i,0,0,1,20),1,1)))</f>
        <v>82.26010551323678</v>
      </c>
      <c r="AM37" s="40">
        <f ca="1">SUMPRODUCT(OFFSET(tShplrgBC_Res,0,15,1,20),N(OFFSET(tpSurvAll_Res,0,20-OFFSET(_i,0,0,1,20),1,1)))</f>
        <v>73.384687005100403</v>
      </c>
      <c r="AN37" s="40">
        <f ca="1">SUMPRODUCT(OFFSET(tShplrgBC_Res,0,16,1,20),N(OFFSET(tpSurvAll_Res,0,20-OFFSET(_i,0,0,1,20),1,1)))</f>
        <v>64.107697087511141</v>
      </c>
      <c r="AO37" s="40">
        <f ca="1">SUMPRODUCT(OFFSET(tShplrgBC_Res,0,17,1,19),N(OFFSET(tpSurvAll_Res,0,20-OFFSET(_i,0,0,1,19),1,1)))</f>
        <v>54.543059641811531</v>
      </c>
      <c r="AP37" s="40">
        <f ca="1">SUMPRODUCT(OFFSET(tShplrgBC_Res,0,18,1,18),N(OFFSET(tpSurvAll_Res,0,20-OFFSET(_i,0,0,1,18),1,1)))</f>
        <v>44.913896585555818</v>
      </c>
      <c r="AQ37" s="40">
        <f ca="1">SUMPRODUCT(OFFSET(tShplrgBC_Res,0,19,1,17),N(OFFSET(tpSurvAll_Res,0,20-OFFSET(_i,0,0,1,17),1,1)))</f>
        <v>35.542989962601638</v>
      </c>
      <c r="AR37" s="40">
        <f ca="1">SUMPRODUCT(OFFSET(tShplrgBC_Res,0,20,1,16),N(OFFSET(tpSurvAll_Res,0,20-OFFSET(_i,0,0,1,16),1,1)))</f>
        <v>26.816427836845143</v>
      </c>
      <c r="AS37" s="40">
        <f ca="1">SUMPRODUCT(OFFSET(tShplrgBC_Res,0,21,1,15),N(OFFSET(tpSurvAll_Res,0,20-OFFSET(_i,0,0,1,15),1,1)))</f>
        <v>19.119854276952466</v>
      </c>
      <c r="AT37" s="40">
        <f ca="1">SUMPRODUCT(OFFSET(tShplrgBC_Res,0,22,1,14),N(OFFSET(tpSurvAll_Res,0,20-OFFSET(_i,0,0,1,14),1,1)))</f>
        <v>12.758468455737603</v>
      </c>
      <c r="AU37" s="40">
        <f ca="1">SUMPRODUCT(OFFSET(tShplrgBC_Res,0,23,1,13),N(OFFSET(tpSurvAll_Res,0,20-OFFSET(_i,0,0,1,13),1,1)))</f>
        <v>7.8846689986146714</v>
      </c>
      <c r="AV37" s="40">
        <f ca="1">SUMPRODUCT(OFFSET(tShplrgBC_Res,0,24,1,12),N(OFFSET(tpSurvAll_Res,0,20-OFFSET(_i,0,0,1,12),1,1)))</f>
        <v>4.4621423680392862</v>
      </c>
      <c r="AW37" s="40">
        <f ca="1">SUMPRODUCT(OFFSET(tShplrgBC_Res,0,25,1,11),N(OFFSET(tpSurvAll_Res,0,20-OFFSET(_i,0,0,1,11),1,1)))</f>
        <v>2.2847937846159185</v>
      </c>
      <c r="AX37" s="40">
        <f ca="1">SUMPRODUCT(OFFSET(tShplrgBC_Res,0,26,1,10),N(OFFSET(tpSurvAll_Res,0,20-OFFSET(_i,0,0,1,10),1,1)))</f>
        <v>1.044883821613265</v>
      </c>
      <c r="AY37" s="40">
        <f ca="1">SUMPRODUCT(OFFSET(tShplrgBC_Res,0,27,1,9),N(OFFSET(tpSurvAll_Res,0,20-OFFSET(_i,0,0,1,9),1,1)))</f>
        <v>0.4206339078413639</v>
      </c>
      <c r="AZ37" s="40">
        <f ca="1">SUMPRODUCT(OFFSET(tShplrgBC_Res,0,28,1,8),N(OFFSET(tpSurvAll_Res,0,20-OFFSET(_i,0,0,1,8),1,1)))</f>
        <v>0.14628383334269263</v>
      </c>
      <c r="BA37" s="40">
        <f ca="1">SUMPRODUCT(OFFSET(tShplrgBC_Res,0,29,1,7),N(OFFSET(tpSurvAll_Res,0,20-OFFSET(_i,0,0,1,7),1,1)))</f>
        <v>4.2405529289676419E-2</v>
      </c>
      <c r="BB37" s="40">
        <f ca="1">SUMPRODUCT(OFFSET(tShplrgBC_Res,0,30,1,6),N(OFFSET(tpSurvAll_Res,0,20-OFFSET(_i,0,0,1,6),1,1)))</f>
        <v>8.9865686879275156E-3</v>
      </c>
      <c r="BC37" s="40">
        <f ca="1">SUMPRODUCT(OFFSET(tShplrgBC_Res,0,31,1,5),N(OFFSET(tpSurvAll_Res,0,20-OFFSET(_i,0,0,1,5),1,1)))</f>
        <v>0</v>
      </c>
      <c r="BD37" s="40">
        <f ca="1">SUMPRODUCT(OFFSET(tShplrgBC_Res,0,32,1,4),N(OFFSET(tpSurvAll_Res,0,20-OFFSET(_i,0,0,1,4),1,1)))</f>
        <v>0</v>
      </c>
      <c r="BE37" s="40">
        <f ca="1">SUMPRODUCT(OFFSET(tShplrgBC_Res,0,33,1,3),N(OFFSET(tpSurvAll_Res,0,20-OFFSET(_i,0,0,1,3),1,1)))</f>
        <v>0</v>
      </c>
      <c r="BF37" s="40">
        <f ca="1">SUMPRODUCT(OFFSET(tShplrgBC_Res,0,34,1,2),N(OFFSET(tpSurvAll_Res,0,20-OFFSET(_i,0,0,1,2),1,1)))</f>
        <v>0</v>
      </c>
      <c r="BG37" s="41">
        <f ca="1">SUMPRODUCT(N(OFFSET(tShplrgBC_Res,0,35,1,1)),N(OFFSET(tpSurvAll_Res,0,20-OFFSET(_i,0,0,1,1),1,1)))</f>
        <v>0</v>
      </c>
      <c r="BH37" s="8"/>
    </row>
    <row r="38" spans="2:60" x14ac:dyDescent="0.35">
      <c r="B38" s="8"/>
      <c r="C38" s="42" t="str">
        <f>"Standards Case [TSL " &amp; sTSL &amp; "]"</f>
        <v>Standards Case [TSL 3]</v>
      </c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8"/>
      <c r="BH38" s="8"/>
    </row>
    <row r="39" spans="2:60" x14ac:dyDescent="0.35">
      <c r="B39" s="8"/>
      <c r="C39" s="47" t="s">
        <v>66</v>
      </c>
      <c r="D39" s="11" t="str">
        <f>shpUnit</f>
        <v>mi units</v>
      </c>
      <c r="E39" s="40">
        <f t="array" aca="1" ref="E39:BG39" ca="1">tStksmlStd_Res+tStkmedStd_Res+tStklrgStd_Res</f>
        <v>4.9168644875105549</v>
      </c>
      <c r="F39" s="40">
        <f ca="1"/>
        <v>10.052978210972796</v>
      </c>
      <c r="G39" s="40">
        <f ca="1"/>
        <v>15.355293910816144</v>
      </c>
      <c r="H39" s="40">
        <f ca="1"/>
        <v>20.775921639706311</v>
      </c>
      <c r="I39" s="40">
        <f ca="1"/>
        <v>26.207090674273893</v>
      </c>
      <c r="J39" s="40">
        <f ca="1"/>
        <v>31.50896955496053</v>
      </c>
      <c r="K39" s="40">
        <f ca="1"/>
        <v>36.540137690176749</v>
      </c>
      <c r="L39" s="40">
        <f ca="1"/>
        <v>41.186337374734237</v>
      </c>
      <c r="M39" s="40">
        <f ca="1"/>
        <v>45.390026109329064</v>
      </c>
      <c r="N39" s="40">
        <f ca="1"/>
        <v>49.165475988106763</v>
      </c>
      <c r="O39" s="40">
        <f ca="1"/>
        <v>52.591198065532041</v>
      </c>
      <c r="P39" s="40">
        <f ca="1"/>
        <v>55.786908107593945</v>
      </c>
      <c r="Q39" s="40">
        <f ca="1"/>
        <v>58.879197339015775</v>
      </c>
      <c r="R39" s="40">
        <f ca="1"/>
        <v>61.97460643833292</v>
      </c>
      <c r="S39" s="40">
        <f ca="1"/>
        <v>65.148668929594834</v>
      </c>
      <c r="T39" s="40">
        <f ca="1"/>
        <v>68.446114756418353</v>
      </c>
      <c r="U39" s="40">
        <f ca="1"/>
        <v>71.892761207002081</v>
      </c>
      <c r="V39" s="40">
        <f ca="1"/>
        <v>75.503118561705733</v>
      </c>
      <c r="W39" s="40">
        <f ca="1"/>
        <v>79.289396286898551</v>
      </c>
      <c r="X39" s="40">
        <f ca="1"/>
        <v>83.260497460112106</v>
      </c>
      <c r="Y39" s="40">
        <f ca="1"/>
        <v>87.425279025594406</v>
      </c>
      <c r="Z39" s="40">
        <f ca="1"/>
        <v>91.793047721922875</v>
      </c>
      <c r="AA39" s="40">
        <f ca="1"/>
        <v>96.373504273949536</v>
      </c>
      <c r="AB39" s="40">
        <f ca="1"/>
        <v>101.17685681623072</v>
      </c>
      <c r="AC39" s="40">
        <f ca="1"/>
        <v>106.2138960697917</v>
      </c>
      <c r="AD39" s="40">
        <f ca="1"/>
        <v>111.49602428520079</v>
      </c>
      <c r="AE39" s="40">
        <f ca="1"/>
        <v>117.03525851699169</v>
      </c>
      <c r="AF39" s="40">
        <f ca="1"/>
        <v>122.84422271014481</v>
      </c>
      <c r="AG39" s="40">
        <f ca="1"/>
        <v>128.93614408337373</v>
      </c>
      <c r="AH39" s="40">
        <f ca="1"/>
        <v>135.3248650296743</v>
      </c>
      <c r="AI39" s="40">
        <f ca="1"/>
        <v>142.02486872890438</v>
      </c>
      <c r="AJ39" s="40">
        <f ca="1"/>
        <v>149.05131658905103</v>
      </c>
      <c r="AK39" s="40">
        <f ca="1"/>
        <v>156.42009564379021</v>
      </c>
      <c r="AL39" s="40">
        <f ca="1"/>
        <v>164.1478599914835</v>
      </c>
      <c r="AM39" s="40">
        <f ca="1"/>
        <v>146.4375919898749</v>
      </c>
      <c r="AN39" s="40">
        <f ca="1"/>
        <v>127.92588558366364</v>
      </c>
      <c r="AO39" s="40">
        <f ca="1"/>
        <v>108.8400706337454</v>
      </c>
      <c r="AP39" s="40">
        <f ca="1"/>
        <v>89.625386942750083</v>
      </c>
      <c r="AQ39" s="40">
        <f ca="1"/>
        <v>70.92595273749123</v>
      </c>
      <c r="AR39" s="40">
        <f ca="1"/>
        <v>53.512220364773007</v>
      </c>
      <c r="AS39" s="40">
        <f ca="1"/>
        <v>38.153761824435804</v>
      </c>
      <c r="AT39" s="40">
        <f ca="1"/>
        <v>25.459624138336679</v>
      </c>
      <c r="AU39" s="40">
        <f ca="1"/>
        <v>15.73393993242399</v>
      </c>
      <c r="AV39" s="40">
        <f ca="1"/>
        <v>8.9042623839263868</v>
      </c>
      <c r="AW39" s="40">
        <f ca="1"/>
        <v>4.5593399430583466</v>
      </c>
      <c r="AX39" s="40">
        <f ca="1"/>
        <v>2.0850830363374904</v>
      </c>
      <c r="AY39" s="40">
        <f ca="1"/>
        <v>0.83938262498115557</v>
      </c>
      <c r="AZ39" s="40">
        <f ca="1"/>
        <v>0.29191228224158627</v>
      </c>
      <c r="BA39" s="40">
        <f ca="1"/>
        <v>8.4621150898905206E-2</v>
      </c>
      <c r="BB39" s="40">
        <f ca="1"/>
        <v>1.7932918031025463E-2</v>
      </c>
      <c r="BC39" s="40">
        <f ca="1"/>
        <v>0</v>
      </c>
      <c r="BD39" s="40">
        <f ca="1"/>
        <v>0</v>
      </c>
      <c r="BE39" s="40">
        <f ca="1"/>
        <v>0</v>
      </c>
      <c r="BF39" s="40">
        <f ca="1"/>
        <v>0</v>
      </c>
      <c r="BG39" s="41">
        <f ca="1"/>
        <v>0</v>
      </c>
      <c r="BH39" s="8"/>
    </row>
    <row r="40" spans="2:60" x14ac:dyDescent="0.35">
      <c r="B40" s="8"/>
      <c r="C40" s="47" t="s">
        <v>67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18"/>
      <c r="BH40" s="8"/>
    </row>
    <row r="41" spans="2:60" x14ac:dyDescent="0.35">
      <c r="B41" s="8"/>
      <c r="C41" s="20" t="str">
        <f>INDEX(_pcName,1)</f>
        <v>CADR 10-99</v>
      </c>
      <c r="D41" s="11" t="str">
        <f>shpUnit</f>
        <v>mi units</v>
      </c>
      <c r="E41" s="40">
        <f ca="1">SUMPRODUCT(N(OFFSET(tShpsmlStd_Res,0,0,1,1)),N(OFFSET(tpSurvAll_Res,0,1-OFFSET(_i,0,0,1,1),1,1)))</f>
        <v>1.2769208138455488</v>
      </c>
      <c r="F41" s="40">
        <f ca="1">SUMPRODUCT(OFFSET(tShpsmlStd_Res,0,0,1,2),N(OFFSET(tpSurvAll_Res,0,2-OFFSET(_i,0,0,1,2),1,1)))</f>
        <v>2.6111359875039746</v>
      </c>
      <c r="G41" s="40">
        <f ca="1">SUMPRODUCT(OFFSET(tShpsmlStd_Res,0,0,1,3),N(OFFSET(tpSurvAll_Res,0,3-OFFSET(_i,0,0,1,3),1,1)))</f>
        <v>3.9852025113982821</v>
      </c>
      <c r="H41" s="40">
        <f ca="1">SUMPRODUCT(OFFSET(tShpsmlStd_Res,0,0,1,4),N(OFFSET(tpSurvAll_Res,0,4-OFFSET(_i,0,0,1,4),1,1)))</f>
        <v>5.3904918003377436</v>
      </c>
      <c r="I41" s="40">
        <f ca="1">SUMPRODUCT(OFFSET(tShpsmlStd_Res,0,0,1,5),N(OFFSET(tpSurvAll_Res,0,5-OFFSET(_i,0,0,1,5),1,1)))</f>
        <v>6.7990956042323027</v>
      </c>
      <c r="J41" s="40">
        <f ca="1">SUMPRODUCT(OFFSET(tShpsmlStd_Res,0,0,1,6),N(OFFSET(tpSurvAll_Res,0,6-OFFSET(_i,0,0,1,6),1,1)))</f>
        <v>8.1742833887311459</v>
      </c>
      <c r="K41" s="40">
        <f ca="1">SUMPRODUCT(OFFSET(tShpsmlStd_Res,0,0,1,7),N(OFFSET(tpSurvAll_Res,0,7-OFFSET(_i,0,0,1,7),1,1)))</f>
        <v>9.4794007775517457</v>
      </c>
      <c r="L41" s="40">
        <f ca="1">SUMPRODUCT(OFFSET(tShpsmlStd_Res,0,0,1,8),N(OFFSET(tpSurvAll_Res,0,8-OFFSET(_i,0,0,1,8),1,1)))</f>
        <v>10.684853517152945</v>
      </c>
      <c r="M41" s="40">
        <f ca="1">SUMPRODUCT(OFFSET(tShpsmlStd_Res,0,0,1,9),N(OFFSET(tpSurvAll_Res,0,9-OFFSET(_i,0,0,1,9),1,1)))</f>
        <v>11.77576794630275</v>
      </c>
      <c r="N41" s="40">
        <f ca="1">SUMPRODUCT(OFFSET(tShpsmlStd_Res,0,0,1,10),N(OFFSET(tpSurvAll_Res,0,10-OFFSET(_i,0,0,1,10),1,1)))</f>
        <v>12.755896854844941</v>
      </c>
      <c r="O41" s="40">
        <f ca="1">SUMPRODUCT(OFFSET(tShpsmlStd_Res,0,0,1,11),N(OFFSET(tpSurvAll_Res,0,11-OFFSET(_i,0,0,1,11),1,1)))</f>
        <v>13.645423230364194</v>
      </c>
      <c r="P41" s="40">
        <f ca="1">SUMPRODUCT(OFFSET(tShpsmlStd_Res,0,0,1,12),N(OFFSET(tpSurvAll_Res,0,12-OFFSET(_i,0,0,1,12),1,1)))</f>
        <v>14.475389837088473</v>
      </c>
      <c r="Q41" s="40">
        <f ca="1">SUMPRODUCT(OFFSET(tShpsmlStd_Res,0,0,1,13),N(OFFSET(tpSurvAll_Res,0,13-OFFSET(_i,0,0,1,13),1,1)))</f>
        <v>15.278597563428962</v>
      </c>
      <c r="R41" s="40">
        <f ca="1">SUMPRODUCT(OFFSET(tShpsmlStd_Res,0,0,1,14),N(OFFSET(tpSurvAll_Res,0,14-OFFSET(_i,0,0,1,14),1,1)))</f>
        <v>16.082632643616776</v>
      </c>
      <c r="S41" s="40">
        <f ca="1">SUMPRODUCT(OFFSET(tShpsmlStd_Res,0,0,1,15),N(OFFSET(tpSurvAll_Res,0,15-OFFSET(_i,0,0,1,15),1,1)))</f>
        <v>16.907041793610357</v>
      </c>
      <c r="T41" s="40">
        <f ca="1">SUMPRODUCT(OFFSET(tShpsmlStd_Res,0,0,1,16),N(OFFSET(tpSurvAll_Res,0,16-OFFSET(_i,0,0,1,16),1,1)))</f>
        <v>17.76339855869811</v>
      </c>
      <c r="U41" s="40">
        <f ca="1">SUMPRODUCT(OFFSET(tShpsmlStd_Res,0,0,1,17),N(OFFSET(tpSurvAll_Res,0,17-OFFSET(_i,0,0,1,17),1,1)))</f>
        <v>18.658392936576256</v>
      </c>
      <c r="V41" s="40">
        <f ca="1">SUMPRODUCT(OFFSET(tShpsmlStd_Res,0,0,1,18),N(OFFSET(tpSurvAll_Res,0,18-OFFSET(_i,0,0,1,18),1,1)))</f>
        <v>19.595799975405175</v>
      </c>
      <c r="W41" s="40">
        <f ca="1">SUMPRODUCT(OFFSET(tShpsmlStd_Res,0,0,1,19),N(OFFSET(tpSurvAll_Res,0,19-OFFSET(_i,0,0,1,19),1,1)))</f>
        <v>20.578808741241431</v>
      </c>
      <c r="X41" s="40">
        <f ca="1">SUMPRODUCT(OFFSET(tShpsmlStd_Res,0,0,1,20),N(OFFSET(tpSurvAll_Res,0,20-OFFSET(_i,0,0,1,20),1,1)))</f>
        <v>21.609753382807519</v>
      </c>
      <c r="Y41" s="40">
        <f ca="1">SUMPRODUCT(OFFSET(tShpsmlStd_Res,0,1,1,20),N(OFFSET(tpSurvAll_Res,0,20-OFFSET(_i,0,0,1,20),1,1)))</f>
        <v>22.690922831878758</v>
      </c>
      <c r="Z41" s="40">
        <f ca="1">SUMPRODUCT(OFFSET(tShpsmlStd_Res,0,2,1,20),N(OFFSET(tpSurvAll_Res,0,20-OFFSET(_i,0,0,1,20),1,1)))</f>
        <v>23.824746224923697</v>
      </c>
      <c r="AA41" s="40">
        <f ca="1">SUMPRODUCT(OFFSET(tShpsmlStd_Res,0,3,1,20),N(OFFSET(tpSurvAll_Res,0,20-OFFSET(_i,0,0,1,20),1,1)))</f>
        <v>25.013749900506991</v>
      </c>
      <c r="AB41" s="40">
        <f ca="1">SUMPRODUCT(OFFSET(tShpsmlStd_Res,0,4,1,20),N(OFFSET(tpSurvAll_Res,0,20-OFFSET(_i,0,0,1,20),1,1)))</f>
        <v>26.260588018998025</v>
      </c>
      <c r="AC41" s="40">
        <f ca="1">SUMPRODUCT(OFFSET(tShpsmlStd_Res,0,5,1,20),N(OFFSET(tpSurvAll_Res,0,20-OFFSET(_i,0,0,1,20),1,1)))</f>
        <v>27.568063910393235</v>
      </c>
      <c r="AD41" s="40">
        <f ca="1">SUMPRODUCT(OFFSET(tShpsmlStd_Res,0,6,1,20),N(OFFSET(tpSurvAll_Res,0,20-OFFSET(_i,0,0,1,20),1,1)))</f>
        <v>28.939138957936652</v>
      </c>
      <c r="AE41" s="40">
        <f ca="1">SUMPRODUCT(OFFSET(tShpsmlStd_Res,0,7,1,20),N(OFFSET(tpSurvAll_Res,0,20-OFFSET(_i,0,0,1,20),1,1)))</f>
        <v>30.376934318954802</v>
      </c>
      <c r="AF41" s="40">
        <f ca="1">SUMPRODUCT(OFFSET(tShpsmlStd_Res,0,8,1,20),N(OFFSET(tpSurvAll_Res,0,20-OFFSET(_i,0,0,1,20),1,1)))</f>
        <v>31.884729211796568</v>
      </c>
      <c r="AG41" s="40">
        <f ca="1">SUMPRODUCT(OFFSET(tShpsmlStd_Res,0,9,1,20),N(OFFSET(tpSurvAll_Res,0,20-OFFSET(_i,0,0,1,20),1,1)))</f>
        <v>33.465959765703296</v>
      </c>
      <c r="AH41" s="40">
        <f ca="1">SUMPRODUCT(OFFSET(tShpsmlStd_Res,0,10,1,20),N(OFFSET(tpSurvAll_Res,0,20-OFFSET(_i,0,0,1,20),1,1)))</f>
        <v>35.124221848772336</v>
      </c>
      <c r="AI41" s="40">
        <f ca="1">SUMPRODUCT(OFFSET(tShpsmlStd_Res,0,11,1,20),N(OFFSET(tpSurvAll_Res,0,20-OFFSET(_i,0,0,1,20),1,1)))</f>
        <v>36.863277333769801</v>
      </c>
      <c r="AJ41" s="40">
        <f ca="1">SUMPRODUCT(OFFSET(tShpsmlStd_Res,0,12,1,20),N(OFFSET(tpSurvAll_Res,0,20-OFFSET(_i,0,0,1,20),1,1)))</f>
        <v>38.687063569842884</v>
      </c>
      <c r="AK41" s="40">
        <f ca="1">SUMPRODUCT(OFFSET(tShpsmlStd_Res,0,13,1,20),N(OFFSET(tpSurvAll_Res,0,20-OFFSET(_i,0,0,1,20),1,1)))</f>
        <v>40.599705625170351</v>
      </c>
      <c r="AL41" s="40">
        <f ca="1">SUMPRODUCT(OFFSET(tShpsmlStd_Res,0,14,1,20),N(OFFSET(tpSurvAll_Res,0,20-OFFSET(_i,0,0,1,20),1,1)))</f>
        <v>42.605527139236457</v>
      </c>
      <c r="AM41" s="40">
        <f ca="1">SUMPRODUCT(OFFSET(tShpsmlStd_Res,0,15,1,20),N(OFFSET(tpSurvAll_Res,0,20-OFFSET(_i,0,0,1,20),1,1)))</f>
        <v>38.008736928064536</v>
      </c>
      <c r="AN41" s="40">
        <f ca="1">SUMPRODUCT(OFFSET(tShpsmlStd_Res,0,16,1,20),N(OFFSET(tpSurvAll_Res,0,20-OFFSET(_i,0,0,1,20),1,1)))</f>
        <v>33.203925167039493</v>
      </c>
      <c r="AO41" s="40">
        <f ca="1">SUMPRODUCT(OFFSET(tShpsmlStd_Res,0,17,1,19),N(OFFSET(tpSurvAll_Res,0,20-OFFSET(_i,0,0,1,19),1,1)))</f>
        <v>28.250096601035121</v>
      </c>
      <c r="AP41" s="40">
        <f ca="1">SUMPRODUCT(OFFSET(tShpsmlStd_Res,0,18,1,18),N(OFFSET(tpSurvAll_Res,0,20-OFFSET(_i,0,0,1,18),1,1)))</f>
        <v>23.262815990294012</v>
      </c>
      <c r="AQ41" s="40">
        <f ca="1">SUMPRODUCT(OFFSET(tShpsmlStd_Res,0,19,1,17),N(OFFSET(tpSurvAll_Res,0,20-OFFSET(_i,0,0,1,17),1,1)))</f>
        <v>18.409268417006039</v>
      </c>
      <c r="AR41" s="40">
        <f ca="1">SUMPRODUCT(OFFSET(tShpsmlStd_Res,0,20,1,16),N(OFFSET(tpSurvAll_Res,0,20-OFFSET(_i,0,0,1,16),1,1)))</f>
        <v>13.88942998793754</v>
      </c>
      <c r="AS41" s="40">
        <f ca="1">SUMPRODUCT(OFFSET(tShpsmlStd_Res,0,21,1,15),N(OFFSET(tpSurvAll_Res,0,20-OFFSET(_i,0,0,1,15),1,1)))</f>
        <v>9.9030484896187776</v>
      </c>
      <c r="AT41" s="40">
        <f ca="1">SUMPRODUCT(OFFSET(tShpsmlStd_Res,0,22,1,14),N(OFFSET(tpSurvAll_Res,0,20-OFFSET(_i,0,0,1,14),1,1)))</f>
        <v>6.6082065450756815</v>
      </c>
      <c r="AU41" s="40">
        <f ca="1">SUMPRODUCT(OFFSET(tShpsmlStd_Res,0,23,1,13),N(OFFSET(tpSurvAll_Res,0,20-OFFSET(_i,0,0,1,13),1,1)))</f>
        <v>4.0838443276658731</v>
      </c>
      <c r="AV41" s="40">
        <f ca="1">SUMPRODUCT(OFFSET(tShpsmlStd_Res,0,24,1,12),N(OFFSET(tpSurvAll_Res,0,20-OFFSET(_i,0,0,1,12),1,1)))</f>
        <v>2.3111583438968308</v>
      </c>
      <c r="AW41" s="40">
        <f ca="1">SUMPRODUCT(OFFSET(tShpsmlStd_Res,0,25,1,11),N(OFFSET(tpSurvAll_Res,0,20-OFFSET(_i,0,0,1,11),1,1)))</f>
        <v>1.1834060354684979</v>
      </c>
      <c r="AX41" s="40">
        <f ca="1">SUMPRODUCT(OFFSET(tShpsmlStd_Res,0,26,1,10),N(OFFSET(tpSurvAll_Res,0,20-OFFSET(_i,0,0,1,10),1,1)))</f>
        <v>0.54119678417345218</v>
      </c>
      <c r="AY41" s="40">
        <f ca="1">SUMPRODUCT(OFFSET(tShpsmlStd_Res,0,27,1,9),N(OFFSET(tpSurvAll_Res,0,20-OFFSET(_i,0,0,1,9),1,1)))</f>
        <v>0.21786720885665212</v>
      </c>
      <c r="AZ41" s="40">
        <f ca="1">SUMPRODUCT(OFFSET(tShpsmlStd_Res,0,28,1,8),N(OFFSET(tpSurvAll_Res,0,20-OFFSET(_i,0,0,1,8),1,1)))</f>
        <v>7.576773490219095E-2</v>
      </c>
      <c r="BA41" s="40">
        <f ca="1">SUMPRODUCT(OFFSET(tShpsmlStd_Res,0,29,1,7),N(OFFSET(tpSurvAll_Res,0,20-OFFSET(_i,0,0,1,7),1,1)))</f>
        <v>2.1963973575594077E-2</v>
      </c>
      <c r="BB41" s="40">
        <f ca="1">SUMPRODUCT(OFFSET(tShpsmlStd_Res,0,30,1,6),N(OFFSET(tpSurvAll_Res,0,20-OFFSET(_i,0,0,1,6),1,1)))</f>
        <v>4.6546070665866753E-3</v>
      </c>
      <c r="BC41" s="40">
        <f ca="1">SUMPRODUCT(OFFSET(tShpsmlStd_Res,0,31,1,5),N(OFFSET(tpSurvAll_Res,0,20-OFFSET(_i,0,0,1,5),1,1)))</f>
        <v>0</v>
      </c>
      <c r="BD41" s="40">
        <f ca="1">SUMPRODUCT(OFFSET(tShpsmlStd_Res,0,32,1,4),N(OFFSET(tpSurvAll_Res,0,20-OFFSET(_i,0,0,1,4),1,1)))</f>
        <v>0</v>
      </c>
      <c r="BE41" s="40">
        <f ca="1">SUMPRODUCT(OFFSET(tShpsmlStd_Res,0,33,1,3),N(OFFSET(tpSurvAll_Res,0,20-OFFSET(_i,0,0,1,3),1,1)))</f>
        <v>0</v>
      </c>
      <c r="BF41" s="40">
        <f ca="1">SUMPRODUCT(OFFSET(tShpsmlStd_Res,0,34,1,2),N(OFFSET(tpSurvAll_Res,0,20-OFFSET(_i,0,0,1,2),1,1)))</f>
        <v>0</v>
      </c>
      <c r="BG41" s="41">
        <f ca="1">SUMPRODUCT(N(OFFSET(tShpsmlStd_Res,0,35,1,1)),N(OFFSET(tpSurvAll_Res,0,20-OFFSET(_i,0,0,1,1),1,1)))</f>
        <v>0</v>
      </c>
      <c r="BH41" s="8"/>
    </row>
    <row r="42" spans="2:60" x14ac:dyDescent="0.35">
      <c r="B42" s="8"/>
      <c r="C42" s="20" t="str">
        <f>INDEX(_pcName,2)</f>
        <v>CADR 100-149</v>
      </c>
      <c r="D42" s="11" t="str">
        <f>shpUnit</f>
        <v>mi units</v>
      </c>
      <c r="E42" s="40">
        <f ca="1">SUMPRODUCT(N(OFFSET(tShpmedStd_Res,0,0,1,1)),N(OFFSET(tpSurvAll_Res,0,1-OFFSET(_i,0,0,1,1),1,1)))</f>
        <v>1.1794699447254102</v>
      </c>
      <c r="F42" s="40">
        <f ca="1">SUMPRODUCT(OFFSET(tShpmedStd_Res,0,0,1,2),N(OFFSET(tpSurvAll_Res,0,2-OFFSET(_i,0,0,1,2),1,1)))</f>
        <v>2.4116749102402721</v>
      </c>
      <c r="G42" s="40">
        <f ca="1">SUMPRODUCT(OFFSET(tShpmedStd_Res,0,0,1,3),N(OFFSET(tpSurvAll_Res,0,3-OFFSET(_i,0,0,1,3),1,1)))</f>
        <v>3.6825287600518042</v>
      </c>
      <c r="H42" s="40">
        <f ca="1">SUMPRODUCT(OFFSET(tShpmedStd_Res,0,0,1,4),N(OFFSET(tpSurvAll_Res,0,4-OFFSET(_i,0,0,1,4),1,1)))</f>
        <v>4.9819690693977403</v>
      </c>
      <c r="I42" s="40">
        <f ca="1">SUMPRODUCT(OFFSET(tShpmedStd_Res,0,0,1,5),N(OFFSET(tpSurvAll_Res,0,5-OFFSET(_i,0,0,1,5),1,1)))</f>
        <v>6.2841690454399028</v>
      </c>
      <c r="J42" s="40">
        <f ca="1">SUMPRODUCT(OFFSET(tShpmedStd_Res,0,0,1,6),N(OFFSET(tpSurvAll_Res,0,6-OFFSET(_i,0,0,1,6),1,1)))</f>
        <v>7.5554303969596379</v>
      </c>
      <c r="K42" s="40">
        <f ca="1">SUMPRODUCT(OFFSET(tShpmedStd_Res,0,0,1,7),N(OFFSET(tpSurvAll_Res,0,7-OFFSET(_i,0,0,1,7),1,1)))</f>
        <v>8.7618544929622963</v>
      </c>
      <c r="L42" s="40">
        <f ca="1">SUMPRODUCT(OFFSET(tShpmedStd_Res,0,0,1,8),N(OFFSET(tpSurvAll_Res,0,8-OFFSET(_i,0,0,1,8),1,1)))</f>
        <v>9.8760601360266485</v>
      </c>
      <c r="M42" s="40">
        <f ca="1">SUMPRODUCT(OFFSET(tShpmedStd_Res,0,0,1,9),N(OFFSET(tpSurvAll_Res,0,9-OFFSET(_i,0,0,1,9),1,1)))</f>
        <v>10.884267391919138</v>
      </c>
      <c r="N42" s="40">
        <f ca="1">SUMPRODUCT(OFFSET(tShpmedStd_Res,0,0,1,10),N(OFFSET(tpSurvAll_Res,0,10-OFFSET(_i,0,0,1,10),1,1)))</f>
        <v>11.789914098930382</v>
      </c>
      <c r="O42" s="40">
        <f ca="1">SUMPRODUCT(OFFSET(tShpmedStd_Res,0,0,1,11),N(OFFSET(tpSurvAll_Res,0,11-OFFSET(_i,0,0,1,11),1,1)))</f>
        <v>12.61175986345393</v>
      </c>
      <c r="P42" s="40">
        <f ca="1">SUMPRODUCT(OFFSET(tShpmedStd_Res,0,0,1,12),N(OFFSET(tpSurvAll_Res,0,12-OFFSET(_i,0,0,1,12),1,1)))</f>
        <v>13.378503930420575</v>
      </c>
      <c r="Q42" s="40">
        <f ca="1">SUMPRODUCT(OFFSET(tShpmedStd_Res,0,0,1,13),N(OFFSET(tpSurvAll_Res,0,13-OFFSET(_i,0,0,1,13),1,1)))</f>
        <v>14.120485155420887</v>
      </c>
      <c r="R42" s="40">
        <f ca="1">SUMPRODUCT(OFFSET(tShpmedStd_Res,0,0,1,14),N(OFFSET(tpSurvAll_Res,0,14-OFFSET(_i,0,0,1,14),1,1)))</f>
        <v>14.863230372813348</v>
      </c>
      <c r="S42" s="40">
        <f ca="1">SUMPRODUCT(OFFSET(tShpmedStd_Res,0,0,1,15),N(OFFSET(tpSurvAll_Res,0,15-OFFSET(_i,0,0,1,15),1,1)))</f>
        <v>15.624833667336874</v>
      </c>
      <c r="T42" s="40">
        <f ca="1">SUMPRODUCT(OFFSET(tShpmedStd_Res,0,0,1,16),N(OFFSET(tpSurvAll_Res,0,16-OFFSET(_i,0,0,1,16),1,1)))</f>
        <v>16.416009974212045</v>
      </c>
      <c r="U42" s="40">
        <f ca="1">SUMPRODUCT(OFFSET(tShpmedStd_Res,0,0,1,17),N(OFFSET(tpSurvAll_Res,0,17-OFFSET(_i,0,0,1,17),1,1)))</f>
        <v>17.242947944720566</v>
      </c>
      <c r="V42" s="40">
        <f ca="1">SUMPRODUCT(OFFSET(tShpmedStd_Res,0,0,1,18),N(OFFSET(tpSurvAll_Res,0,18-OFFSET(_i,0,0,1,18),1,1)))</f>
        <v>18.109131792365233</v>
      </c>
      <c r="W42" s="40">
        <f ca="1">SUMPRODUCT(OFFSET(tShpmedStd_Res,0,0,1,19),N(OFFSET(tpSurvAll_Res,0,19-OFFSET(_i,0,0,1,19),1,1)))</f>
        <v>19.017497967496357</v>
      </c>
      <c r="X42" s="40">
        <f ca="1">SUMPRODUCT(OFFSET(tShpmedStd_Res,0,0,1,20),N(OFFSET(tpSurvAll_Res,0,20-OFFSET(_i,0,0,1,20),1,1)))</f>
        <v>19.970191072104065</v>
      </c>
      <c r="Y42" s="40">
        <f ca="1">SUMPRODUCT(OFFSET(tShpmedStd_Res,0,1,1,20),N(OFFSET(tpSurvAll_Res,0,20-OFFSET(_i,0,0,1,20),1,1)))</f>
        <v>20.969334088526299</v>
      </c>
      <c r="Z42" s="40">
        <f ca="1">SUMPRODUCT(OFFSET(tShpmedStd_Res,0,2,1,20),N(OFFSET(tpSurvAll_Res,0,20-OFFSET(_i,0,0,1,20),1,1)))</f>
        <v>22.017165164518264</v>
      </c>
      <c r="AA42" s="40">
        <f ca="1">SUMPRODUCT(OFFSET(tShpmedStd_Res,0,3,1,20),N(OFFSET(tpSurvAll_Res,0,20-OFFSET(_i,0,0,1,20),1,1)))</f>
        <v>23.116015151192585</v>
      </c>
      <c r="AB42" s="40">
        <f ca="1">SUMPRODUCT(OFFSET(tShpmedStd_Res,0,4,1,20),N(OFFSET(tpSurvAll_Res,0,20-OFFSET(_i,0,0,1,20),1,1)))</f>
        <v>24.268335248817461</v>
      </c>
      <c r="AC42" s="40">
        <f ca="1">SUMPRODUCT(OFFSET(tShpmedStd_Res,0,5,1,20),N(OFFSET(tpSurvAll_Res,0,20-OFFSET(_i,0,0,1,20),1,1)))</f>
        <v>25.476715698699593</v>
      </c>
      <c r="AD42" s="40">
        <f ca="1">SUMPRODUCT(OFFSET(tShpmedStd_Res,0,6,1,20),N(OFFSET(tpSurvAll_Res,0,20-OFFSET(_i,0,0,1,20),1,1)))</f>
        <v>26.743893209084455</v>
      </c>
      <c r="AE42" s="40">
        <f ca="1">SUMPRODUCT(OFFSET(tShpmedStd_Res,0,7,1,20),N(OFFSET(tpSurvAll_Res,0,20-OFFSET(_i,0,0,1,20),1,1)))</f>
        <v>28.072752047659627</v>
      </c>
      <c r="AF42" s="40">
        <f ca="1">SUMPRODUCT(OFFSET(tShpmedStd_Res,0,8,1,20),N(OFFSET(tpSurvAll_Res,0,20-OFFSET(_i,0,0,1,20),1,1)))</f>
        <v>29.466322268658718</v>
      </c>
      <c r="AG42" s="40">
        <f ca="1">SUMPRODUCT(OFFSET(tShpmedStd_Res,0,9,1,20),N(OFFSET(tpSurvAll_Res,0,20-OFFSET(_i,0,0,1,20),1,1)))</f>
        <v>30.927778784384053</v>
      </c>
      <c r="AH42" s="40">
        <f ca="1">SUMPRODUCT(OFFSET(tShpmedStd_Res,0,10,1,20),N(OFFSET(tpSurvAll_Res,0,20-OFFSET(_i,0,0,1,20),1,1)))</f>
        <v>32.460444146630813</v>
      </c>
      <c r="AI42" s="40">
        <f ca="1">SUMPRODUCT(OFFSET(tShpmedStd_Res,0,11,1,20),N(OFFSET(tpSurvAll_Res,0,20-OFFSET(_i,0,0,1,20),1,1)))</f>
        <v>34.067794576468771</v>
      </c>
      <c r="AJ42" s="40">
        <f ca="1">SUMPRODUCT(OFFSET(tShpmedStd_Res,0,12,1,20),N(OFFSET(tpSurvAll_Res,0,20-OFFSET(_i,0,0,1,20),1,1)))</f>
        <v>35.753468875976267</v>
      </c>
      <c r="AK42" s="40">
        <f ca="1">SUMPRODUCT(OFFSET(tShpmedStd_Res,0,13,1,20),N(OFFSET(tpSurvAll_Res,0,20-OFFSET(_i,0,0,1,20),1,1)))</f>
        <v>37.521279787775789</v>
      </c>
      <c r="AL42" s="40">
        <f ca="1">SUMPRODUCT(OFFSET(tShpmedStd_Res,0,14,1,20),N(OFFSET(tpSurvAll_Res,0,20-OFFSET(_i,0,0,1,20),1,1)))</f>
        <v>39.375223974220326</v>
      </c>
      <c r="AM42" s="40">
        <f ca="1">SUMPRODUCT(OFFSET(tShpmedStd_Res,0,15,1,20),N(OFFSET(tpSurvAll_Res,0,20-OFFSET(_i,0,0,1,20),1,1)))</f>
        <v>35.127027842562242</v>
      </c>
      <c r="AN42" s="40">
        <f ca="1">SUMPRODUCT(OFFSET(tShpmedStd_Res,0,16,1,20),N(OFFSET(tpSurvAll_Res,0,20-OFFSET(_i,0,0,1,20),1,1)))</f>
        <v>30.68656188199078</v>
      </c>
      <c r="AO42" s="40">
        <f ca="1">SUMPRODUCT(OFFSET(tShpmedStd_Res,0,17,1,19),N(OFFSET(tpSurvAll_Res,0,20-OFFSET(_i,0,0,1,19),1,1)))</f>
        <v>26.108356700869766</v>
      </c>
      <c r="AP42" s="40">
        <f ca="1">SUMPRODUCT(OFFSET(tShpmedStd_Res,0,18,1,18),N(OFFSET(tpSurvAll_Res,0,20-OFFSET(_i,0,0,1,18),1,1)))</f>
        <v>21.499216116461099</v>
      </c>
      <c r="AQ42" s="40">
        <f ca="1">SUMPRODUCT(OFFSET(tShpmedStd_Res,0,19,1,17),N(OFFSET(tpSurvAll_Res,0,20-OFFSET(_i,0,0,1,17),1,1)))</f>
        <v>17.013652164129294</v>
      </c>
      <c r="AR42" s="40">
        <f ca="1">SUMPRODUCT(OFFSET(tShpmedStd_Res,0,20,1,16),N(OFFSET(tpSurvAll_Res,0,20-OFFSET(_i,0,0,1,16),1,1)))</f>
        <v>12.836483268616345</v>
      </c>
      <c r="AS42" s="40">
        <f ca="1">SUMPRODUCT(OFFSET(tShpmedStd_Res,0,21,1,15),N(OFFSET(tpSurvAll_Res,0,20-OFFSET(_i,0,0,1,15),1,1)))</f>
        <v>9.152317850615372</v>
      </c>
      <c r="AT42" s="40">
        <f ca="1">SUMPRODUCT(OFFSET(tShpmedStd_Res,0,22,1,14),N(OFFSET(tpSurvAll_Res,0,20-OFFSET(_i,0,0,1,14),1,1)))</f>
        <v>6.1072582911095674</v>
      </c>
      <c r="AU42" s="40">
        <f ca="1">SUMPRODUCT(OFFSET(tShpmedStd_Res,0,23,1,13),N(OFFSET(tpSurvAll_Res,0,20-OFFSET(_i,0,0,1,13),1,1)))</f>
        <v>3.7742641228429843</v>
      </c>
      <c r="AV42" s="40">
        <f ca="1">SUMPRODUCT(OFFSET(tShpmedStd_Res,0,24,1,12),N(OFFSET(tpSurvAll_Res,0,20-OFFSET(_i,0,0,1,12),1,1)))</f>
        <v>2.1359603541074552</v>
      </c>
      <c r="AW42" s="40">
        <f ca="1">SUMPRODUCT(OFFSET(tShpmedStd_Res,0,25,1,11),N(OFFSET(tpSurvAll_Res,0,20-OFFSET(_i,0,0,1,11),1,1)))</f>
        <v>1.0936984421507074</v>
      </c>
      <c r="AX42" s="40">
        <f ca="1">SUMPRODUCT(OFFSET(tShpmedStd_Res,0,26,1,10),N(OFFSET(tpSurvAll_Res,0,20-OFFSET(_i,0,0,1,10),1,1)))</f>
        <v>0.50017192118656373</v>
      </c>
      <c r="AY42" s="40">
        <f ca="1">SUMPRODUCT(OFFSET(tShpmedStd_Res,0,27,1,9),N(OFFSET(tpSurvAll_Res,0,20-OFFSET(_i,0,0,1,9),1,1)))</f>
        <v>0.20135212983216955</v>
      </c>
      <c r="AZ42" s="40">
        <f ca="1">SUMPRODUCT(OFFSET(tShpmedStd_Res,0,28,1,8),N(OFFSET(tpSurvAll_Res,0,20-OFFSET(_i,0,0,1,8),1,1)))</f>
        <v>7.0024322438151113E-2</v>
      </c>
      <c r="BA42" s="40">
        <f ca="1">SUMPRODUCT(OFFSET(tShpmedStd_Res,0,29,1,7),N(OFFSET(tpSurvAll_Res,0,20-OFFSET(_i,0,0,1,7),1,1)))</f>
        <v>2.0299055184966275E-2</v>
      </c>
      <c r="BB42" s="40">
        <f ca="1">SUMPRODUCT(OFFSET(tShpmedStd_Res,0,30,1,6),N(OFFSET(tpSurvAll_Res,0,20-OFFSET(_i,0,0,1,6),1,1)))</f>
        <v>4.301782041158571E-3</v>
      </c>
      <c r="BC42" s="40">
        <f ca="1">SUMPRODUCT(OFFSET(tShpmedStd_Res,0,31,1,5),N(OFFSET(tpSurvAll_Res,0,20-OFFSET(_i,0,0,1,5),1,1)))</f>
        <v>0</v>
      </c>
      <c r="BD42" s="40">
        <f ca="1">SUMPRODUCT(OFFSET(tShpmedStd_Res,0,32,1,4),N(OFFSET(tpSurvAll_Res,0,20-OFFSET(_i,0,0,1,4),1,1)))</f>
        <v>0</v>
      </c>
      <c r="BE42" s="40">
        <f ca="1">SUMPRODUCT(OFFSET(tShpmedStd_Res,0,33,1,3),N(OFFSET(tpSurvAll_Res,0,20-OFFSET(_i,0,0,1,3),1,1)))</f>
        <v>0</v>
      </c>
      <c r="BF42" s="40">
        <f ca="1">SUMPRODUCT(OFFSET(tShpmedStd_Res,0,34,1,2),N(OFFSET(tpSurvAll_Res,0,20-OFFSET(_i,0,0,1,2),1,1)))</f>
        <v>0</v>
      </c>
      <c r="BG42" s="41">
        <f ca="1">SUMPRODUCT(N(OFFSET(tShpmedStd_Res,0,35,1,1)),N(OFFSET(tpSurvAll_Res,0,20-OFFSET(_i,0,0,1,1),1,1)))</f>
        <v>0</v>
      </c>
      <c r="BH42" s="8"/>
    </row>
    <row r="43" spans="2:60" x14ac:dyDescent="0.35">
      <c r="B43" s="8"/>
      <c r="C43" s="39" t="str">
        <f>INDEX(_pcName,3)</f>
        <v>CADR 150+</v>
      </c>
      <c r="D43" s="15" t="str">
        <f>shpUnit</f>
        <v>mi units</v>
      </c>
      <c r="E43" s="48">
        <f ca="1">SUMPRODUCT(N(OFFSET(tShplrgStd_Res,0,0,1,1)),N(OFFSET(tpSurvAll_Res,0,1-OFFSET(_i,0,0,1,1),1,1)))</f>
        <v>2.4604737289395966</v>
      </c>
      <c r="F43" s="48">
        <f ca="1">SUMPRODUCT(OFFSET(tShplrgStd_Res,0,0,1,2),N(OFFSET(tpSurvAll_Res,0,2-OFFSET(_i,0,0,1,2),1,1)))</f>
        <v>5.0301673132285494</v>
      </c>
      <c r="G43" s="48">
        <f ca="1">SUMPRODUCT(OFFSET(tShplrgStd_Res,0,0,1,3),N(OFFSET(tpSurvAll_Res,0,3-OFFSET(_i,0,0,1,3),1,1)))</f>
        <v>7.6875626393660568</v>
      </c>
      <c r="H43" s="48">
        <f ca="1">SUMPRODUCT(OFFSET(tShplrgStd_Res,0,0,1,4),N(OFFSET(tpSurvAll_Res,0,4-OFFSET(_i,0,0,1,4),1,1)))</f>
        <v>10.403460769970827</v>
      </c>
      <c r="I43" s="48">
        <f ca="1">SUMPRODUCT(OFFSET(tShplrgStd_Res,0,0,1,5),N(OFFSET(tpSurvAll_Res,0,5-OFFSET(_i,0,0,1,5),1,1)))</f>
        <v>13.123826024601687</v>
      </c>
      <c r="J43" s="48">
        <f ca="1">SUMPRODUCT(OFFSET(tShplrgStd_Res,0,0,1,6),N(OFFSET(tpSurvAll_Res,0,6-OFFSET(_i,0,0,1,6),1,1)))</f>
        <v>15.779255769269746</v>
      </c>
      <c r="K43" s="48">
        <f ca="1">SUMPRODUCT(OFFSET(tShplrgStd_Res,0,0,1,7),N(OFFSET(tpSurvAll_Res,0,7-OFFSET(_i,0,0,1,7),1,1)))</f>
        <v>18.298882419662704</v>
      </c>
      <c r="L43" s="48">
        <f ca="1">SUMPRODUCT(OFFSET(tShplrgStd_Res,0,0,1,8),N(OFFSET(tpSurvAll_Res,0,8-OFFSET(_i,0,0,1,8),1,1)))</f>
        <v>20.62542372155464</v>
      </c>
      <c r="M43" s="48">
        <f ca="1">SUMPRODUCT(OFFSET(tShplrgStd_Res,0,0,1,9),N(OFFSET(tpSurvAll_Res,0,9-OFFSET(_i,0,0,1,9),1,1)))</f>
        <v>22.729990771107175</v>
      </c>
      <c r="N43" s="48">
        <f ca="1">SUMPRODUCT(OFFSET(tShplrgStd_Res,0,0,1,10),N(OFFSET(tpSurvAll_Res,0,10-OFFSET(_i,0,0,1,10),1,1)))</f>
        <v>24.61966503433144</v>
      </c>
      <c r="O43" s="48">
        <f ca="1">SUMPRODUCT(OFFSET(tShplrgStd_Res,0,0,1,11),N(OFFSET(tpSurvAll_Res,0,11-OFFSET(_i,0,0,1,11),1,1)))</f>
        <v>26.334014971713913</v>
      </c>
      <c r="P43" s="48">
        <f ca="1">SUMPRODUCT(OFFSET(tShplrgStd_Res,0,0,1,12),N(OFFSET(tpSurvAll_Res,0,12-OFFSET(_i,0,0,1,12),1,1)))</f>
        <v>27.933014340084895</v>
      </c>
      <c r="Q43" s="48">
        <f ca="1">SUMPRODUCT(OFFSET(tShplrgStd_Res,0,0,1,13),N(OFFSET(tpSurvAll_Res,0,13-OFFSET(_i,0,0,1,13),1,1)))</f>
        <v>29.480114620165931</v>
      </c>
      <c r="R43" s="48">
        <f ca="1">SUMPRODUCT(OFFSET(tShplrgStd_Res,0,0,1,14),N(OFFSET(tpSurvAll_Res,0,14-OFFSET(_i,0,0,1,14),1,1)))</f>
        <v>31.028743421902796</v>
      </c>
      <c r="S43" s="48">
        <f ca="1">SUMPRODUCT(OFFSET(tShplrgStd_Res,0,0,1,15),N(OFFSET(tpSurvAll_Res,0,15-OFFSET(_i,0,0,1,15),1,1)))</f>
        <v>32.616793468647607</v>
      </c>
      <c r="T43" s="48">
        <f ca="1">SUMPRODUCT(OFFSET(tShplrgStd_Res,0,0,1,16),N(OFFSET(tpSurvAll_Res,0,16-OFFSET(_i,0,0,1,16),1,1)))</f>
        <v>34.266706223508201</v>
      </c>
      <c r="U43" s="48">
        <f ca="1">SUMPRODUCT(OFFSET(tShplrgStd_Res,0,0,1,17),N(OFFSET(tpSurvAll_Res,0,17-OFFSET(_i,0,0,1,17),1,1)))</f>
        <v>35.991420325705263</v>
      </c>
      <c r="V43" s="48">
        <f ca="1">SUMPRODUCT(OFFSET(tShplrgStd_Res,0,0,1,18),N(OFFSET(tpSurvAll_Res,0,18-OFFSET(_i,0,0,1,18),1,1)))</f>
        <v>37.798186793935329</v>
      </c>
      <c r="W43" s="48">
        <f ca="1">SUMPRODUCT(OFFSET(tShplrgStd_Res,0,0,1,19),N(OFFSET(tpSurvAll_Res,0,19-OFFSET(_i,0,0,1,19),1,1)))</f>
        <v>39.693089578160759</v>
      </c>
      <c r="X43" s="48">
        <f ca="1">SUMPRODUCT(OFFSET(tShplrgStd_Res,0,0,1,20),N(OFFSET(tpSurvAll_Res,0,20-OFFSET(_i,0,0,1,20),1,1)))</f>
        <v>41.680553005200522</v>
      </c>
      <c r="Y43" s="48">
        <f ca="1">SUMPRODUCT(OFFSET(tShplrgStd_Res,0,1,1,20),N(OFFSET(tpSurvAll_Res,0,20-OFFSET(_i,0,0,1,20),1,1)))</f>
        <v>43.765022105189345</v>
      </c>
      <c r="Z43" s="48">
        <f ca="1">SUMPRODUCT(OFFSET(tShplrgStd_Res,0,2,1,20),N(OFFSET(tpSurvAll_Res,0,20-OFFSET(_i,0,0,1,20),1,1)))</f>
        <v>45.951136332480921</v>
      </c>
      <c r="AA43" s="48">
        <f ca="1">SUMPRODUCT(OFFSET(tShplrgStd_Res,0,3,1,20),N(OFFSET(tpSurvAll_Res,0,20-OFFSET(_i,0,0,1,20),1,1)))</f>
        <v>48.243739222249957</v>
      </c>
      <c r="AB43" s="48">
        <f ca="1">SUMPRODUCT(OFFSET(tShplrgStd_Res,0,4,1,20),N(OFFSET(tpSurvAll_Res,0,20-OFFSET(_i,0,0,1,20),1,1)))</f>
        <v>50.647933548415239</v>
      </c>
      <c r="AC43" s="48">
        <f ca="1">SUMPRODUCT(OFFSET(tShplrgStd_Res,0,5,1,20),N(OFFSET(tpSurvAll_Res,0,20-OFFSET(_i,0,0,1,20),1,1)))</f>
        <v>53.169116460698881</v>
      </c>
      <c r="AD43" s="48">
        <f ca="1">SUMPRODUCT(OFFSET(tShplrgStd_Res,0,6,1,20),N(OFFSET(tpSurvAll_Res,0,20-OFFSET(_i,0,0,1,20),1,1)))</f>
        <v>55.812992118179679</v>
      </c>
      <c r="AE43" s="48">
        <f ca="1">SUMPRODUCT(OFFSET(tShplrgStd_Res,0,7,1,20),N(OFFSET(tpSurvAll_Res,0,20-OFFSET(_i,0,0,1,20),1,1)))</f>
        <v>58.585572150377253</v>
      </c>
      <c r="AF43" s="48">
        <f ca="1">SUMPRODUCT(OFFSET(tShplrgStd_Res,0,8,1,20),N(OFFSET(tpSurvAll_Res,0,20-OFFSET(_i,0,0,1,20),1,1)))</f>
        <v>61.49317122968953</v>
      </c>
      <c r="AG43" s="48">
        <f ca="1">SUMPRODUCT(OFFSET(tShplrgStd_Res,0,9,1,20),N(OFFSET(tpSurvAll_Res,0,20-OFFSET(_i,0,0,1,20),1,1)))</f>
        <v>64.542405533286399</v>
      </c>
      <c r="AH43" s="48">
        <f ca="1">SUMPRODUCT(OFFSET(tShplrgStd_Res,0,10,1,20),N(OFFSET(tpSurvAll_Res,0,20-OFFSET(_i,0,0,1,20),1,1)))</f>
        <v>67.740199034271143</v>
      </c>
      <c r="AI43" s="48">
        <f ca="1">SUMPRODUCT(OFFSET(tShplrgStd_Res,0,11,1,20),N(OFFSET(tpSurvAll_Res,0,20-OFFSET(_i,0,0,1,20),1,1)))</f>
        <v>71.093796818665794</v>
      </c>
      <c r="AJ43" s="48">
        <f ca="1">SUMPRODUCT(OFFSET(tShplrgStd_Res,0,12,1,20),N(OFFSET(tpSurvAll_Res,0,20-OFFSET(_i,0,0,1,20),1,1)))</f>
        <v>74.610784143231882</v>
      </c>
      <c r="AK43" s="48">
        <f ca="1">SUMPRODUCT(OFFSET(tShplrgStd_Res,0,13,1,20),N(OFFSET(tpSurvAll_Res,0,20-OFFSET(_i,0,0,1,20),1,1)))</f>
        <v>78.299110230844079</v>
      </c>
      <c r="AL43" s="48">
        <f ca="1">SUMPRODUCT(OFFSET(tShplrgStd_Res,0,14,1,20),N(OFFSET(tpSurvAll_Res,0,20-OFFSET(_i,0,0,1,20),1,1)))</f>
        <v>82.16710887802671</v>
      </c>
      <c r="AM43" s="48">
        <f ca="1">SUMPRODUCT(OFFSET(tShplrgStd_Res,0,15,1,20),N(OFFSET(tpSurvAll_Res,0,20-OFFSET(_i,0,0,1,20),1,1)))</f>
        <v>73.301827219248125</v>
      </c>
      <c r="AN43" s="48">
        <f ca="1">SUMPRODUCT(OFFSET(tShplrgStd_Res,0,16,1,20),N(OFFSET(tpSurvAll_Res,0,20-OFFSET(_i,0,0,1,20),1,1)))</f>
        <v>64.035398534633373</v>
      </c>
      <c r="AO43" s="48">
        <f ca="1">SUMPRODUCT(OFFSET(tShplrgStd_Res,0,17,1,19),N(OFFSET(tpSurvAll_Res,0,20-OFFSET(_i,0,0,1,19),1,1)))</f>
        <v>54.481617331840511</v>
      </c>
      <c r="AP43" s="48">
        <f ca="1">SUMPRODUCT(OFFSET(tShplrgStd_Res,0,18,1,18),N(OFFSET(tpSurvAll_Res,0,20-OFFSET(_i,0,0,1,18),1,1)))</f>
        <v>44.863354835994969</v>
      </c>
      <c r="AQ43" s="48">
        <f ca="1">SUMPRODUCT(OFFSET(tShplrgStd_Res,0,19,1,17),N(OFFSET(tpSurvAll_Res,0,20-OFFSET(_i,0,0,1,17),1,1)))</f>
        <v>35.5030321563559</v>
      </c>
      <c r="AR43" s="48">
        <f ca="1">SUMPRODUCT(OFFSET(tShplrgStd_Res,0,20,1,16),N(OFFSET(tpSurvAll_Res,0,20-OFFSET(_i,0,0,1,16),1,1)))</f>
        <v>26.786307108219123</v>
      </c>
      <c r="AS43" s="48">
        <f ca="1">SUMPRODUCT(OFFSET(tShplrgStd_Res,0,21,1,15),N(OFFSET(tpSurvAll_Res,0,20-OFFSET(_i,0,0,1,15),1,1)))</f>
        <v>19.098395484201657</v>
      </c>
      <c r="AT43" s="48">
        <f ca="1">SUMPRODUCT(OFFSET(tShplrgStd_Res,0,22,1,14),N(OFFSET(tpSurvAll_Res,0,20-OFFSET(_i,0,0,1,14),1,1)))</f>
        <v>12.744159302151431</v>
      </c>
      <c r="AU43" s="48">
        <f ca="1">SUMPRODUCT(OFFSET(tShplrgStd_Res,0,23,1,13),N(OFFSET(tpSurvAll_Res,0,20-OFFSET(_i,0,0,1,13),1,1)))</f>
        <v>7.8758314819151334</v>
      </c>
      <c r="AV43" s="48">
        <f ca="1">SUMPRODUCT(OFFSET(tShplrgStd_Res,0,24,1,12),N(OFFSET(tpSurvAll_Res,0,20-OFFSET(_i,0,0,1,12),1,1)))</f>
        <v>4.4571436859221016</v>
      </c>
      <c r="AW43" s="48">
        <f ca="1">SUMPRODUCT(OFFSET(tShplrgStd_Res,0,25,1,11),N(OFFSET(tpSurvAll_Res,0,20-OFFSET(_i,0,0,1,11),1,1)))</f>
        <v>2.2822354654391415</v>
      </c>
      <c r="AX43" s="48">
        <f ca="1">SUMPRODUCT(OFFSET(tShplrgStd_Res,0,26,1,10),N(OFFSET(tpSurvAll_Res,0,20-OFFSET(_i,0,0,1,10),1,1)))</f>
        <v>1.0437143309774741</v>
      </c>
      <c r="AY43" s="48">
        <f ca="1">SUMPRODUCT(OFFSET(tShplrgStd_Res,0,27,1,9),N(OFFSET(tpSurvAll_Res,0,20-OFFSET(_i,0,0,1,9),1,1)))</f>
        <v>0.42016328629233385</v>
      </c>
      <c r="AZ43" s="48">
        <f ca="1">SUMPRODUCT(OFFSET(tShplrgStd_Res,0,28,1,8),N(OFFSET(tpSurvAll_Res,0,20-OFFSET(_i,0,0,1,8),1,1)))</f>
        <v>0.14612022490124421</v>
      </c>
      <c r="BA43" s="48">
        <f ca="1">SUMPRODUCT(OFFSET(tShplrgStd_Res,0,29,1,7),N(OFFSET(tpSurvAll_Res,0,20-OFFSET(_i,0,0,1,7),1,1)))</f>
        <v>4.2358122138344848E-2</v>
      </c>
      <c r="BB43" s="48">
        <f ca="1">SUMPRODUCT(OFFSET(tShplrgStd_Res,0,30,1,6),N(OFFSET(tpSurvAll_Res,0,20-OFFSET(_i,0,0,1,6),1,1)))</f>
        <v>8.9765289232802171E-3</v>
      </c>
      <c r="BC43" s="48">
        <f ca="1">SUMPRODUCT(OFFSET(tShplrgStd_Res,0,31,1,5),N(OFFSET(tpSurvAll_Res,0,20-OFFSET(_i,0,0,1,5),1,1)))</f>
        <v>0</v>
      </c>
      <c r="BD43" s="48">
        <f ca="1">SUMPRODUCT(OFFSET(tShplrgStd_Res,0,32,1,4),N(OFFSET(tpSurvAll_Res,0,20-OFFSET(_i,0,0,1,4),1,1)))</f>
        <v>0</v>
      </c>
      <c r="BE43" s="48">
        <f ca="1">SUMPRODUCT(OFFSET(tShplrgStd_Res,0,33,1,3),N(OFFSET(tpSurvAll_Res,0,20-OFFSET(_i,0,0,1,3),1,1)))</f>
        <v>0</v>
      </c>
      <c r="BF43" s="48">
        <f ca="1">SUMPRODUCT(OFFSET(tShplrgStd_Res,0,34,1,2),N(OFFSET(tpSurvAll_Res,0,20-OFFSET(_i,0,0,1,2),1,1)))</f>
        <v>0</v>
      </c>
      <c r="BG43" s="49">
        <f ca="1">SUMPRODUCT(N(OFFSET(tShplrgStd_Res,0,35,1,1)),N(OFFSET(tpSurvAll_Res,0,20-OFFSET(_i,0,0,1,1),1,1)))</f>
        <v>0</v>
      </c>
      <c r="BH43" s="8"/>
    </row>
    <row r="44" spans="2:60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</row>
    <row r="45" spans="2:60" x14ac:dyDescent="0.35">
      <c r="B45" s="8"/>
      <c r="C45" s="23" t="s">
        <v>59</v>
      </c>
      <c r="D45" s="24"/>
      <c r="E45" s="26">
        <f t="array" ref="E45:K45">_yM</f>
        <v>2017</v>
      </c>
      <c r="F45" s="26">
        <v>2018</v>
      </c>
      <c r="G45" s="26">
        <v>2019</v>
      </c>
      <c r="H45" s="26">
        <v>2020</v>
      </c>
      <c r="I45" s="26">
        <v>2021</v>
      </c>
      <c r="J45" s="26">
        <v>2022</v>
      </c>
      <c r="K45" s="27">
        <v>2023</v>
      </c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</row>
    <row r="46" spans="2:60" x14ac:dyDescent="0.35">
      <c r="B46" s="8"/>
      <c r="C46" s="19" t="s">
        <v>60</v>
      </c>
      <c r="D46" s="11" t="str">
        <f>shpUnit</f>
        <v>mi units</v>
      </c>
      <c r="E46" s="40">
        <f t="array" ref="E46:K46">tmiasml_Res+tmiamed_Res+tmialrg_Res</f>
        <v>1.9381144476087631</v>
      </c>
      <c r="F46" s="40">
        <v>2.2250405192028562</v>
      </c>
      <c r="G46" s="40">
        <v>2.4607431798197639</v>
      </c>
      <c r="H46" s="40">
        <v>4.3988518259944795</v>
      </c>
      <c r="I46" s="40">
        <v>4.3366351769858547</v>
      </c>
      <c r="J46" s="40">
        <v>4.5510969507031005</v>
      </c>
      <c r="K46" s="41">
        <v>4.7607912755515969</v>
      </c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</row>
    <row r="47" spans="2:60" x14ac:dyDescent="0.35">
      <c r="B47" s="8"/>
      <c r="C47" s="9" t="s">
        <v>61</v>
      </c>
      <c r="D47" s="8"/>
      <c r="E47" s="8"/>
      <c r="F47" s="8"/>
      <c r="G47" s="8"/>
      <c r="H47" s="8"/>
      <c r="I47" s="8"/>
      <c r="J47" s="8"/>
      <c r="K47" s="1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</row>
    <row r="48" spans="2:60" x14ac:dyDescent="0.35">
      <c r="B48" s="8"/>
      <c r="C48" s="20" t="str">
        <f>INDEX(_pcName,1)</f>
        <v>CADR 10-99</v>
      </c>
      <c r="D48" s="11" t="str">
        <f>shpUnit</f>
        <v>mi units</v>
      </c>
      <c r="E48" s="40">
        <v>0.5039097563782784</v>
      </c>
      <c r="F48" s="40">
        <v>0.57851053499274263</v>
      </c>
      <c r="G48" s="40">
        <v>0.63979322675313866</v>
      </c>
      <c r="H48" s="40">
        <v>1.1437014747585648</v>
      </c>
      <c r="I48" s="40">
        <v>1.1275251460163223</v>
      </c>
      <c r="J48" s="40">
        <v>1.1832852071828062</v>
      </c>
      <c r="K48" s="41">
        <v>1.2378057316434155</v>
      </c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</row>
    <row r="49" spans="2:60" x14ac:dyDescent="0.35">
      <c r="B49" s="8"/>
      <c r="C49" s="20" t="str">
        <f>INDEX(_pcName,2)</f>
        <v>CADR 100-149</v>
      </c>
      <c r="D49" s="11" t="str">
        <f>shpUnit</f>
        <v>mi units</v>
      </c>
      <c r="E49" s="40">
        <v>0.46514746742610308</v>
      </c>
      <c r="F49" s="40">
        <v>0.53400972460868545</v>
      </c>
      <c r="G49" s="40">
        <v>0.59057836315674328</v>
      </c>
      <c r="H49" s="40">
        <v>1.055724438238675</v>
      </c>
      <c r="I49" s="40">
        <v>1.0407924424766051</v>
      </c>
      <c r="J49" s="40">
        <v>1.0922632681687441</v>
      </c>
      <c r="K49" s="41">
        <v>1.1425899061323832</v>
      </c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</row>
    <row r="50" spans="2:60" x14ac:dyDescent="0.35">
      <c r="B50" s="8"/>
      <c r="C50" s="20" t="str">
        <f>INDEX(_pcName,3)</f>
        <v>CADR 150+</v>
      </c>
      <c r="D50" s="11" t="str">
        <f>shpUnit</f>
        <v>mi units</v>
      </c>
      <c r="E50" s="40">
        <v>0.96905722380438142</v>
      </c>
      <c r="F50" s="40">
        <v>1.1125202596014281</v>
      </c>
      <c r="G50" s="40">
        <v>1.2303715899098819</v>
      </c>
      <c r="H50" s="40">
        <v>2.1994259129972398</v>
      </c>
      <c r="I50" s="40">
        <v>2.1683175884929273</v>
      </c>
      <c r="J50" s="40">
        <v>2.2755484753515502</v>
      </c>
      <c r="K50" s="41">
        <v>2.3803956377757984</v>
      </c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</row>
    <row r="51" spans="2:60" x14ac:dyDescent="0.35">
      <c r="B51" s="8"/>
      <c r="C51" s="42" t="s">
        <v>62</v>
      </c>
      <c r="D51" s="37"/>
      <c r="E51" s="37"/>
      <c r="F51" s="37"/>
      <c r="G51" s="37"/>
      <c r="H51" s="37"/>
      <c r="I51" s="37"/>
      <c r="J51" s="37"/>
      <c r="K51" s="3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</row>
    <row r="52" spans="2:60" x14ac:dyDescent="0.35">
      <c r="B52" s="8"/>
      <c r="C52" s="10" t="str">
        <f>INDEX(_pcName,1)</f>
        <v>CADR 10-99</v>
      </c>
      <c r="D52" s="8"/>
      <c r="E52" s="8"/>
      <c r="F52" s="8"/>
      <c r="G52" s="8"/>
      <c r="H52" s="8"/>
      <c r="I52" s="8"/>
      <c r="J52" s="8"/>
      <c r="K52" s="1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</row>
    <row r="53" spans="2:60" x14ac:dyDescent="0.35">
      <c r="B53" s="8"/>
      <c r="C53" s="20" t="str">
        <f>INDEX(_doName,1,1)</f>
        <v>Baseline</v>
      </c>
      <c r="D53" s="11" t="s">
        <v>63</v>
      </c>
      <c r="E53" s="43">
        <f t="array" ref="E53:E57">TRANSPOSE(bcsml_Res)</f>
        <v>0.28049792531120338</v>
      </c>
      <c r="F53" s="43">
        <f t="array" ref="F53:F57">TRANSPOSE(bcsml_Res)</f>
        <v>0.28049792531120338</v>
      </c>
      <c r="G53" s="43">
        <f t="array" ref="G53:G57">TRANSPOSE(bcsml_Res)</f>
        <v>0.28049792531120338</v>
      </c>
      <c r="H53" s="43">
        <f t="array" ref="H53:H57">TRANSPOSE(bcsml_Res)</f>
        <v>0.28049792531120338</v>
      </c>
      <c r="I53" s="43">
        <f t="array" ref="I53:I57">TRANSPOSE(bcsml_Res)</f>
        <v>0.28049792531120338</v>
      </c>
      <c r="J53" s="43">
        <f t="array" ref="J53:J57">TRANSPOSE(bcsml_Res)</f>
        <v>0.28049792531120338</v>
      </c>
      <c r="K53" s="44">
        <f t="array" ref="K53:K57">TRANSPOSE(bcsml_Res)</f>
        <v>0.28049792531120338</v>
      </c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</row>
    <row r="54" spans="2:60" x14ac:dyDescent="0.35">
      <c r="B54" s="8"/>
      <c r="C54" s="20" t="str">
        <f>INDEX(_doName,1,2)</f>
        <v>Tier 1</v>
      </c>
      <c r="D54" s="11" t="s">
        <v>63</v>
      </c>
      <c r="E54" s="43">
        <v>0.42074688796680493</v>
      </c>
      <c r="F54" s="43">
        <v>0.42074688796680493</v>
      </c>
      <c r="G54" s="43">
        <v>0.42074688796680493</v>
      </c>
      <c r="H54" s="43">
        <v>0.42074688796680493</v>
      </c>
      <c r="I54" s="43">
        <v>0.42074688796680493</v>
      </c>
      <c r="J54" s="43">
        <v>0.42074688796680493</v>
      </c>
      <c r="K54" s="44">
        <v>0.42074688796680493</v>
      </c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</row>
    <row r="55" spans="2:60" x14ac:dyDescent="0.35">
      <c r="B55" s="8"/>
      <c r="C55" s="20" t="str">
        <f>INDEX(_doName,1,3)</f>
        <v>Tier 2</v>
      </c>
      <c r="D55" s="11" t="s">
        <v>63</v>
      </c>
      <c r="E55" s="43">
        <v>0.1908713692946058</v>
      </c>
      <c r="F55" s="43">
        <v>0.1908713692946058</v>
      </c>
      <c r="G55" s="43">
        <v>0.1908713692946058</v>
      </c>
      <c r="H55" s="43">
        <v>0.1908713692946058</v>
      </c>
      <c r="I55" s="43">
        <v>0.1908713692946058</v>
      </c>
      <c r="J55" s="43">
        <v>0.1908713692946058</v>
      </c>
      <c r="K55" s="44">
        <v>0.1908713692946058</v>
      </c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</row>
    <row r="56" spans="2:60" x14ac:dyDescent="0.35">
      <c r="B56" s="8"/>
      <c r="C56" s="20" t="str">
        <f>INDEX(_doName,1,4)</f>
        <v>EL 3</v>
      </c>
      <c r="D56" s="11" t="s">
        <v>63</v>
      </c>
      <c r="E56" s="43">
        <v>7.4688796680497924E-2</v>
      </c>
      <c r="F56" s="43">
        <v>7.4688796680497924E-2</v>
      </c>
      <c r="G56" s="43">
        <v>7.4688796680497924E-2</v>
      </c>
      <c r="H56" s="43">
        <v>7.4688796680497924E-2</v>
      </c>
      <c r="I56" s="43">
        <v>7.4688796680497924E-2</v>
      </c>
      <c r="J56" s="43">
        <v>7.4688796680497924E-2</v>
      </c>
      <c r="K56" s="44">
        <v>7.4688796680497924E-2</v>
      </c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</row>
    <row r="57" spans="2:60" x14ac:dyDescent="0.35">
      <c r="B57" s="8"/>
      <c r="C57" s="20" t="str">
        <f>INDEX(_doName,1,5)</f>
        <v>EL 4</v>
      </c>
      <c r="D57" s="11" t="s">
        <v>63</v>
      </c>
      <c r="E57" s="43">
        <v>3.3195020746887967E-2</v>
      </c>
      <c r="F57" s="43">
        <v>3.3195020746887967E-2</v>
      </c>
      <c r="G57" s="43">
        <v>3.3195020746887967E-2</v>
      </c>
      <c r="H57" s="43">
        <v>3.3195020746887967E-2</v>
      </c>
      <c r="I57" s="43">
        <v>3.3195020746887967E-2</v>
      </c>
      <c r="J57" s="43">
        <v>3.3195020746887967E-2</v>
      </c>
      <c r="K57" s="44">
        <v>3.3195020746887967E-2</v>
      </c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</row>
    <row r="58" spans="2:60" x14ac:dyDescent="0.35">
      <c r="B58" s="8"/>
      <c r="C58" s="10" t="str">
        <f>INDEX(_pcName,2)</f>
        <v>CADR 100-149</v>
      </c>
      <c r="D58" s="8"/>
      <c r="E58" s="8"/>
      <c r="F58" s="8"/>
      <c r="G58" s="8"/>
      <c r="H58" s="8"/>
      <c r="I58" s="8"/>
      <c r="J58" s="8"/>
      <c r="K58" s="1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</row>
    <row r="59" spans="2:60" x14ac:dyDescent="0.35">
      <c r="B59" s="8"/>
      <c r="C59" s="20" t="str">
        <f>INDEX(_doName,2,1)</f>
        <v>Baseline</v>
      </c>
      <c r="D59" s="11" t="s">
        <v>63</v>
      </c>
      <c r="E59" s="43">
        <f t="array" ref="E59:E63">TRANSPOSE(bcmed_Res)</f>
        <v>0.24375000000000002</v>
      </c>
      <c r="F59" s="43">
        <f t="array" ref="F59:F63">TRANSPOSE(bcmed_Res)</f>
        <v>0.24375000000000002</v>
      </c>
      <c r="G59" s="43">
        <f t="array" ref="G59:G63">TRANSPOSE(bcmed_Res)</f>
        <v>0.24375000000000002</v>
      </c>
      <c r="H59" s="43">
        <f t="array" ref="H59:H63">TRANSPOSE(bcmed_Res)</f>
        <v>0.24375000000000002</v>
      </c>
      <c r="I59" s="43">
        <f t="array" ref="I59:I63">TRANSPOSE(bcmed_Res)</f>
        <v>0.24375000000000002</v>
      </c>
      <c r="J59" s="43">
        <f t="array" ref="J59:J63">TRANSPOSE(bcmed_Res)</f>
        <v>0.24375000000000002</v>
      </c>
      <c r="K59" s="44">
        <f t="array" ref="K59:K63">TRANSPOSE(bcmed_Res)</f>
        <v>0.24375000000000002</v>
      </c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</row>
    <row r="60" spans="2:60" x14ac:dyDescent="0.35">
      <c r="B60" s="8"/>
      <c r="C60" s="20" t="str">
        <f>INDEX(_doName,2,2)</f>
        <v>Tier 1</v>
      </c>
      <c r="D60" s="11" t="s">
        <v>63</v>
      </c>
      <c r="E60" s="43">
        <v>0.36562499999999998</v>
      </c>
      <c r="F60" s="43">
        <v>0.36562499999999998</v>
      </c>
      <c r="G60" s="43">
        <v>0.36562499999999998</v>
      </c>
      <c r="H60" s="43">
        <v>0.36562499999999998</v>
      </c>
      <c r="I60" s="43">
        <v>0.36562499999999998</v>
      </c>
      <c r="J60" s="43">
        <v>0.36562499999999998</v>
      </c>
      <c r="K60" s="44">
        <v>0.36562499999999998</v>
      </c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</row>
    <row r="61" spans="2:60" x14ac:dyDescent="0.35">
      <c r="B61" s="8"/>
      <c r="C61" s="20" t="str">
        <f>INDEX(_doName,2,3)</f>
        <v>Tier 2</v>
      </c>
      <c r="D61" s="11" t="s">
        <v>63</v>
      </c>
      <c r="E61" s="43">
        <v>0.28125</v>
      </c>
      <c r="F61" s="43">
        <v>0.28125</v>
      </c>
      <c r="G61" s="43">
        <v>0.28125</v>
      </c>
      <c r="H61" s="43">
        <v>0.28125</v>
      </c>
      <c r="I61" s="43">
        <v>0.28125</v>
      </c>
      <c r="J61" s="43">
        <v>0.28125</v>
      </c>
      <c r="K61" s="44">
        <v>0.28125</v>
      </c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</row>
    <row r="62" spans="2:60" x14ac:dyDescent="0.35">
      <c r="B62" s="8"/>
      <c r="C62" s="20" t="str">
        <f>INDEX(_doName,2,4)</f>
        <v>EL 3</v>
      </c>
      <c r="D62" s="11" t="s">
        <v>63</v>
      </c>
      <c r="E62" s="43">
        <v>0.10546875</v>
      </c>
      <c r="F62" s="43">
        <v>0.10546875</v>
      </c>
      <c r="G62" s="43">
        <v>0.10546875</v>
      </c>
      <c r="H62" s="43">
        <v>0.10546875</v>
      </c>
      <c r="I62" s="43">
        <v>0.10546875</v>
      </c>
      <c r="J62" s="43">
        <v>0.10546875</v>
      </c>
      <c r="K62" s="44">
        <v>0.10546875</v>
      </c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</row>
    <row r="63" spans="2:60" x14ac:dyDescent="0.35">
      <c r="B63" s="8"/>
      <c r="C63" s="20" t="str">
        <f>INDEX(_doName,2,5)</f>
        <v>EL 4</v>
      </c>
      <c r="D63" s="11" t="s">
        <v>63</v>
      </c>
      <c r="E63" s="43">
        <v>3.90625E-3</v>
      </c>
      <c r="F63" s="43">
        <v>3.90625E-3</v>
      </c>
      <c r="G63" s="43">
        <v>3.90625E-3</v>
      </c>
      <c r="H63" s="43">
        <v>3.90625E-3</v>
      </c>
      <c r="I63" s="43">
        <v>3.90625E-3</v>
      </c>
      <c r="J63" s="43">
        <v>3.90625E-3</v>
      </c>
      <c r="K63" s="44">
        <v>3.90625E-3</v>
      </c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</row>
    <row r="64" spans="2:60" x14ac:dyDescent="0.35">
      <c r="B64" s="8"/>
      <c r="C64" s="10" t="str">
        <f>INDEX(_pcName,3)</f>
        <v>CADR 150+</v>
      </c>
      <c r="D64" s="8"/>
      <c r="E64" s="8"/>
      <c r="F64" s="8"/>
      <c r="G64" s="8"/>
      <c r="H64" s="8"/>
      <c r="I64" s="8"/>
      <c r="J64" s="8"/>
      <c r="K64" s="1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</row>
    <row r="65" spans="2:60" x14ac:dyDescent="0.35">
      <c r="B65" s="8"/>
      <c r="C65" s="20" t="str">
        <f>INDEX(_doName,3,1)</f>
        <v>Baseline</v>
      </c>
      <c r="D65" s="11" t="s">
        <v>63</v>
      </c>
      <c r="E65" s="43">
        <f t="array" ref="E65:E69">TRANSPOSE(bclrg_Res)</f>
        <v>0.22184300341296928</v>
      </c>
      <c r="F65" s="43">
        <f t="array" ref="F65:F69">TRANSPOSE(bclrg_Res)</f>
        <v>0.22184300341296928</v>
      </c>
      <c r="G65" s="43">
        <f t="array" ref="G65:G69">TRANSPOSE(bclrg_Res)</f>
        <v>0.22184300341296928</v>
      </c>
      <c r="H65" s="43">
        <f t="array" ref="H65:H69">TRANSPOSE(bclrg_Res)</f>
        <v>0.22184300341296928</v>
      </c>
      <c r="I65" s="43">
        <f t="array" ref="I65:I69">TRANSPOSE(bclrg_Res)</f>
        <v>0.22184300341296928</v>
      </c>
      <c r="J65" s="43">
        <f t="array" ref="J65:J69">TRANSPOSE(bclrg_Res)</f>
        <v>0.22184300341296928</v>
      </c>
      <c r="K65" s="44">
        <f t="array" ref="K65:K69">TRANSPOSE(bclrg_Res)</f>
        <v>0.22184300341296928</v>
      </c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</row>
    <row r="66" spans="2:60" x14ac:dyDescent="0.35">
      <c r="B66" s="8"/>
      <c r="C66" s="20" t="str">
        <f>INDEX(_doName,3,2)</f>
        <v>Tier 1</v>
      </c>
      <c r="D66" s="11" t="s">
        <v>63</v>
      </c>
      <c r="E66" s="43">
        <v>0.33276450511945393</v>
      </c>
      <c r="F66" s="43">
        <v>0.33276450511945393</v>
      </c>
      <c r="G66" s="43">
        <v>0.33276450511945393</v>
      </c>
      <c r="H66" s="43">
        <v>0.33276450511945393</v>
      </c>
      <c r="I66" s="43">
        <v>0.33276450511945393</v>
      </c>
      <c r="J66" s="43">
        <v>0.33276450511945393</v>
      </c>
      <c r="K66" s="44">
        <v>0.33276450511945393</v>
      </c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</row>
    <row r="67" spans="2:60" x14ac:dyDescent="0.35">
      <c r="B67" s="8"/>
      <c r="C67" s="20" t="str">
        <f>INDEX(_doName,3,3)</f>
        <v>Tier 2</v>
      </c>
      <c r="D67" s="11" t="s">
        <v>63</v>
      </c>
      <c r="E67" s="43">
        <v>0.37713310580204779</v>
      </c>
      <c r="F67" s="43">
        <v>0.37713310580204779</v>
      </c>
      <c r="G67" s="43">
        <v>0.37713310580204779</v>
      </c>
      <c r="H67" s="43">
        <v>0.37713310580204779</v>
      </c>
      <c r="I67" s="43">
        <v>0.37713310580204779</v>
      </c>
      <c r="J67" s="43">
        <v>0.37713310580204779</v>
      </c>
      <c r="K67" s="44">
        <v>0.37713310580204779</v>
      </c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</row>
    <row r="68" spans="2:60" x14ac:dyDescent="0.35">
      <c r="B68" s="8"/>
      <c r="C68" s="20" t="str">
        <f>INDEX(_doName,3,4)</f>
        <v>EL 3</v>
      </c>
      <c r="D68" s="11" t="s">
        <v>63</v>
      </c>
      <c r="E68" s="43">
        <v>3.0716723549488054E-2</v>
      </c>
      <c r="F68" s="43">
        <v>3.0716723549488054E-2</v>
      </c>
      <c r="G68" s="43">
        <v>3.0716723549488054E-2</v>
      </c>
      <c r="H68" s="43">
        <v>3.0716723549488054E-2</v>
      </c>
      <c r="I68" s="43">
        <v>3.0716723549488054E-2</v>
      </c>
      <c r="J68" s="43">
        <v>3.0716723549488054E-2</v>
      </c>
      <c r="K68" s="44">
        <v>3.0716723549488054E-2</v>
      </c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</row>
    <row r="69" spans="2:60" x14ac:dyDescent="0.35">
      <c r="B69" s="8"/>
      <c r="C69" s="39" t="str">
        <f>INDEX(_doName,3,5)</f>
        <v>EL 4</v>
      </c>
      <c r="D69" s="15" t="s">
        <v>63</v>
      </c>
      <c r="E69" s="45">
        <v>3.7542662116040959E-2</v>
      </c>
      <c r="F69" s="45">
        <v>3.7542662116040959E-2</v>
      </c>
      <c r="G69" s="45">
        <v>3.7542662116040959E-2</v>
      </c>
      <c r="H69" s="45">
        <v>3.7542662116040959E-2</v>
      </c>
      <c r="I69" s="45">
        <v>3.7542662116040959E-2</v>
      </c>
      <c r="J69" s="45">
        <v>3.7542662116040959E-2</v>
      </c>
      <c r="K69" s="46">
        <v>3.7542662116040959E-2</v>
      </c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</row>
    <row r="70" spans="2:60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</row>
    <row r="71" spans="2:60" x14ac:dyDescent="0.35">
      <c r="C71" s="6" t="str">
        <f ca="1">"Total shipments at TSL "&amp;iTSL</f>
        <v>Total shipments at TSL 3</v>
      </c>
      <c r="E71" s="90">
        <f ca="1">E22+E92</f>
        <v>8.1945872440194094</v>
      </c>
      <c r="F71" s="90">
        <f t="shared" ref="F71:AL71" ca="1" si="0">F22+F92</f>
        <v>8.5837827156881428</v>
      </c>
      <c r="G71" s="90">
        <f t="shared" ca="1" si="0"/>
        <v>8.9699231360466918</v>
      </c>
      <c r="H71" s="90">
        <f t="shared" ca="1" si="0"/>
        <v>9.4318697097982991</v>
      </c>
      <c r="I71" s="90">
        <f t="shared" ca="1" si="0"/>
        <v>9.9329893259053517</v>
      </c>
      <c r="J71" s="90">
        <f t="shared" ca="1" si="0"/>
        <v>10.460473829673948</v>
      </c>
      <c r="K71" s="90">
        <f t="shared" ca="1" si="0"/>
        <v>11.01242309777642</v>
      </c>
      <c r="L71" s="90">
        <f t="shared" ca="1" si="0"/>
        <v>11.58465613605517</v>
      </c>
      <c r="M71" s="90">
        <f t="shared" ca="1" si="0"/>
        <v>12.176935142667459</v>
      </c>
      <c r="N71" s="90">
        <f t="shared" ca="1" si="0"/>
        <v>12.791797091782762</v>
      </c>
      <c r="O71" s="90">
        <f t="shared" ca="1" si="0"/>
        <v>13.431147370412633</v>
      </c>
      <c r="P71" s="90">
        <f t="shared" ca="1" si="0"/>
        <v>14.101294532398612</v>
      </c>
      <c r="Q71" s="90">
        <f t="shared" ca="1" si="0"/>
        <v>14.806030666074676</v>
      </c>
      <c r="R71" s="90">
        <f t="shared" ca="1" si="0"/>
        <v>15.547755933847926</v>
      </c>
      <c r="S71" s="90">
        <f t="shared" ca="1" si="0"/>
        <v>16.329137862735617</v>
      </c>
      <c r="T71" s="90">
        <f t="shared" ca="1" si="0"/>
        <v>17.148613343401536</v>
      </c>
      <c r="U71" s="90">
        <f t="shared" ca="1" si="0"/>
        <v>18.008673739701628</v>
      </c>
      <c r="V71" s="90">
        <f t="shared" ca="1" si="0"/>
        <v>18.910359226684385</v>
      </c>
      <c r="W71" s="90">
        <f t="shared" ca="1" si="0"/>
        <v>19.855207300741153</v>
      </c>
      <c r="X71" s="90">
        <f t="shared" ca="1" si="0"/>
        <v>20.845278659044062</v>
      </c>
      <c r="Y71" s="90">
        <f t="shared" ca="1" si="0"/>
        <v>21.882691530387731</v>
      </c>
      <c r="Z71" s="90">
        <f t="shared" ca="1" si="0"/>
        <v>22.970405012822198</v>
      </c>
      <c r="AA71" s="90">
        <f t="shared" ca="1" si="0"/>
        <v>24.111169669552751</v>
      </c>
      <c r="AB71" s="90">
        <f t="shared" ca="1" si="0"/>
        <v>25.307751506572274</v>
      </c>
      <c r="AC71" s="90">
        <f t="shared" ca="1" si="0"/>
        <v>26.56291720956072</v>
      </c>
      <c r="AD71" s="90">
        <f t="shared" ca="1" si="0"/>
        <v>27.879460905365914</v>
      </c>
      <c r="AE71" s="90">
        <f t="shared" ca="1" si="0"/>
        <v>29.260263470786754</v>
      </c>
      <c r="AF71" s="90">
        <f t="shared" ca="1" si="0"/>
        <v>30.708346031531168</v>
      </c>
      <c r="AG71" s="90">
        <f t="shared" ca="1" si="0"/>
        <v>32.226910369884514</v>
      </c>
      <c r="AH71" s="90">
        <f t="shared" ca="1" si="0"/>
        <v>33.819360996908678</v>
      </c>
      <c r="AI71" s="90">
        <f t="shared" ca="1" si="0"/>
        <v>35.489307110375222</v>
      </c>
      <c r="AJ71" s="90">
        <f t="shared" ca="1" si="0"/>
        <v>37.240555971343781</v>
      </c>
      <c r="AK71" s="90">
        <f t="shared" ca="1" si="0"/>
        <v>39.077108501935967</v>
      </c>
      <c r="AL71" s="90">
        <f t="shared" ca="1" si="0"/>
        <v>41.003143436153252</v>
      </c>
      <c r="AM71" s="90"/>
      <c r="AN71" s="90"/>
    </row>
    <row r="72" spans="2:60" x14ac:dyDescent="0.3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</row>
    <row r="73" spans="2:60" x14ac:dyDescent="0.35">
      <c r="B73" s="8"/>
      <c r="C73" s="135" t="s">
        <v>15</v>
      </c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5"/>
      <c r="AT73" s="135"/>
      <c r="AU73" s="135"/>
      <c r="AV73" s="135"/>
      <c r="AW73" s="135"/>
      <c r="AX73" s="135"/>
      <c r="AY73" s="135"/>
      <c r="AZ73" s="135"/>
      <c r="BA73" s="135"/>
      <c r="BB73" s="135"/>
      <c r="BC73" s="135"/>
      <c r="BD73" s="135"/>
      <c r="BE73" s="135"/>
      <c r="BF73" s="135"/>
      <c r="BG73" s="135"/>
      <c r="BH73" s="8"/>
    </row>
    <row r="74" spans="2:60" x14ac:dyDescent="0.3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</row>
    <row r="75" spans="2:60" x14ac:dyDescent="0.35">
      <c r="B75" s="8"/>
      <c r="C75" s="23" t="s">
        <v>69</v>
      </c>
      <c r="D75" s="24"/>
      <c r="E75" s="26">
        <f t="array" ref="E75:AN75">_yS</f>
        <v>2024</v>
      </c>
      <c r="F75" s="26">
        <v>2025</v>
      </c>
      <c r="G75" s="26">
        <v>2026</v>
      </c>
      <c r="H75" s="26">
        <v>2027</v>
      </c>
      <c r="I75" s="26">
        <v>2028</v>
      </c>
      <c r="J75" s="26">
        <v>2029</v>
      </c>
      <c r="K75" s="26">
        <v>2030</v>
      </c>
      <c r="L75" s="26">
        <v>2031</v>
      </c>
      <c r="M75" s="26">
        <v>2032</v>
      </c>
      <c r="N75" s="26">
        <v>2033</v>
      </c>
      <c r="O75" s="26">
        <v>2034</v>
      </c>
      <c r="P75" s="26">
        <v>2035</v>
      </c>
      <c r="Q75" s="26">
        <v>2036</v>
      </c>
      <c r="R75" s="26">
        <v>2037</v>
      </c>
      <c r="S75" s="26">
        <v>2038</v>
      </c>
      <c r="T75" s="26">
        <v>2039</v>
      </c>
      <c r="U75" s="26">
        <v>2040</v>
      </c>
      <c r="V75" s="26">
        <v>2041</v>
      </c>
      <c r="W75" s="26">
        <v>2042</v>
      </c>
      <c r="X75" s="26">
        <v>2043</v>
      </c>
      <c r="Y75" s="26">
        <v>2044</v>
      </c>
      <c r="Z75" s="26">
        <v>2045</v>
      </c>
      <c r="AA75" s="26">
        <v>2046</v>
      </c>
      <c r="AB75" s="26">
        <v>2047</v>
      </c>
      <c r="AC75" s="26">
        <v>2048</v>
      </c>
      <c r="AD75" s="26">
        <v>2049</v>
      </c>
      <c r="AE75" s="26">
        <v>2050</v>
      </c>
      <c r="AF75" s="26">
        <v>2051</v>
      </c>
      <c r="AG75" s="26">
        <v>2052</v>
      </c>
      <c r="AH75" s="26">
        <v>2053</v>
      </c>
      <c r="AI75" s="26">
        <v>2054</v>
      </c>
      <c r="AJ75" s="26">
        <v>2055</v>
      </c>
      <c r="AK75" s="26">
        <v>2056</v>
      </c>
      <c r="AL75" s="26">
        <v>2057</v>
      </c>
      <c r="AM75" s="26">
        <v>2058</v>
      </c>
      <c r="AN75" s="27">
        <v>2059</v>
      </c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</row>
    <row r="76" spans="2:60" x14ac:dyDescent="0.35">
      <c r="B76" s="8"/>
      <c r="C76" s="28" t="s">
        <v>65</v>
      </c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51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</row>
    <row r="77" spans="2:60" x14ac:dyDescent="0.35">
      <c r="B77" s="8"/>
      <c r="C77" s="47" t="str">
        <f>"Total Shipments [" &amp; sSScen &amp; "]"</f>
        <v>Total Shipments [AEO Reference]</v>
      </c>
      <c r="D77" s="11" t="str">
        <f>shpUnit</f>
        <v>mi units</v>
      </c>
      <c r="E77" s="40">
        <f t="array" aca="1" ref="E77:AN77" ca="1">tShpsmlBC_Com+tShpmedBC_Com+tShplrgBC_Com</f>
        <v>3.2850939136429989</v>
      </c>
      <c r="F77" s="40">
        <f ca="1"/>
        <v>3.4393717736033169</v>
      </c>
      <c r="G77" s="40">
        <f ca="1"/>
        <v>3.6049164945080383</v>
      </c>
      <c r="H77" s="40">
        <f ca="1"/>
        <v>3.7881232473647444</v>
      </c>
      <c r="I77" s="40">
        <f ca="1"/>
        <v>3.986837074654233</v>
      </c>
      <c r="J77" s="40">
        <f ca="1"/>
        <v>4.1978236693715045</v>
      </c>
      <c r="K77" s="40">
        <f ca="1"/>
        <v>4.4185590608877039</v>
      </c>
      <c r="L77" s="40">
        <f ca="1"/>
        <v>4.6473616343083837</v>
      </c>
      <c r="M77" s="40">
        <f ca="1"/>
        <v>4.8841325816991628</v>
      </c>
      <c r="N77" s="40">
        <f ca="1"/>
        <v>5.129885962947176</v>
      </c>
      <c r="O77" s="40">
        <f ca="1"/>
        <v>5.3861711438231188</v>
      </c>
      <c r="P77" s="40">
        <f ca="1"/>
        <v>5.6547966982751277</v>
      </c>
      <c r="Q77" s="40">
        <f ca="1"/>
        <v>5.937282586947771</v>
      </c>
      <c r="R77" s="40">
        <f ca="1"/>
        <v>6.2345904961744987</v>
      </c>
      <c r="S77" s="40">
        <f ca="1"/>
        <v>6.5477892515793537</v>
      </c>
      <c r="T77" s="40">
        <f ca="1"/>
        <v>6.8762512132799349</v>
      </c>
      <c r="U77" s="40">
        <f ca="1"/>
        <v>7.2209745298579477</v>
      </c>
      <c r="V77" s="40">
        <f ca="1"/>
        <v>7.5823754081261701</v>
      </c>
      <c r="W77" s="40">
        <f ca="1"/>
        <v>7.9610694370004804</v>
      </c>
      <c r="X77" s="40">
        <f ca="1"/>
        <v>8.3578819431093088</v>
      </c>
      <c r="Y77" s="40">
        <f ca="1"/>
        <v>8.7737649494511167</v>
      </c>
      <c r="Z77" s="40">
        <f ca="1"/>
        <v>9.2098097970863648</v>
      </c>
      <c r="AA77" s="40">
        <f ca="1"/>
        <v>9.6671188674501156</v>
      </c>
      <c r="AB77" s="40">
        <f ca="1"/>
        <v>10.146800701708617</v>
      </c>
      <c r="AC77" s="40">
        <f ca="1"/>
        <v>10.64996408191751</v>
      </c>
      <c r="AD77" s="40">
        <f ca="1"/>
        <v>11.177728760814505</v>
      </c>
      <c r="AE77" s="40">
        <f ca="1"/>
        <v>11.731249240070269</v>
      </c>
      <c r="AF77" s="40">
        <f ca="1"/>
        <v>12.311736218045736</v>
      </c>
      <c r="AG77" s="40">
        <f ca="1"/>
        <v>12.920472787932468</v>
      </c>
      <c r="AH77" s="40">
        <f ca="1"/>
        <v>13.558823284114387</v>
      </c>
      <c r="AI77" s="40">
        <f ca="1"/>
        <v>14.228234064035462</v>
      </c>
      <c r="AJ77" s="40">
        <f ca="1"/>
        <v>14.930230849698823</v>
      </c>
      <c r="AK77" s="40">
        <f ca="1"/>
        <v>15.66641695981437</v>
      </c>
      <c r="AL77" s="40">
        <f ca="1"/>
        <v>16.438466952914553</v>
      </c>
      <c r="AM77" s="40">
        <f ca="1"/>
        <v>0</v>
      </c>
      <c r="AN77" s="41">
        <f ca="1"/>
        <v>0</v>
      </c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</row>
    <row r="78" spans="2:60" x14ac:dyDescent="0.35">
      <c r="B78" s="8"/>
      <c r="C78" s="47" t="s">
        <v>61</v>
      </c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1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</row>
    <row r="79" spans="2:60" x14ac:dyDescent="0.35">
      <c r="B79" s="8"/>
      <c r="C79" s="20" t="str">
        <f>INDEX(_pcName,1)</f>
        <v>CADR 10-99</v>
      </c>
      <c r="D79" s="11" t="str">
        <f>shpUnit</f>
        <v>mi units</v>
      </c>
      <c r="E79" s="40">
        <f t="array" aca="1" ref="E79:AN79" ca="1">INDEX(tShpScensmlBC_Com,iSScen,)</f>
        <v>0.85412441754717972</v>
      </c>
      <c r="F79" s="40">
        <f ca="1"/>
        <v>0.8942366611368624</v>
      </c>
      <c r="G79" s="40">
        <f ca="1"/>
        <v>0.93727828857208995</v>
      </c>
      <c r="H79" s="40">
        <f ca="1"/>
        <v>0.98491204431483359</v>
      </c>
      <c r="I79" s="40">
        <f ca="1"/>
        <v>1.0365776394101005</v>
      </c>
      <c r="J79" s="40">
        <f ca="1"/>
        <v>1.0914341540365913</v>
      </c>
      <c r="K79" s="40">
        <f ca="1"/>
        <v>1.1488253558308028</v>
      </c>
      <c r="L79" s="40">
        <f ca="1"/>
        <v>1.2083140249201798</v>
      </c>
      <c r="M79" s="40">
        <f ca="1"/>
        <v>1.2698744712417824</v>
      </c>
      <c r="N79" s="40">
        <f ca="1"/>
        <v>1.3337703503662657</v>
      </c>
      <c r="O79" s="40">
        <f ca="1"/>
        <v>1.4004044973940108</v>
      </c>
      <c r="P79" s="40">
        <f ca="1"/>
        <v>1.4702471415515332</v>
      </c>
      <c r="Q79" s="40">
        <f ca="1"/>
        <v>1.5436934726064204</v>
      </c>
      <c r="R79" s="40">
        <f ca="1"/>
        <v>1.6209935290053696</v>
      </c>
      <c r="S79" s="40">
        <f ca="1"/>
        <v>1.7024252054106321</v>
      </c>
      <c r="T79" s="40">
        <f ca="1"/>
        <v>1.7878253154527832</v>
      </c>
      <c r="U79" s="40">
        <f ca="1"/>
        <v>1.8774533777630664</v>
      </c>
      <c r="V79" s="40">
        <f ca="1"/>
        <v>1.9714176061128044</v>
      </c>
      <c r="W79" s="40">
        <f ca="1"/>
        <v>2.0698780536201249</v>
      </c>
      <c r="X79" s="40">
        <f ca="1"/>
        <v>2.1730493052084205</v>
      </c>
      <c r="Y79" s="40">
        <f ca="1"/>
        <v>2.2811788868572904</v>
      </c>
      <c r="Z79" s="40">
        <f ca="1"/>
        <v>2.3945505472424551</v>
      </c>
      <c r="AA79" s="40">
        <f ca="1"/>
        <v>2.51345090553703</v>
      </c>
      <c r="AB79" s="40">
        <f ca="1"/>
        <v>2.6381681824442405</v>
      </c>
      <c r="AC79" s="40">
        <f ca="1"/>
        <v>2.7689906612985529</v>
      </c>
      <c r="AD79" s="40">
        <f ca="1"/>
        <v>2.9062094778117715</v>
      </c>
      <c r="AE79" s="40">
        <f ca="1"/>
        <v>3.0501248024182699</v>
      </c>
      <c r="AF79" s="40">
        <f ca="1"/>
        <v>3.2010514166918913</v>
      </c>
      <c r="AG79" s="40">
        <f ca="1"/>
        <v>3.3593229248624414</v>
      </c>
      <c r="AH79" s="40">
        <f ca="1"/>
        <v>3.5252940538697408</v>
      </c>
      <c r="AI79" s="40">
        <f ca="1"/>
        <v>3.6993408566492207</v>
      </c>
      <c r="AJ79" s="40">
        <f ca="1"/>
        <v>3.8818600209216938</v>
      </c>
      <c r="AK79" s="40">
        <f ca="1"/>
        <v>4.0732684095517362</v>
      </c>
      <c r="AL79" s="40">
        <f ca="1"/>
        <v>4.2740014077577841</v>
      </c>
      <c r="AM79" s="40">
        <f ca="1"/>
        <v>0</v>
      </c>
      <c r="AN79" s="41">
        <f ca="1"/>
        <v>0</v>
      </c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</row>
    <row r="80" spans="2:60" x14ac:dyDescent="0.35">
      <c r="B80" s="8"/>
      <c r="C80" s="50" t="str">
        <f>INDEX(_SScen,1)</f>
        <v>AEO Reference</v>
      </c>
      <c r="D80" s="11" t="str">
        <f>Shipments!shpUnit</f>
        <v>mi units</v>
      </c>
      <c r="E80" s="40">
        <v>0.85412441754717972</v>
      </c>
      <c r="F80" s="40">
        <v>0.8942366611368624</v>
      </c>
      <c r="G80" s="40">
        <v>0.93727828857208995</v>
      </c>
      <c r="H80" s="40">
        <v>0.98491204431483359</v>
      </c>
      <c r="I80" s="40">
        <v>1.0365776394101005</v>
      </c>
      <c r="J80" s="40">
        <v>1.0914341540365913</v>
      </c>
      <c r="K80" s="40">
        <v>1.1488253558308028</v>
      </c>
      <c r="L80" s="40">
        <v>1.2083140249201798</v>
      </c>
      <c r="M80" s="40">
        <v>1.2698744712417824</v>
      </c>
      <c r="N80" s="40">
        <v>1.3337703503662657</v>
      </c>
      <c r="O80" s="40">
        <v>1.4004044973940108</v>
      </c>
      <c r="P80" s="40">
        <v>1.4702471415515332</v>
      </c>
      <c r="Q80" s="40">
        <v>1.5436934726064204</v>
      </c>
      <c r="R80" s="40">
        <v>1.6209935290053696</v>
      </c>
      <c r="S80" s="40">
        <v>1.7024252054106321</v>
      </c>
      <c r="T80" s="40">
        <v>1.7878253154527832</v>
      </c>
      <c r="U80" s="40">
        <v>1.8774533777630664</v>
      </c>
      <c r="V80" s="40">
        <v>1.9714176061128044</v>
      </c>
      <c r="W80" s="40">
        <v>2.0698780536201249</v>
      </c>
      <c r="X80" s="40">
        <v>2.1730493052084205</v>
      </c>
      <c r="Y80" s="40">
        <v>2.2811788868572904</v>
      </c>
      <c r="Z80" s="40">
        <v>2.3945505472424551</v>
      </c>
      <c r="AA80" s="40">
        <v>2.51345090553703</v>
      </c>
      <c r="AB80" s="40">
        <v>2.6381681824442405</v>
      </c>
      <c r="AC80" s="40">
        <v>2.7689906612985529</v>
      </c>
      <c r="AD80" s="40">
        <v>2.9062094778117715</v>
      </c>
      <c r="AE80" s="40">
        <v>3.0501248024182699</v>
      </c>
      <c r="AF80" s="40">
        <v>3.2010514166918913</v>
      </c>
      <c r="AG80" s="40">
        <v>3.3593229248624414</v>
      </c>
      <c r="AH80" s="40">
        <v>3.5252940538697408</v>
      </c>
      <c r="AI80" s="40">
        <v>3.6993408566492207</v>
      </c>
      <c r="AJ80" s="40">
        <v>3.8818600209216938</v>
      </c>
      <c r="AK80" s="40">
        <v>4.0732684095517362</v>
      </c>
      <c r="AL80" s="40">
        <v>4.2740014077577841</v>
      </c>
      <c r="AM80" s="40"/>
      <c r="AN80" s="41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</row>
    <row r="81" spans="2:60" x14ac:dyDescent="0.35">
      <c r="B81" s="8"/>
      <c r="C81" s="50" t="str">
        <f>INDEX(_SScen,2)</f>
        <v>AEO Low</v>
      </c>
      <c r="D81" s="11" t="str">
        <f>Shipments!shpUnit</f>
        <v>mi units</v>
      </c>
      <c r="E81" s="40">
        <v>0.85019637442688656</v>
      </c>
      <c r="F81" s="40">
        <v>0.8884700793609045</v>
      </c>
      <c r="G81" s="40">
        <v>0.92947885574333167</v>
      </c>
      <c r="H81" s="40">
        <v>0.97446062691862056</v>
      </c>
      <c r="I81" s="40">
        <v>1.023076233468772</v>
      </c>
      <c r="J81" s="40">
        <v>1.0744462811234257</v>
      </c>
      <c r="K81" s="40">
        <v>1.127803898243676</v>
      </c>
      <c r="L81" s="40">
        <v>1.1825837907719654</v>
      </c>
      <c r="M81" s="40">
        <v>1.2387201925846616</v>
      </c>
      <c r="N81" s="40">
        <v>1.2965474316768617</v>
      </c>
      <c r="O81" s="40">
        <v>1.3563873692483062</v>
      </c>
      <c r="P81" s="40">
        <v>1.4184533756645981</v>
      </c>
      <c r="Q81" s="40">
        <v>1.4830514803852575</v>
      </c>
      <c r="R81" s="40">
        <v>1.5504239380620357</v>
      </c>
      <c r="S81" s="40">
        <v>1.6208165106052894</v>
      </c>
      <c r="T81" s="40">
        <v>1.6940835746655742</v>
      </c>
      <c r="U81" s="40">
        <v>1.770489926002623</v>
      </c>
      <c r="V81" s="40">
        <v>1.8500136095979001</v>
      </c>
      <c r="W81" s="40">
        <v>1.9326725373492817</v>
      </c>
      <c r="X81" s="40">
        <v>2.0185221776502176</v>
      </c>
      <c r="Y81" s="40">
        <v>2.1077347305700824</v>
      </c>
      <c r="Z81" s="40">
        <v>2.2005335750222303</v>
      </c>
      <c r="AA81" s="40">
        <v>2.2971325310929553</v>
      </c>
      <c r="AB81" s="40">
        <v>2.3978614589362124</v>
      </c>
      <c r="AC81" s="40">
        <v>2.5029460547314093</v>
      </c>
      <c r="AD81" s="40">
        <v>2.6123768989067981</v>
      </c>
      <c r="AE81" s="40">
        <v>2.7261583243309073</v>
      </c>
      <c r="AF81" s="40">
        <v>2.84432107578075</v>
      </c>
      <c r="AG81" s="40">
        <v>2.967168587386773</v>
      </c>
      <c r="AH81" s="40">
        <v>3.0948653880272943</v>
      </c>
      <c r="AI81" s="40">
        <v>3.2275930229856171</v>
      </c>
      <c r="AJ81" s="40">
        <v>3.3655484279517962</v>
      </c>
      <c r="AK81" s="40">
        <v>3.5089404753972038</v>
      </c>
      <c r="AL81" s="40">
        <v>3.6579858633811573</v>
      </c>
      <c r="AM81" s="40"/>
      <c r="AN81" s="41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</row>
    <row r="82" spans="2:60" x14ac:dyDescent="0.35">
      <c r="B82" s="8"/>
      <c r="C82" s="50" t="str">
        <f>INDEX(_SScen,3)</f>
        <v>AEO High</v>
      </c>
      <c r="D82" s="11" t="str">
        <f>Shipments!shpUnit</f>
        <v>mi units</v>
      </c>
      <c r="E82" s="40">
        <v>0.85838776403322026</v>
      </c>
      <c r="F82" s="40">
        <v>0.90066336732397811</v>
      </c>
      <c r="G82" s="40">
        <v>0.9462171372756184</v>
      </c>
      <c r="H82" s="40">
        <v>0.99673436415226779</v>
      </c>
      <c r="I82" s="40">
        <v>1.0517234566862974</v>
      </c>
      <c r="J82" s="40">
        <v>1.1105347335098272</v>
      </c>
      <c r="K82" s="40">
        <v>1.17263140623063</v>
      </c>
      <c r="L82" s="40">
        <v>1.237562145552225</v>
      </c>
      <c r="M82" s="40">
        <v>1.3053427556472645</v>
      </c>
      <c r="N82" s="40">
        <v>1.3762238107266596</v>
      </c>
      <c r="O82" s="40">
        <v>1.4507575536320905</v>
      </c>
      <c r="P82" s="40">
        <v>1.5295047788323737</v>
      </c>
      <c r="Q82" s="40">
        <v>1.6130164357414507</v>
      </c>
      <c r="R82" s="40">
        <v>1.7016978742485269</v>
      </c>
      <c r="S82" s="40">
        <v>1.7959667613221493</v>
      </c>
      <c r="T82" s="40">
        <v>1.8958867818327376</v>
      </c>
      <c r="U82" s="40">
        <v>2.001774739533134</v>
      </c>
      <c r="V82" s="40">
        <v>2.1137703809306942</v>
      </c>
      <c r="W82" s="40">
        <v>2.2323407283209136</v>
      </c>
      <c r="X82" s="40">
        <v>2.3576790403367736</v>
      </c>
      <c r="Y82" s="40">
        <v>2.4902952741191369</v>
      </c>
      <c r="Z82" s="40">
        <v>2.6308275625394359</v>
      </c>
      <c r="AA82" s="40">
        <v>2.7797123399522685</v>
      </c>
      <c r="AB82" s="40">
        <v>2.9372364726675118</v>
      </c>
      <c r="AC82" s="40">
        <v>3.1043801074330557</v>
      </c>
      <c r="AD82" s="40">
        <v>3.2815517840088022</v>
      </c>
      <c r="AE82" s="40">
        <v>3.4687663362541525</v>
      </c>
      <c r="AF82" s="40">
        <v>3.6673257811280378</v>
      </c>
      <c r="AG82" s="40">
        <v>3.8777037688767204</v>
      </c>
      <c r="AH82" s="40">
        <v>4.1006226823890728</v>
      </c>
      <c r="AI82" s="40">
        <v>4.3368484944166639</v>
      </c>
      <c r="AJ82" s="40">
        <v>4.5871953535455319</v>
      </c>
      <c r="AK82" s="40">
        <v>4.8525272237249792</v>
      </c>
      <c r="AL82" s="40">
        <v>5.1337606985469177</v>
      </c>
      <c r="AM82" s="40"/>
      <c r="AN82" s="41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</row>
    <row r="83" spans="2:60" x14ac:dyDescent="0.35">
      <c r="B83" s="8"/>
      <c r="C83" s="20" t="str">
        <f>INDEX(_pcName,2)</f>
        <v>CADR 100-149</v>
      </c>
      <c r="D83" s="11" t="str">
        <f>shpUnit</f>
        <v>mi units</v>
      </c>
      <c r="E83" s="40">
        <f t="array" aca="1" ref="E83:AN83" ca="1">INDEX(tShpScenmedBC_Com,iSScen,)</f>
        <v>0.78842253927431971</v>
      </c>
      <c r="F83" s="40">
        <f ca="1"/>
        <v>0.82544922566479606</v>
      </c>
      <c r="G83" s="40">
        <f ca="1"/>
        <v>0.86517995868192921</v>
      </c>
      <c r="H83" s="40">
        <f ca="1"/>
        <v>0.90914957936753849</v>
      </c>
      <c r="I83" s="40">
        <f ca="1"/>
        <v>0.95684089791701588</v>
      </c>
      <c r="J83" s="40">
        <f ca="1"/>
        <v>1.007477680649161</v>
      </c>
      <c r="K83" s="40">
        <f ca="1"/>
        <v>1.0604541746130489</v>
      </c>
      <c r="L83" s="40">
        <f ca="1"/>
        <v>1.115366792234012</v>
      </c>
      <c r="M83" s="40">
        <f ca="1"/>
        <v>1.1721918196077992</v>
      </c>
      <c r="N83" s="40">
        <f ca="1"/>
        <v>1.2311726311073221</v>
      </c>
      <c r="O83" s="40">
        <f ca="1"/>
        <v>1.2926810745175485</v>
      </c>
      <c r="P83" s="40">
        <f ca="1"/>
        <v>1.3571512075860306</v>
      </c>
      <c r="Q83" s="40">
        <f ca="1"/>
        <v>1.4249478208674651</v>
      </c>
      <c r="R83" s="40">
        <f ca="1"/>
        <v>1.4963017190818797</v>
      </c>
      <c r="S83" s="40">
        <f ca="1"/>
        <v>1.5714694203790447</v>
      </c>
      <c r="T83" s="40">
        <f ca="1"/>
        <v>1.6503002911871842</v>
      </c>
      <c r="U83" s="40">
        <f ca="1"/>
        <v>1.7330338871659074</v>
      </c>
      <c r="V83" s="40">
        <f ca="1"/>
        <v>1.8197700979502809</v>
      </c>
      <c r="W83" s="40">
        <f ca="1"/>
        <v>1.9106566648801151</v>
      </c>
      <c r="X83" s="40">
        <f ca="1"/>
        <v>2.0058916663462343</v>
      </c>
      <c r="Y83" s="40">
        <f ca="1"/>
        <v>2.1057035878682684</v>
      </c>
      <c r="Z83" s="40">
        <f ca="1"/>
        <v>2.2103543513007278</v>
      </c>
      <c r="AA83" s="40">
        <f ca="1"/>
        <v>2.3201085281880278</v>
      </c>
      <c r="AB83" s="40">
        <f ca="1"/>
        <v>2.4352321684100682</v>
      </c>
      <c r="AC83" s="40">
        <f ca="1"/>
        <v>2.5559913796602025</v>
      </c>
      <c r="AD83" s="40">
        <f ca="1"/>
        <v>2.6826549025954809</v>
      </c>
      <c r="AE83" s="40">
        <f ca="1"/>
        <v>2.8154998176168644</v>
      </c>
      <c r="AF83" s="40">
        <f ca="1"/>
        <v>2.9548166923309767</v>
      </c>
      <c r="AG83" s="40">
        <f ca="1"/>
        <v>3.1009134691037921</v>
      </c>
      <c r="AH83" s="40">
        <f ca="1"/>
        <v>3.2541175881874529</v>
      </c>
      <c r="AI83" s="40">
        <f ca="1"/>
        <v>3.4147761753685106</v>
      </c>
      <c r="AJ83" s="40">
        <f ca="1"/>
        <v>3.5832554039277174</v>
      </c>
      <c r="AK83" s="40">
        <f ca="1"/>
        <v>3.7599400703554489</v>
      </c>
      <c r="AL83" s="40">
        <f ca="1"/>
        <v>3.9452320686994926</v>
      </c>
      <c r="AM83" s="40">
        <f ca="1"/>
        <v>0</v>
      </c>
      <c r="AN83" s="41">
        <f ca="1"/>
        <v>0</v>
      </c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</row>
    <row r="84" spans="2:60" x14ac:dyDescent="0.35">
      <c r="B84" s="8"/>
      <c r="C84" s="50" t="str">
        <f>INDEX(_SScen,1)</f>
        <v>AEO Reference</v>
      </c>
      <c r="D84" s="11" t="str">
        <f>Shipments!shpUnit</f>
        <v>mi units</v>
      </c>
      <c r="E84" s="40">
        <v>0.78842253927431971</v>
      </c>
      <c r="F84" s="40">
        <v>0.82544922566479606</v>
      </c>
      <c r="G84" s="40">
        <v>0.86517995868192921</v>
      </c>
      <c r="H84" s="40">
        <v>0.90914957936753849</v>
      </c>
      <c r="I84" s="40">
        <v>0.95684089791701588</v>
      </c>
      <c r="J84" s="40">
        <v>1.007477680649161</v>
      </c>
      <c r="K84" s="40">
        <v>1.0604541746130489</v>
      </c>
      <c r="L84" s="40">
        <v>1.115366792234012</v>
      </c>
      <c r="M84" s="40">
        <v>1.1721918196077992</v>
      </c>
      <c r="N84" s="40">
        <v>1.2311726311073221</v>
      </c>
      <c r="O84" s="40">
        <v>1.2926810745175485</v>
      </c>
      <c r="P84" s="40">
        <v>1.3571512075860306</v>
      </c>
      <c r="Q84" s="40">
        <v>1.4249478208674651</v>
      </c>
      <c r="R84" s="40">
        <v>1.4963017190818797</v>
      </c>
      <c r="S84" s="40">
        <v>1.5714694203790447</v>
      </c>
      <c r="T84" s="40">
        <v>1.6503002911871842</v>
      </c>
      <c r="U84" s="40">
        <v>1.7330338871659074</v>
      </c>
      <c r="V84" s="40">
        <v>1.8197700979502809</v>
      </c>
      <c r="W84" s="40">
        <v>1.9106566648801151</v>
      </c>
      <c r="X84" s="40">
        <v>2.0058916663462343</v>
      </c>
      <c r="Y84" s="40">
        <v>2.1057035878682684</v>
      </c>
      <c r="Z84" s="40">
        <v>2.2103543513007278</v>
      </c>
      <c r="AA84" s="40">
        <v>2.3201085281880278</v>
      </c>
      <c r="AB84" s="40">
        <v>2.4352321684100682</v>
      </c>
      <c r="AC84" s="40">
        <v>2.5559913796602025</v>
      </c>
      <c r="AD84" s="40">
        <v>2.6826549025954809</v>
      </c>
      <c r="AE84" s="40">
        <v>2.8154998176168644</v>
      </c>
      <c r="AF84" s="40">
        <v>2.9548166923309767</v>
      </c>
      <c r="AG84" s="40">
        <v>3.1009134691037921</v>
      </c>
      <c r="AH84" s="40">
        <v>3.2541175881874529</v>
      </c>
      <c r="AI84" s="40">
        <v>3.4147761753685106</v>
      </c>
      <c r="AJ84" s="40">
        <v>3.5832554039277174</v>
      </c>
      <c r="AK84" s="40">
        <v>3.7599400703554489</v>
      </c>
      <c r="AL84" s="40">
        <v>3.9452320686994926</v>
      </c>
      <c r="AM84" s="40"/>
      <c r="AN84" s="41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</row>
    <row r="85" spans="2:60" x14ac:dyDescent="0.35">
      <c r="B85" s="8"/>
      <c r="C85" s="50" t="str">
        <f>INDEX(_SScen,2)</f>
        <v>AEO Low</v>
      </c>
      <c r="D85" s="11" t="str">
        <f>Shipments!shpUnit</f>
        <v>mi units</v>
      </c>
      <c r="E85" s="40">
        <v>0.784796653317126</v>
      </c>
      <c r="F85" s="40">
        <v>0.82012622710237337</v>
      </c>
      <c r="G85" s="40">
        <v>0.85798048222461376</v>
      </c>
      <c r="H85" s="40">
        <v>0.89950211715564976</v>
      </c>
      <c r="I85" s="40">
        <v>0.9443780616634817</v>
      </c>
      <c r="J85" s="40">
        <v>0.99179656719085452</v>
      </c>
      <c r="K85" s="40">
        <v>1.0410497522249316</v>
      </c>
      <c r="L85" s="40">
        <v>1.0916158068664297</v>
      </c>
      <c r="M85" s="40">
        <v>1.1434340239243028</v>
      </c>
      <c r="N85" s="40">
        <v>1.1968130138555646</v>
      </c>
      <c r="O85" s="40">
        <v>1.2520498793061288</v>
      </c>
      <c r="P85" s="40">
        <v>1.3093415775365518</v>
      </c>
      <c r="Q85" s="40">
        <v>1.3689705972786992</v>
      </c>
      <c r="R85" s="40">
        <v>1.4311605582111098</v>
      </c>
      <c r="S85" s="40">
        <v>1.4961383174818055</v>
      </c>
      <c r="T85" s="40">
        <v>1.5637694535374529</v>
      </c>
      <c r="U85" s="40">
        <v>1.6342983932331903</v>
      </c>
      <c r="V85" s="40">
        <v>1.7077048703980613</v>
      </c>
      <c r="W85" s="40">
        <v>1.7840054190916446</v>
      </c>
      <c r="X85" s="40">
        <v>1.863251240907893</v>
      </c>
      <c r="Y85" s="40">
        <v>1.945601289756999</v>
      </c>
      <c r="Z85" s="40">
        <v>2.0312617615589814</v>
      </c>
      <c r="AA85" s="40">
        <v>2.1204300287011897</v>
      </c>
      <c r="AB85" s="40">
        <v>2.2134105774795807</v>
      </c>
      <c r="AC85" s="40">
        <v>2.3104117428289928</v>
      </c>
      <c r="AD85" s="40">
        <v>2.4114248297601213</v>
      </c>
      <c r="AE85" s="40">
        <v>2.5164538378439141</v>
      </c>
      <c r="AF85" s="40">
        <v>2.6255271468745387</v>
      </c>
      <c r="AG85" s="40">
        <v>2.7389248498954823</v>
      </c>
      <c r="AH85" s="40">
        <v>2.8567988197175018</v>
      </c>
      <c r="AI85" s="40">
        <v>2.9793166366021082</v>
      </c>
      <c r="AJ85" s="40">
        <v>3.1066600873401198</v>
      </c>
      <c r="AK85" s="40">
        <v>3.2390219772897262</v>
      </c>
      <c r="AL85" s="40">
        <v>3.37660233542876</v>
      </c>
      <c r="AM85" s="40"/>
      <c r="AN85" s="41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</row>
    <row r="86" spans="2:60" x14ac:dyDescent="0.35">
      <c r="B86" s="8"/>
      <c r="C86" s="50" t="str">
        <f>INDEX(_SScen,3)</f>
        <v>AEO High</v>
      </c>
      <c r="D86" s="11" t="str">
        <f>Shipments!shpUnit</f>
        <v>mi units</v>
      </c>
      <c r="E86" s="40">
        <v>0.79235793603066484</v>
      </c>
      <c r="F86" s="40">
        <v>0.83138156983751821</v>
      </c>
      <c r="G86" s="40">
        <v>0.87343120363903226</v>
      </c>
      <c r="H86" s="40">
        <v>0.9200624899867087</v>
      </c>
      <c r="I86" s="40">
        <v>0.97082165232581286</v>
      </c>
      <c r="J86" s="40">
        <v>1.0251089847783019</v>
      </c>
      <c r="K86" s="40">
        <v>1.0824289903667355</v>
      </c>
      <c r="L86" s="40">
        <v>1.142365057432823</v>
      </c>
      <c r="M86" s="40">
        <v>1.2049317744436288</v>
      </c>
      <c r="N86" s="40">
        <v>1.2703604406707625</v>
      </c>
      <c r="O86" s="40">
        <v>1.3391608187373145</v>
      </c>
      <c r="P86" s="40">
        <v>1.4118505650760371</v>
      </c>
      <c r="Q86" s="40">
        <v>1.4889382483767237</v>
      </c>
      <c r="R86" s="40">
        <v>1.5707980377678707</v>
      </c>
      <c r="S86" s="40">
        <v>1.6578154719896763</v>
      </c>
      <c r="T86" s="40">
        <v>1.750049337076373</v>
      </c>
      <c r="U86" s="40">
        <v>1.8477920672613541</v>
      </c>
      <c r="V86" s="40">
        <v>1.9511726593206404</v>
      </c>
      <c r="W86" s="40">
        <v>2.0606222107577659</v>
      </c>
      <c r="X86" s="40">
        <v>2.176319114157022</v>
      </c>
      <c r="Y86" s="40">
        <v>2.2987340991868956</v>
      </c>
      <c r="Z86" s="40">
        <v>2.4284562115748636</v>
      </c>
      <c r="AA86" s="40">
        <v>2.5658883138020934</v>
      </c>
      <c r="AB86" s="40">
        <v>2.711295205539241</v>
      </c>
      <c r="AC86" s="40">
        <v>2.865581637630513</v>
      </c>
      <c r="AD86" s="40">
        <v>3.0291247237004328</v>
      </c>
      <c r="AE86" s="40">
        <v>3.2019381565422944</v>
      </c>
      <c r="AF86" s="40">
        <v>3.385223797964342</v>
      </c>
      <c r="AG86" s="40">
        <v>3.5794188635785114</v>
      </c>
      <c r="AH86" s="40">
        <v>3.7851901683591436</v>
      </c>
      <c r="AI86" s="40">
        <v>4.0032447640769204</v>
      </c>
      <c r="AJ86" s="40">
        <v>4.2343341725035684</v>
      </c>
      <c r="AK86" s="40">
        <v>4.479255898823058</v>
      </c>
      <c r="AL86" s="40">
        <v>4.7388560294279234</v>
      </c>
      <c r="AM86" s="40"/>
      <c r="AN86" s="41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</row>
    <row r="87" spans="2:60" x14ac:dyDescent="0.35">
      <c r="B87" s="8"/>
      <c r="C87" s="20" t="str">
        <f>INDEX(_pcName,3)</f>
        <v>CADR 150+</v>
      </c>
      <c r="D87" s="11" t="str">
        <f>shpUnit</f>
        <v>mi units</v>
      </c>
      <c r="E87" s="40">
        <f t="array" aca="1" ref="E87:AN87" ca="1">INDEX(tShpScenlrgBC_Com,iSScen,)</f>
        <v>1.6425469568214994</v>
      </c>
      <c r="F87" s="40">
        <f ca="1"/>
        <v>1.7196858868016585</v>
      </c>
      <c r="G87" s="40">
        <f ca="1"/>
        <v>1.8024582472540192</v>
      </c>
      <c r="H87" s="40">
        <f ca="1"/>
        <v>1.8940616236823722</v>
      </c>
      <c r="I87" s="40">
        <f ca="1"/>
        <v>1.9934185373271167</v>
      </c>
      <c r="J87" s="40">
        <f ca="1"/>
        <v>2.0989118346857523</v>
      </c>
      <c r="K87" s="40">
        <f ca="1"/>
        <v>2.2092795304438519</v>
      </c>
      <c r="L87" s="40">
        <f ca="1"/>
        <v>2.3236808171541918</v>
      </c>
      <c r="M87" s="40">
        <f ca="1"/>
        <v>2.4420662908495814</v>
      </c>
      <c r="N87" s="40">
        <f ca="1"/>
        <v>2.5649429814735876</v>
      </c>
      <c r="O87" s="40">
        <f ca="1"/>
        <v>2.6930855719115594</v>
      </c>
      <c r="P87" s="40">
        <f ca="1"/>
        <v>2.8273983491375638</v>
      </c>
      <c r="Q87" s="40">
        <f ca="1"/>
        <v>2.9686412934738855</v>
      </c>
      <c r="R87" s="40">
        <f ca="1"/>
        <v>3.1172952480872493</v>
      </c>
      <c r="S87" s="40">
        <f ca="1"/>
        <v>3.2738946257896768</v>
      </c>
      <c r="T87" s="40">
        <f ca="1"/>
        <v>3.4381256066399675</v>
      </c>
      <c r="U87" s="40">
        <f ca="1"/>
        <v>3.6104872649289739</v>
      </c>
      <c r="V87" s="40">
        <f ca="1"/>
        <v>3.791187704063085</v>
      </c>
      <c r="W87" s="40">
        <f ca="1"/>
        <v>3.9805347185002402</v>
      </c>
      <c r="X87" s="40">
        <f ca="1"/>
        <v>4.1789409715546553</v>
      </c>
      <c r="Y87" s="40">
        <f ca="1"/>
        <v>4.3868824747255584</v>
      </c>
      <c r="Z87" s="40">
        <f ca="1"/>
        <v>4.6049048985431824</v>
      </c>
      <c r="AA87" s="40">
        <f ca="1"/>
        <v>4.8335594337250578</v>
      </c>
      <c r="AB87" s="40">
        <f ca="1"/>
        <v>5.0734003508543086</v>
      </c>
      <c r="AC87" s="40">
        <f ca="1"/>
        <v>5.3249820409587558</v>
      </c>
      <c r="AD87" s="40">
        <f ca="1"/>
        <v>5.5888643804072524</v>
      </c>
      <c r="AE87" s="40">
        <f ca="1"/>
        <v>5.8656246200351339</v>
      </c>
      <c r="AF87" s="40">
        <f ca="1"/>
        <v>6.155868109022868</v>
      </c>
      <c r="AG87" s="40">
        <f ca="1"/>
        <v>6.4602363939662339</v>
      </c>
      <c r="AH87" s="40">
        <f ca="1"/>
        <v>6.7794116420571937</v>
      </c>
      <c r="AI87" s="40">
        <f ca="1"/>
        <v>7.1141170320177318</v>
      </c>
      <c r="AJ87" s="40">
        <f ca="1"/>
        <v>7.4651154248494116</v>
      </c>
      <c r="AK87" s="40">
        <f ca="1"/>
        <v>7.8332084799071851</v>
      </c>
      <c r="AL87" s="40">
        <f ca="1"/>
        <v>8.2192334764572763</v>
      </c>
      <c r="AM87" s="40">
        <f ca="1"/>
        <v>0</v>
      </c>
      <c r="AN87" s="41">
        <f ca="1"/>
        <v>0</v>
      </c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</row>
    <row r="88" spans="2:60" x14ac:dyDescent="0.35">
      <c r="B88" s="8"/>
      <c r="C88" s="50" t="str">
        <f>INDEX(_SScen,1)</f>
        <v>AEO Reference</v>
      </c>
      <c r="D88" s="11" t="str">
        <f>Shipments!shpUnit</f>
        <v>mi units</v>
      </c>
      <c r="E88" s="40">
        <v>1.6425469568214994</v>
      </c>
      <c r="F88" s="40">
        <v>1.7196858868016585</v>
      </c>
      <c r="G88" s="40">
        <v>1.8024582472540192</v>
      </c>
      <c r="H88" s="40">
        <v>1.8940616236823722</v>
      </c>
      <c r="I88" s="40">
        <v>1.9934185373271167</v>
      </c>
      <c r="J88" s="40">
        <v>2.0989118346857523</v>
      </c>
      <c r="K88" s="40">
        <v>2.2092795304438519</v>
      </c>
      <c r="L88" s="40">
        <v>2.3236808171541918</v>
      </c>
      <c r="M88" s="40">
        <v>2.4420662908495814</v>
      </c>
      <c r="N88" s="40">
        <v>2.5649429814735876</v>
      </c>
      <c r="O88" s="40">
        <v>2.6930855719115594</v>
      </c>
      <c r="P88" s="40">
        <v>2.8273983491375638</v>
      </c>
      <c r="Q88" s="40">
        <v>2.9686412934738855</v>
      </c>
      <c r="R88" s="40">
        <v>3.1172952480872493</v>
      </c>
      <c r="S88" s="40">
        <v>3.2738946257896768</v>
      </c>
      <c r="T88" s="40">
        <v>3.4381256066399675</v>
      </c>
      <c r="U88" s="40">
        <v>3.6104872649289739</v>
      </c>
      <c r="V88" s="40">
        <v>3.791187704063085</v>
      </c>
      <c r="W88" s="40">
        <v>3.9805347185002402</v>
      </c>
      <c r="X88" s="40">
        <v>4.1789409715546553</v>
      </c>
      <c r="Y88" s="40">
        <v>4.3868824747255584</v>
      </c>
      <c r="Z88" s="40">
        <v>4.6049048985431824</v>
      </c>
      <c r="AA88" s="40">
        <v>4.8335594337250578</v>
      </c>
      <c r="AB88" s="40">
        <v>5.0734003508543086</v>
      </c>
      <c r="AC88" s="40">
        <v>5.3249820409587558</v>
      </c>
      <c r="AD88" s="40">
        <v>5.5888643804072524</v>
      </c>
      <c r="AE88" s="40">
        <v>5.8656246200351339</v>
      </c>
      <c r="AF88" s="40">
        <v>6.155868109022868</v>
      </c>
      <c r="AG88" s="40">
        <v>6.4602363939662339</v>
      </c>
      <c r="AH88" s="40">
        <v>6.7794116420571937</v>
      </c>
      <c r="AI88" s="40">
        <v>7.1141170320177318</v>
      </c>
      <c r="AJ88" s="40">
        <v>7.4651154248494116</v>
      </c>
      <c r="AK88" s="40">
        <v>7.8332084799071851</v>
      </c>
      <c r="AL88" s="40">
        <v>8.2192334764572763</v>
      </c>
      <c r="AM88" s="40"/>
      <c r="AN88" s="41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</row>
    <row r="89" spans="2:60" x14ac:dyDescent="0.35">
      <c r="B89" s="8"/>
      <c r="C89" s="50" t="str">
        <f>INDEX(_SScen,2)</f>
        <v>AEO Low</v>
      </c>
      <c r="D89" s="11" t="str">
        <f>Shipments!shpUnit</f>
        <v>mi units</v>
      </c>
      <c r="E89" s="40">
        <v>1.6349930277440126</v>
      </c>
      <c r="F89" s="40">
        <v>1.7085963064632779</v>
      </c>
      <c r="G89" s="40">
        <v>1.7874593379679455</v>
      </c>
      <c r="H89" s="40">
        <v>1.8739627440742703</v>
      </c>
      <c r="I89" s="40">
        <v>1.9674542951322538</v>
      </c>
      <c r="J89" s="40">
        <v>2.0662428483142805</v>
      </c>
      <c r="K89" s="40">
        <v>2.1688536504686078</v>
      </c>
      <c r="L89" s="40">
        <v>2.2741995976383951</v>
      </c>
      <c r="M89" s="40">
        <v>2.3821542165089644</v>
      </c>
      <c r="N89" s="40">
        <v>2.4933604455324261</v>
      </c>
      <c r="O89" s="40">
        <v>2.6084372485544352</v>
      </c>
      <c r="P89" s="40">
        <v>2.7277949532011498</v>
      </c>
      <c r="Q89" s="40">
        <v>2.8520220776639569</v>
      </c>
      <c r="R89" s="40">
        <v>2.9815844962731455</v>
      </c>
      <c r="S89" s="40">
        <v>3.1169548280870951</v>
      </c>
      <c r="T89" s="40">
        <v>3.2578530282030269</v>
      </c>
      <c r="U89" s="40">
        <v>3.4047883192358133</v>
      </c>
      <c r="V89" s="40">
        <v>3.5577184799959616</v>
      </c>
      <c r="W89" s="40">
        <v>3.7166779564409262</v>
      </c>
      <c r="X89" s="40">
        <v>3.8817734185581103</v>
      </c>
      <c r="Y89" s="40">
        <v>4.0533360203270812</v>
      </c>
      <c r="Z89" s="40">
        <v>4.2317953365812118</v>
      </c>
      <c r="AA89" s="40">
        <v>4.4175625597941455</v>
      </c>
      <c r="AB89" s="40">
        <v>4.6112720364157926</v>
      </c>
      <c r="AC89" s="40">
        <v>4.8133577975604025</v>
      </c>
      <c r="AD89" s="40">
        <v>5.0238017286669194</v>
      </c>
      <c r="AE89" s="40">
        <v>5.2426121621748214</v>
      </c>
      <c r="AF89" s="40">
        <v>5.4698482226552887</v>
      </c>
      <c r="AG89" s="40">
        <v>5.7060934372822558</v>
      </c>
      <c r="AH89" s="40">
        <v>5.9516642077447957</v>
      </c>
      <c r="AI89" s="40">
        <v>6.2069096595877253</v>
      </c>
      <c r="AJ89" s="40">
        <v>6.472208515291916</v>
      </c>
      <c r="AK89" s="40">
        <v>6.74796245268693</v>
      </c>
      <c r="AL89" s="40">
        <v>7.0345881988099173</v>
      </c>
      <c r="AM89" s="40"/>
      <c r="AN89" s="41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</row>
    <row r="90" spans="2:60" x14ac:dyDescent="0.35">
      <c r="B90" s="8"/>
      <c r="C90" s="50" t="str">
        <f>INDEX(_SScen,3)</f>
        <v>AEO High</v>
      </c>
      <c r="D90" s="11" t="str">
        <f>Shipments!shpUnit</f>
        <v>mi units</v>
      </c>
      <c r="E90" s="40">
        <v>1.6507457000638852</v>
      </c>
      <c r="F90" s="40">
        <v>1.7320449371614963</v>
      </c>
      <c r="G90" s="40">
        <v>1.8196483409146507</v>
      </c>
      <c r="H90" s="40">
        <v>1.9167968541389764</v>
      </c>
      <c r="I90" s="40">
        <v>2.02254510901211</v>
      </c>
      <c r="J90" s="40">
        <v>2.1356437182881289</v>
      </c>
      <c r="K90" s="40">
        <v>2.2550603965973655</v>
      </c>
      <c r="L90" s="40">
        <v>2.3799272029850482</v>
      </c>
      <c r="M90" s="40">
        <v>2.5102745300908933</v>
      </c>
      <c r="N90" s="40">
        <v>2.6465842513974223</v>
      </c>
      <c r="O90" s="40">
        <v>2.7899183723694052</v>
      </c>
      <c r="P90" s="40">
        <v>2.9413553439084108</v>
      </c>
      <c r="Q90" s="40">
        <v>3.1019546841181747</v>
      </c>
      <c r="R90" s="40">
        <v>3.2724959120163977</v>
      </c>
      <c r="S90" s="40">
        <v>3.4537822333118258</v>
      </c>
      <c r="T90" s="40">
        <v>3.6459361189091104</v>
      </c>
      <c r="U90" s="40">
        <v>3.8495668067944879</v>
      </c>
      <c r="V90" s="40">
        <v>4.0649430402513342</v>
      </c>
      <c r="W90" s="40">
        <v>4.2929629390786799</v>
      </c>
      <c r="X90" s="40">
        <v>4.5339981544937951</v>
      </c>
      <c r="Y90" s="40">
        <v>4.7890293733060325</v>
      </c>
      <c r="Z90" s="40">
        <v>5.0592837741142995</v>
      </c>
      <c r="AA90" s="40">
        <v>5.3456006537543619</v>
      </c>
      <c r="AB90" s="40">
        <v>5.6485316782067532</v>
      </c>
      <c r="AC90" s="40">
        <v>5.9699617450635687</v>
      </c>
      <c r="AD90" s="40">
        <v>6.3106765077092346</v>
      </c>
      <c r="AE90" s="40">
        <v>6.6707044927964469</v>
      </c>
      <c r="AF90" s="40">
        <v>7.0525495790923793</v>
      </c>
      <c r="AG90" s="40">
        <v>7.4571226324552313</v>
      </c>
      <c r="AH90" s="40">
        <v>7.8858128507482164</v>
      </c>
      <c r="AI90" s="40">
        <v>8.3400932584935834</v>
      </c>
      <c r="AJ90" s="40">
        <v>8.8215295260491011</v>
      </c>
      <c r="AK90" s="40">
        <v>9.3317831225480372</v>
      </c>
      <c r="AL90" s="40">
        <v>9.8726167279748402</v>
      </c>
      <c r="AM90" s="40"/>
      <c r="AN90" s="41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</row>
    <row r="91" spans="2:60" x14ac:dyDescent="0.35">
      <c r="B91" s="8"/>
      <c r="C91" s="52" t="str">
        <f>"Standards Case [TSL " &amp; sTSL &amp; "]"</f>
        <v>Standards Case [TSL 3]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4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</row>
    <row r="92" spans="2:60" x14ac:dyDescent="0.35">
      <c r="B92" s="8"/>
      <c r="C92" s="47" t="str">
        <f>"Total Shipments [" &amp; sSScen &amp; "]"</f>
        <v>Total Shipments [AEO Reference]</v>
      </c>
      <c r="D92" s="11" t="str">
        <f>shpUnit</f>
        <v>mi units</v>
      </c>
      <c r="E92" s="40">
        <f t="array" ref="E92:AN92" ca="1">tShpsmlStd_Com+tShpmedStd_Com+tShplrgStd_Com</f>
        <v>3.2777227565088545</v>
      </c>
      <c r="F92" s="40">
        <f ca="1"/>
        <v>3.433422106372809</v>
      </c>
      <c r="G92" s="40">
        <f ca="1"/>
        <v>3.587706559954623</v>
      </c>
      <c r="H92" s="40">
        <f ca="1"/>
        <v>3.7725086774200212</v>
      </c>
      <c r="I92" s="40">
        <f ca="1"/>
        <v>3.9729827354957639</v>
      </c>
      <c r="J92" s="40">
        <f ca="1"/>
        <v>4.1839758945719314</v>
      </c>
      <c r="K92" s="40">
        <f ca="1"/>
        <v>4.4047555529814266</v>
      </c>
      <c r="L92" s="40">
        <f ca="1"/>
        <v>4.633649463772648</v>
      </c>
      <c r="M92" s="40">
        <f ca="1"/>
        <v>4.8705625713331795</v>
      </c>
      <c r="N92" s="40">
        <f ca="1"/>
        <v>5.1165096840636419</v>
      </c>
      <c r="O92" s="40">
        <f ca="1"/>
        <v>5.3722404180873617</v>
      </c>
      <c r="P92" s="40">
        <f ca="1"/>
        <v>5.6402895085565845</v>
      </c>
      <c r="Q92" s="40">
        <f ca="1"/>
        <v>5.9221737370551519</v>
      </c>
      <c r="R92" s="40">
        <f ca="1"/>
        <v>6.2188531383178862</v>
      </c>
      <c r="S92" s="40">
        <f ca="1"/>
        <v>6.531394689421802</v>
      </c>
      <c r="T92" s="40">
        <f ca="1"/>
        <v>6.859173180884218</v>
      </c>
      <c r="U92" s="40">
        <f ca="1"/>
        <v>7.2031851279719223</v>
      </c>
      <c r="V92" s="40">
        <f ca="1"/>
        <v>7.5638465940159012</v>
      </c>
      <c r="W92" s="40">
        <f ca="1"/>
        <v>7.941772563435622</v>
      </c>
      <c r="X92" s="40">
        <f ca="1"/>
        <v>8.3377872933107966</v>
      </c>
      <c r="Y92" s="40">
        <f ca="1"/>
        <v>8.7527363478086091</v>
      </c>
      <c r="Z92" s="40">
        <f ca="1"/>
        <v>9.1878048681163396</v>
      </c>
      <c r="AA92" s="40">
        <f ca="1"/>
        <v>9.6440930370089504</v>
      </c>
      <c r="AB92" s="40">
        <f ca="1"/>
        <v>10.122707214155216</v>
      </c>
      <c r="AC92" s="40">
        <f ca="1"/>
        <v>10.624754031106882</v>
      </c>
      <c r="AD92" s="40">
        <f ca="1"/>
        <v>11.151351095474904</v>
      </c>
      <c r="AE92" s="40">
        <f ca="1"/>
        <v>11.703650713521315</v>
      </c>
      <c r="AF92" s="40">
        <f ca="1"/>
        <v>12.282861288911921</v>
      </c>
      <c r="AG92" s="40">
        <f ca="1"/>
        <v>12.890263485157227</v>
      </c>
      <c r="AH92" s="40">
        <f ca="1"/>
        <v>13.527219054150843</v>
      </c>
      <c r="AI92" s="40">
        <f ca="1"/>
        <v>14.195171619314184</v>
      </c>
      <c r="AJ92" s="40">
        <f ca="1"/>
        <v>14.895644026332494</v>
      </c>
      <c r="AK92" s="40">
        <f ca="1"/>
        <v>15.630236582334536</v>
      </c>
      <c r="AL92" s="40">
        <f ca="1"/>
        <v>16.400620716467508</v>
      </c>
      <c r="AM92" s="40">
        <f ca="1"/>
        <v>0</v>
      </c>
      <c r="AN92" s="41">
        <f ca="1"/>
        <v>0</v>
      </c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</row>
    <row r="93" spans="2:60" x14ac:dyDescent="0.35">
      <c r="B93" s="8"/>
      <c r="C93" s="47" t="s">
        <v>61</v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1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</row>
    <row r="94" spans="2:60" x14ac:dyDescent="0.35">
      <c r="B94" s="8"/>
      <c r="C94" s="20" t="str">
        <f>INDEX(_pcName,1)</f>
        <v>CADR 10-99</v>
      </c>
      <c r="D94" s="11" t="str">
        <f>shpUnit</f>
        <v>mi units</v>
      </c>
      <c r="E94" s="40">
        <f t="array" aca="1" ref="E94:AN94" ca="1">tShpsmlBC_Com*(1+N(bElast)*MMULT(_yS/_yS,N(_yS=TRANSPOSE(_yS))*MMULT(N(OFFSET(_i,0,0,1,_nDO1)-1&lt;cslsml),$E$213:$AN$217*'CADR 10-99'!bcEff_Com)))</f>
        <v>0.85120678549169493</v>
      </c>
      <c r="F94" s="40">
        <f ca="1"/>
        <v>0.89188357802079743</v>
      </c>
      <c r="G94" s="40">
        <f ca="1"/>
        <v>0.92968535692816234</v>
      </c>
      <c r="H94" s="40">
        <f ca="1"/>
        <v>0.97801397222794595</v>
      </c>
      <c r="I94" s="40">
        <f ca="1"/>
        <v>1.0304493316181826</v>
      </c>
      <c r="J94" s="40">
        <f ca="1"/>
        <v>1.0853010133809835</v>
      </c>
      <c r="K94" s="40">
        <f ca="1"/>
        <v>1.1427042114761878</v>
      </c>
      <c r="L94" s="40">
        <f ca="1"/>
        <v>1.2022259190366802</v>
      </c>
      <c r="M94" s="40">
        <f ca="1"/>
        <v>1.2638421826717265</v>
      </c>
      <c r="N94" s="40">
        <f ca="1"/>
        <v>1.3278170636232145</v>
      </c>
      <c r="O94" s="40">
        <f ca="1"/>
        <v>1.394197108030208</v>
      </c>
      <c r="P94" s="40">
        <f ca="1"/>
        <v>1.4637753108926055</v>
      </c>
      <c r="Q94" s="40">
        <f ca="1"/>
        <v>1.536945405748841</v>
      </c>
      <c r="R94" s="40">
        <f ca="1"/>
        <v>1.6139566509509962</v>
      </c>
      <c r="S94" s="40">
        <f ca="1"/>
        <v>1.6950860691094232</v>
      </c>
      <c r="T94" s="40">
        <f ca="1"/>
        <v>1.7801715174018065</v>
      </c>
      <c r="U94" s="40">
        <f ca="1"/>
        <v>1.8694717392469151</v>
      </c>
      <c r="V94" s="40">
        <f ca="1"/>
        <v>1.9630948393591205</v>
      </c>
      <c r="W94" s="40">
        <f ca="1"/>
        <v>2.06120055419896</v>
      </c>
      <c r="X94" s="40">
        <f ca="1"/>
        <v>2.1640029411898674</v>
      </c>
      <c r="Y94" s="40">
        <f ca="1"/>
        <v>2.2717014983151316</v>
      </c>
      <c r="Z94" s="40">
        <f ca="1"/>
        <v>2.3846220872046473</v>
      </c>
      <c r="AA94" s="40">
        <f ca="1"/>
        <v>2.5030502657956171</v>
      </c>
      <c r="AB94" s="40">
        <f ca="1"/>
        <v>2.6272731962574625</v>
      </c>
      <c r="AC94" s="40">
        <f ca="1"/>
        <v>2.7575781123918679</v>
      </c>
      <c r="AD94" s="40">
        <f ca="1"/>
        <v>2.8942550978259467</v>
      </c>
      <c r="AE94" s="40">
        <f ca="1"/>
        <v>3.0376032430670974</v>
      </c>
      <c r="AF94" s="40">
        <f ca="1"/>
        <v>3.1879361994576754</v>
      </c>
      <c r="AG94" s="40">
        <f ca="1"/>
        <v>3.3455863741106953</v>
      </c>
      <c r="AH94" s="40">
        <f ca="1"/>
        <v>3.5109072213997834</v>
      </c>
      <c r="AI94" s="40">
        <f ca="1"/>
        <v>3.6842734463267406</v>
      </c>
      <c r="AJ94" s="40">
        <f ca="1"/>
        <v>3.8660803170275417</v>
      </c>
      <c r="AK94" s="40">
        <f ca="1"/>
        <v>4.056743207865436</v>
      </c>
      <c r="AL94" s="40">
        <f ca="1"/>
        <v>4.2566959541675331</v>
      </c>
      <c r="AM94" s="40">
        <f ca="1"/>
        <v>0</v>
      </c>
      <c r="AN94" s="41">
        <f ca="1"/>
        <v>0</v>
      </c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</row>
    <row r="95" spans="2:60" x14ac:dyDescent="0.35">
      <c r="B95" s="8"/>
      <c r="C95" s="20" t="str">
        <f>INDEX(_pcName,2)</f>
        <v>CADR 100-149</v>
      </c>
      <c r="D95" s="11" t="str">
        <f>shpUnit</f>
        <v>mi units</v>
      </c>
      <c r="E95" s="40">
        <f t="array" aca="1" ref="E95:AN95" ca="1">tShpmedBC_Com*(1+N(bElast)*MMULT(_yS/_yS,N(_yS=TRANSPOSE(_yS))*MMULT(N(OFFSET(_i,0,0,1,_nDO2)-1&lt;cslmed),$E$189:$AN$193*'CADR 100-149'!bcEff_Com)))</f>
        <v>0.78625859224539218</v>
      </c>
      <c r="F95" s="40">
        <f ca="1"/>
        <v>0.82370398283414015</v>
      </c>
      <c r="G95" s="40">
        <f ca="1"/>
        <v>0.85987976665635735</v>
      </c>
      <c r="H95" s="40">
        <f ca="1"/>
        <v>0.90434905935319643</v>
      </c>
      <c r="I95" s="40">
        <f ca="1"/>
        <v>0.95258881911061</v>
      </c>
      <c r="J95" s="40">
        <f ca="1"/>
        <v>1.0032347865917064</v>
      </c>
      <c r="K95" s="40">
        <f ca="1"/>
        <v>1.0562318976898217</v>
      </c>
      <c r="L95" s="40">
        <f ca="1"/>
        <v>1.1111793757263637</v>
      </c>
      <c r="M95" s="40">
        <f ca="1"/>
        <v>1.1680545870472714</v>
      </c>
      <c r="N95" s="40">
        <f ca="1"/>
        <v>1.2271010664735413</v>
      </c>
      <c r="O95" s="40">
        <f ca="1"/>
        <v>1.2884475530768451</v>
      </c>
      <c r="P95" s="40">
        <f ca="1"/>
        <v>1.3527495299361512</v>
      </c>
      <c r="Q95" s="40">
        <f ca="1"/>
        <v>1.4203708584529557</v>
      </c>
      <c r="R95" s="40">
        <f ca="1"/>
        <v>1.4915418825685085</v>
      </c>
      <c r="S95" s="40">
        <f ca="1"/>
        <v>1.5665186037179573</v>
      </c>
      <c r="T95" s="40">
        <f ca="1"/>
        <v>1.6451511636929195</v>
      </c>
      <c r="U95" s="40">
        <f ca="1"/>
        <v>1.7276786660140828</v>
      </c>
      <c r="V95" s="40">
        <f ca="1"/>
        <v>1.8142009988158954</v>
      </c>
      <c r="W95" s="40">
        <f ca="1"/>
        <v>1.9048657638749671</v>
      </c>
      <c r="X95" s="40">
        <f ca="1"/>
        <v>1.999870762070328</v>
      </c>
      <c r="Y95" s="40">
        <f ca="1"/>
        <v>2.0994126755702656</v>
      </c>
      <c r="Z95" s="40">
        <f ca="1"/>
        <v>2.20378163819773</v>
      </c>
      <c r="AA95" s="40">
        <f ca="1"/>
        <v>2.3132416294028144</v>
      </c>
      <c r="AB95" s="40">
        <f ca="1"/>
        <v>2.4280581168126401</v>
      </c>
      <c r="AC95" s="40">
        <f ca="1"/>
        <v>2.548496639788401</v>
      </c>
      <c r="AD95" s="40">
        <f ca="1"/>
        <v>2.6748253769217518</v>
      </c>
      <c r="AE95" s="40">
        <f ca="1"/>
        <v>2.8073208363574294</v>
      </c>
      <c r="AF95" s="40">
        <f ca="1"/>
        <v>2.9462729889473449</v>
      </c>
      <c r="AG95" s="40">
        <f ca="1"/>
        <v>3.0919891455843178</v>
      </c>
      <c r="AH95" s="40">
        <f ca="1"/>
        <v>3.24479607549417</v>
      </c>
      <c r="AI95" s="40">
        <f ca="1"/>
        <v>3.4050401947285147</v>
      </c>
      <c r="AJ95" s="40">
        <f ca="1"/>
        <v>3.5730869313070528</v>
      </c>
      <c r="AK95" s="40">
        <f ca="1"/>
        <v>3.7493203034448341</v>
      </c>
      <c r="AL95" s="40">
        <f ca="1"/>
        <v>3.9341413994454526</v>
      </c>
      <c r="AM95" s="40">
        <f ca="1"/>
        <v>0</v>
      </c>
      <c r="AN95" s="41">
        <f ca="1"/>
        <v>0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</row>
    <row r="96" spans="2:60" x14ac:dyDescent="0.35">
      <c r="B96" s="8"/>
      <c r="C96" s="39" t="str">
        <f>INDEX(_pcName,3)</f>
        <v>CADR 150+</v>
      </c>
      <c r="D96" s="15" t="str">
        <f>shpUnit</f>
        <v>mi units</v>
      </c>
      <c r="E96" s="48">
        <f t="array" aca="1" ref="E96:AN96" ca="1">tShplrgBC_Com*(1+N(bElast)*MMULT(_yS/_yS,N(_yS=TRANSPOSE(_yS))*MMULT(N(OFFSET(_i,0,0,1,_nDO3)-1&lt;csllrg),$E$165:$AN$169*'CADR 150+'!bcEff_Com)))</f>
        <v>1.6402573787717671</v>
      </c>
      <c r="F96" s="48">
        <f ca="1"/>
        <v>1.7178345455178714</v>
      </c>
      <c r="G96" s="48">
        <f ca="1"/>
        <v>1.7981414363701034</v>
      </c>
      <c r="H96" s="48">
        <f ca="1"/>
        <v>1.8901456458388788</v>
      </c>
      <c r="I96" s="48">
        <f ca="1"/>
        <v>1.9899445847669712</v>
      </c>
      <c r="J96" s="48">
        <f ca="1"/>
        <v>2.0954400945992409</v>
      </c>
      <c r="K96" s="48">
        <f ca="1"/>
        <v>2.2058194438154173</v>
      </c>
      <c r="L96" s="48">
        <f ca="1"/>
        <v>2.3202441690096043</v>
      </c>
      <c r="M96" s="48">
        <f ca="1"/>
        <v>2.4386658016141811</v>
      </c>
      <c r="N96" s="48">
        <f ca="1"/>
        <v>2.5615915539668861</v>
      </c>
      <c r="O96" s="48">
        <f ca="1"/>
        <v>2.689595756980308</v>
      </c>
      <c r="P96" s="48">
        <f ca="1"/>
        <v>2.8237646677278279</v>
      </c>
      <c r="Q96" s="48">
        <f ca="1"/>
        <v>2.964857472853355</v>
      </c>
      <c r="R96" s="48">
        <f ca="1"/>
        <v>3.1133546047983809</v>
      </c>
      <c r="S96" s="48">
        <f ca="1"/>
        <v>3.2697900165944218</v>
      </c>
      <c r="T96" s="48">
        <f ca="1"/>
        <v>3.4338504997894921</v>
      </c>
      <c r="U96" s="48">
        <f ca="1"/>
        <v>3.6060347227109237</v>
      </c>
      <c r="V96" s="48">
        <f ca="1"/>
        <v>3.7865507558408851</v>
      </c>
      <c r="W96" s="48">
        <f ca="1"/>
        <v>3.9757062453616951</v>
      </c>
      <c r="X96" s="48">
        <f ca="1"/>
        <v>4.1739135900506001</v>
      </c>
      <c r="Y96" s="48">
        <f ca="1"/>
        <v>4.381622173923212</v>
      </c>
      <c r="Z96" s="48">
        <f ca="1"/>
        <v>4.5994011427139618</v>
      </c>
      <c r="AA96" s="48">
        <f ca="1"/>
        <v>4.827801141810518</v>
      </c>
      <c r="AB96" s="48">
        <f ca="1"/>
        <v>5.0673759010851143</v>
      </c>
      <c r="AC96" s="48">
        <f ca="1"/>
        <v>5.3186792789266137</v>
      </c>
      <c r="AD96" s="48">
        <f ca="1"/>
        <v>5.5822706207272059</v>
      </c>
      <c r="AE96" s="48">
        <f ca="1"/>
        <v>5.8587266340967883</v>
      </c>
      <c r="AF96" s="48">
        <f ca="1"/>
        <v>6.1486521005069008</v>
      </c>
      <c r="AG96" s="48">
        <f ca="1"/>
        <v>6.4526879654622151</v>
      </c>
      <c r="AH96" s="48">
        <f ca="1"/>
        <v>6.7715157572568891</v>
      </c>
      <c r="AI96" s="48">
        <f ca="1"/>
        <v>7.1058579782589293</v>
      </c>
      <c r="AJ96" s="48">
        <f ca="1"/>
        <v>7.4564767779979002</v>
      </c>
      <c r="AK96" s="48">
        <f ca="1"/>
        <v>7.8241730710242656</v>
      </c>
      <c r="AL96" s="48">
        <f ca="1"/>
        <v>8.2097833628545214</v>
      </c>
      <c r="AM96" s="48">
        <f ca="1"/>
        <v>0</v>
      </c>
      <c r="AN96" s="49">
        <f ca="1"/>
        <v>0</v>
      </c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</row>
    <row r="97" spans="2:60" x14ac:dyDescent="0.3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</row>
    <row r="98" spans="2:60" x14ac:dyDescent="0.35">
      <c r="B98" s="8"/>
      <c r="C98" s="23" t="s">
        <v>68</v>
      </c>
      <c r="D98" s="24"/>
      <c r="E98" s="26">
        <f t="array" ref="E98:AN98">_yS</f>
        <v>2024</v>
      </c>
      <c r="F98" s="26">
        <v>2025</v>
      </c>
      <c r="G98" s="26">
        <v>2026</v>
      </c>
      <c r="H98" s="26">
        <v>2027</v>
      </c>
      <c r="I98" s="26">
        <v>2028</v>
      </c>
      <c r="J98" s="26">
        <v>2029</v>
      </c>
      <c r="K98" s="26">
        <v>2030</v>
      </c>
      <c r="L98" s="26">
        <v>2031</v>
      </c>
      <c r="M98" s="26">
        <v>2032</v>
      </c>
      <c r="N98" s="26">
        <v>2033</v>
      </c>
      <c r="O98" s="26">
        <v>2034</v>
      </c>
      <c r="P98" s="26">
        <v>2035</v>
      </c>
      <c r="Q98" s="26">
        <v>2036</v>
      </c>
      <c r="R98" s="26">
        <v>2037</v>
      </c>
      <c r="S98" s="26">
        <v>2038</v>
      </c>
      <c r="T98" s="26">
        <v>2039</v>
      </c>
      <c r="U98" s="26">
        <v>2040</v>
      </c>
      <c r="V98" s="26">
        <v>2041</v>
      </c>
      <c r="W98" s="26">
        <v>2042</v>
      </c>
      <c r="X98" s="26">
        <v>2043</v>
      </c>
      <c r="Y98" s="26">
        <v>2044</v>
      </c>
      <c r="Z98" s="26">
        <v>2045</v>
      </c>
      <c r="AA98" s="26">
        <v>2046</v>
      </c>
      <c r="AB98" s="26">
        <v>2047</v>
      </c>
      <c r="AC98" s="26">
        <v>2048</v>
      </c>
      <c r="AD98" s="26">
        <v>2049</v>
      </c>
      <c r="AE98" s="26">
        <v>2050</v>
      </c>
      <c r="AF98" s="26">
        <v>2051</v>
      </c>
      <c r="AG98" s="26">
        <v>2052</v>
      </c>
      <c r="AH98" s="26">
        <v>2053</v>
      </c>
      <c r="AI98" s="26">
        <v>2054</v>
      </c>
      <c r="AJ98" s="26">
        <v>2055</v>
      </c>
      <c r="AK98" s="26">
        <v>2056</v>
      </c>
      <c r="AL98" s="26">
        <v>2057</v>
      </c>
      <c r="AM98" s="26">
        <v>2058</v>
      </c>
      <c r="AN98" s="27">
        <v>2059</v>
      </c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</row>
    <row r="99" spans="2:60" x14ac:dyDescent="0.35">
      <c r="B99" s="8"/>
      <c r="C99" s="35" t="s">
        <v>58</v>
      </c>
      <c r="D99" s="15"/>
      <c r="E99" s="21">
        <f ca="1">IF(E98&lt;INDEX(tsl1stYear,iTSL),0,INDEX(_prcElast,E98-(INDEX(tsl1stYear,iTSL)-1)))</f>
        <v>-0.45</v>
      </c>
      <c r="F99" s="21">
        <f ca="1">IF(F98&lt;INDEX(tsl1stYear,iTSL),0,INDEX(_prcElast,F98-(INDEX(tsl1stYear,iTSL)-1)))</f>
        <v>-0.34875</v>
      </c>
      <c r="G99" s="21">
        <f ca="1">IF(G98&lt;INDEX(tsl1stYear,iTSL),0,INDEX(_prcElast,G98-(INDEX(tsl1stYear,iTSL)-1)))</f>
        <v>-0.28125</v>
      </c>
      <c r="H99" s="21">
        <f ca="1">IF(H98&lt;INDEX(tsl1stYear,iTSL),0,INDEX(_prcElast,H98-(INDEX(tsl1stYear,iTSL)-1)))</f>
        <v>-0.24375000000000005</v>
      </c>
      <c r="I99" s="21">
        <f ca="1">IF(I98&lt;INDEX(tsl1stYear,iTSL),0,INDEX(_prcElast,I98-(INDEX(tsl1stYear,iTSL)-1)))</f>
        <v>-0.20625000000000002</v>
      </c>
      <c r="J99" s="21">
        <f ca="1">IF(J98&lt;INDEX(tsl1stYear,iTSL),0,INDEX(_prcElast,J98-(INDEX(tsl1stYear,iTSL)-1)))</f>
        <v>-0.19650000000000001</v>
      </c>
      <c r="K99" s="21">
        <f ca="1">IF(K98&lt;INDEX(tsl1stYear,iTSL),0,INDEX(_prcElast,K98-(INDEX(tsl1stYear,iTSL)-1)))</f>
        <v>-0.18675</v>
      </c>
      <c r="L99" s="21">
        <f ca="1">IF(L98&lt;INDEX(tsl1stYear,iTSL),0,INDEX(_prcElast,L98-(INDEX(tsl1stYear,iTSL)-1)))</f>
        <v>-0.17700000000000002</v>
      </c>
      <c r="M99" s="21">
        <f ca="1">IF(M98&lt;INDEX(tsl1stYear,iTSL),0,INDEX(_prcElast,M98-(INDEX(tsl1stYear,iTSL)-1)))</f>
        <v>-0.16725000000000001</v>
      </c>
      <c r="N99" s="21">
        <f ca="1">IF(N98&lt;INDEX(tsl1stYear,iTSL),0,INDEX(_prcElast,N98-(INDEX(tsl1stYear,iTSL)-1)))</f>
        <v>-0.1575</v>
      </c>
      <c r="O99" s="21">
        <f ca="1">IF(O98&lt;INDEX(tsl1stYear,iTSL),0,INDEX(_prcElast,O98-(INDEX(tsl1stYear,iTSL)-1)))</f>
        <v>-0.15675</v>
      </c>
      <c r="P99" s="21">
        <f ca="1">IF(P98&lt;INDEX(tsl1stYear,iTSL),0,INDEX(_prcElast,P98-(INDEX(tsl1stYear,iTSL)-1)))</f>
        <v>-0.156</v>
      </c>
      <c r="Q99" s="21">
        <f ca="1">IF(Q98&lt;INDEX(tsl1stYear,iTSL),0,INDEX(_prcElast,Q98-(INDEX(tsl1stYear,iTSL)-1)))</f>
        <v>-0.15525</v>
      </c>
      <c r="R99" s="21">
        <f ca="1">IF(R98&lt;INDEX(tsl1stYear,iTSL),0,INDEX(_prcElast,R98-(INDEX(tsl1stYear,iTSL)-1)))</f>
        <v>-0.1545</v>
      </c>
      <c r="S99" s="21">
        <f ca="1">IF(S98&lt;INDEX(tsl1stYear,iTSL),0,INDEX(_prcElast,S98-(INDEX(tsl1stYear,iTSL)-1)))</f>
        <v>-0.15375000000000003</v>
      </c>
      <c r="T99" s="21">
        <f ca="1">IF(T98&lt;INDEX(tsl1stYear,iTSL),0,INDEX(_prcElast,T98-(INDEX(tsl1stYear,iTSL)-1)))</f>
        <v>-0.15300000000000002</v>
      </c>
      <c r="U99" s="21">
        <f ca="1">IF(U98&lt;INDEX(tsl1stYear,iTSL),0,INDEX(_prcElast,U98-(INDEX(tsl1stYear,iTSL)-1)))</f>
        <v>-0.15225000000000002</v>
      </c>
      <c r="V99" s="21">
        <f ca="1">IF(V98&lt;INDEX(tsl1stYear,iTSL),0,INDEX(_prcElast,V98-(INDEX(tsl1stYear,iTSL)-1)))</f>
        <v>-0.15150000000000002</v>
      </c>
      <c r="W99" s="21">
        <f ca="1">IF(W98&lt;INDEX(tsl1stYear,iTSL),0,INDEX(_prcElast,W98-(INDEX(tsl1stYear,iTSL)-1)))</f>
        <v>-0.15075000000000002</v>
      </c>
      <c r="X99" s="21">
        <f ca="1">IF(X98&lt;INDEX(tsl1stYear,iTSL),0,INDEX(_prcElast,X98-(INDEX(tsl1stYear,iTSL)-1)))</f>
        <v>-0.15000000000000002</v>
      </c>
      <c r="Y99" s="21">
        <f ca="1">IF(Y98&lt;INDEX(tsl1stYear,iTSL),0,INDEX(_prcElast,Y98-(INDEX(tsl1stYear,iTSL)-1)))</f>
        <v>-0.15000000000000002</v>
      </c>
      <c r="Z99" s="21">
        <f ca="1">IF(Z98&lt;INDEX(tsl1stYear,iTSL),0,INDEX(_prcElast,Z98-(INDEX(tsl1stYear,iTSL)-1)))</f>
        <v>-0.15000000000000002</v>
      </c>
      <c r="AA99" s="21">
        <f ca="1">IF(AA98&lt;INDEX(tsl1stYear,iTSL),0,INDEX(_prcElast,AA98-(INDEX(tsl1stYear,iTSL)-1)))</f>
        <v>-0.15000000000000002</v>
      </c>
      <c r="AB99" s="21">
        <f ca="1">IF(AB98&lt;INDEX(tsl1stYear,iTSL),0,INDEX(_prcElast,AB98-(INDEX(tsl1stYear,iTSL)-1)))</f>
        <v>-0.15000000000000002</v>
      </c>
      <c r="AC99" s="21">
        <f ca="1">IF(AC98&lt;INDEX(tsl1stYear,iTSL),0,INDEX(_prcElast,AC98-(INDEX(tsl1stYear,iTSL)-1)))</f>
        <v>-0.14999999999999986</v>
      </c>
      <c r="AD99" s="21">
        <f ca="1">IF(AD98&lt;INDEX(tsl1stYear,iTSL),0,INDEX(_prcElast,AD98-(INDEX(tsl1stYear,iTSL)-1)))</f>
        <v>-0.14999999999999986</v>
      </c>
      <c r="AE99" s="21">
        <f ca="1">IF(AE98&lt;INDEX(tsl1stYear,iTSL),0,INDEX(_prcElast,AE98-(INDEX(tsl1stYear,iTSL)-1)))</f>
        <v>-0.14999999999999986</v>
      </c>
      <c r="AF99" s="21">
        <f ca="1">IF(AF98&lt;INDEX(tsl1stYear,iTSL),0,INDEX(_prcElast,AF98-(INDEX(tsl1stYear,iTSL)-1)))</f>
        <v>-0.14999999999999986</v>
      </c>
      <c r="AG99" s="21">
        <f ca="1">IF(AG98&lt;INDEX(tsl1stYear,iTSL),0,INDEX(_prcElast,AG98-(INDEX(tsl1stYear,iTSL)-1)))</f>
        <v>-0.14999999999999986</v>
      </c>
      <c r="AH99" s="21">
        <f ca="1">IF(AH98&lt;INDEX(tsl1stYear,iTSL),0,INDEX(_prcElast,AH98-(INDEX(tsl1stYear,iTSL)-1)))</f>
        <v>-0.14999999999999986</v>
      </c>
      <c r="AI99" s="21">
        <f ca="1">IF(AI98&lt;INDEX(tsl1stYear,iTSL),0,INDEX(_prcElast,AI98-(INDEX(tsl1stYear,iTSL)-1)))</f>
        <v>-0.15</v>
      </c>
      <c r="AJ99" s="21">
        <f ca="1">IF(AJ98&lt;INDEX(tsl1stYear,iTSL),0,INDEX(_prcElast,AJ98-(INDEX(tsl1stYear,iTSL)-1)))</f>
        <v>-0.15</v>
      </c>
      <c r="AK99" s="21">
        <f ca="1">IF(AK98&lt;INDEX(tsl1stYear,iTSL),0,INDEX(_prcElast,AK98-(INDEX(tsl1stYear,iTSL)-1)))</f>
        <v>-0.15</v>
      </c>
      <c r="AL99" s="21">
        <f ca="1">IF(AL98&lt;INDEX(tsl1stYear,iTSL),0,INDEX(_prcElast,AL98-(INDEX(tsl1stYear,iTSL)-1)))</f>
        <v>-0.15</v>
      </c>
      <c r="AM99" s="21">
        <f ca="1">IF(AM98&lt;INDEX(tsl1stYear,iTSL),0,INDEX(_prcElast,AM98-(INDEX(tsl1stYear,iTSL)-1)))</f>
        <v>-0.15</v>
      </c>
      <c r="AN99" s="21">
        <f ca="1">IF(AN98&lt;INDEX(tsl1stYear,iTSL),0,INDEX(_prcElast,AN98-(INDEX(tsl1stYear,iTSL)-1)))</f>
        <v>-0.15</v>
      </c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</row>
    <row r="100" spans="2:60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</row>
    <row r="101" spans="2:60" x14ac:dyDescent="0.35">
      <c r="B101" s="8"/>
      <c r="C101" s="23" t="s">
        <v>64</v>
      </c>
      <c r="D101" s="24"/>
      <c r="E101" s="26">
        <f t="array" ref="E101:BG101">_yL</f>
        <v>2024</v>
      </c>
      <c r="F101" s="26">
        <v>2025</v>
      </c>
      <c r="G101" s="26">
        <v>2026</v>
      </c>
      <c r="H101" s="26">
        <v>2027</v>
      </c>
      <c r="I101" s="26">
        <v>2028</v>
      </c>
      <c r="J101" s="26">
        <v>2029</v>
      </c>
      <c r="K101" s="26">
        <v>2030</v>
      </c>
      <c r="L101" s="26">
        <v>2031</v>
      </c>
      <c r="M101" s="26">
        <v>2032</v>
      </c>
      <c r="N101" s="26">
        <v>2033</v>
      </c>
      <c r="O101" s="26">
        <v>2034</v>
      </c>
      <c r="P101" s="26">
        <v>2035</v>
      </c>
      <c r="Q101" s="26">
        <v>2036</v>
      </c>
      <c r="R101" s="26">
        <v>2037</v>
      </c>
      <c r="S101" s="26">
        <v>2038</v>
      </c>
      <c r="T101" s="26">
        <v>2039</v>
      </c>
      <c r="U101" s="26">
        <v>2040</v>
      </c>
      <c r="V101" s="26">
        <v>2041</v>
      </c>
      <c r="W101" s="26">
        <v>2042</v>
      </c>
      <c r="X101" s="26">
        <v>2043</v>
      </c>
      <c r="Y101" s="26">
        <v>2044</v>
      </c>
      <c r="Z101" s="26">
        <v>2045</v>
      </c>
      <c r="AA101" s="26">
        <v>2046</v>
      </c>
      <c r="AB101" s="26">
        <v>2047</v>
      </c>
      <c r="AC101" s="26">
        <v>2048</v>
      </c>
      <c r="AD101" s="26">
        <v>2049</v>
      </c>
      <c r="AE101" s="26">
        <v>2050</v>
      </c>
      <c r="AF101" s="26">
        <v>2051</v>
      </c>
      <c r="AG101" s="26">
        <v>2052</v>
      </c>
      <c r="AH101" s="26">
        <v>2053</v>
      </c>
      <c r="AI101" s="26">
        <v>2054</v>
      </c>
      <c r="AJ101" s="26">
        <v>2055</v>
      </c>
      <c r="AK101" s="26">
        <v>2056</v>
      </c>
      <c r="AL101" s="26">
        <v>2057</v>
      </c>
      <c r="AM101" s="26">
        <v>2058</v>
      </c>
      <c r="AN101" s="26">
        <v>2059</v>
      </c>
      <c r="AO101" s="26">
        <v>2060</v>
      </c>
      <c r="AP101" s="26">
        <v>2061</v>
      </c>
      <c r="AQ101" s="26">
        <v>2062</v>
      </c>
      <c r="AR101" s="26">
        <v>2063</v>
      </c>
      <c r="AS101" s="26">
        <v>2064</v>
      </c>
      <c r="AT101" s="26">
        <v>2065</v>
      </c>
      <c r="AU101" s="26">
        <v>2066</v>
      </c>
      <c r="AV101" s="26">
        <v>2067</v>
      </c>
      <c r="AW101" s="26">
        <v>2068</v>
      </c>
      <c r="AX101" s="26">
        <v>2069</v>
      </c>
      <c r="AY101" s="26">
        <v>2070</v>
      </c>
      <c r="AZ101" s="26">
        <v>2071</v>
      </c>
      <c r="BA101" s="26">
        <v>2072</v>
      </c>
      <c r="BB101" s="26">
        <v>2073</v>
      </c>
      <c r="BC101" s="26">
        <v>2074</v>
      </c>
      <c r="BD101" s="26">
        <v>2075</v>
      </c>
      <c r="BE101" s="26">
        <v>2076</v>
      </c>
      <c r="BF101" s="26">
        <v>2077</v>
      </c>
      <c r="BG101" s="27">
        <v>2078</v>
      </c>
      <c r="BH101" s="8"/>
    </row>
    <row r="102" spans="2:60" x14ac:dyDescent="0.35">
      <c r="B102" s="8"/>
      <c r="C102" s="9" t="s">
        <v>65</v>
      </c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18"/>
      <c r="BH102" s="8"/>
    </row>
    <row r="103" spans="2:60" x14ac:dyDescent="0.35">
      <c r="B103" s="8"/>
      <c r="C103" s="47" t="s">
        <v>66</v>
      </c>
      <c r="D103" s="11" t="str">
        <f>shpUnit</f>
        <v>mi units</v>
      </c>
      <c r="E103" s="40">
        <f t="array" aca="1" ref="E103:BG103" ca="1">tStksmlBC_Com+tStkmedBC_Com+tStklrgBC_Com</f>
        <v>3.2850939136429989</v>
      </c>
      <c r="F103" s="40">
        <f ca="1"/>
        <v>6.7149469465685439</v>
      </c>
      <c r="G103" s="40">
        <f ca="1"/>
        <v>10.266484448640675</v>
      </c>
      <c r="H103" s="40">
        <f ca="1"/>
        <v>13.895100352928996</v>
      </c>
      <c r="I103" s="40">
        <f ca="1"/>
        <v>17.52852298075036</v>
      </c>
      <c r="J103" s="40">
        <f ca="1"/>
        <v>21.074887892452761</v>
      </c>
      <c r="K103" s="40">
        <f ca="1"/>
        <v>24.439491485044549</v>
      </c>
      <c r="L103" s="40">
        <f ca="1"/>
        <v>27.545767129144799</v>
      </c>
      <c r="M103" s="40">
        <f ca="1"/>
        <v>30.355071839370421</v>
      </c>
      <c r="N103" s="40">
        <f ca="1"/>
        <v>32.876819045756704</v>
      </c>
      <c r="O103" s="40">
        <f ca="1"/>
        <v>35.164229705502699</v>
      </c>
      <c r="P103" s="40">
        <f ca="1"/>
        <v>37.297454856553088</v>
      </c>
      <c r="Q103" s="40">
        <f ca="1"/>
        <v>39.361315506058858</v>
      </c>
      <c r="R103" s="40">
        <f ca="1"/>
        <v>41.427249858369123</v>
      </c>
      <c r="S103" s="40">
        <f ca="1"/>
        <v>43.545929514167426</v>
      </c>
      <c r="T103" s="40">
        <f ca="1"/>
        <v>45.747356464544296</v>
      </c>
      <c r="U103" s="40">
        <f ca="1"/>
        <v>48.048804965809538</v>
      </c>
      <c r="V103" s="40">
        <f ca="1"/>
        <v>50.45992664915731</v>
      </c>
      <c r="W103" s="40">
        <f ca="1"/>
        <v>52.988800944504796</v>
      </c>
      <c r="X103" s="40">
        <f ca="1"/>
        <v>55.64128831937029</v>
      </c>
      <c r="Y103" s="40">
        <f ca="1"/>
        <v>58.423336310779135</v>
      </c>
      <c r="Z103" s="40">
        <f ca="1"/>
        <v>61.341112042630314</v>
      </c>
      <c r="AA103" s="40">
        <f ca="1"/>
        <v>64.401064242241418</v>
      </c>
      <c r="AB103" s="40">
        <f ca="1"/>
        <v>67.609994699100199</v>
      </c>
      <c r="AC103" s="40">
        <f ca="1"/>
        <v>70.975101828774854</v>
      </c>
      <c r="AD103" s="40">
        <f ca="1"/>
        <v>74.503995055762147</v>
      </c>
      <c r="AE103" s="40">
        <f ca="1"/>
        <v>78.204693852975851</v>
      </c>
      <c r="AF103" s="40">
        <f ca="1"/>
        <v>82.085621207046216</v>
      </c>
      <c r="AG103" s="40">
        <f ca="1"/>
        <v>86.155601927518461</v>
      </c>
      <c r="AH103" s="40">
        <f ca="1"/>
        <v>90.423871488848675</v>
      </c>
      <c r="AI103" s="40">
        <f ca="1"/>
        <v>94.900094467269099</v>
      </c>
      <c r="AJ103" s="40">
        <f ca="1"/>
        <v>99.594390400155618</v>
      </c>
      <c r="AK103" s="40">
        <f ca="1"/>
        <v>104.5173656407942</v>
      </c>
      <c r="AL103" s="40">
        <f ca="1"/>
        <v>109.68014068431572</v>
      </c>
      <c r="AM103" s="40">
        <f ca="1"/>
        <v>97.846249340133895</v>
      </c>
      <c r="AN103" s="40">
        <f ca="1"/>
        <v>85.476929450014865</v>
      </c>
      <c r="AO103" s="40">
        <f ca="1"/>
        <v>72.724079522415394</v>
      </c>
      <c r="AP103" s="40">
        <f ca="1"/>
        <v>59.885195447407746</v>
      </c>
      <c r="AQ103" s="40">
        <f ca="1"/>
        <v>47.390653283468851</v>
      </c>
      <c r="AR103" s="40">
        <f ca="1"/>
        <v>35.755237115793527</v>
      </c>
      <c r="AS103" s="40">
        <f ca="1"/>
        <v>25.493139035936618</v>
      </c>
      <c r="AT103" s="40">
        <f ca="1"/>
        <v>17.011291274316804</v>
      </c>
      <c r="AU103" s="40">
        <f ca="1"/>
        <v>10.512891998152895</v>
      </c>
      <c r="AV103" s="40">
        <f ca="1"/>
        <v>5.9495231573857161</v>
      </c>
      <c r="AW103" s="40">
        <f ca="1"/>
        <v>3.0463917128212241</v>
      </c>
      <c r="AX103" s="40">
        <f ca="1"/>
        <v>1.3931784288176865</v>
      </c>
      <c r="AY103" s="40">
        <f ca="1"/>
        <v>0.56084521045515179</v>
      </c>
      <c r="AZ103" s="40">
        <f ca="1"/>
        <v>0.19504511112359013</v>
      </c>
      <c r="BA103" s="40">
        <f ca="1"/>
        <v>5.654070571956854E-2</v>
      </c>
      <c r="BB103" s="40">
        <f ca="1"/>
        <v>1.1982091583903353E-2</v>
      </c>
      <c r="BC103" s="40">
        <f ca="1"/>
        <v>0</v>
      </c>
      <c r="BD103" s="40">
        <f ca="1"/>
        <v>0</v>
      </c>
      <c r="BE103" s="40">
        <f ca="1"/>
        <v>0</v>
      </c>
      <c r="BF103" s="40">
        <f ca="1"/>
        <v>0</v>
      </c>
      <c r="BG103" s="41">
        <f ca="1"/>
        <v>0</v>
      </c>
      <c r="BH103" s="8"/>
    </row>
    <row r="104" spans="2:60" x14ac:dyDescent="0.35">
      <c r="B104" s="8"/>
      <c r="C104" s="47" t="s">
        <v>67</v>
      </c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18"/>
      <c r="BH104" s="8"/>
    </row>
    <row r="105" spans="2:60" x14ac:dyDescent="0.35">
      <c r="B105" s="8"/>
      <c r="C105" s="20" t="str">
        <f>INDEX(_pcName,1)</f>
        <v>CADR 10-99</v>
      </c>
      <c r="D105" s="11" t="str">
        <f>shpUnit</f>
        <v>mi units</v>
      </c>
      <c r="E105" s="40">
        <f ca="1">SUMPRODUCT(N(OFFSET(tShpsmlBC_Com,0,0,1,1)),N(OFFSET(tpSurvAll_Com,0,1-OFFSET(_i,0,0,1,1),1,1)))</f>
        <v>0.85412441754717972</v>
      </c>
      <c r="F105" s="40">
        <f ca="1">SUMPRODUCT(OFFSET(tShpsmlBC_Com,0,0,1,2),N(OFFSET(tpSurvAll_Com,0,2-OFFSET(_i,0,0,1,2),1,1)))</f>
        <v>1.7458862061078213</v>
      </c>
      <c r="G105" s="40">
        <f ca="1">SUMPRODUCT(OFFSET(tShpsmlBC_Com,0,0,1,3),N(OFFSET(tpSurvAll_Com,0,3-OFFSET(_i,0,0,1,3),1,1)))</f>
        <v>2.6692859566465752</v>
      </c>
      <c r="H105" s="40">
        <f ca="1">SUMPRODUCT(OFFSET(tShpsmlBC_Com,0,0,1,4),N(OFFSET(tpSurvAll_Com,0,4-OFFSET(_i,0,0,1,4),1,1)))</f>
        <v>3.6127260917615391</v>
      </c>
      <c r="I105" s="40">
        <f ca="1">SUMPRODUCT(OFFSET(tShpsmlBC_Com,0,0,1,5),N(OFFSET(tpSurvAll_Com,0,5-OFFSET(_i,0,0,1,5),1,1)))</f>
        <v>4.5574159749950933</v>
      </c>
      <c r="J105" s="40">
        <f ca="1">SUMPRODUCT(OFFSET(tShpsmlBC_Com,0,0,1,6),N(OFFSET(tpSurvAll_Com,0,6-OFFSET(_i,0,0,1,6),1,1)))</f>
        <v>5.4794708520377178</v>
      </c>
      <c r="K105" s="40">
        <f ca="1">SUMPRODUCT(OFFSET(tShpsmlBC_Com,0,0,1,7),N(OFFSET(tpSurvAll_Com,0,7-OFFSET(_i,0,0,1,7),1,1)))</f>
        <v>6.354267786111583</v>
      </c>
      <c r="L105" s="40">
        <f ca="1">SUMPRODUCT(OFFSET(tShpsmlBC_Com,0,0,1,8),N(OFFSET(tpSurvAll_Com,0,8-OFFSET(_i,0,0,1,8),1,1)))</f>
        <v>7.1618994535776483</v>
      </c>
      <c r="M105" s="40">
        <f ca="1">SUMPRODUCT(OFFSET(tShpsmlBC_Com,0,0,1,9),N(OFFSET(tpSurvAll_Com,0,9-OFFSET(_i,0,0,1,9),1,1)))</f>
        <v>7.8923186782363084</v>
      </c>
      <c r="N105" s="40">
        <f ca="1">SUMPRODUCT(OFFSET(tShpsmlBC_Com,0,0,1,10),N(OFFSET(tpSurvAll_Com,0,10-OFFSET(_i,0,0,1,10),1,1)))</f>
        <v>8.5479729518967424</v>
      </c>
      <c r="O105" s="40">
        <f ca="1">SUMPRODUCT(OFFSET(tShpsmlBC_Com,0,0,1,11),N(OFFSET(tpSurvAll_Com,0,11-OFFSET(_i,0,0,1,11),1,1)))</f>
        <v>9.1426997234307024</v>
      </c>
      <c r="P105" s="40">
        <f ca="1">SUMPRODUCT(OFFSET(tShpsmlBC_Com,0,0,1,12),N(OFFSET(tpSurvAll_Com,0,12-OFFSET(_i,0,0,1,12),1,1)))</f>
        <v>9.6973382627038038</v>
      </c>
      <c r="Q105" s="40">
        <f ca="1">SUMPRODUCT(OFFSET(tShpsmlBC_Com,0,0,1,13),N(OFFSET(tpSurvAll_Com,0,13-OFFSET(_i,0,0,1,13),1,1)))</f>
        <v>10.233942031575303</v>
      </c>
      <c r="R105" s="40">
        <f ca="1">SUMPRODUCT(OFFSET(tShpsmlBC_Com,0,0,1,14),N(OFFSET(tpSurvAll_Com,0,14-OFFSET(_i,0,0,1,14),1,1)))</f>
        <v>10.771084963175971</v>
      </c>
      <c r="S105" s="40">
        <f ca="1">SUMPRODUCT(OFFSET(tShpsmlBC_Com,0,0,1,15),N(OFFSET(tpSurvAll_Com,0,15-OFFSET(_i,0,0,1,15),1,1)))</f>
        <v>11.321941673683531</v>
      </c>
      <c r="T105" s="40">
        <f ca="1">SUMPRODUCT(OFFSET(tShpsmlBC_Com,0,0,1,16),N(OFFSET(tpSurvAll_Com,0,16-OFFSET(_i,0,0,1,16),1,1)))</f>
        <v>11.894312680781519</v>
      </c>
      <c r="U105" s="40">
        <f ca="1">SUMPRODUCT(OFFSET(tShpsmlBC_Com,0,0,1,17),N(OFFSET(tpSurvAll_Com,0,17-OFFSET(_i,0,0,1,17),1,1)))</f>
        <v>12.492689291110478</v>
      </c>
      <c r="V105" s="40">
        <f ca="1">SUMPRODUCT(OFFSET(tShpsmlBC_Com,0,0,1,18),N(OFFSET(tpSurvAll_Com,0,18-OFFSET(_i,0,0,1,18),1,1)))</f>
        <v>13.119580928780902</v>
      </c>
      <c r="W105" s="40">
        <f ca="1">SUMPRODUCT(OFFSET(tShpsmlBC_Com,0,0,1,19),N(OFFSET(tpSurvAll_Com,0,19-OFFSET(_i,0,0,1,19),1,1)))</f>
        <v>13.777088245571248</v>
      </c>
      <c r="X105" s="40">
        <f ca="1">SUMPRODUCT(OFFSET(tShpsmlBC_Com,0,0,1,20),N(OFFSET(tpSurvAll_Com,0,20-OFFSET(_i,0,0,1,20),1,1)))</f>
        <v>14.466734963036275</v>
      </c>
      <c r="Y105" s="40">
        <f ca="1">SUMPRODUCT(OFFSET(tShpsmlBC_Com,0,1,1,20),N(OFFSET(tpSurvAll_Com,0,20-OFFSET(_i,0,0,1,20),1,1)))</f>
        <v>15.190067440802576</v>
      </c>
      <c r="Z105" s="40">
        <f ca="1">SUMPRODUCT(OFFSET(tShpsmlBC_Com,0,2,1,20),N(OFFSET(tpSurvAll_Com,0,20-OFFSET(_i,0,0,1,20),1,1)))</f>
        <v>15.948689131083881</v>
      </c>
      <c r="AA105" s="40">
        <f ca="1">SUMPRODUCT(OFFSET(tShpsmlBC_Com,0,3,1,20),N(OFFSET(tpSurvAll_Com,0,20-OFFSET(_i,0,0,1,20),1,1)))</f>
        <v>16.74427670298277</v>
      </c>
      <c r="AB105" s="40">
        <f ca="1">SUMPRODUCT(OFFSET(tShpsmlBC_Com,0,4,1,20),N(OFFSET(tpSurvAll_Com,0,20-OFFSET(_i,0,0,1,20),1,1)))</f>
        <v>17.578598621766051</v>
      </c>
      <c r="AC105" s="40">
        <f ca="1">SUMPRODUCT(OFFSET(tShpsmlBC_Com,0,5,1,20),N(OFFSET(tpSurvAll_Com,0,20-OFFSET(_i,0,0,1,20),1,1)))</f>
        <v>18.453526475481461</v>
      </c>
      <c r="AD105" s="40">
        <f ca="1">SUMPRODUCT(OFFSET(tShpsmlBC_Com,0,6,1,20),N(OFFSET(tpSurvAll_Com,0,20-OFFSET(_i,0,0,1,20),1,1)))</f>
        <v>19.371038714498155</v>
      </c>
      <c r="AE105" s="40">
        <f ca="1">SUMPRODUCT(OFFSET(tShpsmlBC_Com,0,7,1,20),N(OFFSET(tpSurvAll_Com,0,20-OFFSET(_i,0,0,1,20),1,1)))</f>
        <v>20.333220401773719</v>
      </c>
      <c r="AF105" s="40">
        <f ca="1">SUMPRODUCT(OFFSET(tShpsmlBC_Com,0,8,1,20),N(OFFSET(tpSurvAll_Com,0,20-OFFSET(_i,0,0,1,20),1,1)))</f>
        <v>21.342261513832021</v>
      </c>
      <c r="AG105" s="40">
        <f ca="1">SUMPRODUCT(OFFSET(tShpsmlBC_Com,0,9,1,20),N(OFFSET(tpSurvAll_Com,0,20-OFFSET(_i,0,0,1,20),1,1)))</f>
        <v>22.4004565011548</v>
      </c>
      <c r="AH105" s="40">
        <f ca="1">SUMPRODUCT(OFFSET(tShpsmlBC_Com,0,10,1,20),N(OFFSET(tpSurvAll_Com,0,20-OFFSET(_i,0,0,1,20),1,1)))</f>
        <v>23.510206587100658</v>
      </c>
      <c r="AI105" s="40">
        <f ca="1">SUMPRODUCT(OFFSET(tShpsmlBC_Com,0,11,1,20),N(OFFSET(tpSurvAll_Com,0,20-OFFSET(_i,0,0,1,20),1,1)))</f>
        <v>24.674024561489968</v>
      </c>
      <c r="AJ105" s="40">
        <f ca="1">SUMPRODUCT(OFFSET(tShpsmlBC_Com,0,12,1,20),N(OFFSET(tpSurvAll_Com,0,20-OFFSET(_i,0,0,1,20),1,1)))</f>
        <v>25.894541504040461</v>
      </c>
      <c r="AK105" s="40">
        <f ca="1">SUMPRODUCT(OFFSET(tShpsmlBC_Com,0,13,1,20),N(OFFSET(tpSurvAll_Com,0,20-OFFSET(_i,0,0,1,20),1,1)))</f>
        <v>27.174515066606489</v>
      </c>
      <c r="AL105" s="40">
        <f ca="1">SUMPRODUCT(OFFSET(tShpsmlBC_Com,0,14,1,20),N(OFFSET(tpSurvAll_Com,0,20-OFFSET(_i,0,0,1,20),1,1)))</f>
        <v>28.516836577922085</v>
      </c>
      <c r="AM105" s="40">
        <f ca="1">SUMPRODUCT(OFFSET(tShpsmlBC_Com,0,15,1,20),N(OFFSET(tpSurvAll_Com,0,20-OFFSET(_i,0,0,1,20),1,1)))</f>
        <v>25.440024828434812</v>
      </c>
      <c r="AN105" s="40">
        <f ca="1">SUMPRODUCT(OFFSET(tShpsmlBC_Com,0,16,1,20),N(OFFSET(tpSurvAll_Com,0,20-OFFSET(_i,0,0,1,20),1,1)))</f>
        <v>22.224001657003868</v>
      </c>
      <c r="AO105" s="40">
        <f ca="1">SUMPRODUCT(OFFSET(tShpsmlBC_Com,0,17,1,19),N(OFFSET(tpSurvAll_Com,0,20-OFFSET(_i,0,0,1,19),1,1)))</f>
        <v>18.908260675828</v>
      </c>
      <c r="AP105" s="40">
        <f ca="1">SUMPRODUCT(OFFSET(tShpsmlBC_Com,0,18,1,18),N(OFFSET(tpSurvAll_Com,0,20-OFFSET(_i,0,0,1,18),1,1)))</f>
        <v>15.570150816326015</v>
      </c>
      <c r="AQ105" s="40">
        <f ca="1">SUMPRODUCT(OFFSET(tShpsmlBC_Com,0,19,1,17),N(OFFSET(tpSurvAll_Com,0,20-OFFSET(_i,0,0,1,17),1,1)))</f>
        <v>12.321569853701902</v>
      </c>
      <c r="AR105" s="40">
        <f ca="1">SUMPRODUCT(OFFSET(tShpsmlBC_Com,0,20,1,16),N(OFFSET(tpSurvAll_Com,0,20-OFFSET(_i,0,0,1,16),1,1)))</f>
        <v>9.2963616501063164</v>
      </c>
      <c r="AS105" s="40">
        <f ca="1">SUMPRODUCT(OFFSET(tShpsmlBC_Com,0,21,1,15),N(OFFSET(tpSurvAll_Com,0,20-OFFSET(_i,0,0,1,15),1,1)))</f>
        <v>6.6282161493435208</v>
      </c>
      <c r="AT105" s="40">
        <f ca="1">SUMPRODUCT(OFFSET(tShpsmlBC_Com,0,22,1,14),N(OFFSET(tpSurvAll_Com,0,20-OFFSET(_i,0,0,1,14),1,1)))</f>
        <v>4.4229357313223687</v>
      </c>
      <c r="AU105" s="40">
        <f ca="1">SUMPRODUCT(OFFSET(tShpsmlBC_Com,0,23,1,13),N(OFFSET(tpSurvAll_Com,0,20-OFFSET(_i,0,0,1,13),1,1)))</f>
        <v>2.7333519195197526</v>
      </c>
      <c r="AV105" s="40">
        <f ca="1">SUMPRODUCT(OFFSET(tShpsmlBC_Com,0,24,1,12),N(OFFSET(tpSurvAll_Com,0,20-OFFSET(_i,0,0,1,12),1,1)))</f>
        <v>1.5468760209202861</v>
      </c>
      <c r="AW105" s="40">
        <f ca="1">SUMPRODUCT(OFFSET(tShpsmlBC_Com,0,25,1,11),N(OFFSET(tpSurvAll_Com,0,20-OFFSET(_i,0,0,1,11),1,1)))</f>
        <v>0.79206184533351831</v>
      </c>
      <c r="AX105" s="40">
        <f ca="1">SUMPRODUCT(OFFSET(tShpsmlBC_Com,0,26,1,10),N(OFFSET(tpSurvAll_Com,0,20-OFFSET(_i,0,0,1,10),1,1)))</f>
        <v>0.36222639149259855</v>
      </c>
      <c r="AY105" s="40">
        <f ca="1">SUMPRODUCT(OFFSET(tShpsmlBC_Com,0,27,1,9),N(OFFSET(tpSurvAll_Com,0,20-OFFSET(_i,0,0,1,9),1,1)))</f>
        <v>0.14581975471833947</v>
      </c>
      <c r="AZ105" s="40">
        <f ca="1">SUMPRODUCT(OFFSET(tShpsmlBC_Com,0,28,1,8),N(OFFSET(tpSurvAll_Com,0,20-OFFSET(_i,0,0,1,8),1,1)))</f>
        <v>5.0711728892133434E-2</v>
      </c>
      <c r="BA105" s="40">
        <f ca="1">SUMPRODUCT(OFFSET(tShpsmlBC_Com,0,29,1,7),N(OFFSET(tpSurvAll_Com,0,20-OFFSET(_i,0,0,1,7),1,1)))</f>
        <v>1.4700583487087821E-2</v>
      </c>
      <c r="BB105" s="40">
        <f ca="1">SUMPRODUCT(OFFSET(tShpsmlBC_Com,0,30,1,6),N(OFFSET(tpSurvAll_Com,0,20-OFFSET(_i,0,0,1,6),1,1)))</f>
        <v>3.1153438118148719E-3</v>
      </c>
      <c r="BC105" s="40">
        <f ca="1">SUMPRODUCT(OFFSET(tShpsmlBC_Com,0,31,1,5),N(OFFSET(tpSurvAll_Com,0,20-OFFSET(_i,0,0,1,5),1,1)))</f>
        <v>0</v>
      </c>
      <c r="BD105" s="40">
        <f ca="1">SUMPRODUCT(OFFSET(tShpsmlBC_Com,0,32,1,4),N(OFFSET(tpSurvAll_Com,0,20-OFFSET(_i,0,0,1,4),1,1)))</f>
        <v>0</v>
      </c>
      <c r="BE105" s="40">
        <f ca="1">SUMPRODUCT(OFFSET(tShpsmlBC_Com,0,33,1,3),N(OFFSET(tpSurvAll_Com,0,20-OFFSET(_i,0,0,1,3),1,1)))</f>
        <v>0</v>
      </c>
      <c r="BF105" s="40">
        <f ca="1">SUMPRODUCT(OFFSET(tShpsmlBC_Com,0,34,1,2),N(OFFSET(tpSurvAll_Com,0,20-OFFSET(_i,0,0,1,2),1,1)))</f>
        <v>0</v>
      </c>
      <c r="BG105" s="41">
        <f ca="1">SUMPRODUCT(N(OFFSET(tShpsmlBC_Com,0,35,1,1)),N(OFFSET(tpSurvAll_Com,0,20-OFFSET(_i,0,0,1,1),1,1)))</f>
        <v>0</v>
      </c>
      <c r="BH105" s="8"/>
    </row>
    <row r="106" spans="2:60" x14ac:dyDescent="0.35">
      <c r="B106" s="8"/>
      <c r="C106" s="20" t="str">
        <f>INDEX(_pcName,2)</f>
        <v>CADR 100-149</v>
      </c>
      <c r="D106" s="11" t="str">
        <f>shpUnit</f>
        <v>mi units</v>
      </c>
      <c r="E106" s="40">
        <f ca="1">SUMPRODUCT(N(OFFSET(tShpmedBC_Com,0,0,1,1)),N(OFFSET(tpSurvAll_Com,0,1-OFFSET(_i,0,0,1,1),1,1)))</f>
        <v>0.78842253927431971</v>
      </c>
      <c r="F106" s="40">
        <f ca="1">SUMPRODUCT(OFFSET(tShpmedBC_Com,0,0,1,2),N(OFFSET(tpSurvAll_Com,0,2-OFFSET(_i,0,0,1,2),1,1)))</f>
        <v>1.6115872671764504</v>
      </c>
      <c r="G106" s="40">
        <f ca="1">SUMPRODUCT(OFFSET(tShpmedBC_Com,0,0,1,3),N(OFFSET(tpSurvAll_Com,0,3-OFFSET(_i,0,0,1,3),1,1)))</f>
        <v>2.4639562676737619</v>
      </c>
      <c r="H106" s="40">
        <f ca="1">SUMPRODUCT(OFFSET(tShpmedBC_Com,0,0,1,4),N(OFFSET(tpSurvAll_Com,0,4-OFFSET(_i,0,0,1,4),1,1)))</f>
        <v>3.3348240847029591</v>
      </c>
      <c r="I106" s="40">
        <f ca="1">SUMPRODUCT(OFFSET(tShpmedBC_Com,0,0,1,5),N(OFFSET(tpSurvAll_Com,0,5-OFFSET(_i,0,0,1,5),1,1)))</f>
        <v>4.2068455153800866</v>
      </c>
      <c r="J106" s="40">
        <f ca="1">SUMPRODUCT(OFFSET(tShpmedBC_Com,0,0,1,6),N(OFFSET(tpSurvAll_Com,0,6-OFFSET(_i,0,0,1,6),1,1)))</f>
        <v>5.0579730941886627</v>
      </c>
      <c r="K106" s="40">
        <f ca="1">SUMPRODUCT(OFFSET(tShpmedBC_Com,0,0,1,7),N(OFFSET(tpSurvAll_Com,0,7-OFFSET(_i,0,0,1,7),1,1)))</f>
        <v>5.8654779564106914</v>
      </c>
      <c r="L106" s="40">
        <f ca="1">SUMPRODUCT(OFFSET(tShpmedBC_Com,0,0,1,8),N(OFFSET(tpSurvAll_Com,0,8-OFFSET(_i,0,0,1,8),1,1)))</f>
        <v>6.6109841109947531</v>
      </c>
      <c r="M106" s="40">
        <f ca="1">SUMPRODUCT(OFFSET(tShpmedBC_Com,0,0,1,9),N(OFFSET(tpSurvAll_Com,0,9-OFFSET(_i,0,0,1,9),1,1)))</f>
        <v>7.2852172414489011</v>
      </c>
      <c r="N106" s="40">
        <f ca="1">SUMPRODUCT(OFFSET(tShpmedBC_Com,0,0,1,10),N(OFFSET(tpSurvAll_Com,0,10-OFFSET(_i,0,0,1,10),1,1)))</f>
        <v>7.8904365709816089</v>
      </c>
      <c r="O106" s="40">
        <f ca="1">SUMPRODUCT(OFFSET(tShpmedBC_Com,0,0,1,11),N(OFFSET(tpSurvAll_Com,0,11-OFFSET(_i,0,0,1,11),1,1)))</f>
        <v>8.439415129320647</v>
      </c>
      <c r="P106" s="40">
        <f ca="1">SUMPRODUCT(OFFSET(tShpmedBC_Com,0,0,1,12),N(OFFSET(tpSurvAll_Com,0,12-OFFSET(_i,0,0,1,12),1,1)))</f>
        <v>8.9513891655727402</v>
      </c>
      <c r="Q106" s="40">
        <f ca="1">SUMPRODUCT(OFFSET(tShpmedBC_Com,0,0,1,13),N(OFFSET(tpSurvAll_Com,0,13-OFFSET(_i,0,0,1,13),1,1)))</f>
        <v>9.446715721454126</v>
      </c>
      <c r="R106" s="40">
        <f ca="1">SUMPRODUCT(OFFSET(tShpmedBC_Com,0,0,1,14),N(OFFSET(tpSurvAll_Com,0,14-OFFSET(_i,0,0,1,14),1,1)))</f>
        <v>9.9425399660085887</v>
      </c>
      <c r="S106" s="40">
        <f ca="1">SUMPRODUCT(OFFSET(tShpmedBC_Com,0,0,1,15),N(OFFSET(tpSurvAll_Com,0,15-OFFSET(_i,0,0,1,15),1,1)))</f>
        <v>10.45102308340018</v>
      </c>
      <c r="T106" s="40">
        <f ca="1">SUMPRODUCT(OFFSET(tShpmedBC_Com,0,0,1,16),N(OFFSET(tpSurvAll_Com,0,16-OFFSET(_i,0,0,1,16),1,1)))</f>
        <v>10.979365551490632</v>
      </c>
      <c r="U106" s="40">
        <f ca="1">SUMPRODUCT(OFFSET(tShpmedBC_Com,0,0,1,17),N(OFFSET(tpSurvAll_Com,0,17-OFFSET(_i,0,0,1,17),1,1)))</f>
        <v>11.531713191794289</v>
      </c>
      <c r="V106" s="40">
        <f ca="1">SUMPRODUCT(OFFSET(tShpmedBC_Com,0,0,1,18),N(OFFSET(tpSurvAll_Com,0,18-OFFSET(_i,0,0,1,18),1,1)))</f>
        <v>12.110382395797757</v>
      </c>
      <c r="W106" s="40">
        <f ca="1">SUMPRODUCT(OFFSET(tShpmedBC_Com,0,0,1,19),N(OFFSET(tpSurvAll_Com,0,19-OFFSET(_i,0,0,1,19),1,1)))</f>
        <v>12.71731222668115</v>
      </c>
      <c r="X106" s="40">
        <f ca="1">SUMPRODUCT(OFFSET(tShpmedBC_Com,0,0,1,20),N(OFFSET(tpSurvAll_Com,0,20-OFFSET(_i,0,0,1,20),1,1)))</f>
        <v>13.353909196648868</v>
      </c>
      <c r="Y106" s="40">
        <f ca="1">SUMPRODUCT(OFFSET(tShpmedBC_Com,0,1,1,20),N(OFFSET(tpSurvAll_Com,0,20-OFFSET(_i,0,0,1,20),1,1)))</f>
        <v>14.02160071458699</v>
      </c>
      <c r="Z106" s="40">
        <f ca="1">SUMPRODUCT(OFFSET(tShpmedBC_Com,0,2,1,20),N(OFFSET(tpSurvAll_Com,0,20-OFFSET(_i,0,0,1,20),1,1)))</f>
        <v>14.721866890231274</v>
      </c>
      <c r="AA106" s="40">
        <f ca="1">SUMPRODUCT(OFFSET(tShpmedBC_Com,0,3,1,20),N(OFFSET(tpSurvAll_Com,0,20-OFFSET(_i,0,0,1,20),1,1)))</f>
        <v>15.456255418137939</v>
      </c>
      <c r="AB106" s="40">
        <f ca="1">SUMPRODUCT(OFFSET(tShpmedBC_Com,0,4,1,20),N(OFFSET(tpSurvAll_Com,0,20-OFFSET(_i,0,0,1,20),1,1)))</f>
        <v>16.226398727784048</v>
      </c>
      <c r="AC106" s="40">
        <f ca="1">SUMPRODUCT(OFFSET(tShpmedBC_Com,0,5,1,20),N(OFFSET(tpSurvAll_Com,0,20-OFFSET(_i,0,0,1,20),1,1)))</f>
        <v>17.034024438905963</v>
      </c>
      <c r="AD106" s="40">
        <f ca="1">SUMPRODUCT(OFFSET(tShpmedBC_Com,0,6,1,20),N(OFFSET(tpSurvAll_Com,0,20-OFFSET(_i,0,0,1,20),1,1)))</f>
        <v>17.880958813382914</v>
      </c>
      <c r="AE106" s="40">
        <f ca="1">SUMPRODUCT(OFFSET(tShpmedBC_Com,0,7,1,20),N(OFFSET(tpSurvAll_Com,0,20-OFFSET(_i,0,0,1,20),1,1)))</f>
        <v>18.769126524714199</v>
      </c>
      <c r="AF106" s="40">
        <f ca="1">SUMPRODUCT(OFFSET(tShpmedBC_Com,0,8,1,20),N(OFFSET(tpSurvAll_Com,0,20-OFFSET(_i,0,0,1,20),1,1)))</f>
        <v>19.700549089691091</v>
      </c>
      <c r="AG106" s="40">
        <f ca="1">SUMPRODUCT(OFFSET(tShpmedBC_Com,0,9,1,20),N(OFFSET(tpSurvAll_Com,0,20-OFFSET(_i,0,0,1,20),1,1)))</f>
        <v>20.677344462604434</v>
      </c>
      <c r="AH106" s="40">
        <f ca="1">SUMPRODUCT(OFFSET(tShpmedBC_Com,0,10,1,20),N(OFFSET(tpSurvAll_Com,0,20-OFFSET(_i,0,0,1,20),1,1)))</f>
        <v>21.70172915732368</v>
      </c>
      <c r="AI106" s="40">
        <f ca="1">SUMPRODUCT(OFFSET(tShpmedBC_Com,0,11,1,20),N(OFFSET(tpSurvAll_Com,0,20-OFFSET(_i,0,0,1,20),1,1)))</f>
        <v>22.776022672144585</v>
      </c>
      <c r="AJ106" s="40">
        <f ca="1">SUMPRODUCT(OFFSET(tShpmedBC_Com,0,12,1,20),N(OFFSET(tpSurvAll_Com,0,20-OFFSET(_i,0,0,1,20),1,1)))</f>
        <v>23.902653696037348</v>
      </c>
      <c r="AK106" s="40">
        <f ca="1">SUMPRODUCT(OFFSET(tShpmedBC_Com,0,13,1,20),N(OFFSET(tpSurvAll_Com,0,20-OFFSET(_i,0,0,1,20),1,1)))</f>
        <v>25.084167753790606</v>
      </c>
      <c r="AL106" s="40">
        <f ca="1">SUMPRODUCT(OFFSET(tShpmedBC_Com,0,14,1,20),N(OFFSET(tpSurvAll_Com,0,20-OFFSET(_i,0,0,1,20),1,1)))</f>
        <v>26.32323376423577</v>
      </c>
      <c r="AM106" s="40">
        <f ca="1">SUMPRODUCT(OFFSET(tShpmedBC_Com,0,15,1,20),N(OFFSET(tpSurvAll_Com,0,20-OFFSET(_i,0,0,1,20),1,1)))</f>
        <v>23.483099841632136</v>
      </c>
      <c r="AN106" s="40">
        <f ca="1">SUMPRODUCT(OFFSET(tShpmedBC_Com,0,16,1,20),N(OFFSET(tpSurvAll_Com,0,20-OFFSET(_i,0,0,1,20),1,1)))</f>
        <v>20.514463068003568</v>
      </c>
      <c r="AO106" s="40">
        <f ca="1">SUMPRODUCT(OFFSET(tShpmedBC_Com,0,17,1,19),N(OFFSET(tpSurvAll_Com,0,20-OFFSET(_i,0,0,1,19),1,1)))</f>
        <v>17.453779085379693</v>
      </c>
      <c r="AP106" s="40">
        <f ca="1">SUMPRODUCT(OFFSET(tShpmedBC_Com,0,18,1,18),N(OFFSET(tpSurvAll_Com,0,20-OFFSET(_i,0,0,1,18),1,1)))</f>
        <v>14.372446907377858</v>
      </c>
      <c r="AQ106" s="40">
        <f ca="1">SUMPRODUCT(OFFSET(tShpmedBC_Com,0,19,1,17),N(OFFSET(tpSurvAll_Com,0,20-OFFSET(_i,0,0,1,17),1,1)))</f>
        <v>11.373756788032523</v>
      </c>
      <c r="AR106" s="40">
        <f ca="1">SUMPRODUCT(OFFSET(tShpmedBC_Com,0,20,1,16),N(OFFSET(tpSurvAll_Com,0,20-OFFSET(_i,0,0,1,16),1,1)))</f>
        <v>8.581256907790447</v>
      </c>
      <c r="AS106" s="40">
        <f ca="1">SUMPRODUCT(OFFSET(tShpmedBC_Com,0,21,1,15),N(OFFSET(tpSurvAll_Com,0,20-OFFSET(_i,0,0,1,15),1,1)))</f>
        <v>6.1183533686247884</v>
      </c>
      <c r="AT106" s="40">
        <f ca="1">SUMPRODUCT(OFFSET(tShpmedBC_Com,0,22,1,14),N(OFFSET(tpSurvAll_Com,0,20-OFFSET(_i,0,0,1,14),1,1)))</f>
        <v>4.0827099058360332</v>
      </c>
      <c r="AU106" s="40">
        <f ca="1">SUMPRODUCT(OFFSET(tShpmedBC_Com,0,23,1,13),N(OFFSET(tpSurvAll_Com,0,20-OFFSET(_i,0,0,1,13),1,1)))</f>
        <v>2.5230940795566941</v>
      </c>
      <c r="AV106" s="40">
        <f ca="1">SUMPRODUCT(OFFSET(tShpmedBC_Com,0,24,1,12),N(OFFSET(tpSurvAll_Com,0,20-OFFSET(_i,0,0,1,12),1,1)))</f>
        <v>1.4278855577725715</v>
      </c>
      <c r="AW106" s="40">
        <f ca="1">SUMPRODUCT(OFFSET(tShpmedBC_Com,0,25,1,11),N(OFFSET(tpSurvAll_Com,0,20-OFFSET(_i,0,0,1,11),1,1)))</f>
        <v>0.73113401107709375</v>
      </c>
      <c r="AX106" s="40">
        <f ca="1">SUMPRODUCT(OFFSET(tShpmedBC_Com,0,26,1,10),N(OFFSET(tpSurvAll_Com,0,20-OFFSET(_i,0,0,1,10),1,1)))</f>
        <v>0.33436282291624481</v>
      </c>
      <c r="AY106" s="40">
        <f ca="1">SUMPRODUCT(OFFSET(tShpmedBC_Com,0,27,1,9),N(OFFSET(tpSurvAll_Com,0,20-OFFSET(_i,0,0,1,9),1,1)))</f>
        <v>0.13460285050923643</v>
      </c>
      <c r="AZ106" s="40">
        <f ca="1">SUMPRODUCT(OFFSET(tShpmedBC_Com,0,28,1,8),N(OFFSET(tpSurvAll_Com,0,20-OFFSET(_i,0,0,1,8),1,1)))</f>
        <v>4.6810826669661632E-2</v>
      </c>
      <c r="BA106" s="40">
        <f ca="1">SUMPRODUCT(OFFSET(tShpmedBC_Com,0,29,1,7),N(OFFSET(tpSurvAll_Com,0,20-OFFSET(_i,0,0,1,7),1,1)))</f>
        <v>1.3569769372696449E-2</v>
      </c>
      <c r="BB106" s="40">
        <f ca="1">SUMPRODUCT(OFFSET(tShpmedBC_Com,0,30,1,6),N(OFFSET(tpSurvAll_Com,0,20-OFFSET(_i,0,0,1,6),1,1)))</f>
        <v>2.8757019801368042E-3</v>
      </c>
      <c r="BC106" s="40">
        <f ca="1">SUMPRODUCT(OFFSET(tShpmedBC_Com,0,31,1,5),N(OFFSET(tpSurvAll_Com,0,20-OFFSET(_i,0,0,1,5),1,1)))</f>
        <v>0</v>
      </c>
      <c r="BD106" s="40">
        <f ca="1">SUMPRODUCT(OFFSET(tShpmedBC_Com,0,32,1,4),N(OFFSET(tpSurvAll_Com,0,20-OFFSET(_i,0,0,1,4),1,1)))</f>
        <v>0</v>
      </c>
      <c r="BE106" s="40">
        <f ca="1">SUMPRODUCT(OFFSET(tShpmedBC_Com,0,33,1,3),N(OFFSET(tpSurvAll_Com,0,20-OFFSET(_i,0,0,1,3),1,1)))</f>
        <v>0</v>
      </c>
      <c r="BF106" s="40">
        <f ca="1">SUMPRODUCT(OFFSET(tShpmedBC_Com,0,34,1,2),N(OFFSET(tpSurvAll_Com,0,20-OFFSET(_i,0,0,1,2),1,1)))</f>
        <v>0</v>
      </c>
      <c r="BG106" s="41">
        <f ca="1">SUMPRODUCT(N(OFFSET(tShpmedBC_Com,0,35,1,1)),N(OFFSET(tpSurvAll_Com,0,20-OFFSET(_i,0,0,1,1),1,1)))</f>
        <v>0</v>
      </c>
      <c r="BH106" s="8"/>
    </row>
    <row r="107" spans="2:60" x14ac:dyDescent="0.35">
      <c r="B107" s="8"/>
      <c r="C107" s="20" t="str">
        <f>INDEX(_pcName,3)</f>
        <v>CADR 150+</v>
      </c>
      <c r="D107" s="11" t="str">
        <f>shpUnit</f>
        <v>mi units</v>
      </c>
      <c r="E107" s="40">
        <f ca="1">SUMPRODUCT(N(OFFSET(tShplrgBC_Com,0,0,1,1)),N(OFFSET(tpSurvAll_Com,0,1-OFFSET(_i,0,0,1,1),1,1)))</f>
        <v>1.6425469568214994</v>
      </c>
      <c r="F107" s="40">
        <f ca="1">SUMPRODUCT(OFFSET(tShplrgBC_Com,0,0,1,2),N(OFFSET(tpSurvAll_Com,0,2-OFFSET(_i,0,0,1,2),1,1)))</f>
        <v>3.3574734732842719</v>
      </c>
      <c r="G107" s="40">
        <f ca="1">SUMPRODUCT(OFFSET(tShplrgBC_Com,0,0,1,3),N(OFFSET(tpSurvAll_Com,0,3-OFFSET(_i,0,0,1,3),1,1)))</f>
        <v>5.1332422243203375</v>
      </c>
      <c r="H107" s="40">
        <f ca="1">SUMPRODUCT(OFFSET(tShplrgBC_Com,0,0,1,4),N(OFFSET(tpSurvAll_Com,0,4-OFFSET(_i,0,0,1,4),1,1)))</f>
        <v>6.9475501764644978</v>
      </c>
      <c r="I107" s="40">
        <f ca="1">SUMPRODUCT(OFFSET(tShplrgBC_Com,0,0,1,5),N(OFFSET(tpSurvAll_Com,0,5-OFFSET(_i,0,0,1,5),1,1)))</f>
        <v>8.7642614903751799</v>
      </c>
      <c r="J107" s="40">
        <f ca="1">SUMPRODUCT(OFFSET(tShplrgBC_Com,0,0,1,6),N(OFFSET(tpSurvAll_Com,0,6-OFFSET(_i,0,0,1,6),1,1)))</f>
        <v>10.53744394622638</v>
      </c>
      <c r="K107" s="40">
        <f ca="1">SUMPRODUCT(OFFSET(tShplrgBC_Com,0,0,1,7),N(OFFSET(tpSurvAll_Com,0,7-OFFSET(_i,0,0,1,7),1,1)))</f>
        <v>12.219745742522274</v>
      </c>
      <c r="L107" s="40">
        <f ca="1">SUMPRODUCT(OFFSET(tShplrgBC_Com,0,0,1,8),N(OFFSET(tpSurvAll_Com,0,8-OFFSET(_i,0,0,1,8),1,1)))</f>
        <v>13.7728835645724</v>
      </c>
      <c r="M107" s="40">
        <f ca="1">SUMPRODUCT(OFFSET(tShplrgBC_Com,0,0,1,9),N(OFFSET(tpSurvAll_Com,0,9-OFFSET(_i,0,0,1,9),1,1)))</f>
        <v>15.177535919685212</v>
      </c>
      <c r="N107" s="40">
        <f ca="1">SUMPRODUCT(OFFSET(tShplrgBC_Com,0,0,1,10),N(OFFSET(tpSurvAll_Com,0,10-OFFSET(_i,0,0,1,10),1,1)))</f>
        <v>16.438409522878352</v>
      </c>
      <c r="O107" s="40">
        <f ca="1">SUMPRODUCT(OFFSET(tShplrgBC_Com,0,0,1,11),N(OFFSET(tpSurvAll_Com,0,11-OFFSET(_i,0,0,1,11),1,1)))</f>
        <v>17.582114852751349</v>
      </c>
      <c r="P107" s="40">
        <f ca="1">SUMPRODUCT(OFFSET(tShplrgBC_Com,0,0,1,12),N(OFFSET(tpSurvAll_Com,0,12-OFFSET(_i,0,0,1,12),1,1)))</f>
        <v>18.648727428276544</v>
      </c>
      <c r="Q107" s="40">
        <f ca="1">SUMPRODUCT(OFFSET(tShplrgBC_Com,0,0,1,13),N(OFFSET(tpSurvAll_Com,0,13-OFFSET(_i,0,0,1,13),1,1)))</f>
        <v>19.680657753029426</v>
      </c>
      <c r="R107" s="40">
        <f ca="1">SUMPRODUCT(OFFSET(tShplrgBC_Com,0,0,1,14),N(OFFSET(tpSurvAll_Com,0,14-OFFSET(_i,0,0,1,14),1,1)))</f>
        <v>20.713624929184562</v>
      </c>
      <c r="S107" s="40">
        <f ca="1">SUMPRODUCT(OFFSET(tShplrgBC_Com,0,0,1,15),N(OFFSET(tpSurvAll_Com,0,15-OFFSET(_i,0,0,1,15),1,1)))</f>
        <v>21.772964757083709</v>
      </c>
      <c r="T107" s="40">
        <f ca="1">SUMPRODUCT(OFFSET(tShplrgBC_Com,0,0,1,16),N(OFFSET(tpSurvAll_Com,0,16-OFFSET(_i,0,0,1,16),1,1)))</f>
        <v>22.873678232272148</v>
      </c>
      <c r="U107" s="40">
        <f ca="1">SUMPRODUCT(OFFSET(tShplrgBC_Com,0,0,1,17),N(OFFSET(tpSurvAll_Com,0,17-OFFSET(_i,0,0,1,17),1,1)))</f>
        <v>24.024402482904769</v>
      </c>
      <c r="V107" s="40">
        <f ca="1">SUMPRODUCT(OFFSET(tShplrgBC_Com,0,0,1,18),N(OFFSET(tpSurvAll_Com,0,18-OFFSET(_i,0,0,1,18),1,1)))</f>
        <v>25.229963324578655</v>
      </c>
      <c r="W107" s="40">
        <f ca="1">SUMPRODUCT(OFFSET(tShplrgBC_Com,0,0,1,19),N(OFFSET(tpSurvAll_Com,0,19-OFFSET(_i,0,0,1,19),1,1)))</f>
        <v>26.494400472252398</v>
      </c>
      <c r="X107" s="40">
        <f ca="1">SUMPRODUCT(OFFSET(tShplrgBC_Com,0,0,1,20),N(OFFSET(tpSurvAll_Com,0,20-OFFSET(_i,0,0,1,20),1,1)))</f>
        <v>27.820644159685141</v>
      </c>
      <c r="Y107" s="40">
        <f ca="1">SUMPRODUCT(OFFSET(tShplrgBC_Com,0,1,1,20),N(OFFSET(tpSurvAll_Com,0,20-OFFSET(_i,0,0,1,20),1,1)))</f>
        <v>29.211668155389567</v>
      </c>
      <c r="Z107" s="40">
        <f ca="1">SUMPRODUCT(OFFSET(tShplrgBC_Com,0,2,1,20),N(OFFSET(tpSurvAll_Com,0,20-OFFSET(_i,0,0,1,20),1,1)))</f>
        <v>30.670556021315154</v>
      </c>
      <c r="AA107" s="40">
        <f ca="1">SUMPRODUCT(OFFSET(tShplrgBC_Com,0,3,1,20),N(OFFSET(tpSurvAll_Com,0,20-OFFSET(_i,0,0,1,20),1,1)))</f>
        <v>32.200532121120709</v>
      </c>
      <c r="AB107" s="40">
        <f ca="1">SUMPRODUCT(OFFSET(tShplrgBC_Com,0,4,1,20),N(OFFSET(tpSurvAll_Com,0,20-OFFSET(_i,0,0,1,20),1,1)))</f>
        <v>33.804997349550099</v>
      </c>
      <c r="AC107" s="40">
        <f ca="1">SUMPRODUCT(OFFSET(tShplrgBC_Com,0,5,1,20),N(OFFSET(tpSurvAll_Com,0,20-OFFSET(_i,0,0,1,20),1,1)))</f>
        <v>35.487550914387427</v>
      </c>
      <c r="AD107" s="40">
        <f ca="1">SUMPRODUCT(OFFSET(tShplrgBC_Com,0,6,1,20),N(OFFSET(tpSurvAll_Com,0,20-OFFSET(_i,0,0,1,20),1,1)))</f>
        <v>37.251997527881066</v>
      </c>
      <c r="AE107" s="40">
        <f ca="1">SUMPRODUCT(OFFSET(tShplrgBC_Com,0,7,1,20),N(OFFSET(tpSurvAll_Com,0,20-OFFSET(_i,0,0,1,20),1,1)))</f>
        <v>39.102346926487925</v>
      </c>
      <c r="AF107" s="40">
        <f ca="1">SUMPRODUCT(OFFSET(tShplrgBC_Com,0,8,1,20),N(OFFSET(tpSurvAll_Com,0,20-OFFSET(_i,0,0,1,20),1,1)))</f>
        <v>41.042810603523115</v>
      </c>
      <c r="AG107" s="40">
        <f ca="1">SUMPRODUCT(OFFSET(tShplrgBC_Com,0,9,1,20),N(OFFSET(tpSurvAll_Com,0,20-OFFSET(_i,0,0,1,20),1,1)))</f>
        <v>43.077800963759231</v>
      </c>
      <c r="AH107" s="40">
        <f ca="1">SUMPRODUCT(OFFSET(tShplrgBC_Com,0,10,1,20),N(OFFSET(tpSurvAll_Com,0,20-OFFSET(_i,0,0,1,20),1,1)))</f>
        <v>45.211935744424338</v>
      </c>
      <c r="AI107" s="40">
        <f ca="1">SUMPRODUCT(OFFSET(tShplrgBC_Com,0,11,1,20),N(OFFSET(tpSurvAll_Com,0,20-OFFSET(_i,0,0,1,20),1,1)))</f>
        <v>47.450047233634542</v>
      </c>
      <c r="AJ107" s="40">
        <f ca="1">SUMPRODUCT(OFFSET(tShplrgBC_Com,0,12,1,20),N(OFFSET(tpSurvAll_Com,0,20-OFFSET(_i,0,0,1,20),1,1)))</f>
        <v>49.797195200077809</v>
      </c>
      <c r="AK107" s="40">
        <f ca="1">SUMPRODUCT(OFFSET(tShplrgBC_Com,0,13,1,20),N(OFFSET(tpSurvAll_Com,0,20-OFFSET(_i,0,0,1,20),1,1)))</f>
        <v>52.258682820397091</v>
      </c>
      <c r="AL107" s="40">
        <f ca="1">SUMPRODUCT(OFFSET(tShplrgBC_Com,0,14,1,20),N(OFFSET(tpSurvAll_Com,0,20-OFFSET(_i,0,0,1,20),1,1)))</f>
        <v>54.840070342157858</v>
      </c>
      <c r="AM107" s="40">
        <f ca="1">SUMPRODUCT(OFFSET(tShplrgBC_Com,0,15,1,20),N(OFFSET(tpSurvAll_Com,0,20-OFFSET(_i,0,0,1,20),1,1)))</f>
        <v>48.923124670066947</v>
      </c>
      <c r="AN107" s="40">
        <f ca="1">SUMPRODUCT(OFFSET(tShplrgBC_Com,0,16,1,20),N(OFFSET(tpSurvAll_Com,0,20-OFFSET(_i,0,0,1,20),1,1)))</f>
        <v>42.738464725007432</v>
      </c>
      <c r="AO107" s="40">
        <f ca="1">SUMPRODUCT(OFFSET(tShplrgBC_Com,0,17,1,19),N(OFFSET(tpSurvAll_Com,0,20-OFFSET(_i,0,0,1,19),1,1)))</f>
        <v>36.36203976120769</v>
      </c>
      <c r="AP107" s="40">
        <f ca="1">SUMPRODUCT(OFFSET(tShplrgBC_Com,0,18,1,18),N(OFFSET(tpSurvAll_Com,0,20-OFFSET(_i,0,0,1,18),1,1)))</f>
        <v>29.942597723703873</v>
      </c>
      <c r="AQ107" s="40">
        <f ca="1">SUMPRODUCT(OFFSET(tShplrgBC_Com,0,19,1,17),N(OFFSET(tpSurvAll_Com,0,20-OFFSET(_i,0,0,1,17),1,1)))</f>
        <v>23.695326641734425</v>
      </c>
      <c r="AR107" s="40">
        <f ca="1">SUMPRODUCT(OFFSET(tShplrgBC_Com,0,20,1,16),N(OFFSET(tpSurvAll_Com,0,20-OFFSET(_i,0,0,1,16),1,1)))</f>
        <v>17.877618557896763</v>
      </c>
      <c r="AS107" s="40">
        <f ca="1">SUMPRODUCT(OFFSET(tShplrgBC_Com,0,21,1,15),N(OFFSET(tpSurvAll_Com,0,20-OFFSET(_i,0,0,1,15),1,1)))</f>
        <v>12.746569517968309</v>
      </c>
      <c r="AT107" s="40">
        <f ca="1">SUMPRODUCT(OFFSET(tShplrgBC_Com,0,22,1,14),N(OFFSET(tpSurvAll_Com,0,20-OFFSET(_i,0,0,1,14),1,1)))</f>
        <v>8.5056456371584019</v>
      </c>
      <c r="AU107" s="40">
        <f ca="1">SUMPRODUCT(OFFSET(tShplrgBC_Com,0,23,1,13),N(OFFSET(tpSurvAll_Com,0,20-OFFSET(_i,0,0,1,13),1,1)))</f>
        <v>5.2564459990764476</v>
      </c>
      <c r="AV107" s="40">
        <f ca="1">SUMPRODUCT(OFFSET(tShplrgBC_Com,0,24,1,12),N(OFFSET(tpSurvAll_Com,0,20-OFFSET(_i,0,0,1,12),1,1)))</f>
        <v>2.9747615786928581</v>
      </c>
      <c r="AW107" s="40">
        <f ca="1">SUMPRODUCT(OFFSET(tShplrgBC_Com,0,25,1,11),N(OFFSET(tpSurvAll_Com,0,20-OFFSET(_i,0,0,1,11),1,1)))</f>
        <v>1.5231958564106121</v>
      </c>
      <c r="AX107" s="40">
        <f ca="1">SUMPRODUCT(OFFSET(tShplrgBC_Com,0,26,1,10),N(OFFSET(tpSurvAll_Com,0,20-OFFSET(_i,0,0,1,10),1,1)))</f>
        <v>0.69658921440884325</v>
      </c>
      <c r="AY107" s="40">
        <f ca="1">SUMPRODUCT(OFFSET(tShplrgBC_Com,0,27,1,9),N(OFFSET(tpSurvAll_Com,0,20-OFFSET(_i,0,0,1,9),1,1)))</f>
        <v>0.28042260522757589</v>
      </c>
      <c r="AZ107" s="40">
        <f ca="1">SUMPRODUCT(OFFSET(tShplrgBC_Com,0,28,1,8),N(OFFSET(tpSurvAll_Com,0,20-OFFSET(_i,0,0,1,8),1,1)))</f>
        <v>9.7522555561795052E-2</v>
      </c>
      <c r="BA107" s="40">
        <f ca="1">SUMPRODUCT(OFFSET(tShplrgBC_Com,0,29,1,7),N(OFFSET(tpSurvAll_Com,0,20-OFFSET(_i,0,0,1,7),1,1)))</f>
        <v>2.827035285978427E-2</v>
      </c>
      <c r="BB107" s="40">
        <f ca="1">SUMPRODUCT(OFFSET(tShplrgBC_Com,0,30,1,6),N(OFFSET(tpSurvAll_Com,0,20-OFFSET(_i,0,0,1,6),1,1)))</f>
        <v>5.9910457919516756E-3</v>
      </c>
      <c r="BC107" s="40">
        <f ca="1">SUMPRODUCT(OFFSET(tShplrgBC_Com,0,31,1,5),N(OFFSET(tpSurvAll_Com,0,20-OFFSET(_i,0,0,1,5),1,1)))</f>
        <v>0</v>
      </c>
      <c r="BD107" s="40">
        <f ca="1">SUMPRODUCT(OFFSET(tShplrgBC_Com,0,32,1,4),N(OFFSET(tpSurvAll_Com,0,20-OFFSET(_i,0,0,1,4),1,1)))</f>
        <v>0</v>
      </c>
      <c r="BE107" s="40">
        <f ca="1">SUMPRODUCT(OFFSET(tShplrgBC_Com,0,33,1,3),N(OFFSET(tpSurvAll_Com,0,20-OFFSET(_i,0,0,1,3),1,1)))</f>
        <v>0</v>
      </c>
      <c r="BF107" s="40">
        <f ca="1">SUMPRODUCT(OFFSET(tShplrgBC_Com,0,34,1,2),N(OFFSET(tpSurvAll_Com,0,20-OFFSET(_i,0,0,1,2),1,1)))</f>
        <v>0</v>
      </c>
      <c r="BG107" s="41">
        <f ca="1">SUMPRODUCT(N(OFFSET(tShplrgBC_Com,0,35,1,1)),N(OFFSET(tpSurvAll_Com,0,20-OFFSET(_i,0,0,1,1),1,1)))</f>
        <v>0</v>
      </c>
      <c r="BH107" s="8"/>
    </row>
    <row r="108" spans="2:60" x14ac:dyDescent="0.35">
      <c r="B108" s="8"/>
      <c r="C108" s="42" t="str">
        <f>"Standards Case [TSL " &amp; sTSL &amp; "]"</f>
        <v>Standards Case [TSL 3]</v>
      </c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8"/>
      <c r="BH108" s="8"/>
    </row>
    <row r="109" spans="2:60" x14ac:dyDescent="0.35">
      <c r="B109" s="8"/>
      <c r="C109" s="47" t="s">
        <v>66</v>
      </c>
      <c r="D109" s="11" t="str">
        <f>shpUnit</f>
        <v>mi units</v>
      </c>
      <c r="E109" s="40">
        <f t="array" aca="1" ref="E109:BG109" ca="1">tStksmlStd_Com+tStkmedStd_Com+tStklrgStd_Com</f>
        <v>3.2777227565088545</v>
      </c>
      <c r="F109" s="40">
        <f ca="1"/>
        <v>6.70164748053796</v>
      </c>
      <c r="G109" s="40">
        <f ca="1"/>
        <v>10.236089698973505</v>
      </c>
      <c r="H109" s="40">
        <f ca="1"/>
        <v>13.84945200798915</v>
      </c>
      <c r="I109" s="40">
        <f ca="1"/>
        <v>17.469898697098575</v>
      </c>
      <c r="J109" s="40">
        <f ca="1"/>
        <v>21.004173253097878</v>
      </c>
      <c r="K109" s="40">
        <f ca="1"/>
        <v>24.358006404439973</v>
      </c>
      <c r="L109" s="40">
        <f ca="1"/>
        <v>27.455236777433253</v>
      </c>
      <c r="M109" s="40">
        <f ca="1"/>
        <v>30.257510223634192</v>
      </c>
      <c r="N109" s="40">
        <f ca="1"/>
        <v>32.77434433604494</v>
      </c>
      <c r="O109" s="40">
        <f ca="1"/>
        <v>35.058056511223903</v>
      </c>
      <c r="P109" s="40">
        <f ca="1"/>
        <v>37.188448436347457</v>
      </c>
      <c r="Q109" s="40">
        <f ca="1"/>
        <v>39.249903160872755</v>
      </c>
      <c r="R109" s="40">
        <f ca="1"/>
        <v>41.313437082642807</v>
      </c>
      <c r="S109" s="40">
        <f ca="1"/>
        <v>43.429397613645925</v>
      </c>
      <c r="T109" s="40">
        <f ca="1"/>
        <v>45.62759991943453</v>
      </c>
      <c r="U109" s="40">
        <f ca="1"/>
        <v>47.925253829599498</v>
      </c>
      <c r="V109" s="40">
        <f ca="1"/>
        <v>50.332033376866491</v>
      </c>
      <c r="W109" s="40">
        <f ca="1"/>
        <v>52.856079724019835</v>
      </c>
      <c r="X109" s="40">
        <f ca="1"/>
        <v>55.503330162547861</v>
      </c>
      <c r="Y109" s="40">
        <f ca="1"/>
        <v>58.279687989204817</v>
      </c>
      <c r="Z109" s="40">
        <f ca="1"/>
        <v>61.191358585556998</v>
      </c>
      <c r="AA109" s="40">
        <f ca="1"/>
        <v>64.244809486619531</v>
      </c>
      <c r="AB109" s="40">
        <f ca="1"/>
        <v>67.446846104967833</v>
      </c>
      <c r="AC109" s="40">
        <f ca="1"/>
        <v>70.804662021923349</v>
      </c>
      <c r="AD109" s="40">
        <f ca="1"/>
        <v>74.325858413723267</v>
      </c>
      <c r="AE109" s="40">
        <f ca="1"/>
        <v>78.018446318181134</v>
      </c>
      <c r="AF109" s="40">
        <f ca="1"/>
        <v>81.890841392112122</v>
      </c>
      <c r="AG109" s="40">
        <f ca="1"/>
        <v>85.951861479833639</v>
      </c>
      <c r="AH109" s="40">
        <f ca="1"/>
        <v>90.210734521013762</v>
      </c>
      <c r="AI109" s="40">
        <f ca="1"/>
        <v>94.677115587590663</v>
      </c>
      <c r="AJ109" s="40">
        <f ca="1"/>
        <v>99.361111819073159</v>
      </c>
      <c r="AK109" s="40">
        <f ca="1"/>
        <v>104.27331401298693</v>
      </c>
      <c r="AL109" s="40">
        <f ca="1"/>
        <v>109.42482425830835</v>
      </c>
      <c r="AM109" s="40">
        <f ca="1"/>
        <v>97.618743326664273</v>
      </c>
      <c r="AN109" s="40">
        <f ca="1"/>
        <v>85.278404623233513</v>
      </c>
      <c r="AO109" s="40">
        <f ca="1"/>
        <v>72.555351583519155</v>
      </c>
      <c r="AP109" s="40">
        <f ca="1"/>
        <v>59.746391537820813</v>
      </c>
      <c r="AQ109" s="40">
        <f ca="1"/>
        <v>47.280908855968669</v>
      </c>
      <c r="AR109" s="40">
        <f ca="1"/>
        <v>35.672505209274206</v>
      </c>
      <c r="AS109" s="40">
        <f ca="1"/>
        <v>25.43419541276662</v>
      </c>
      <c r="AT109" s="40">
        <f ca="1"/>
        <v>16.971984556011872</v>
      </c>
      <c r="AU109" s="40">
        <f ca="1"/>
        <v>10.488614617339646</v>
      </c>
      <c r="AV109" s="40">
        <f ca="1"/>
        <v>5.935790851178476</v>
      </c>
      <c r="AW109" s="40">
        <f ca="1"/>
        <v>3.0393633050740734</v>
      </c>
      <c r="AX109" s="40">
        <f ca="1"/>
        <v>1.3899654233651777</v>
      </c>
      <c r="AY109" s="40">
        <f ca="1"/>
        <v>0.55955221268569766</v>
      </c>
      <c r="AZ109" s="40">
        <f ca="1"/>
        <v>0.1945955976491886</v>
      </c>
      <c r="BA109" s="40">
        <f ca="1"/>
        <v>5.6410450843647507E-2</v>
      </c>
      <c r="BB109" s="40">
        <f ca="1"/>
        <v>1.1954505247992984E-2</v>
      </c>
      <c r="BC109" s="40">
        <f ca="1"/>
        <v>0</v>
      </c>
      <c r="BD109" s="40">
        <f ca="1"/>
        <v>0</v>
      </c>
      <c r="BE109" s="40">
        <f ca="1"/>
        <v>0</v>
      </c>
      <c r="BF109" s="40">
        <f ca="1"/>
        <v>0</v>
      </c>
      <c r="BG109" s="41">
        <f ca="1"/>
        <v>0</v>
      </c>
      <c r="BH109" s="8"/>
    </row>
    <row r="110" spans="2:60" x14ac:dyDescent="0.35">
      <c r="B110" s="8"/>
      <c r="C110" s="47" t="s">
        <v>67</v>
      </c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18"/>
      <c r="BH110" s="8"/>
    </row>
    <row r="111" spans="2:60" x14ac:dyDescent="0.35">
      <c r="B111" s="8"/>
      <c r="C111" s="20" t="str">
        <f>INDEX(_pcName,1)</f>
        <v>CADR 10-99</v>
      </c>
      <c r="D111" s="11" t="str">
        <f>shpUnit</f>
        <v>mi units</v>
      </c>
      <c r="E111" s="40">
        <f ca="1">SUMPRODUCT(N(OFFSET(tShpsmlStd_Com,0,0,1,1)),N(OFFSET(tpSurvAll_Com,0,1-OFFSET(_i,0,0,1,1),1,1)))</f>
        <v>0.85120678549169493</v>
      </c>
      <c r="F111" s="40">
        <f ca="1">SUMPRODUCT(OFFSET(tShpsmlStd_Com,0,0,1,2),N(OFFSET(tpSurvAll_Com,0,2-OFFSET(_i,0,0,1,2),1,1)))</f>
        <v>1.7406239449359622</v>
      </c>
      <c r="G111" s="40">
        <f ca="1">SUMPRODUCT(OFFSET(tShpsmlStd_Com,0,0,1,3),N(OFFSET(tpSurvAll_Com,0,3-OFFSET(_i,0,0,1,3),1,1)))</f>
        <v>2.6564761391544183</v>
      </c>
      <c r="H111" s="40">
        <f ca="1">SUMPRODUCT(OFFSET(tShpsmlStd_Com,0,0,1,4),N(OFFSET(tpSurvAll_Com,0,4-OFFSET(_i,0,0,1,4),1,1)))</f>
        <v>3.5931633199577222</v>
      </c>
      <c r="I111" s="40">
        <f ca="1">SUMPRODUCT(OFFSET(tShpsmlStd_Com,0,0,1,5),N(OFFSET(tpSurvAll_Com,0,5-OFFSET(_i,0,0,1,5),1,1)))</f>
        <v>4.5320849211279253</v>
      </c>
      <c r="J111" s="40">
        <f ca="1">SUMPRODUCT(OFFSET(tShpsmlStd_Com,0,0,1,6),N(OFFSET(tpSurvAll_Com,0,6-OFFSET(_i,0,0,1,6),1,1)))</f>
        <v>5.4487381473963348</v>
      </c>
      <c r="K111" s="40">
        <f ca="1">SUMPRODUCT(OFFSET(tShpsmlStd_Com,0,0,1,7),N(OFFSET(tpSurvAll_Com,0,7-OFFSET(_i,0,0,1,7),1,1)))</f>
        <v>6.318691645988765</v>
      </c>
      <c r="L111" s="40">
        <f ca="1">SUMPRODUCT(OFFSET(tShpsmlStd_Com,0,0,1,8),N(OFFSET(tpSurvAll_Com,0,8-OFFSET(_i,0,0,1,8),1,1)))</f>
        <v>7.1222205976190711</v>
      </c>
      <c r="M111" s="40">
        <f ca="1">SUMPRODUCT(OFFSET(tShpsmlStd_Com,0,0,1,9),N(OFFSET(tpSurvAll_Com,0,9-OFFSET(_i,0,0,1,9),1,1)))</f>
        <v>7.8494127158937363</v>
      </c>
      <c r="N111" s="40">
        <f ca="1">SUMPRODUCT(OFFSET(tShpsmlStd_Com,0,0,1,10),N(OFFSET(tpSurvAll_Com,0,10-OFFSET(_i,0,0,1,10),1,1)))</f>
        <v>8.502771350499879</v>
      </c>
      <c r="O111" s="40">
        <f ca="1">SUMPRODUCT(OFFSET(tShpsmlStd_Com,0,0,1,11),N(OFFSET(tpSurvAll_Com,0,11-OFFSET(_i,0,0,1,11),1,1)))</f>
        <v>9.0957417575061541</v>
      </c>
      <c r="P111" s="40">
        <f ca="1">SUMPRODUCT(OFFSET(tShpsmlStd_Com,0,0,1,12),N(OFFSET(tpSurvAll_Com,0,12-OFFSET(_i,0,0,1,12),1,1)))</f>
        <v>9.6490153718135918</v>
      </c>
      <c r="Q111" s="40">
        <f ca="1">SUMPRODUCT(OFFSET(tShpsmlStd_Com,0,0,1,13),N(OFFSET(tpSurvAll_Com,0,13-OFFSET(_i,0,0,1,13),1,1)))</f>
        <v>10.184454601046951</v>
      </c>
      <c r="R111" s="40">
        <f ca="1">SUMPRODUCT(OFFSET(tShpsmlStd_Com,0,0,1,14),N(OFFSET(tpSurvAll_Com,0,14-OFFSET(_i,0,0,1,14),1,1)))</f>
        <v>10.720445485249476</v>
      </c>
      <c r="S111" s="40">
        <f ca="1">SUMPRODUCT(OFFSET(tShpsmlStd_Com,0,0,1,15),N(OFFSET(tpSurvAll_Com,0,15-OFFSET(_i,0,0,1,15),1,1)))</f>
        <v>11.270015409914796</v>
      </c>
      <c r="T111" s="40">
        <f ca="1">SUMPRODUCT(OFFSET(tShpsmlStd_Com,0,0,1,16),N(OFFSET(tpSurvAll_Com,0,16-OFFSET(_i,0,0,1,16),1,1)))</f>
        <v>11.840877839543886</v>
      </c>
      <c r="U111" s="40">
        <f ca="1">SUMPRODUCT(OFFSET(tShpsmlStd_Com,0,0,1,17),N(OFFSET(tpSurvAll_Com,0,17-OFFSET(_i,0,0,1,17),1,1)))</f>
        <v>12.43749193534499</v>
      </c>
      <c r="V111" s="40">
        <f ca="1">SUMPRODUCT(OFFSET(tShpsmlStd_Com,0,0,1,18),N(OFFSET(tpSurvAll_Com,0,18-OFFSET(_i,0,0,1,18),1,1)))</f>
        <v>13.062374567627785</v>
      </c>
      <c r="W111" s="40">
        <f ca="1">SUMPRODUCT(OFFSET(tShpsmlStd_Com,0,0,1,19),N(OFFSET(tpSurvAll_Com,0,19-OFFSET(_i,0,0,1,19),1,1)))</f>
        <v>13.717652427841617</v>
      </c>
      <c r="X111" s="40">
        <f ca="1">SUMPRODUCT(OFFSET(tShpsmlStd_Com,0,0,1,20),N(OFFSET(tpSurvAll_Com,0,20-OFFSET(_i,0,0,1,20),1,1)))</f>
        <v>14.404882446420965</v>
      </c>
      <c r="Y111" s="40">
        <f ca="1">SUMPRODUCT(OFFSET(tShpsmlStd_Com,0,1,1,20),N(OFFSET(tpSurvAll_Com,0,20-OFFSET(_i,0,0,1,20),1,1)))</f>
        <v>15.125589983909499</v>
      </c>
      <c r="Z111" s="40">
        <f ca="1">SUMPRODUCT(OFFSET(tShpsmlStd_Com,0,2,1,20),N(OFFSET(tpSurvAll_Com,0,20-OFFSET(_i,0,0,1,20),1,1)))</f>
        <v>15.88139485705576</v>
      </c>
      <c r="AA111" s="40">
        <f ca="1">SUMPRODUCT(OFFSET(tShpsmlStd_Com,0,3,1,20),N(OFFSET(tpSurvAll_Com,0,20-OFFSET(_i,0,0,1,20),1,1)))</f>
        <v>16.673981461439343</v>
      </c>
      <c r="AB111" s="40">
        <f ca="1">SUMPRODUCT(OFFSET(tShpsmlStd_Com,0,4,1,20),N(OFFSET(tpSurvAll_Com,0,20-OFFSET(_i,0,0,1,20),1,1)))</f>
        <v>17.505119232509891</v>
      </c>
      <c r="AC111" s="40">
        <f ca="1">SUMPRODUCT(OFFSET(tShpsmlStd_Com,0,5,1,20),N(OFFSET(tpSurvAll_Com,0,20-OFFSET(_i,0,0,1,20),1,1)))</f>
        <v>18.376676954005145</v>
      </c>
      <c r="AD111" s="40">
        <f ca="1">SUMPRODUCT(OFFSET(tShpsmlStd_Com,0,6,1,20),N(OFFSET(tpSurvAll_Com,0,20-OFFSET(_i,0,0,1,20),1,1)))</f>
        <v>19.290628738112833</v>
      </c>
      <c r="AE111" s="40">
        <f ca="1">SUMPRODUCT(OFFSET(tShpsmlStd_Com,0,7,1,20),N(OFFSET(tpSurvAll_Com,0,20-OFFSET(_i,0,0,1,20),1,1)))</f>
        <v>20.249055209656692</v>
      </c>
      <c r="AF111" s="40">
        <f ca="1">SUMPRODUCT(OFFSET(tShpsmlStd_Com,0,8,1,20),N(OFFSET(tpSurvAll_Com,0,20-OFFSET(_i,0,0,1,20),1,1)))</f>
        <v>21.254142378672825</v>
      </c>
      <c r="AG111" s="40">
        <f ca="1">SUMPRODUCT(OFFSET(tShpsmlStd_Com,0,9,1,20),N(OFFSET(tpSurvAll_Com,0,20-OFFSET(_i,0,0,1,20),1,1)))</f>
        <v>22.308180864665889</v>
      </c>
      <c r="AH111" s="40">
        <f ca="1">SUMPRODUCT(OFFSET(tShpsmlStd_Com,0,10,1,20),N(OFFSET(tpSurvAll_Com,0,20-OFFSET(_i,0,0,1,20),1,1)))</f>
        <v>23.413567770500983</v>
      </c>
      <c r="AI111" s="40">
        <f ca="1">SUMPRODUCT(OFFSET(tShpsmlStd_Com,0,11,1,20),N(OFFSET(tpSurvAll_Com,0,20-OFFSET(_i,0,0,1,20),1,1)))</f>
        <v>24.572810842771219</v>
      </c>
      <c r="AJ111" s="40">
        <f ca="1">SUMPRODUCT(OFFSET(tShpsmlStd_Com,0,12,1,20),N(OFFSET(tpSurvAll_Com,0,20-OFFSET(_i,0,0,1,20),1,1)))</f>
        <v>25.788534774991032</v>
      </c>
      <c r="AK111" s="40">
        <f ca="1">SUMPRODUCT(OFFSET(tShpsmlStd_Com,0,13,1,20),N(OFFSET(tpSurvAll_Com,0,20-OFFSET(_i,0,0,1,20),1,1)))</f>
        <v>27.063489365861301</v>
      </c>
      <c r="AL111" s="40">
        <f ca="1">SUMPRODUCT(OFFSET(tShpsmlStd_Com,0,14,1,20),N(OFFSET(tpSurvAll_Com,0,20-OFFSET(_i,0,0,1,20),1,1)))</f>
        <v>28.400556757401084</v>
      </c>
      <c r="AM111" s="40">
        <f ca="1">SUMPRODUCT(OFFSET(tShpsmlStd_Com,0,15,1,20),N(OFFSET(tpSurvAll_Com,0,20-OFFSET(_i,0,0,1,20),1,1)))</f>
        <v>25.336367543532827</v>
      </c>
      <c r="AN111" s="40">
        <f ca="1">SUMPRODUCT(OFFSET(tShpsmlStd_Com,0,16,1,20),N(OFFSET(tpSurvAll_Com,0,20-OFFSET(_i,0,0,1,20),1,1)))</f>
        <v>22.13351253597628</v>
      </c>
      <c r="AO111" s="40">
        <f ca="1">SUMPRODUCT(OFFSET(tShpsmlStd_Com,0,17,1,19),N(OFFSET(tpSurvAll_Com,0,20-OFFSET(_i,0,0,1,19),1,1)))</f>
        <v>18.831323900876143</v>
      </c>
      <c r="AP111" s="40">
        <f ca="1">SUMPRODUCT(OFFSET(tShpsmlStd_Com,0,18,1,18),N(OFFSET(tpSurvAll_Com,0,20-OFFSET(_i,0,0,1,18),1,1)))</f>
        <v>15.5068363296004</v>
      </c>
      <c r="AQ111" s="40">
        <f ca="1">SUMPRODUCT(OFFSET(tShpsmlStd_Com,0,19,1,17),N(OFFSET(tpSurvAll_Com,0,20-OFFSET(_i,0,0,1,17),1,1)))</f>
        <v>12.27149427329247</v>
      </c>
      <c r="AR111" s="40">
        <f ca="1">SUMPRODUCT(OFFSET(tShpsmlStd_Com,0,20,1,16),N(OFFSET(tpSurvAll_Com,0,20-OFFSET(_i,0,0,1,16),1,1)))</f>
        <v>9.2586004609936605</v>
      </c>
      <c r="AS111" s="40">
        <f ca="1">SUMPRODUCT(OFFSET(tShpsmlStd_Com,0,21,1,15),N(OFFSET(tpSurvAll_Com,0,20-OFFSET(_i,0,0,1,15),1,1)))</f>
        <v>6.6013054265102458</v>
      </c>
      <c r="AT111" s="40">
        <f ca="1">SUMPRODUCT(OFFSET(tShpsmlStd_Com,0,22,1,14),N(OFFSET(tpSurvAll_Com,0,20-OFFSET(_i,0,0,1,14),1,1)))</f>
        <v>4.4049859871190451</v>
      </c>
      <c r="AU111" s="40">
        <f ca="1">SUMPRODUCT(OFFSET(tShpsmlStd_Com,0,23,1,13),N(OFFSET(tpSurvAll_Com,0,20-OFFSET(_i,0,0,1,13),1,1)))</f>
        <v>2.7222631361277925</v>
      </c>
      <c r="AV111" s="40">
        <f ca="1">SUMPRODUCT(OFFSET(tShpsmlStd_Com,0,24,1,12),N(OFFSET(tpSurvAll_Com,0,20-OFFSET(_i,0,0,1,12),1,1)))</f>
        <v>1.5406025959194727</v>
      </c>
      <c r="AW111" s="40">
        <f ca="1">SUMPRODUCT(OFFSET(tShpsmlStd_Com,0,25,1,11),N(OFFSET(tpSurvAll_Com,0,20-OFFSET(_i,0,0,1,11),1,1)))</f>
        <v>0.78885049910421934</v>
      </c>
      <c r="AX111" s="40">
        <f ca="1">SUMPRODUCT(OFFSET(tShpsmlStd_Com,0,26,1,10),N(OFFSET(tpSurvAll_Com,0,20-OFFSET(_i,0,0,1,10),1,1)))</f>
        <v>0.36075813464847772</v>
      </c>
      <c r="AY111" s="40">
        <f ca="1">SUMPRODUCT(OFFSET(tShpsmlStd_Com,0,27,1,9),N(OFFSET(tpSurvAll_Com,0,20-OFFSET(_i,0,0,1,9),1,1)))</f>
        <v>0.14522881558534101</v>
      </c>
      <c r="AZ111" s="40">
        <f ca="1">SUMPRODUCT(OFFSET(tShpsmlStd_Com,0,28,1,8),N(OFFSET(tpSurvAll_Com,0,20-OFFSET(_i,0,0,1,8),1,1)))</f>
        <v>5.0506262371213285E-2</v>
      </c>
      <c r="BA111" s="40">
        <f ca="1">SUMPRODUCT(OFFSET(tShpsmlStd_Com,0,29,1,7),N(OFFSET(tpSurvAll_Com,0,20-OFFSET(_i,0,0,1,7),1,1)))</f>
        <v>1.4641037047406321E-2</v>
      </c>
      <c r="BB111" s="40">
        <f ca="1">SUMPRODUCT(OFFSET(tShpsmlStd_Com,0,30,1,6),N(OFFSET(tpSurvAll_Com,0,20-OFFSET(_i,0,0,1,6),1,1)))</f>
        <v>3.1027297687649135E-3</v>
      </c>
      <c r="BC111" s="40">
        <f ca="1">SUMPRODUCT(OFFSET(tShpsmlStd_Com,0,31,1,5),N(OFFSET(tpSurvAll_Com,0,20-OFFSET(_i,0,0,1,5),1,1)))</f>
        <v>0</v>
      </c>
      <c r="BD111" s="40">
        <f ca="1">SUMPRODUCT(OFFSET(tShpsmlStd_Com,0,32,1,4),N(OFFSET(tpSurvAll_Com,0,20-OFFSET(_i,0,0,1,4),1,1)))</f>
        <v>0</v>
      </c>
      <c r="BE111" s="40">
        <f ca="1">SUMPRODUCT(OFFSET(tShpsmlStd_Com,0,33,1,3),N(OFFSET(tpSurvAll_Com,0,20-OFFSET(_i,0,0,1,3),1,1)))</f>
        <v>0</v>
      </c>
      <c r="BF111" s="40">
        <f ca="1">SUMPRODUCT(OFFSET(tShpsmlStd_Com,0,34,1,2),N(OFFSET(tpSurvAll_Com,0,20-OFFSET(_i,0,0,1,2),1,1)))</f>
        <v>0</v>
      </c>
      <c r="BG111" s="41">
        <f ca="1">SUMPRODUCT(N(OFFSET(tShpsmlStd_Com,0,35,1,1)),N(OFFSET(tpSurvAll_Com,0,20-OFFSET(_i,0,0,1,1),1,1)))</f>
        <v>0</v>
      </c>
      <c r="BH111" s="8"/>
    </row>
    <row r="112" spans="2:60" x14ac:dyDescent="0.35">
      <c r="B112" s="8"/>
      <c r="C112" s="20" t="str">
        <f>INDEX(_pcName,2)</f>
        <v>CADR 100-149</v>
      </c>
      <c r="D112" s="11" t="str">
        <f>shpUnit</f>
        <v>mi units</v>
      </c>
      <c r="E112" s="40">
        <f ca="1">SUMPRODUCT(N(OFFSET(tShpmedStd_Com,0,0,1,1)),N(OFFSET(tpSurvAll_Com,0,1-OFFSET(_i,0,0,1,1),1,1)))</f>
        <v>0.78625859224539218</v>
      </c>
      <c r="F112" s="40">
        <f ca="1">SUMPRODUCT(OFFSET(tShpmedStd_Com,0,0,1,2),N(OFFSET(tpSurvAll_Com,0,2-OFFSET(_i,0,0,1,2),1,1)))</f>
        <v>1.6076843474726525</v>
      </c>
      <c r="G112" s="40">
        <f ca="1">SUMPRODUCT(OFFSET(tShpmedStd_Com,0,0,1,3),N(OFFSET(tpSurvAll_Com,0,3-OFFSET(_i,0,0,1,3),1,1)))</f>
        <v>2.4547868099074432</v>
      </c>
      <c r="H112" s="40">
        <f ca="1">SUMPRODUCT(OFFSET(tShpmedStd_Com,0,0,1,4),N(OFFSET(tpSurvAll_Com,0,4-OFFSET(_i,0,0,1,4),1,1)))</f>
        <v>3.3209607778513623</v>
      </c>
      <c r="I112" s="40">
        <f ca="1">SUMPRODUCT(OFFSET(tShpmedStd_Com,0,0,1,5),N(OFFSET(tpSurvAll_Com,0,5-OFFSET(_i,0,0,1,5),1,1)))</f>
        <v>4.1889918604960084</v>
      </c>
      <c r="J112" s="40">
        <f ca="1">SUMPRODUCT(OFFSET(tShpmedStd_Com,0,0,1,6),N(OFFSET(tpSurvAll_Com,0,6-OFFSET(_i,0,0,1,6),1,1)))</f>
        <v>5.036403606130599</v>
      </c>
      <c r="K112" s="40">
        <f ca="1">SUMPRODUCT(OFFSET(tShpmedStd_Com,0,0,1,7),N(OFFSET(tpSurvAll_Com,0,7-OFFSET(_i,0,0,1,7),1,1)))</f>
        <v>5.8406003346819482</v>
      </c>
      <c r="L112" s="40">
        <f ca="1">SUMPRODUCT(OFFSET(tShpmedStd_Com,0,0,1,8),N(OFFSET(tpSurvAll_Com,0,8-OFFSET(_i,0,0,1,8),1,1)))</f>
        <v>6.5833311361342171</v>
      </c>
      <c r="M112" s="40">
        <f ca="1">SUMPRODUCT(OFFSET(tShpmedStd_Com,0,0,1,9),N(OFFSET(tpSurvAll_Com,0,9-OFFSET(_i,0,0,1,9),1,1)))</f>
        <v>7.2554117428015701</v>
      </c>
      <c r="N112" s="40">
        <f ca="1">SUMPRODUCT(OFFSET(tShpmedStd_Com,0,0,1,10),N(OFFSET(tpSurvAll_Com,0,10-OFFSET(_i,0,0,1,10),1,1)))</f>
        <v>7.8591349912055728</v>
      </c>
      <c r="O112" s="40">
        <f ca="1">SUMPRODUCT(OFFSET(tShpmedStd_Com,0,0,1,11),N(OFFSET(tpSurvAll_Com,0,11-OFFSET(_i,0,0,1,11),1,1)))</f>
        <v>8.4070002055112205</v>
      </c>
      <c r="P112" s="40">
        <f ca="1">SUMPRODUCT(OFFSET(tShpmedStd_Com,0,0,1,12),N(OFFSET(tpSurvAll_Com,0,12-OFFSET(_i,0,0,1,12),1,1)))</f>
        <v>8.9181375550986104</v>
      </c>
      <c r="Q112" s="40">
        <f ca="1">SUMPRODUCT(OFFSET(tShpmedStd_Com,0,0,1,13),N(OFFSET(tpSurvAll_Com,0,13-OFFSET(_i,0,0,1,13),1,1)))</f>
        <v>9.4127695535332379</v>
      </c>
      <c r="R112" s="40">
        <f ca="1">SUMPRODUCT(OFFSET(tShpmedStd_Com,0,0,1,14),N(OFFSET(tpSurvAll_Com,0,14-OFFSET(_i,0,0,1,14),1,1)))</f>
        <v>9.9079107871485803</v>
      </c>
      <c r="S112" s="40">
        <f ca="1">SUMPRODUCT(OFFSET(tShpmedStd_Com,0,0,1,15),N(OFFSET(tpSurvAll_Com,0,15-OFFSET(_i,0,0,1,15),1,1)))</f>
        <v>10.415621410462991</v>
      </c>
      <c r="T112" s="40">
        <f ca="1">SUMPRODUCT(OFFSET(tShpmedStd_Com,0,0,1,16),N(OFFSET(tpSurvAll_Com,0,16-OFFSET(_i,0,0,1,16),1,1)))</f>
        <v>10.943043208353405</v>
      </c>
      <c r="U112" s="40">
        <f ca="1">SUMPRODUCT(OFFSET(tShpmedStd_Com,0,0,1,17),N(OFFSET(tpSurvAll_Com,0,17-OFFSET(_i,0,0,1,17),1,1)))</f>
        <v>11.494301402079186</v>
      </c>
      <c r="V112" s="40">
        <f ca="1">SUMPRODUCT(OFFSET(tShpmedStd_Com,0,0,1,18),N(OFFSET(tpSurvAll_Com,0,18-OFFSET(_i,0,0,1,18),1,1)))</f>
        <v>12.071718941845571</v>
      </c>
      <c r="W112" s="40">
        <f ca="1">SUMPRODUCT(OFFSET(tShpmedStd_Com,0,0,1,19),N(OFFSET(tpSurvAll_Com,0,19-OFFSET(_i,0,0,1,19),1,1)))</f>
        <v>12.677253920450093</v>
      </c>
      <c r="X112" s="40">
        <f ca="1">SUMPRODUCT(OFFSET(tShpmedStd_Com,0,0,1,20),N(OFFSET(tpSurvAll_Com,0,20-OFFSET(_i,0,0,1,20),1,1)))</f>
        <v>13.312336654507103</v>
      </c>
      <c r="Y112" s="40">
        <f ca="1">SUMPRODUCT(OFFSET(tShpmedStd_Com,0,1,1,20),N(OFFSET(tpSurvAll_Com,0,20-OFFSET(_i,0,0,1,20),1,1)))</f>
        <v>13.978382056585811</v>
      </c>
      <c r="Z112" s="40">
        <f ca="1">SUMPRODUCT(OFFSET(tShpmedStd_Com,0,2,1,20),N(OFFSET(tpSurvAll_Com,0,20-OFFSET(_i,0,0,1,20),1,1)))</f>
        <v>14.676882498457191</v>
      </c>
      <c r="AA112" s="40">
        <f ca="1">SUMPRODUCT(OFFSET(tShpmedStd_Com,0,3,1,20),N(OFFSET(tpSurvAll_Com,0,20-OFFSET(_i,0,0,1,20),1,1)))</f>
        <v>15.409391999582907</v>
      </c>
      <c r="AB112" s="40">
        <f ca="1">SUMPRODUCT(OFFSET(tShpmedStd_Com,0,4,1,20),N(OFFSET(tpSurvAll_Com,0,20-OFFSET(_i,0,0,1,20),1,1)))</f>
        <v>16.177544690923899</v>
      </c>
      <c r="AC112" s="40">
        <f ca="1">SUMPRODUCT(OFFSET(tShpmedStd_Com,0,5,1,20),N(OFFSET(tpSurvAll_Com,0,20-OFFSET(_i,0,0,1,20),1,1)))</f>
        <v>16.983067329348856</v>
      </c>
      <c r="AD112" s="40">
        <f ca="1">SUMPRODUCT(OFFSET(tShpmedStd_Com,0,6,1,20),N(OFFSET(tpSurvAll_Com,0,20-OFFSET(_i,0,0,1,20),1,1)))</f>
        <v>17.827784288333028</v>
      </c>
      <c r="AE112" s="40">
        <f ca="1">SUMPRODUCT(OFFSET(tShpmedStd_Com,0,7,1,20),N(OFFSET(tpSurvAll_Com,0,20-OFFSET(_i,0,0,1,20),1,1)))</f>
        <v>18.71361831195939</v>
      </c>
      <c r="AF112" s="40">
        <f ca="1">SUMPRODUCT(OFFSET(tShpmedStd_Com,0,8,1,20),N(OFFSET(tpSurvAll_Com,0,20-OFFSET(_i,0,0,1,20),1,1)))</f>
        <v>19.642589343140141</v>
      </c>
      <c r="AG112" s="40">
        <f ca="1">SUMPRODUCT(OFFSET(tShpmedStd_Com,0,9,1,20),N(OFFSET(tpSurvAll_Com,0,20-OFFSET(_i,0,0,1,20),1,1)))</f>
        <v>20.616813898397698</v>
      </c>
      <c r="AH112" s="40">
        <f ca="1">SUMPRODUCT(OFFSET(tShpmedStd_Com,0,10,1,20),N(OFFSET(tpSurvAll_Com,0,20-OFFSET(_i,0,0,1,20),1,1)))</f>
        <v>21.63850691423194</v>
      </c>
      <c r="AI112" s="40">
        <f ca="1">SUMPRODUCT(OFFSET(tShpmedStd_Com,0,11,1,20),N(OFFSET(tpSurvAll_Com,0,20-OFFSET(_i,0,0,1,20),1,1)))</f>
        <v>22.7099857552946</v>
      </c>
      <c r="AJ112" s="40">
        <f ca="1">SUMPRODUCT(OFFSET(tShpmedStd_Com,0,12,1,20),N(OFFSET(tpSurvAll_Com,0,20-OFFSET(_i,0,0,1,20),1,1)))</f>
        <v>23.833676147723487</v>
      </c>
      <c r="AK112" s="40">
        <f ca="1">SUMPRODUCT(OFFSET(tShpmedStd_Com,0,13,1,20),N(OFFSET(tpSurvAll_Com,0,20-OFFSET(_i,0,0,1,20),1,1)))</f>
        <v>25.012119749742602</v>
      </c>
      <c r="AL112" s="40">
        <f ca="1">SUMPRODUCT(OFFSET(tShpmedStd_Com,0,14,1,20),N(OFFSET(tpSurvAll_Com,0,20-OFFSET(_i,0,0,1,20),1,1)))</f>
        <v>26.247980806736184</v>
      </c>
      <c r="AM112" s="40">
        <f ca="1">SUMPRODUCT(OFFSET(tShpmedStd_Com,0,15,1,20),N(OFFSET(tpSurvAll_Com,0,20-OFFSET(_i,0,0,1,20),1,1)))</f>
        <v>23.416084140725403</v>
      </c>
      <c r="AN112" s="40">
        <f ca="1">SUMPRODUCT(OFFSET(tShpmedStd_Com,0,16,1,20),N(OFFSET(tpSurvAll_Com,0,20-OFFSET(_i,0,0,1,20),1,1)))</f>
        <v>20.456018139541385</v>
      </c>
      <c r="AO112" s="40">
        <f ca="1">SUMPRODUCT(OFFSET(tShpmedStd_Com,0,17,1,19),N(OFFSET(tpSurvAll_Com,0,20-OFFSET(_i,0,0,1,19),1,1)))</f>
        <v>17.404133539686704</v>
      </c>
      <c r="AP112" s="40">
        <f ca="1">SUMPRODUCT(OFFSET(tShpmedStd_Com,0,18,1,18),N(OFFSET(tpSurvAll_Com,0,20-OFFSET(_i,0,0,1,18),1,1)))</f>
        <v>14.331627006447732</v>
      </c>
      <c r="AQ112" s="40">
        <f ca="1">SUMPRODUCT(OFFSET(tShpmedStd_Com,0,19,1,17),N(OFFSET(tpSurvAll_Com,0,20-OFFSET(_i,0,0,1,17),1,1)))</f>
        <v>11.341498058828314</v>
      </c>
      <c r="AR112" s="40">
        <f ca="1">SUMPRODUCT(OFFSET(tShpmedStd_Com,0,20,1,16),N(OFFSET(tpSurvAll_Com,0,20-OFFSET(_i,0,0,1,16),1,1)))</f>
        <v>8.5569488091051724</v>
      </c>
      <c r="AS112" s="40">
        <f ca="1">SUMPRODUCT(OFFSET(tShpmedStd_Com,0,21,1,15),N(OFFSET(tpSurvAll_Com,0,20-OFFSET(_i,0,0,1,15),1,1)))</f>
        <v>6.1010413802131964</v>
      </c>
      <c r="AT112" s="40">
        <f ca="1">SUMPRODUCT(OFFSET(tShpmedStd_Com,0,22,1,14),N(OFFSET(tpSurvAll_Com,0,20-OFFSET(_i,0,0,1,14),1,1)))</f>
        <v>4.0711693228000225</v>
      </c>
      <c r="AU112" s="40">
        <f ca="1">SUMPRODUCT(OFFSET(tShpmedStd_Com,0,23,1,13),N(OFFSET(tpSurvAll_Com,0,20-OFFSET(_i,0,0,1,13),1,1)))</f>
        <v>2.5159683152952952</v>
      </c>
      <c r="AV112" s="40">
        <f ca="1">SUMPRODUCT(OFFSET(tShpmedStd_Com,0,24,1,12),N(OFFSET(tpSurvAll_Com,0,20-OFFSET(_i,0,0,1,12),1,1)))</f>
        <v>1.4238559918376805</v>
      </c>
      <c r="AW112" s="40">
        <f ca="1">SUMPRODUCT(OFFSET(tShpmedStd_Com,0,25,1,11),N(OFFSET(tpSurvAll_Com,0,20-OFFSET(_i,0,0,1,11),1,1)))</f>
        <v>0.72907209174530907</v>
      </c>
      <c r="AX112" s="40">
        <f ca="1">SUMPRODUCT(OFFSET(tShpmedStd_Com,0,26,1,10),N(OFFSET(tpSurvAll_Com,0,20-OFFSET(_i,0,0,1,10),1,1)))</f>
        <v>0.33342041590285543</v>
      </c>
      <c r="AY112" s="40">
        <f ca="1">SUMPRODUCT(OFFSET(tShpmedStd_Com,0,27,1,9),N(OFFSET(tpSurvAll_Com,0,20-OFFSET(_i,0,0,1,9),1,1)))</f>
        <v>0.13422367017084283</v>
      </c>
      <c r="AZ112" s="40">
        <f ca="1">SUMPRODUCT(OFFSET(tShpmedStd_Com,0,28,1,8),N(OFFSET(tpSurvAll_Com,0,20-OFFSET(_i,0,0,1,8),1,1)))</f>
        <v>4.6679027340461671E-2</v>
      </c>
      <c r="BA112" s="40">
        <f ca="1">SUMPRODUCT(OFFSET(tShpmedStd_Com,0,29,1,7),N(OFFSET(tpSurvAll_Com,0,20-OFFSET(_i,0,0,1,7),1,1)))</f>
        <v>1.3531586179258552E-2</v>
      </c>
      <c r="BB112" s="40">
        <f ca="1">SUMPRODUCT(OFFSET(tShpmedStd_Com,0,30,1,6),N(OFFSET(tpSurvAll_Com,0,20-OFFSET(_i,0,0,1,6),1,1)))</f>
        <v>2.8676179285577045E-3</v>
      </c>
      <c r="BC112" s="40">
        <f ca="1">SUMPRODUCT(OFFSET(tShpmedStd_Com,0,31,1,5),N(OFFSET(tpSurvAll_Com,0,20-OFFSET(_i,0,0,1,5),1,1)))</f>
        <v>0</v>
      </c>
      <c r="BD112" s="40">
        <f ca="1">SUMPRODUCT(OFFSET(tShpmedStd_Com,0,32,1,4),N(OFFSET(tpSurvAll_Com,0,20-OFFSET(_i,0,0,1,4),1,1)))</f>
        <v>0</v>
      </c>
      <c r="BE112" s="40">
        <f ca="1">SUMPRODUCT(OFFSET(tShpmedStd_Com,0,33,1,3),N(OFFSET(tpSurvAll_Com,0,20-OFFSET(_i,0,0,1,3),1,1)))</f>
        <v>0</v>
      </c>
      <c r="BF112" s="40">
        <f ca="1">SUMPRODUCT(OFFSET(tShpmedStd_Com,0,34,1,2),N(OFFSET(tpSurvAll_Com,0,20-OFFSET(_i,0,0,1,2),1,1)))</f>
        <v>0</v>
      </c>
      <c r="BG112" s="41">
        <f ca="1">SUMPRODUCT(N(OFFSET(tShpmedStd_Com,0,35,1,1)),N(OFFSET(tpSurvAll_Com,0,20-OFFSET(_i,0,0,1,1),1,1)))</f>
        <v>0</v>
      </c>
      <c r="BH112" s="8"/>
    </row>
    <row r="113" spans="2:60" x14ac:dyDescent="0.35">
      <c r="B113" s="8"/>
      <c r="C113" s="39" t="str">
        <f>INDEX(_pcName,3)</f>
        <v>CADR 150+</v>
      </c>
      <c r="D113" s="15" t="str">
        <f>shpUnit</f>
        <v>mi units</v>
      </c>
      <c r="E113" s="48">
        <f ca="1">SUMPRODUCT(N(OFFSET(tShplrgStd_Com,0,0,1,1)),N(OFFSET(tpSurvAll_Com,0,1-OFFSET(_i,0,0,1,1),1,1)))</f>
        <v>1.6402573787717671</v>
      </c>
      <c r="F113" s="48">
        <f ca="1">SUMPRODUCT(OFFSET(tShplrgStd_Com,0,0,1,2),N(OFFSET(tpSurvAll_Com,0,2-OFFSET(_i,0,0,1,2),1,1)))</f>
        <v>3.3533391881293451</v>
      </c>
      <c r="G113" s="48">
        <f ca="1">SUMPRODUCT(OFFSET(tShplrgStd_Com,0,0,1,3),N(OFFSET(tpSurvAll_Com,0,3-OFFSET(_i,0,0,1,3),1,1)))</f>
        <v>5.1248267499116427</v>
      </c>
      <c r="H113" s="48">
        <f ca="1">SUMPRODUCT(OFFSET(tShplrgStd_Com,0,0,1,4),N(OFFSET(tpSurvAll_Com,0,4-OFFSET(_i,0,0,1,4),1,1)))</f>
        <v>6.9353279101800647</v>
      </c>
      <c r="I113" s="48">
        <f ca="1">SUMPRODUCT(OFFSET(tShplrgStd_Com,0,0,1,5),N(OFFSET(tpSurvAll_Com,0,5-OFFSET(_i,0,0,1,5),1,1)))</f>
        <v>8.7488219154746414</v>
      </c>
      <c r="J113" s="48">
        <f ca="1">SUMPRODUCT(OFFSET(tShplrgStd_Com,0,0,1,6),N(OFFSET(tpSurvAll_Com,0,6-OFFSET(_i,0,0,1,6),1,1)))</f>
        <v>10.519031499570945</v>
      </c>
      <c r="K113" s="48">
        <f ca="1">SUMPRODUCT(OFFSET(tShplrgStd_Com,0,0,1,7),N(OFFSET(tpSurvAll_Com,0,7-OFFSET(_i,0,0,1,7),1,1)))</f>
        <v>12.19871442376926</v>
      </c>
      <c r="L113" s="48">
        <f ca="1">SUMPRODUCT(OFFSET(tShplrgStd_Com,0,0,1,8),N(OFFSET(tpSurvAll_Com,0,8-OFFSET(_i,0,0,1,8),1,1)))</f>
        <v>13.749685043679964</v>
      </c>
      <c r="M113" s="48">
        <f ca="1">SUMPRODUCT(OFFSET(tShplrgStd_Com,0,0,1,9),N(OFFSET(tpSurvAll_Com,0,9-OFFSET(_i,0,0,1,9),1,1)))</f>
        <v>15.152685764938884</v>
      </c>
      <c r="N113" s="48">
        <f ca="1">SUMPRODUCT(OFFSET(tShplrgStd_Com,0,0,1,10),N(OFFSET(tpSurvAll_Com,0,10-OFFSET(_i,0,0,1,10),1,1)))</f>
        <v>16.412437994339488</v>
      </c>
      <c r="O113" s="48">
        <f ca="1">SUMPRODUCT(OFFSET(tShplrgStd_Com,0,0,1,11),N(OFFSET(tpSurvAll_Com,0,11-OFFSET(_i,0,0,1,11),1,1)))</f>
        <v>17.555314548206528</v>
      </c>
      <c r="P113" s="48">
        <f ca="1">SUMPRODUCT(OFFSET(tShplrgStd_Com,0,0,1,12),N(OFFSET(tpSurvAll_Com,0,12-OFFSET(_i,0,0,1,12),1,1)))</f>
        <v>18.621295509435253</v>
      </c>
      <c r="Q113" s="48">
        <f ca="1">SUMPRODUCT(OFFSET(tShplrgStd_Com,0,0,1,13),N(OFFSET(tpSurvAll_Com,0,13-OFFSET(_i,0,0,1,13),1,1)))</f>
        <v>19.652679006292566</v>
      </c>
      <c r="R113" s="48">
        <f ca="1">SUMPRODUCT(OFFSET(tShplrgStd_Com,0,0,1,14),N(OFFSET(tpSurvAll_Com,0,14-OFFSET(_i,0,0,1,14),1,1)))</f>
        <v>20.685080810244752</v>
      </c>
      <c r="S113" s="48">
        <f ca="1">SUMPRODUCT(OFFSET(tShplrgStd_Com,0,0,1,15),N(OFFSET(tpSurvAll_Com,0,15-OFFSET(_i,0,0,1,15),1,1)))</f>
        <v>21.743760793268137</v>
      </c>
      <c r="T113" s="48">
        <f ca="1">SUMPRODUCT(OFFSET(tShplrgStd_Com,0,0,1,16),N(OFFSET(tpSurvAll_Com,0,16-OFFSET(_i,0,0,1,16),1,1)))</f>
        <v>22.843678871537236</v>
      </c>
      <c r="U113" s="48">
        <f ca="1">SUMPRODUCT(OFFSET(tShplrgStd_Com,0,0,1,17),N(OFFSET(tpSurvAll_Com,0,17-OFFSET(_i,0,0,1,17),1,1)))</f>
        <v>23.99346049217532</v>
      </c>
      <c r="V113" s="48">
        <f ca="1">SUMPRODUCT(OFFSET(tShplrgStd_Com,0,0,1,18),N(OFFSET(tpSurvAll_Com,0,18-OFFSET(_i,0,0,1,18),1,1)))</f>
        <v>25.197939867393139</v>
      </c>
      <c r="W113" s="48">
        <f ca="1">SUMPRODUCT(OFFSET(tShplrgStd_Com,0,0,1,19),N(OFFSET(tpSurvAll_Com,0,19-OFFSET(_i,0,0,1,19),1,1)))</f>
        <v>26.461173375728119</v>
      </c>
      <c r="X113" s="48">
        <f ca="1">SUMPRODUCT(OFFSET(tShplrgStd_Com,0,0,1,20),N(OFFSET(tpSurvAll_Com,0,20-OFFSET(_i,0,0,1,20),1,1)))</f>
        <v>27.786111061619792</v>
      </c>
      <c r="Y113" s="48">
        <f ca="1">SUMPRODUCT(OFFSET(tShplrgStd_Com,0,1,1,20),N(OFFSET(tpSurvAll_Com,0,20-OFFSET(_i,0,0,1,20),1,1)))</f>
        <v>29.175715948709509</v>
      </c>
      <c r="Z113" s="48">
        <f ca="1">SUMPRODUCT(OFFSET(tShplrgStd_Com,0,2,1,20),N(OFFSET(tpSurvAll_Com,0,20-OFFSET(_i,0,0,1,20),1,1)))</f>
        <v>30.633081230044045</v>
      </c>
      <c r="AA113" s="48">
        <f ca="1">SUMPRODUCT(OFFSET(tShplrgStd_Com,0,3,1,20),N(OFFSET(tpSurvAll_Com,0,20-OFFSET(_i,0,0,1,20),1,1)))</f>
        <v>32.161436025597283</v>
      </c>
      <c r="AB113" s="48">
        <f ca="1">SUMPRODUCT(OFFSET(tShplrgStd_Com,0,4,1,20),N(OFFSET(tpSurvAll_Com,0,20-OFFSET(_i,0,0,1,20),1,1)))</f>
        <v>33.764182181534039</v>
      </c>
      <c r="AC113" s="48">
        <f ca="1">SUMPRODUCT(OFFSET(tShplrgStd_Com,0,5,1,20),N(OFFSET(tpSurvAll_Com,0,20-OFFSET(_i,0,0,1,20),1,1)))</f>
        <v>35.444917738569345</v>
      </c>
      <c r="AD113" s="48">
        <f ca="1">SUMPRODUCT(OFFSET(tShplrgStd_Com,0,6,1,20),N(OFFSET(tpSurvAll_Com,0,20-OFFSET(_i,0,0,1,20),1,1)))</f>
        <v>37.207445387277403</v>
      </c>
      <c r="AE113" s="48">
        <f ca="1">SUMPRODUCT(OFFSET(tShplrgStd_Com,0,7,1,20),N(OFFSET(tpSurvAll_Com,0,20-OFFSET(_i,0,0,1,20),1,1)))</f>
        <v>39.055772796565051</v>
      </c>
      <c r="AF113" s="48">
        <f ca="1">SUMPRODUCT(OFFSET(tShplrgStd_Com,0,8,1,20),N(OFFSET(tpSurvAll_Com,0,20-OFFSET(_i,0,0,1,20),1,1)))</f>
        <v>40.994109670299153</v>
      </c>
      <c r="AG113" s="48">
        <f ca="1">SUMPRODUCT(OFFSET(tShplrgStd_Com,0,9,1,20),N(OFFSET(tpSurvAll_Com,0,20-OFFSET(_i,0,0,1,20),1,1)))</f>
        <v>43.026866716770051</v>
      </c>
      <c r="AH113" s="48">
        <f ca="1">SUMPRODUCT(OFFSET(tShplrgStd_Com,0,10,1,20),N(OFFSET(tpSurvAll_Com,0,20-OFFSET(_i,0,0,1,20),1,1)))</f>
        <v>45.158659836280833</v>
      </c>
      <c r="AI113" s="48">
        <f ca="1">SUMPRODUCT(OFFSET(tShplrgStd_Com,0,11,1,20),N(OFFSET(tpSurvAll_Com,0,20-OFFSET(_i,0,0,1,20),1,1)))</f>
        <v>47.394318989524841</v>
      </c>
      <c r="AJ113" s="48">
        <f ca="1">SUMPRODUCT(OFFSET(tShplrgStd_Com,0,12,1,20),N(OFFSET(tpSurvAll_Com,0,20-OFFSET(_i,0,0,1,20),1,1)))</f>
        <v>49.738900896358636</v>
      </c>
      <c r="AK113" s="48">
        <f ca="1">SUMPRODUCT(OFFSET(tShplrgStd_Com,0,13,1,20),N(OFFSET(tpSurvAll_Com,0,20-OFFSET(_i,0,0,1,20),1,1)))</f>
        <v>52.197704897383019</v>
      </c>
      <c r="AL113" s="48">
        <f ca="1">SUMPRODUCT(OFFSET(tShplrgStd_Com,0,14,1,20),N(OFFSET(tpSurvAll_Com,0,20-OFFSET(_i,0,0,1,20),1,1)))</f>
        <v>54.776286694171084</v>
      </c>
      <c r="AM113" s="48">
        <f ca="1">SUMPRODUCT(OFFSET(tShplrgStd_Com,0,15,1,20),N(OFFSET(tpSurvAll_Com,0,20-OFFSET(_i,0,0,1,20),1,1)))</f>
        <v>48.86629164240604</v>
      </c>
      <c r="AN113" s="48">
        <f ca="1">SUMPRODUCT(OFFSET(tShplrgStd_Com,0,16,1,20),N(OFFSET(tpSurvAll_Com,0,20-OFFSET(_i,0,0,1,20),1,1)))</f>
        <v>42.688873947715848</v>
      </c>
      <c r="AO113" s="48">
        <f ca="1">SUMPRODUCT(OFFSET(tShplrgStd_Com,0,17,1,19),N(OFFSET(tpSurvAll_Com,0,20-OFFSET(_i,0,0,1,19),1,1)))</f>
        <v>36.319894142956301</v>
      </c>
      <c r="AP113" s="48">
        <f ca="1">SUMPRODUCT(OFFSET(tShplrgStd_Com,0,18,1,18),N(OFFSET(tpSurvAll_Com,0,20-OFFSET(_i,0,0,1,18),1,1)))</f>
        <v>29.90792820177268</v>
      </c>
      <c r="AQ113" s="48">
        <f ca="1">SUMPRODUCT(OFFSET(tShplrgStd_Com,0,19,1,17),N(OFFSET(tpSurvAll_Com,0,20-OFFSET(_i,0,0,1,17),1,1)))</f>
        <v>23.667916523847886</v>
      </c>
      <c r="AR113" s="48">
        <f ca="1">SUMPRODUCT(OFFSET(tShplrgStd_Com,0,20,1,16),N(OFFSET(tpSurvAll_Com,0,20-OFFSET(_i,0,0,1,16),1,1)))</f>
        <v>17.856955939175368</v>
      </c>
      <c r="AS113" s="48">
        <f ca="1">SUMPRODUCT(OFFSET(tShplrgStd_Com,0,21,1,15),N(OFFSET(tpSurvAll_Com,0,20-OFFSET(_i,0,0,1,15),1,1)))</f>
        <v>12.731848606043179</v>
      </c>
      <c r="AT113" s="48">
        <f ca="1">SUMPRODUCT(OFFSET(tShplrgStd_Com,0,22,1,14),N(OFFSET(tpSurvAll_Com,0,20-OFFSET(_i,0,0,1,14),1,1)))</f>
        <v>8.4958292460928035</v>
      </c>
      <c r="AU113" s="48">
        <f ca="1">SUMPRODUCT(OFFSET(tShplrgStd_Com,0,23,1,13),N(OFFSET(tpSurvAll_Com,0,20-OFFSET(_i,0,0,1,13),1,1)))</f>
        <v>5.2503831659165572</v>
      </c>
      <c r="AV113" s="48">
        <f ca="1">SUMPRODUCT(OFFSET(tShplrgStd_Com,0,24,1,12),N(OFFSET(tpSurvAll_Com,0,20-OFFSET(_i,0,0,1,12),1,1)))</f>
        <v>2.9713322634213228</v>
      </c>
      <c r="AW113" s="48">
        <f ca="1">SUMPRODUCT(OFFSET(tShplrgStd_Com,0,25,1,11),N(OFFSET(tpSurvAll_Com,0,20-OFFSET(_i,0,0,1,11),1,1)))</f>
        <v>1.521440714224545</v>
      </c>
      <c r="AX113" s="48">
        <f ca="1">SUMPRODUCT(OFFSET(tShplrgStd_Com,0,26,1,10),N(OFFSET(tpSurvAll_Com,0,20-OFFSET(_i,0,0,1,10),1,1)))</f>
        <v>0.69578687281384455</v>
      </c>
      <c r="AY113" s="48">
        <f ca="1">SUMPRODUCT(OFFSET(tShplrgStd_Com,0,27,1,9),N(OFFSET(tpSurvAll_Com,0,20-OFFSET(_i,0,0,1,9),1,1)))</f>
        <v>0.28009972692951379</v>
      </c>
      <c r="AZ113" s="48">
        <f ca="1">SUMPRODUCT(OFFSET(tShplrgStd_Com,0,28,1,8),N(OFFSET(tpSurvAll_Com,0,20-OFFSET(_i,0,0,1,8),1,1)))</f>
        <v>9.7410307937513652E-2</v>
      </c>
      <c r="BA113" s="48">
        <f ca="1">SUMPRODUCT(OFFSET(tShplrgStd_Com,0,29,1,7),N(OFFSET(tpSurvAll_Com,0,20-OFFSET(_i,0,0,1,7),1,1)))</f>
        <v>2.8237827616982632E-2</v>
      </c>
      <c r="BB113" s="48">
        <f ca="1">SUMPRODUCT(OFFSET(tShplrgStd_Com,0,30,1,6),N(OFFSET(tpSurvAll_Com,0,20-OFFSET(_i,0,0,1,6),1,1)))</f>
        <v>5.9841575506703664E-3</v>
      </c>
      <c r="BC113" s="48">
        <f ca="1">SUMPRODUCT(OFFSET(tShplrgStd_Com,0,31,1,5),N(OFFSET(tpSurvAll_Com,0,20-OFFSET(_i,0,0,1,5),1,1)))</f>
        <v>0</v>
      </c>
      <c r="BD113" s="48">
        <f ca="1">SUMPRODUCT(OFFSET(tShplrgStd_Com,0,32,1,4),N(OFFSET(tpSurvAll_Com,0,20-OFFSET(_i,0,0,1,4),1,1)))</f>
        <v>0</v>
      </c>
      <c r="BE113" s="48">
        <f ca="1">SUMPRODUCT(OFFSET(tShplrgStd_Com,0,33,1,3),N(OFFSET(tpSurvAll_Com,0,20-OFFSET(_i,0,0,1,3),1,1)))</f>
        <v>0</v>
      </c>
      <c r="BF113" s="48">
        <f ca="1">SUMPRODUCT(OFFSET(tShplrgStd_Com,0,34,1,2),N(OFFSET(tpSurvAll_Com,0,20-OFFSET(_i,0,0,1,2),1,1)))</f>
        <v>0</v>
      </c>
      <c r="BG113" s="49">
        <f ca="1">SUMPRODUCT(N(OFFSET(tShplrgStd_Com,0,35,1,1)),N(OFFSET(tpSurvAll_Com,0,20-OFFSET(_i,0,0,1,1),1,1)))</f>
        <v>0</v>
      </c>
      <c r="BH113" s="8"/>
    </row>
    <row r="114" spans="2:60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</row>
    <row r="115" spans="2:60" x14ac:dyDescent="0.35">
      <c r="B115" s="8"/>
      <c r="C115" s="23" t="s">
        <v>59</v>
      </c>
      <c r="D115" s="24"/>
      <c r="E115" s="26">
        <f t="array" ref="E115:K115">_yM</f>
        <v>2017</v>
      </c>
      <c r="F115" s="26">
        <v>2018</v>
      </c>
      <c r="G115" s="26">
        <v>2019</v>
      </c>
      <c r="H115" s="26">
        <v>2020</v>
      </c>
      <c r="I115" s="26">
        <v>2021</v>
      </c>
      <c r="J115" s="26">
        <v>2022</v>
      </c>
      <c r="K115" s="27">
        <v>2023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</row>
    <row r="116" spans="2:60" x14ac:dyDescent="0.35">
      <c r="B116" s="8"/>
      <c r="C116" s="19" t="s">
        <v>60</v>
      </c>
      <c r="D116" s="11" t="str">
        <f>shpUnit</f>
        <v>mi units</v>
      </c>
      <c r="E116" s="40">
        <f t="array" ref="E116:K116">tmiasml_Com+tmiamed_Com+tmialrg_Com</f>
        <v>1.292076298405842</v>
      </c>
      <c r="F116" s="40">
        <v>1.4833603461352376</v>
      </c>
      <c r="G116" s="40">
        <v>1.6404954532131759</v>
      </c>
      <c r="H116" s="40">
        <v>2.9725291227622019</v>
      </c>
      <c r="I116" s="40">
        <v>2.8884388976309552</v>
      </c>
      <c r="J116" s="40">
        <v>3.0197003714458752</v>
      </c>
      <c r="K116" s="41">
        <v>3.148561162874338</v>
      </c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</row>
    <row r="117" spans="2:60" x14ac:dyDescent="0.35">
      <c r="B117" s="8"/>
      <c r="C117" s="9" t="s">
        <v>61</v>
      </c>
      <c r="D117" s="8"/>
      <c r="E117" s="8"/>
      <c r="F117" s="8"/>
      <c r="G117" s="8"/>
      <c r="H117" s="8"/>
      <c r="I117" s="8"/>
      <c r="J117" s="8"/>
      <c r="K117" s="1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</row>
    <row r="118" spans="2:60" x14ac:dyDescent="0.35">
      <c r="B118" s="8"/>
      <c r="C118" s="20" t="str">
        <f>INDEX(_pcName,1)</f>
        <v>CADR 10-99</v>
      </c>
      <c r="D118" s="11" t="str">
        <f>shpUnit</f>
        <v>mi units</v>
      </c>
      <c r="E118" s="40">
        <v>0.33593983758551893</v>
      </c>
      <c r="F118" s="40">
        <v>0.38567368999516177</v>
      </c>
      <c r="G118" s="40">
        <v>0.42652881783542579</v>
      </c>
      <c r="H118" s="40">
        <v>0.7728575719181725</v>
      </c>
      <c r="I118" s="40">
        <v>0.75099411338404831</v>
      </c>
      <c r="J118" s="40">
        <v>0.78512209657592757</v>
      </c>
      <c r="K118" s="41">
        <v>0.81862590234732791</v>
      </c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</row>
    <row r="119" spans="2:60" x14ac:dyDescent="0.35">
      <c r="B119" s="8"/>
      <c r="C119" s="20" t="str">
        <f>INDEX(_pcName,2)</f>
        <v>CADR 100-149</v>
      </c>
      <c r="D119" s="11" t="str">
        <f>shpUnit</f>
        <v>mi units</v>
      </c>
      <c r="E119" s="40">
        <v>0.31009831161740203</v>
      </c>
      <c r="F119" s="40">
        <v>0.35600648307245708</v>
      </c>
      <c r="G119" s="40">
        <v>0.39371890877116222</v>
      </c>
      <c r="H119" s="40">
        <v>0.71340698946292846</v>
      </c>
      <c r="I119" s="40">
        <v>0.69322533543142928</v>
      </c>
      <c r="J119" s="40">
        <v>0.72472808914701004</v>
      </c>
      <c r="K119" s="41">
        <v>0.75565467908984107</v>
      </c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</row>
    <row r="120" spans="2:60" x14ac:dyDescent="0.35">
      <c r="B120" s="8"/>
      <c r="C120" s="20" t="str">
        <f>INDEX(_pcName,3)</f>
        <v>CADR 150+</v>
      </c>
      <c r="D120" s="11" t="str">
        <f>shpUnit</f>
        <v>mi units</v>
      </c>
      <c r="E120" s="40">
        <v>0.64603814920292102</v>
      </c>
      <c r="F120" s="40">
        <v>0.7416801730676188</v>
      </c>
      <c r="G120" s="40">
        <v>0.82024772660658796</v>
      </c>
      <c r="H120" s="40">
        <v>1.486264561381101</v>
      </c>
      <c r="I120" s="40">
        <v>1.4442194488154776</v>
      </c>
      <c r="J120" s="40">
        <v>1.5098501857229376</v>
      </c>
      <c r="K120" s="41">
        <v>1.574280581437169</v>
      </c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</row>
    <row r="121" spans="2:60" x14ac:dyDescent="0.35">
      <c r="B121" s="8"/>
      <c r="C121" s="42" t="s">
        <v>62</v>
      </c>
      <c r="D121" s="37"/>
      <c r="E121" s="37"/>
      <c r="F121" s="37"/>
      <c r="G121" s="37"/>
      <c r="H121" s="37"/>
      <c r="I121" s="37"/>
      <c r="J121" s="37"/>
      <c r="K121" s="3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</row>
    <row r="122" spans="2:60" x14ac:dyDescent="0.35">
      <c r="B122" s="8"/>
      <c r="C122" s="10" t="str">
        <f>INDEX(_pcName,1)</f>
        <v>CADR 10-99</v>
      </c>
      <c r="D122" s="8"/>
      <c r="E122" s="8"/>
      <c r="F122" s="8"/>
      <c r="G122" s="8"/>
      <c r="H122" s="8"/>
      <c r="I122" s="8"/>
      <c r="J122" s="8"/>
      <c r="K122" s="1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</row>
    <row r="123" spans="2:60" x14ac:dyDescent="0.35">
      <c r="B123" s="8"/>
      <c r="C123" s="20" t="str">
        <f>INDEX(_doName,1,1)</f>
        <v>Baseline</v>
      </c>
      <c r="D123" s="11" t="s">
        <v>63</v>
      </c>
      <c r="E123" s="43">
        <f t="array" ref="E123:E127">TRANSPOSE(bcsml_Com)</f>
        <v>0.28049792531120338</v>
      </c>
      <c r="F123" s="43">
        <f t="array" ref="F123:F127">TRANSPOSE(bcsml_Com)</f>
        <v>0.28049792531120338</v>
      </c>
      <c r="G123" s="43">
        <f t="array" ref="G123:G127">TRANSPOSE(bcsml_Com)</f>
        <v>0.28049792531120338</v>
      </c>
      <c r="H123" s="43">
        <f t="array" ref="H123:H127">TRANSPOSE(bcsml_Com)</f>
        <v>0.28049792531120338</v>
      </c>
      <c r="I123" s="43">
        <f t="array" ref="I123:I127">TRANSPOSE(bcsml_Com)</f>
        <v>0.28049792531120338</v>
      </c>
      <c r="J123" s="43">
        <f t="array" ref="J123:J127">TRANSPOSE(bcsml_Com)</f>
        <v>0.28049792531120338</v>
      </c>
      <c r="K123" s="44">
        <f t="array" ref="K123:K127">TRANSPOSE(bcsml_Com)</f>
        <v>0.28049792531120338</v>
      </c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</row>
    <row r="124" spans="2:60" x14ac:dyDescent="0.35">
      <c r="B124" s="8"/>
      <c r="C124" s="20" t="str">
        <f>INDEX(_doName,1,2)</f>
        <v>Tier 1</v>
      </c>
      <c r="D124" s="11" t="s">
        <v>63</v>
      </c>
      <c r="E124" s="43">
        <v>0.42074688796680493</v>
      </c>
      <c r="F124" s="43">
        <v>0.42074688796680493</v>
      </c>
      <c r="G124" s="43">
        <v>0.42074688796680493</v>
      </c>
      <c r="H124" s="43">
        <v>0.42074688796680493</v>
      </c>
      <c r="I124" s="43">
        <v>0.42074688796680493</v>
      </c>
      <c r="J124" s="43">
        <v>0.42074688796680493</v>
      </c>
      <c r="K124" s="44">
        <v>0.42074688796680493</v>
      </c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</row>
    <row r="125" spans="2:60" x14ac:dyDescent="0.35">
      <c r="B125" s="8"/>
      <c r="C125" s="20" t="str">
        <f>INDEX(_doName,1,3)</f>
        <v>Tier 2</v>
      </c>
      <c r="D125" s="11" t="s">
        <v>63</v>
      </c>
      <c r="E125" s="43">
        <v>0.1908713692946058</v>
      </c>
      <c r="F125" s="43">
        <v>0.1908713692946058</v>
      </c>
      <c r="G125" s="43">
        <v>0.1908713692946058</v>
      </c>
      <c r="H125" s="43">
        <v>0.1908713692946058</v>
      </c>
      <c r="I125" s="43">
        <v>0.1908713692946058</v>
      </c>
      <c r="J125" s="43">
        <v>0.1908713692946058</v>
      </c>
      <c r="K125" s="44">
        <v>0.1908713692946058</v>
      </c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</row>
    <row r="126" spans="2:60" x14ac:dyDescent="0.35">
      <c r="B126" s="8"/>
      <c r="C126" s="20" t="str">
        <f>INDEX(_doName,1,4)</f>
        <v>EL 3</v>
      </c>
      <c r="D126" s="11" t="s">
        <v>63</v>
      </c>
      <c r="E126" s="43">
        <v>7.4688796680497924E-2</v>
      </c>
      <c r="F126" s="43">
        <v>7.4688796680497924E-2</v>
      </c>
      <c r="G126" s="43">
        <v>7.4688796680497924E-2</v>
      </c>
      <c r="H126" s="43">
        <v>7.4688796680497924E-2</v>
      </c>
      <c r="I126" s="43">
        <v>7.4688796680497924E-2</v>
      </c>
      <c r="J126" s="43">
        <v>7.4688796680497924E-2</v>
      </c>
      <c r="K126" s="44">
        <v>7.4688796680497924E-2</v>
      </c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</row>
    <row r="127" spans="2:60" x14ac:dyDescent="0.35">
      <c r="B127" s="8"/>
      <c r="C127" s="20" t="str">
        <f>INDEX(_doName,1,5)</f>
        <v>EL 4</v>
      </c>
      <c r="D127" s="11" t="s">
        <v>63</v>
      </c>
      <c r="E127" s="43">
        <v>3.3195020746887967E-2</v>
      </c>
      <c r="F127" s="43">
        <v>3.3195020746887967E-2</v>
      </c>
      <c r="G127" s="43">
        <v>3.3195020746887967E-2</v>
      </c>
      <c r="H127" s="43">
        <v>3.3195020746887967E-2</v>
      </c>
      <c r="I127" s="43">
        <v>3.3195020746887967E-2</v>
      </c>
      <c r="J127" s="43">
        <v>3.3195020746887967E-2</v>
      </c>
      <c r="K127" s="44">
        <v>3.3195020746887967E-2</v>
      </c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</row>
    <row r="128" spans="2:60" x14ac:dyDescent="0.35">
      <c r="B128" s="8"/>
      <c r="C128" s="10" t="str">
        <f>INDEX(_pcName,2)</f>
        <v>CADR 100-149</v>
      </c>
      <c r="D128" s="8"/>
      <c r="E128" s="8"/>
      <c r="F128" s="8"/>
      <c r="G128" s="8"/>
      <c r="H128" s="8"/>
      <c r="I128" s="8"/>
      <c r="J128" s="8"/>
      <c r="K128" s="1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</row>
    <row r="129" spans="2:60" x14ac:dyDescent="0.35">
      <c r="B129" s="8"/>
      <c r="C129" s="20" t="str">
        <f>INDEX(_doName,2,1)</f>
        <v>Baseline</v>
      </c>
      <c r="D129" s="11" t="s">
        <v>63</v>
      </c>
      <c r="E129" s="43">
        <f t="array" ref="E129:E133">TRANSPOSE(bcmed_Com)</f>
        <v>0.24375000000000002</v>
      </c>
      <c r="F129" s="43">
        <f t="array" ref="F129:F133">TRANSPOSE(bcmed_Com)</f>
        <v>0.24375000000000002</v>
      </c>
      <c r="G129" s="43">
        <f t="array" ref="G129:G133">TRANSPOSE(bcmed_Com)</f>
        <v>0.24375000000000002</v>
      </c>
      <c r="H129" s="43">
        <f t="array" ref="H129:H133">TRANSPOSE(bcmed_Com)</f>
        <v>0.24375000000000002</v>
      </c>
      <c r="I129" s="43">
        <f t="array" ref="I129:I133">TRANSPOSE(bcmed_Com)</f>
        <v>0.24375000000000002</v>
      </c>
      <c r="J129" s="43">
        <f t="array" ref="J129:J133">TRANSPOSE(bcmed_Com)</f>
        <v>0.24375000000000002</v>
      </c>
      <c r="K129" s="44">
        <f t="array" ref="K129:K133">TRANSPOSE(bcmed_Com)</f>
        <v>0.24375000000000002</v>
      </c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</row>
    <row r="130" spans="2:60" x14ac:dyDescent="0.35">
      <c r="B130" s="8"/>
      <c r="C130" s="20" t="str">
        <f>INDEX(_doName,2,2)</f>
        <v>Tier 1</v>
      </c>
      <c r="D130" s="11" t="s">
        <v>63</v>
      </c>
      <c r="E130" s="43">
        <v>0.36562499999999998</v>
      </c>
      <c r="F130" s="43">
        <v>0.36562499999999998</v>
      </c>
      <c r="G130" s="43">
        <v>0.36562499999999998</v>
      </c>
      <c r="H130" s="43">
        <v>0.36562499999999998</v>
      </c>
      <c r="I130" s="43">
        <v>0.36562499999999998</v>
      </c>
      <c r="J130" s="43">
        <v>0.36562499999999998</v>
      </c>
      <c r="K130" s="44">
        <v>0.36562499999999998</v>
      </c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</row>
    <row r="131" spans="2:60" x14ac:dyDescent="0.35">
      <c r="B131" s="8"/>
      <c r="C131" s="20" t="str">
        <f>INDEX(_doName,2,3)</f>
        <v>Tier 2</v>
      </c>
      <c r="D131" s="11" t="s">
        <v>63</v>
      </c>
      <c r="E131" s="43">
        <v>0.28125</v>
      </c>
      <c r="F131" s="43">
        <v>0.28125</v>
      </c>
      <c r="G131" s="43">
        <v>0.28125</v>
      </c>
      <c r="H131" s="43">
        <v>0.28125</v>
      </c>
      <c r="I131" s="43">
        <v>0.28125</v>
      </c>
      <c r="J131" s="43">
        <v>0.28125</v>
      </c>
      <c r="K131" s="44">
        <v>0.28125</v>
      </c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</row>
    <row r="132" spans="2:60" x14ac:dyDescent="0.35">
      <c r="B132" s="8"/>
      <c r="C132" s="20" t="str">
        <f>INDEX(_doName,2,4)</f>
        <v>EL 3</v>
      </c>
      <c r="D132" s="11" t="s">
        <v>63</v>
      </c>
      <c r="E132" s="43">
        <v>0.10546875</v>
      </c>
      <c r="F132" s="43">
        <v>0.10546875</v>
      </c>
      <c r="G132" s="43">
        <v>0.10546875</v>
      </c>
      <c r="H132" s="43">
        <v>0.10546875</v>
      </c>
      <c r="I132" s="43">
        <v>0.10546875</v>
      </c>
      <c r="J132" s="43">
        <v>0.10546875</v>
      </c>
      <c r="K132" s="44">
        <v>0.10546875</v>
      </c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</row>
    <row r="133" spans="2:60" x14ac:dyDescent="0.35">
      <c r="B133" s="8"/>
      <c r="C133" s="20" t="str">
        <f>INDEX(_doName,2,5)</f>
        <v>EL 4</v>
      </c>
      <c r="D133" s="11" t="s">
        <v>63</v>
      </c>
      <c r="E133" s="43">
        <v>3.90625E-3</v>
      </c>
      <c r="F133" s="43">
        <v>3.90625E-3</v>
      </c>
      <c r="G133" s="43">
        <v>3.90625E-3</v>
      </c>
      <c r="H133" s="43">
        <v>3.90625E-3</v>
      </c>
      <c r="I133" s="43">
        <v>3.90625E-3</v>
      </c>
      <c r="J133" s="43">
        <v>3.90625E-3</v>
      </c>
      <c r="K133" s="44">
        <v>3.90625E-3</v>
      </c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</row>
    <row r="134" spans="2:60" x14ac:dyDescent="0.35">
      <c r="B134" s="8"/>
      <c r="C134" s="10" t="str">
        <f>INDEX(_pcName,3)</f>
        <v>CADR 150+</v>
      </c>
      <c r="D134" s="8"/>
      <c r="E134" s="8"/>
      <c r="F134" s="8"/>
      <c r="G134" s="8"/>
      <c r="H134" s="8"/>
      <c r="I134" s="8"/>
      <c r="J134" s="8"/>
      <c r="K134" s="1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</row>
    <row r="135" spans="2:60" x14ac:dyDescent="0.35">
      <c r="B135" s="8"/>
      <c r="C135" s="20" t="str">
        <f>INDEX(_doName,3,1)</f>
        <v>Baseline</v>
      </c>
      <c r="D135" s="11" t="s">
        <v>63</v>
      </c>
      <c r="E135" s="43">
        <f t="array" ref="E135:E139">TRANSPOSE(bclrg_Com)</f>
        <v>0.22184300341296928</v>
      </c>
      <c r="F135" s="43">
        <f t="array" ref="F135:F139">TRANSPOSE(bclrg_Com)</f>
        <v>0.22184300341296928</v>
      </c>
      <c r="G135" s="43">
        <f t="array" ref="G135:G139">TRANSPOSE(bclrg_Com)</f>
        <v>0.22184300341296928</v>
      </c>
      <c r="H135" s="43">
        <f t="array" ref="H135:H139">TRANSPOSE(bclrg_Com)</f>
        <v>0.22184300341296928</v>
      </c>
      <c r="I135" s="43">
        <f t="array" ref="I135:I139">TRANSPOSE(bclrg_Com)</f>
        <v>0.22184300341296928</v>
      </c>
      <c r="J135" s="43">
        <f t="array" ref="J135:J139">TRANSPOSE(bclrg_Com)</f>
        <v>0.22184300341296928</v>
      </c>
      <c r="K135" s="44">
        <f t="array" ref="K135:K139">TRANSPOSE(bclrg_Com)</f>
        <v>0.22184300341296928</v>
      </c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</row>
    <row r="136" spans="2:60" x14ac:dyDescent="0.35">
      <c r="B136" s="8"/>
      <c r="C136" s="20" t="str">
        <f>INDEX(_doName,3,2)</f>
        <v>Tier 1</v>
      </c>
      <c r="D136" s="11" t="s">
        <v>63</v>
      </c>
      <c r="E136" s="43">
        <v>0.33276450511945393</v>
      </c>
      <c r="F136" s="43">
        <v>0.33276450511945393</v>
      </c>
      <c r="G136" s="43">
        <v>0.33276450511945393</v>
      </c>
      <c r="H136" s="43">
        <v>0.33276450511945393</v>
      </c>
      <c r="I136" s="43">
        <v>0.33276450511945393</v>
      </c>
      <c r="J136" s="43">
        <v>0.33276450511945393</v>
      </c>
      <c r="K136" s="44">
        <v>0.33276450511945393</v>
      </c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</row>
    <row r="137" spans="2:60" x14ac:dyDescent="0.35">
      <c r="B137" s="8"/>
      <c r="C137" s="20" t="str">
        <f>INDEX(_doName,3,3)</f>
        <v>Tier 2</v>
      </c>
      <c r="D137" s="11" t="s">
        <v>63</v>
      </c>
      <c r="E137" s="43">
        <v>0.37713310580204779</v>
      </c>
      <c r="F137" s="43">
        <v>0.37713310580204779</v>
      </c>
      <c r="G137" s="43">
        <v>0.37713310580204779</v>
      </c>
      <c r="H137" s="43">
        <v>0.37713310580204779</v>
      </c>
      <c r="I137" s="43">
        <v>0.37713310580204779</v>
      </c>
      <c r="J137" s="43">
        <v>0.37713310580204779</v>
      </c>
      <c r="K137" s="44">
        <v>0.37713310580204779</v>
      </c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</row>
    <row r="138" spans="2:60" x14ac:dyDescent="0.35">
      <c r="B138" s="8"/>
      <c r="C138" s="20" t="str">
        <f>INDEX(_doName,3,4)</f>
        <v>EL 3</v>
      </c>
      <c r="D138" s="11" t="s">
        <v>63</v>
      </c>
      <c r="E138" s="43">
        <v>3.0716723549488054E-2</v>
      </c>
      <c r="F138" s="43">
        <v>3.0716723549488054E-2</v>
      </c>
      <c r="G138" s="43">
        <v>3.0716723549488054E-2</v>
      </c>
      <c r="H138" s="43">
        <v>3.0716723549488054E-2</v>
      </c>
      <c r="I138" s="43">
        <v>3.0716723549488054E-2</v>
      </c>
      <c r="J138" s="43">
        <v>3.0716723549488054E-2</v>
      </c>
      <c r="K138" s="44">
        <v>3.0716723549488054E-2</v>
      </c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</row>
    <row r="139" spans="2:60" x14ac:dyDescent="0.35">
      <c r="B139" s="8"/>
      <c r="C139" s="39" t="str">
        <f>INDEX(_doName,3,5)</f>
        <v>EL 4</v>
      </c>
      <c r="D139" s="15" t="s">
        <v>63</v>
      </c>
      <c r="E139" s="45">
        <v>3.7542662116040959E-2</v>
      </c>
      <c r="F139" s="45">
        <v>3.7542662116040959E-2</v>
      </c>
      <c r="G139" s="45">
        <v>3.7542662116040959E-2</v>
      </c>
      <c r="H139" s="45">
        <v>3.7542662116040959E-2</v>
      </c>
      <c r="I139" s="45">
        <v>3.7542662116040959E-2</v>
      </c>
      <c r="J139" s="45">
        <v>3.7542662116040959E-2</v>
      </c>
      <c r="K139" s="46">
        <v>3.7542662116040959E-2</v>
      </c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</row>
    <row r="140" spans="2:60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</row>
    <row r="153" spans="5:40" hidden="1" x14ac:dyDescent="0.35">
      <c r="E153" s="6">
        <f t="array" aca="1" ref="E153:AN157" ca="1">adjShpStdlrg_Res</f>
        <v>-6.1229795790984417E-3</v>
      </c>
      <c r="F153" s="6">
        <f ca="1"/>
        <v>-4.7285027009180466E-3</v>
      </c>
      <c r="G153" s="6">
        <f ca="1"/>
        <v>-6.5098158675664418E-3</v>
      </c>
      <c r="H153" s="6">
        <f ca="1"/>
        <v>-5.6204183093539976E-3</v>
      </c>
      <c r="I153" s="6">
        <f ca="1"/>
        <v>-4.7380404295323045E-3</v>
      </c>
      <c r="J153" s="6">
        <f ca="1"/>
        <v>-4.4975560898985875E-3</v>
      </c>
      <c r="K153" s="6">
        <f ca="1"/>
        <v>-4.2590184921696798E-3</v>
      </c>
      <c r="L153" s="6">
        <f ca="1"/>
        <v>-4.0223600223184379E-3</v>
      </c>
      <c r="M153" s="6">
        <f ca="1"/>
        <v>-3.7875199965285876E-3</v>
      </c>
      <c r="N153" s="6">
        <f ca="1"/>
        <v>-3.5544408217818291E-3</v>
      </c>
      <c r="O153" s="6">
        <f ca="1"/>
        <v>-3.5254878159350017E-3</v>
      </c>
      <c r="P153" s="6">
        <f ca="1"/>
        <v>-3.4968281150305667E-3</v>
      </c>
      <c r="Q153" s="6">
        <f ca="1"/>
        <v>-3.468442000695615E-3</v>
      </c>
      <c r="R153" s="6">
        <f ca="1"/>
        <v>-3.4403114668536115E-3</v>
      </c>
      <c r="S153" s="6">
        <f ca="1"/>
        <v>-3.4124199498211201E-3</v>
      </c>
      <c r="T153" s="6">
        <f ca="1"/>
        <v>-3.384754928399865E-3</v>
      </c>
      <c r="U153" s="6">
        <f ca="1"/>
        <v>-3.3573046881485258E-3</v>
      </c>
      <c r="V153" s="6">
        <f ca="1"/>
        <v>-3.3300591437680181E-3</v>
      </c>
      <c r="W153" s="6">
        <f ca="1"/>
        <v>-3.3030093469118412E-3</v>
      </c>
      <c r="X153" s="6">
        <f ca="1"/>
        <v>-3.2761471081890507E-3</v>
      </c>
      <c r="Y153" s="6">
        <f ca="1"/>
        <v>-3.2657937862975231E-3</v>
      </c>
      <c r="Z153" s="6">
        <f ca="1"/>
        <v>-3.2555104012960303E-3</v>
      </c>
      <c r="AA153" s="6">
        <f ca="1"/>
        <v>-3.2452911973405844E-3</v>
      </c>
      <c r="AB153" s="6">
        <f ca="1"/>
        <v>-3.2351307872260037E-3</v>
      </c>
      <c r="AC153" s="6">
        <f ca="1"/>
        <v>-3.2250241739376884E-3</v>
      </c>
      <c r="AD153" s="6">
        <f ca="1"/>
        <v>-3.214966752507287E-3</v>
      </c>
      <c r="AE153" s="6">
        <f ca="1"/>
        <v>-3.2049542868053263E-3</v>
      </c>
      <c r="AF153" s="6">
        <f ca="1"/>
        <v>-3.1949828712709454E-3</v>
      </c>
      <c r="AG153" s="6">
        <f ca="1"/>
        <v>-3.1850488871947441E-3</v>
      </c>
      <c r="AH153" s="6">
        <f ca="1"/>
        <v>-3.1751489617829177E-3</v>
      </c>
      <c r="AI153" s="6">
        <f ca="1"/>
        <v>-3.1652799358984408E-3</v>
      </c>
      <c r="AJ153" s="6">
        <f ca="1"/>
        <v>-3.1554388410638982E-3</v>
      </c>
      <c r="AK153" s="6">
        <f ca="1"/>
        <v>-3.1456228830754915E-3</v>
      </c>
      <c r="AL153" s="6">
        <f ca="1"/>
        <v>-3.1358294333688657E-3</v>
      </c>
      <c r="AM153" s="6">
        <f ca="1"/>
        <v>-3.1260560171747814E-3</v>
      </c>
      <c r="AN153" s="6">
        <f ca="1"/>
        <v>-3.116300306799069E-3</v>
      </c>
    </row>
    <row r="154" spans="5:40" hidden="1" x14ac:dyDescent="0.35">
      <c r="E154" s="6">
        <f ca="1"/>
        <v>0</v>
      </c>
      <c r="F154" s="6">
        <f ca="1"/>
        <v>0</v>
      </c>
      <c r="G154" s="6">
        <f ca="1"/>
        <v>-2.6734939979047539E-3</v>
      </c>
      <c r="H154" s="6">
        <f ca="1"/>
        <v>-2.3068979825736501E-3</v>
      </c>
      <c r="I154" s="6">
        <f ca="1"/>
        <v>-1.9436207131169126E-3</v>
      </c>
      <c r="J154" s="6">
        <f ca="1"/>
        <v>-1.8439345206998014E-3</v>
      </c>
      <c r="K154" s="6">
        <f ca="1"/>
        <v>-1.7451684544253156E-3</v>
      </c>
      <c r="L154" s="6">
        <f ca="1"/>
        <v>-1.64729066448723E-3</v>
      </c>
      <c r="M154" s="6">
        <f ca="1"/>
        <v>-1.5502725685343963E-3</v>
      </c>
      <c r="N154" s="6">
        <f ca="1"/>
        <v>-1.4540870367168379E-3</v>
      </c>
      <c r="O154" s="6">
        <f ca="1"/>
        <v>-1.4414720879592148E-3</v>
      </c>
      <c r="P154" s="6">
        <f ca="1"/>
        <v>-1.4289954862916677E-3</v>
      </c>
      <c r="Q154" s="6">
        <f ca="1"/>
        <v>-1.4166479258084471E-3</v>
      </c>
      <c r="R154" s="6">
        <f ca="1"/>
        <v>-1.4044209079185626E-3</v>
      </c>
      <c r="S154" s="6">
        <f ca="1"/>
        <v>-1.392306613982149E-3</v>
      </c>
      <c r="T154" s="6">
        <f ca="1"/>
        <v>-1.3802991363982284E-3</v>
      </c>
      <c r="U154" s="6">
        <f ca="1"/>
        <v>-1.3683929476001843E-3</v>
      </c>
      <c r="V154" s="6">
        <f ca="1"/>
        <v>-1.3565832895703815E-3</v>
      </c>
      <c r="W154" s="6">
        <f ca="1"/>
        <v>-1.3448659411193608E-3</v>
      </c>
      <c r="X154" s="6">
        <f ca="1"/>
        <v>-1.3332370391263139E-3</v>
      </c>
      <c r="Y154" s="6">
        <f ca="1"/>
        <v>-1.3283346668834168E-3</v>
      </c>
      <c r="Z154" s="6">
        <f ca="1"/>
        <v>-1.323465069050092E-3</v>
      </c>
      <c r="AA154" s="6">
        <f ca="1"/>
        <v>-1.3186255266204347E-3</v>
      </c>
      <c r="AB154" s="6">
        <f ca="1"/>
        <v>-1.3138134943865836E-3</v>
      </c>
      <c r="AC154" s="6">
        <f ca="1"/>
        <v>-1.3090266112177915E-3</v>
      </c>
      <c r="AD154" s="6">
        <f ca="1"/>
        <v>-1.3042627010123749E-3</v>
      </c>
      <c r="AE154" s="6">
        <f ca="1"/>
        <v>-1.2995197617746922E-3</v>
      </c>
      <c r="AF154" s="6">
        <f ca="1"/>
        <v>-1.294795947550982E-3</v>
      </c>
      <c r="AG154" s="6">
        <f ca="1"/>
        <v>-1.2900895477750767E-3</v>
      </c>
      <c r="AH154" s="6">
        <f ca="1"/>
        <v>-1.2853989679231183E-3</v>
      </c>
      <c r="AI154" s="6">
        <f ca="1"/>
        <v>-1.2807227142705635E-3</v>
      </c>
      <c r="AJ154" s="6">
        <f ca="1"/>
        <v>-1.2760593830319297E-3</v>
      </c>
      <c r="AK154" s="6">
        <f ca="1"/>
        <v>-1.2714076526278838E-3</v>
      </c>
      <c r="AL154" s="6">
        <f ca="1"/>
        <v>-1.2667662796235926E-3</v>
      </c>
      <c r="AM154" s="6">
        <f ca="1"/>
        <v>-1.2621340931423441E-3</v>
      </c>
      <c r="AN154" s="6">
        <f ca="1"/>
        <v>-1.2575099917065558E-3</v>
      </c>
    </row>
    <row r="155" spans="5:40" hidden="1" x14ac:dyDescent="0.35">
      <c r="E155" s="6">
        <f ca="1"/>
        <v>4.2756792844319642E-3</v>
      </c>
      <c r="F155" s="6">
        <f ca="1"/>
        <v>3.298538221585612E-3</v>
      </c>
      <c r="G155" s="6">
        <f ca="1"/>
        <v>0</v>
      </c>
      <c r="H155" s="6">
        <f ca="1"/>
        <v>0</v>
      </c>
      <c r="I155" s="6">
        <f ca="1"/>
        <v>0</v>
      </c>
      <c r="J155" s="6">
        <f ca="1"/>
        <v>0</v>
      </c>
      <c r="K155" s="6">
        <f ca="1"/>
        <v>0</v>
      </c>
      <c r="L155" s="6">
        <f ca="1"/>
        <v>0</v>
      </c>
      <c r="M155" s="6">
        <f ca="1"/>
        <v>0</v>
      </c>
      <c r="N155" s="6">
        <f ca="1"/>
        <v>0</v>
      </c>
      <c r="O155" s="6">
        <f ca="1"/>
        <v>0</v>
      </c>
      <c r="P155" s="6">
        <f ca="1"/>
        <v>0</v>
      </c>
      <c r="Q155" s="6">
        <f ca="1"/>
        <v>0</v>
      </c>
      <c r="R155" s="6">
        <f ca="1"/>
        <v>0</v>
      </c>
      <c r="S155" s="6">
        <f ca="1"/>
        <v>0</v>
      </c>
      <c r="T155" s="6">
        <f ca="1"/>
        <v>0</v>
      </c>
      <c r="U155" s="6">
        <f ca="1"/>
        <v>0</v>
      </c>
      <c r="V155" s="6">
        <f ca="1"/>
        <v>0</v>
      </c>
      <c r="W155" s="6">
        <f ca="1"/>
        <v>0</v>
      </c>
      <c r="X155" s="6">
        <f ca="1"/>
        <v>0</v>
      </c>
      <c r="Y155" s="6">
        <f ca="1"/>
        <v>0</v>
      </c>
      <c r="Z155" s="6">
        <f ca="1"/>
        <v>0</v>
      </c>
      <c r="AA155" s="6">
        <f ca="1"/>
        <v>0</v>
      </c>
      <c r="AB155" s="6">
        <f ca="1"/>
        <v>0</v>
      </c>
      <c r="AC155" s="6">
        <f ca="1"/>
        <v>0</v>
      </c>
      <c r="AD155" s="6">
        <f ca="1"/>
        <v>0</v>
      </c>
      <c r="AE155" s="6">
        <f ca="1"/>
        <v>0</v>
      </c>
      <c r="AF155" s="6">
        <f ca="1"/>
        <v>0</v>
      </c>
      <c r="AG155" s="6">
        <f ca="1"/>
        <v>0</v>
      </c>
      <c r="AH155" s="6">
        <f ca="1"/>
        <v>0</v>
      </c>
      <c r="AI155" s="6">
        <f ca="1"/>
        <v>0</v>
      </c>
      <c r="AJ155" s="6">
        <f ca="1"/>
        <v>0</v>
      </c>
      <c r="AK155" s="6">
        <f ca="1"/>
        <v>0</v>
      </c>
      <c r="AL155" s="6">
        <f ca="1"/>
        <v>0</v>
      </c>
      <c r="AM155" s="6">
        <f ca="1"/>
        <v>0</v>
      </c>
      <c r="AN155" s="6">
        <f ca="1"/>
        <v>0</v>
      </c>
    </row>
    <row r="156" spans="5:40" hidden="1" x14ac:dyDescent="0.35">
      <c r="E156" s="6">
        <f ca="1"/>
        <v>1.3991835514478333E-2</v>
      </c>
      <c r="F156" s="6">
        <f ca="1"/>
        <v>1.0934999113763612E-2</v>
      </c>
      <c r="G156" s="6">
        <f ca="1"/>
        <v>6.3007690709202943E-3</v>
      </c>
      <c r="H156" s="6">
        <f ca="1"/>
        <v>5.5310410544465588E-3</v>
      </c>
      <c r="I156" s="6">
        <f ca="1"/>
        <v>4.7382283820990587E-3</v>
      </c>
      <c r="J156" s="6">
        <f ca="1"/>
        <v>4.5684137238637739E-3</v>
      </c>
      <c r="K156" s="6">
        <f ca="1"/>
        <v>4.3921889926901931E-3</v>
      </c>
      <c r="L156" s="6">
        <f ca="1"/>
        <v>4.2097803397604331E-3</v>
      </c>
      <c r="M156" s="6">
        <f ca="1"/>
        <v>4.021390829664029E-3</v>
      </c>
      <c r="N156" s="6">
        <f ca="1"/>
        <v>3.8272130746902135E-3</v>
      </c>
      <c r="O156" s="6">
        <f ca="1"/>
        <v>3.8483912728991864E-3</v>
      </c>
      <c r="P156" s="6">
        <f ca="1"/>
        <v>3.8685945477138404E-3</v>
      </c>
      <c r="Q156" s="6">
        <f ca="1"/>
        <v>3.8878882861477049E-3</v>
      </c>
      <c r="R156" s="6">
        <f ca="1"/>
        <v>3.9063321715839478E-3</v>
      </c>
      <c r="S156" s="6">
        <f ca="1"/>
        <v>3.9239810792933445E-3</v>
      </c>
      <c r="T156" s="6">
        <f ca="1"/>
        <v>3.9408765850585028E-3</v>
      </c>
      <c r="U156" s="6">
        <f ca="1"/>
        <v>3.9570575663867907E-3</v>
      </c>
      <c r="V156" s="6">
        <f ca="1"/>
        <v>3.9725575210924589E-3</v>
      </c>
      <c r="W156" s="6">
        <f ca="1"/>
        <v>3.9874061851417324E-3</v>
      </c>
      <c r="X156" s="6">
        <f ca="1"/>
        <v>4.0016307740919962E-3</v>
      </c>
      <c r="Y156" s="6">
        <f ca="1"/>
        <v>4.0354337435985523E-3</v>
      </c>
      <c r="Z156" s="6">
        <f ca="1"/>
        <v>4.0689974002964795E-3</v>
      </c>
      <c r="AA156" s="6">
        <f ca="1"/>
        <v>4.1023407498015901E-3</v>
      </c>
      <c r="AB156" s="6">
        <f ca="1"/>
        <v>4.1354815696330802E-3</v>
      </c>
      <c r="AC156" s="6">
        <f ca="1"/>
        <v>4.1684363412706118E-3</v>
      </c>
      <c r="AD156" s="6">
        <f ca="1"/>
        <v>4.2012202464736994E-3</v>
      </c>
      <c r="AE156" s="6">
        <f ca="1"/>
        <v>4.2338472452101844E-3</v>
      </c>
      <c r="AF156" s="6">
        <f ca="1"/>
        <v>4.266330202449326E-3</v>
      </c>
      <c r="AG156" s="6">
        <f ca="1"/>
        <v>4.2986810324098157E-3</v>
      </c>
      <c r="AH156" s="6">
        <f ca="1"/>
        <v>4.3309108334475838E-3</v>
      </c>
      <c r="AI156" s="6">
        <f ca="1"/>
        <v>4.3630299944285291E-3</v>
      </c>
      <c r="AJ156" s="6">
        <f ca="1"/>
        <v>4.3950482707490138E-3</v>
      </c>
      <c r="AK156" s="6">
        <f ca="1"/>
        <v>4.4269748386981944E-3</v>
      </c>
      <c r="AL156" s="6">
        <f ca="1"/>
        <v>4.4588183244993517E-3</v>
      </c>
      <c r="AM156" s="6">
        <f ca="1"/>
        <v>4.4905868437184028E-3</v>
      </c>
      <c r="AN156" s="6">
        <f ca="1"/>
        <v>4.5222880239369975E-3</v>
      </c>
    </row>
    <row r="157" spans="5:40" hidden="1" x14ac:dyDescent="0.35">
      <c r="E157" s="6">
        <f ca="1"/>
        <v>1.5434469222256542E-2</v>
      </c>
      <c r="F157" s="6">
        <f ca="1"/>
        <v>1.2068983140751801E-2</v>
      </c>
      <c r="G157" s="6">
        <f ca="1"/>
        <v>7.2365069304169338E-3</v>
      </c>
      <c r="H157" s="6">
        <f ca="1"/>
        <v>6.3525399565730585E-3</v>
      </c>
      <c r="I157" s="6">
        <f ca="1"/>
        <v>5.4420295121819107E-3</v>
      </c>
      <c r="J157" s="6">
        <f ca="1"/>
        <v>5.2470362090971997E-3</v>
      </c>
      <c r="K157" s="6">
        <f ca="1"/>
        <v>5.0446703971876979E-3</v>
      </c>
      <c r="L157" s="6">
        <f ca="1"/>
        <v>4.835193057857754E-3</v>
      </c>
      <c r="M157" s="6">
        <f ca="1"/>
        <v>4.6188385522881337E-3</v>
      </c>
      <c r="N157" s="6">
        <f ca="1"/>
        <v>4.3958291509048767E-3</v>
      </c>
      <c r="O157" s="6">
        <f ca="1"/>
        <v>4.4201665446938244E-3</v>
      </c>
      <c r="P157" s="6">
        <f ca="1"/>
        <v>4.4433803789604518E-3</v>
      </c>
      <c r="Q157" s="6">
        <f ca="1"/>
        <v>4.4655459737722551E-3</v>
      </c>
      <c r="R157" s="6">
        <f ca="1"/>
        <v>4.4867320728236345E-3</v>
      </c>
      <c r="S157" s="6">
        <f ca="1"/>
        <v>4.5070018751244886E-3</v>
      </c>
      <c r="T157" s="6">
        <f ca="1"/>
        <v>4.5264032860364211E-3</v>
      </c>
      <c r="U157" s="6">
        <f ca="1"/>
        <v>4.544981097059554E-3</v>
      </c>
      <c r="V157" s="6">
        <f ca="1"/>
        <v>4.5627739083775798E-3</v>
      </c>
      <c r="W157" s="6">
        <f ca="1"/>
        <v>4.5798159889300066E-3</v>
      </c>
      <c r="X157" s="6">
        <f ca="1"/>
        <v>4.5961387034649291E-3</v>
      </c>
      <c r="Y157" s="6">
        <f ca="1"/>
        <v>4.6349459227458612E-3</v>
      </c>
      <c r="Z157" s="6">
        <f ca="1"/>
        <v>4.6734756848144255E-3</v>
      </c>
      <c r="AA157" s="6">
        <f ca="1"/>
        <v>4.711749863258956E-3</v>
      </c>
      <c r="AB157" s="6">
        <f ca="1"/>
        <v>4.7497889156354559E-3</v>
      </c>
      <c r="AC157" s="6">
        <f ca="1"/>
        <v>4.7876118060744396E-3</v>
      </c>
      <c r="AD157" s="6">
        <f ca="1"/>
        <v>4.8252360016520718E-3</v>
      </c>
      <c r="AE157" s="6">
        <f ca="1"/>
        <v>4.8626775623954429E-3</v>
      </c>
      <c r="AF157" s="6">
        <f ca="1"/>
        <v>4.8999512873086296E-3</v>
      </c>
      <c r="AG157" s="6">
        <f ca="1"/>
        <v>4.9370708803548905E-3</v>
      </c>
      <c r="AH157" s="6">
        <f ca="1"/>
        <v>4.9740491056237107E-3</v>
      </c>
      <c r="AI157" s="6">
        <f ca="1"/>
        <v>5.0108979097146372E-3</v>
      </c>
      <c r="AJ157" s="6">
        <f ca="1"/>
        <v>5.0476285092477457E-3</v>
      </c>
      <c r="AK157" s="6">
        <f ca="1"/>
        <v>5.0842514534901817E-3</v>
      </c>
      <c r="AL157" s="6">
        <f ca="1"/>
        <v>5.120776657910644E-3</v>
      </c>
      <c r="AM157" s="6">
        <f ca="1"/>
        <v>5.1572134496070217E-3</v>
      </c>
      <c r="AN157" s="6">
        <f ca="1"/>
        <v>5.1935705935196525E-3</v>
      </c>
    </row>
    <row r="165" spans="5:40" hidden="1" x14ac:dyDescent="0.35">
      <c r="E165" s="6">
        <f t="array" aca="1" ref="E165:AN169" ca="1">adjShpStdlrg_Com</f>
        <v>-6.28335970535148E-3</v>
      </c>
      <c r="F165" s="6">
        <f ca="1"/>
        <v>-4.85279138933979E-3</v>
      </c>
      <c r="G165" s="6">
        <f ca="1"/>
        <v>-6.681371851362073E-3</v>
      </c>
      <c r="H165" s="6">
        <f ca="1"/>
        <v>-5.7690873905931013E-3</v>
      </c>
      <c r="I165" s="6">
        <f ca="1"/>
        <v>-4.8638267931906988E-3</v>
      </c>
      <c r="J165" s="6">
        <f ca="1"/>
        <v>-4.6173863496294428E-3</v>
      </c>
      <c r="K165" s="6">
        <f ca="1"/>
        <v>-4.3728938085770587E-3</v>
      </c>
      <c r="L165" s="6">
        <f ca="1"/>
        <v>-4.1302815156965093E-3</v>
      </c>
      <c r="M165" s="6">
        <f ca="1"/>
        <v>-3.8894887509931244E-3</v>
      </c>
      <c r="N165" s="6">
        <f ca="1"/>
        <v>-3.6504578871129401E-3</v>
      </c>
      <c r="O165" s="6">
        <f ca="1"/>
        <v>-3.621040486858408E-3</v>
      </c>
      <c r="P165" s="6">
        <f ca="1"/>
        <v>-3.5919165664081896E-3</v>
      </c>
      <c r="Q165" s="6">
        <f ca="1"/>
        <v>-3.5630663956335955E-3</v>
      </c>
      <c r="R165" s="6">
        <f ca="1"/>
        <v>-3.5344719577233646E-3</v>
      </c>
      <c r="S165" s="6">
        <f ca="1"/>
        <v>-3.5061166791191226E-3</v>
      </c>
      <c r="T165" s="6">
        <f ca="1"/>
        <v>-3.4779880311577513E-3</v>
      </c>
      <c r="U165" s="6">
        <f ca="1"/>
        <v>-3.4500742924140492E-3</v>
      </c>
      <c r="V165" s="6">
        <f ca="1"/>
        <v>-3.4223653715763089E-3</v>
      </c>
      <c r="W165" s="6">
        <f ca="1"/>
        <v>-3.394852314963114E-3</v>
      </c>
      <c r="X165" s="6">
        <f ca="1"/>
        <v>-3.3675269283013755E-3</v>
      </c>
      <c r="Y165" s="6">
        <f ca="1"/>
        <v>-3.3571674339903136E-3</v>
      </c>
      <c r="Z165" s="6">
        <f ca="1"/>
        <v>-3.3468779182640601E-3</v>
      </c>
      <c r="AA165" s="6">
        <f ca="1"/>
        <v>-3.3366526218471301E-3</v>
      </c>
      <c r="AB165" s="6">
        <f ca="1"/>
        <v>-3.3264861543226389E-3</v>
      </c>
      <c r="AC165" s="6">
        <f ca="1"/>
        <v>-3.3163735156969271E-3</v>
      </c>
      <c r="AD165" s="6">
        <f ca="1"/>
        <v>-3.306310098256209E-3</v>
      </c>
      <c r="AE165" s="6">
        <f ca="1"/>
        <v>-3.2962916633454986E-3</v>
      </c>
      <c r="AF165" s="6">
        <f ca="1"/>
        <v>-3.2863143030756091E-3</v>
      </c>
      <c r="AG165" s="6">
        <f ca="1"/>
        <v>-3.2763743965796787E-3</v>
      </c>
      <c r="AH165" s="6">
        <f ca="1"/>
        <v>-3.2664685690531213E-3</v>
      </c>
      <c r="AI165" s="6">
        <f ca="1"/>
        <v>-3.2565936594755136E-3</v>
      </c>
      <c r="AJ165" s="6">
        <f ca="1"/>
        <v>-3.2467466975997583E-3</v>
      </c>
      <c r="AK165" s="6">
        <f ca="1"/>
        <v>-3.2369248875561444E-3</v>
      </c>
      <c r="AL165" s="6">
        <f ca="1"/>
        <v>-3.2271255992132437E-3</v>
      </c>
      <c r="AM165" s="6">
        <f ca="1"/>
        <v>-3.2173463563264135E-3</v>
      </c>
      <c r="AN165" s="6">
        <f ca="1"/>
        <v>-3.207584829813767E-3</v>
      </c>
    </row>
    <row r="166" spans="5:40" hidden="1" x14ac:dyDescent="0.35">
      <c r="E166" s="6">
        <f ca="1"/>
        <v>0</v>
      </c>
      <c r="F166" s="6">
        <f ca="1"/>
        <v>0</v>
      </c>
      <c r="G166" s="6">
        <f ca="1"/>
        <v>-2.7429064094472207E-3</v>
      </c>
      <c r="H166" s="6">
        <f ca="1"/>
        <v>-2.3670529293345769E-3</v>
      </c>
      <c r="I166" s="6">
        <f ca="1"/>
        <v>-1.9945190064492475E-3</v>
      </c>
      <c r="J166" s="6">
        <f ca="1"/>
        <v>-1.892424804529528E-3</v>
      </c>
      <c r="K166" s="6">
        <f ca="1"/>
        <v>-1.7912509537010371E-3</v>
      </c>
      <c r="L166" s="6">
        <f ca="1"/>
        <v>-1.6909655963709292E-3</v>
      </c>
      <c r="M166" s="6">
        <f ca="1"/>
        <v>-1.5915401432004305E-3</v>
      </c>
      <c r="N166" s="6">
        <f ca="1"/>
        <v>-1.4929474577069087E-3</v>
      </c>
      <c r="O166" s="6">
        <f ca="1"/>
        <v>-1.4801460680813029E-3</v>
      </c>
      <c r="P166" s="6">
        <f ca="1"/>
        <v>-1.4674830593682841E-3</v>
      </c>
      <c r="Q166" s="6">
        <f ca="1"/>
        <v>-1.4549491233869537E-3</v>
      </c>
      <c r="R166" s="6">
        <f ca="1"/>
        <v>-1.4425357594687333E-3</v>
      </c>
      <c r="S166" s="6">
        <f ca="1"/>
        <v>-1.4302351470622872E-3</v>
      </c>
      <c r="T166" s="6">
        <f ca="1"/>
        <v>-1.418041377122364E-3</v>
      </c>
      <c r="U166" s="6">
        <f ca="1"/>
        <v>-1.4059489207309353E-3</v>
      </c>
      <c r="V166" s="6">
        <f ca="1"/>
        <v>-1.3939530187071511E-3</v>
      </c>
      <c r="W166" s="6">
        <f ca="1"/>
        <v>-1.3820494488295807E-3</v>
      </c>
      <c r="X166" s="6">
        <f ca="1"/>
        <v>-1.3702343470330749E-3</v>
      </c>
      <c r="Y166" s="6">
        <f ca="1"/>
        <v>-1.3653307762790086E-3</v>
      </c>
      <c r="Z166" s="6">
        <f ca="1"/>
        <v>-1.3604599879470933E-3</v>
      </c>
      <c r="AA166" s="6">
        <f ca="1"/>
        <v>-1.3556192623665802E-3</v>
      </c>
      <c r="AB166" s="6">
        <f ca="1"/>
        <v>-1.350806053707515E-3</v>
      </c>
      <c r="AC166" s="6">
        <f ca="1"/>
        <v>-1.3460180002618633E-3</v>
      </c>
      <c r="AD166" s="6">
        <f ca="1"/>
        <v>-1.3412529253958617E-3</v>
      </c>
      <c r="AE166" s="6">
        <f ca="1"/>
        <v>-1.3365088266245116E-3</v>
      </c>
      <c r="AF166" s="6">
        <f ca="1"/>
        <v>-1.3317838575427488E-3</v>
      </c>
      <c r="AG166" s="6">
        <f ca="1"/>
        <v>-1.3270763071662071E-3</v>
      </c>
      <c r="AH166" s="6">
        <f ca="1"/>
        <v>-1.3223845805811574E-3</v>
      </c>
      <c r="AI166" s="6">
        <f ca="1"/>
        <v>-1.317707183697939E-3</v>
      </c>
      <c r="AJ166" s="6">
        <f ca="1"/>
        <v>-1.3130427123878451E-3</v>
      </c>
      <c r="AK166" s="6">
        <f ca="1"/>
        <v>-1.3083898447485147E-3</v>
      </c>
      <c r="AL166" s="6">
        <f ca="1"/>
        <v>-1.3037473370410156E-3</v>
      </c>
      <c r="AM166" s="6">
        <f ca="1"/>
        <v>-1.2991140181024716E-3</v>
      </c>
      <c r="AN166" s="6">
        <f ca="1"/>
        <v>-1.2944887861859645E-3</v>
      </c>
    </row>
    <row r="167" spans="5:40" hidden="1" x14ac:dyDescent="0.35">
      <c r="E167" s="6">
        <f ca="1"/>
        <v>4.3846214420905612E-3</v>
      </c>
      <c r="F167" s="6">
        <f ca="1"/>
        <v>3.3829720876848413E-3</v>
      </c>
      <c r="G167" s="6">
        <f ca="1"/>
        <v>0</v>
      </c>
      <c r="H167" s="6">
        <f ca="1"/>
        <v>0</v>
      </c>
      <c r="I167" s="6">
        <f ca="1"/>
        <v>0</v>
      </c>
      <c r="J167" s="6">
        <f ca="1"/>
        <v>0</v>
      </c>
      <c r="K167" s="6">
        <f ca="1"/>
        <v>0</v>
      </c>
      <c r="L167" s="6">
        <f ca="1"/>
        <v>0</v>
      </c>
      <c r="M167" s="6">
        <f ca="1"/>
        <v>0</v>
      </c>
      <c r="N167" s="6">
        <f ca="1"/>
        <v>0</v>
      </c>
      <c r="O167" s="6">
        <f ca="1"/>
        <v>0</v>
      </c>
      <c r="P167" s="6">
        <f ca="1"/>
        <v>0</v>
      </c>
      <c r="Q167" s="6">
        <f ca="1"/>
        <v>0</v>
      </c>
      <c r="R167" s="6">
        <f ca="1"/>
        <v>0</v>
      </c>
      <c r="S167" s="6">
        <f ca="1"/>
        <v>0</v>
      </c>
      <c r="T167" s="6">
        <f ca="1"/>
        <v>0</v>
      </c>
      <c r="U167" s="6">
        <f ca="1"/>
        <v>0</v>
      </c>
      <c r="V167" s="6">
        <f ca="1"/>
        <v>0</v>
      </c>
      <c r="W167" s="6">
        <f ca="1"/>
        <v>0</v>
      </c>
      <c r="X167" s="6">
        <f ca="1"/>
        <v>0</v>
      </c>
      <c r="Y167" s="6">
        <f ca="1"/>
        <v>0</v>
      </c>
      <c r="Z167" s="6">
        <f ca="1"/>
        <v>0</v>
      </c>
      <c r="AA167" s="6">
        <f ca="1"/>
        <v>0</v>
      </c>
      <c r="AB167" s="6">
        <f ca="1"/>
        <v>0</v>
      </c>
      <c r="AC167" s="6">
        <f ca="1"/>
        <v>0</v>
      </c>
      <c r="AD167" s="6">
        <f ca="1"/>
        <v>0</v>
      </c>
      <c r="AE167" s="6">
        <f ca="1"/>
        <v>0</v>
      </c>
      <c r="AF167" s="6">
        <f ca="1"/>
        <v>0</v>
      </c>
      <c r="AG167" s="6">
        <f ca="1"/>
        <v>0</v>
      </c>
      <c r="AH167" s="6">
        <f ca="1"/>
        <v>0</v>
      </c>
      <c r="AI167" s="6">
        <f ca="1"/>
        <v>0</v>
      </c>
      <c r="AJ167" s="6">
        <f ca="1"/>
        <v>0</v>
      </c>
      <c r="AK167" s="6">
        <f ca="1"/>
        <v>0</v>
      </c>
      <c r="AL167" s="6">
        <f ca="1"/>
        <v>0</v>
      </c>
      <c r="AM167" s="6">
        <f ca="1"/>
        <v>0</v>
      </c>
      <c r="AN167" s="6">
        <f ca="1"/>
        <v>0</v>
      </c>
    </row>
    <row r="168" spans="5:40" hidden="1" x14ac:dyDescent="0.35">
      <c r="E168" s="6">
        <f ca="1"/>
        <v>1.435797849395855E-2</v>
      </c>
      <c r="F168" s="6">
        <f ca="1"/>
        <v>1.1218683230283636E-2</v>
      </c>
      <c r="G168" s="6">
        <f ca="1"/>
        <v>6.4644989440963566E-3</v>
      </c>
      <c r="H168" s="6">
        <f ca="1"/>
        <v>5.6728983704481383E-3</v>
      </c>
      <c r="I168" s="6">
        <f ca="1"/>
        <v>4.8582268876377031E-3</v>
      </c>
      <c r="J168" s="6">
        <f ca="1"/>
        <v>4.6827073124411783E-3</v>
      </c>
      <c r="K168" s="6">
        <f ca="1"/>
        <v>4.500781481448975E-3</v>
      </c>
      <c r="L168" s="6">
        <f ca="1"/>
        <v>4.3126754111721174E-3</v>
      </c>
      <c r="M168" s="6">
        <f ca="1"/>
        <v>4.118592045277052E-3</v>
      </c>
      <c r="N168" s="6">
        <f ca="1"/>
        <v>3.9187238813540052E-3</v>
      </c>
      <c r="O168" s="6">
        <f ca="1"/>
        <v>3.9394428496601986E-3</v>
      </c>
      <c r="P168" s="6">
        <f ca="1"/>
        <v>3.9591874751304223E-3</v>
      </c>
      <c r="Q168" s="6">
        <f ca="1"/>
        <v>3.9780231058408914E-3</v>
      </c>
      <c r="R168" s="6">
        <f ca="1"/>
        <v>3.9960093896338183E-3</v>
      </c>
      <c r="S168" s="6">
        <f ca="1"/>
        <v>4.0132011691022046E-3</v>
      </c>
      <c r="T168" s="6">
        <f ca="1"/>
        <v>4.0296399952706487E-3</v>
      </c>
      <c r="U168" s="6">
        <f ca="1"/>
        <v>4.0453647224952633E-3</v>
      </c>
      <c r="V168" s="6">
        <f ca="1"/>
        <v>4.0604088286427488E-3</v>
      </c>
      <c r="W168" s="6">
        <f ca="1"/>
        <v>4.0748020319717549E-3</v>
      </c>
      <c r="X168" s="6">
        <f ca="1"/>
        <v>4.0885715318329892E-3</v>
      </c>
      <c r="Y168" s="6">
        <f ca="1"/>
        <v>4.1223543719655044E-3</v>
      </c>
      <c r="Z168" s="6">
        <f ca="1"/>
        <v>4.1558980417980718E-3</v>
      </c>
      <c r="AA168" s="6">
        <f ca="1"/>
        <v>4.1892215356288892E-3</v>
      </c>
      <c r="AB168" s="6">
        <f ca="1"/>
        <v>4.2223426203907002E-3</v>
      </c>
      <c r="AC168" s="6">
        <f ca="1"/>
        <v>4.2552777677486294E-3</v>
      </c>
      <c r="AD168" s="6">
        <f ca="1"/>
        <v>4.2880421504215916E-3</v>
      </c>
      <c r="AE168" s="6">
        <f ca="1"/>
        <v>4.320649720064457E-3</v>
      </c>
      <c r="AF168" s="6">
        <f ca="1"/>
        <v>4.3531133339853234E-3</v>
      </c>
      <c r="AG168" s="6">
        <f ca="1"/>
        <v>4.3854448993082048E-3</v>
      </c>
      <c r="AH168" s="6">
        <f ca="1"/>
        <v>4.41765550778009E-3</v>
      </c>
      <c r="AI168" s="6">
        <f ca="1"/>
        <v>4.4497555420803482E-3</v>
      </c>
      <c r="AJ168" s="6">
        <f ca="1"/>
        <v>4.4817547517960604E-3</v>
      </c>
      <c r="AK168" s="6">
        <f ca="1"/>
        <v>4.5136623077519375E-3</v>
      </c>
      <c r="AL168" s="6">
        <f ca="1"/>
        <v>4.5454868310345498E-3</v>
      </c>
      <c r="AM168" s="6">
        <f ca="1"/>
        <v>4.5772364323770232E-3</v>
      </c>
      <c r="AN168" s="6">
        <f ca="1"/>
        <v>4.6089187348187927E-3</v>
      </c>
    </row>
    <row r="169" spans="5:40" hidden="1" x14ac:dyDescent="0.35">
      <c r="E169" s="6">
        <f ca="1"/>
        <v>1.583780340060378E-2</v>
      </c>
      <c r="F169" s="6">
        <f ca="1"/>
        <v>1.2381467568720599E-2</v>
      </c>
      <c r="G169" s="6">
        <f ca="1"/>
        <v>7.4239001424389692E-3</v>
      </c>
      <c r="H169" s="6">
        <f ca="1"/>
        <v>6.5148920804230731E-3</v>
      </c>
      <c r="I169" s="6">
        <f ca="1"/>
        <v>5.5793587004922748E-3</v>
      </c>
      <c r="J169" s="6">
        <f ca="1"/>
        <v>5.3778308892862073E-3</v>
      </c>
      <c r="K169" s="6">
        <f ca="1"/>
        <v>5.1689356111899497E-3</v>
      </c>
      <c r="L169" s="6">
        <f ca="1"/>
        <v>4.9529336691269809E-3</v>
      </c>
      <c r="M169" s="6">
        <f ca="1"/>
        <v>4.7300592640025767E-3</v>
      </c>
      <c r="N169" s="6">
        <f ca="1"/>
        <v>4.5005345142356372E-3</v>
      </c>
      <c r="O169" s="6">
        <f ca="1"/>
        <v>4.5243423517250638E-3</v>
      </c>
      <c r="P169" s="6">
        <f ca="1"/>
        <v>4.5470273980755677E-3</v>
      </c>
      <c r="Q169" s="6">
        <f ca="1"/>
        <v>4.5686649218445998E-3</v>
      </c>
      <c r="R169" s="6">
        <f ca="1"/>
        <v>4.5893236197138273E-3</v>
      </c>
      <c r="S169" s="6">
        <f ca="1"/>
        <v>4.60906664747243E-3</v>
      </c>
      <c r="T169" s="6">
        <f ca="1"/>
        <v>4.6279418777203599E-3</v>
      </c>
      <c r="U169" s="6">
        <f ca="1"/>
        <v>4.6459940713256083E-3</v>
      </c>
      <c r="V169" s="6">
        <f ca="1"/>
        <v>4.6632618020738112E-3</v>
      </c>
      <c r="W169" s="6">
        <f ca="1"/>
        <v>4.6797793154685812E-3</v>
      </c>
      <c r="X169" s="6">
        <f ca="1"/>
        <v>4.6955779548080948E-3</v>
      </c>
      <c r="Y169" s="6">
        <f ca="1"/>
        <v>4.7343586344854721E-3</v>
      </c>
      <c r="Z169" s="6">
        <f ca="1"/>
        <v>4.7728620466987743E-3</v>
      </c>
      <c r="AA169" s="6">
        <f ca="1"/>
        <v>4.8111100500774903E-3</v>
      </c>
      <c r="AB169" s="6">
        <f ca="1"/>
        <v>4.8491230881868444E-3</v>
      </c>
      <c r="AC169" s="6">
        <f ca="1"/>
        <v>4.8869201121881948E-3</v>
      </c>
      <c r="AD169" s="6">
        <f ca="1"/>
        <v>4.9245185772122269E-3</v>
      </c>
      <c r="AE169" s="6">
        <f ca="1"/>
        <v>4.9619345323029728E-3</v>
      </c>
      <c r="AF169" s="6">
        <f ca="1"/>
        <v>4.9991827663435325E-3</v>
      </c>
      <c r="AG169" s="6">
        <f ca="1"/>
        <v>5.0362769739254092E-3</v>
      </c>
      <c r="AH169" s="6">
        <f ca="1"/>
        <v>5.0732299104088874E-3</v>
      </c>
      <c r="AI169" s="6">
        <f ca="1"/>
        <v>5.1100535142234779E-3</v>
      </c>
      <c r="AJ169" s="6">
        <f ca="1"/>
        <v>5.1467589943182956E-3</v>
      </c>
      <c r="AK169" s="6">
        <f ca="1"/>
        <v>5.183356892746056E-3</v>
      </c>
      <c r="AL169" s="6">
        <f ca="1"/>
        <v>5.2198571181945154E-3</v>
      </c>
      <c r="AM169" s="6">
        <f ca="1"/>
        <v>5.2562689913828922E-3</v>
      </c>
      <c r="AN169" s="6">
        <f ca="1"/>
        <v>5.2926012712572268E-3</v>
      </c>
    </row>
    <row r="177" spans="5:40" hidden="1" x14ac:dyDescent="0.35">
      <c r="E177" s="6">
        <f t="array" aca="1" ref="E177:AN181" ca="1">adjShpStdmed_Res</f>
        <v>-1.097546471050192E-2</v>
      </c>
      <c r="F177" s="6">
        <f ca="1"/>
        <v>-8.4534546533439857E-3</v>
      </c>
      <c r="G177" s="6">
        <f ca="1"/>
        <v>-1.3965682339576305E-2</v>
      </c>
      <c r="H177" s="6">
        <f ca="1"/>
        <v>-1.2034222707753388E-2</v>
      </c>
      <c r="I177" s="6">
        <f ca="1"/>
        <v>-1.0125499870993175E-2</v>
      </c>
      <c r="J177" s="6">
        <f ca="1"/>
        <v>-9.5934068645249105E-3</v>
      </c>
      <c r="K177" s="6">
        <f ca="1"/>
        <v>-9.0676213282409011E-3</v>
      </c>
      <c r="L177" s="6">
        <f ca="1"/>
        <v>-8.5479233436595841E-3</v>
      </c>
      <c r="M177" s="6">
        <f ca="1"/>
        <v>-8.0341155102612253E-3</v>
      </c>
      <c r="N177" s="6">
        <f ca="1"/>
        <v>-7.5260105077137882E-3</v>
      </c>
      <c r="O177" s="6">
        <f ca="1"/>
        <v>-7.4512524730540736E-3</v>
      </c>
      <c r="P177" s="6">
        <f ca="1"/>
        <v>-7.3774469693953584E-3</v>
      </c>
      <c r="Q177" s="6">
        <f ca="1"/>
        <v>-7.3045299987285579E-3</v>
      </c>
      <c r="R177" s="6">
        <f ca="1"/>
        <v>-7.2324431266613358E-3</v>
      </c>
      <c r="S177" s="6">
        <f ca="1"/>
        <v>-7.1611326063006049E-3</v>
      </c>
      <c r="T177" s="6">
        <f ca="1"/>
        <v>-7.090557785666798E-3</v>
      </c>
      <c r="U177" s="6">
        <f ca="1"/>
        <v>-7.020680636748656E-3</v>
      </c>
      <c r="V177" s="6">
        <f ca="1"/>
        <v>-6.9514684136486767E-3</v>
      </c>
      <c r="W177" s="6">
        <f ca="1"/>
        <v>-6.8828920585642453E-3</v>
      </c>
      <c r="X177" s="6">
        <f ca="1"/>
        <v>-6.8149249778515358E-3</v>
      </c>
      <c r="Y177" s="6">
        <f ca="1"/>
        <v>-6.7814497080800635E-3</v>
      </c>
      <c r="Z177" s="6">
        <f ca="1"/>
        <v>-6.7482032324796687E-3</v>
      </c>
      <c r="AA177" s="6">
        <f ca="1"/>
        <v>-6.7151668898983606E-3</v>
      </c>
      <c r="AB177" s="6">
        <f ca="1"/>
        <v>-6.6823232170244813E-3</v>
      </c>
      <c r="AC177" s="6">
        <f ca="1"/>
        <v>-6.6496560174866019E-3</v>
      </c>
      <c r="AD177" s="6">
        <f ca="1"/>
        <v>-6.6171503672793402E-3</v>
      </c>
      <c r="AE177" s="6">
        <f ca="1"/>
        <v>-6.5847925392068605E-3</v>
      </c>
      <c r="AF177" s="6">
        <f ca="1"/>
        <v>-6.5525698786996411E-3</v>
      </c>
      <c r="AG177" s="6">
        <f ca="1"/>
        <v>-6.5204706620983956E-3</v>
      </c>
      <c r="AH177" s="6">
        <f ca="1"/>
        <v>-6.4884839640000072E-3</v>
      </c>
      <c r="AI177" s="6">
        <f ca="1"/>
        <v>-6.4565995527019072E-3</v>
      </c>
      <c r="AJ177" s="6">
        <f ca="1"/>
        <v>-6.4248078156210432E-3</v>
      </c>
      <c r="AK177" s="6">
        <f ca="1"/>
        <v>-6.3930997061044043E-3</v>
      </c>
      <c r="AL177" s="6">
        <f ca="1"/>
        <v>-6.3614667153074553E-3</v>
      </c>
      <c r="AM177" s="6">
        <f ca="1"/>
        <v>-6.3299008337202329E-3</v>
      </c>
      <c r="AN177" s="6">
        <f ca="1"/>
        <v>-6.2983945292629205E-3</v>
      </c>
    </row>
    <row r="178" spans="5:40" hidden="1" x14ac:dyDescent="0.35">
      <c r="E178" s="6">
        <f ca="1"/>
        <v>0</v>
      </c>
      <c r="F178" s="6">
        <f ca="1"/>
        <v>0</v>
      </c>
      <c r="G178" s="6">
        <f ca="1"/>
        <v>-7.0202119256443287E-3</v>
      </c>
      <c r="H178" s="6">
        <f ca="1"/>
        <v>-6.0510039496730799E-3</v>
      </c>
      <c r="I178" s="6">
        <f ca="1"/>
        <v>-5.0926637142172408E-3</v>
      </c>
      <c r="J178" s="6">
        <f ca="1"/>
        <v>-4.8263482443943011E-3</v>
      </c>
      <c r="K178" s="6">
        <f ca="1"/>
        <v>-4.5630450937727465E-3</v>
      </c>
      <c r="L178" s="6">
        <f ca="1"/>
        <v>-4.3026503263928675E-3</v>
      </c>
      <c r="M178" s="6">
        <f ca="1"/>
        <v>-4.0450706783279125E-3</v>
      </c>
      <c r="N178" s="6">
        <f ca="1"/>
        <v>-3.7902176150463292E-3</v>
      </c>
      <c r="O178" s="6">
        <f ca="1"/>
        <v>-3.7535195971348133E-3</v>
      </c>
      <c r="P178" s="6">
        <f ca="1"/>
        <v>-3.7172736213260328E-3</v>
      </c>
      <c r="Q178" s="6">
        <f ca="1"/>
        <v>-3.6814492649595056E-3</v>
      </c>
      <c r="R178" s="6">
        <f ca="1"/>
        <v>-3.6460187421824605E-3</v>
      </c>
      <c r="S178" s="6">
        <f ca="1"/>
        <v>-3.6109564876207227E-3</v>
      </c>
      <c r="T178" s="6">
        <f ca="1"/>
        <v>-3.5762431934151947E-3</v>
      </c>
      <c r="U178" s="6">
        <f ca="1"/>
        <v>-3.5418607919121439E-3</v>
      </c>
      <c r="V178" s="6">
        <f ca="1"/>
        <v>-3.5077937333866586E-3</v>
      </c>
      <c r="W178" s="6">
        <f ca="1"/>
        <v>-3.4740282238871585E-3</v>
      </c>
      <c r="X178" s="6">
        <f ca="1"/>
        <v>-3.4405516396981955E-3</v>
      </c>
      <c r="Y178" s="6">
        <f ca="1"/>
        <v>-3.4244746221828931E-3</v>
      </c>
      <c r="Z178" s="6">
        <f ca="1"/>
        <v>-3.4085040263324307E-3</v>
      </c>
      <c r="AA178" s="6">
        <f ca="1"/>
        <v>-3.3926309550929307E-3</v>
      </c>
      <c r="AB178" s="6">
        <f ca="1"/>
        <v>-3.3768470790317721E-3</v>
      </c>
      <c r="AC178" s="6">
        <f ca="1"/>
        <v>-3.3611446702775422E-3</v>
      </c>
      <c r="AD178" s="6">
        <f ca="1"/>
        <v>-3.3455166058659175E-3</v>
      </c>
      <c r="AE178" s="6">
        <f ca="1"/>
        <v>-3.3299563321255517E-3</v>
      </c>
      <c r="AF178" s="6">
        <f ca="1"/>
        <v>-3.3144578056110629E-3</v>
      </c>
      <c r="AG178" s="6">
        <f ca="1"/>
        <v>-3.2990154255132767E-3</v>
      </c>
      <c r="AH178" s="6">
        <f ca="1"/>
        <v>-3.2836239703340079E-3</v>
      </c>
      <c r="AI178" s="6">
        <f ca="1"/>
        <v>-3.2682785479975726E-3</v>
      </c>
      <c r="AJ178" s="6">
        <f ca="1"/>
        <v>-3.2529745603232861E-3</v>
      </c>
      <c r="AK178" s="6">
        <f ca="1"/>
        <v>-3.2377076777482202E-3</v>
      </c>
      <c r="AL178" s="6">
        <f ca="1"/>
        <v>-3.2224738260866041E-3</v>
      </c>
      <c r="AM178" s="6">
        <f ca="1"/>
        <v>-3.207269168281561E-3</v>
      </c>
      <c r="AN178" s="6">
        <f ca="1"/>
        <v>-3.1920900941133936E-3</v>
      </c>
    </row>
    <row r="179" spans="5:40" hidden="1" x14ac:dyDescent="0.35">
      <c r="E179" s="6">
        <f ca="1"/>
        <v>1.1080666226952441E-2</v>
      </c>
      <c r="F179" s="6">
        <f ca="1"/>
        <v>8.5395189675609873E-3</v>
      </c>
      <c r="G179" s="6">
        <f ca="1"/>
        <v>0</v>
      </c>
      <c r="H179" s="6">
        <f ca="1"/>
        <v>0</v>
      </c>
      <c r="I179" s="6">
        <f ca="1"/>
        <v>0</v>
      </c>
      <c r="J179" s="6">
        <f ca="1"/>
        <v>0</v>
      </c>
      <c r="K179" s="6">
        <f ca="1"/>
        <v>0</v>
      </c>
      <c r="L179" s="6">
        <f ca="1"/>
        <v>0</v>
      </c>
      <c r="M179" s="6">
        <f ca="1"/>
        <v>0</v>
      </c>
      <c r="N179" s="6">
        <f ca="1"/>
        <v>0</v>
      </c>
      <c r="O179" s="6">
        <f ca="1"/>
        <v>0</v>
      </c>
      <c r="P179" s="6">
        <f ca="1"/>
        <v>0</v>
      </c>
      <c r="Q179" s="6">
        <f ca="1"/>
        <v>0</v>
      </c>
      <c r="R179" s="6">
        <f ca="1"/>
        <v>0</v>
      </c>
      <c r="S179" s="6">
        <f ca="1"/>
        <v>0</v>
      </c>
      <c r="T179" s="6">
        <f ca="1"/>
        <v>0</v>
      </c>
      <c r="U179" s="6">
        <f ca="1"/>
        <v>0</v>
      </c>
      <c r="V179" s="6">
        <f ca="1"/>
        <v>0</v>
      </c>
      <c r="W179" s="6">
        <f ca="1"/>
        <v>0</v>
      </c>
      <c r="X179" s="6">
        <f ca="1"/>
        <v>0</v>
      </c>
      <c r="Y179" s="6">
        <f ca="1"/>
        <v>0</v>
      </c>
      <c r="Z179" s="6">
        <f ca="1"/>
        <v>0</v>
      </c>
      <c r="AA179" s="6">
        <f ca="1"/>
        <v>0</v>
      </c>
      <c r="AB179" s="6">
        <f ca="1"/>
        <v>0</v>
      </c>
      <c r="AC179" s="6">
        <f ca="1"/>
        <v>0</v>
      </c>
      <c r="AD179" s="6">
        <f ca="1"/>
        <v>0</v>
      </c>
      <c r="AE179" s="6">
        <f ca="1"/>
        <v>0</v>
      </c>
      <c r="AF179" s="6">
        <f ca="1"/>
        <v>0</v>
      </c>
      <c r="AG179" s="6">
        <f ca="1"/>
        <v>0</v>
      </c>
      <c r="AH179" s="6">
        <f ca="1"/>
        <v>0</v>
      </c>
      <c r="AI179" s="6">
        <f ca="1"/>
        <v>0</v>
      </c>
      <c r="AJ179" s="6">
        <f ca="1"/>
        <v>0</v>
      </c>
      <c r="AK179" s="6">
        <f ca="1"/>
        <v>0</v>
      </c>
      <c r="AL179" s="6">
        <f ca="1"/>
        <v>0</v>
      </c>
      <c r="AM179" s="6">
        <f ca="1"/>
        <v>0</v>
      </c>
      <c r="AN179" s="6">
        <f ca="1"/>
        <v>0</v>
      </c>
    </row>
    <row r="180" spans="5:40" hidden="1" x14ac:dyDescent="0.35">
      <c r="E180" s="6">
        <f ca="1"/>
        <v>4.8054056966948776E-2</v>
      </c>
      <c r="F180" s="6">
        <f ca="1"/>
        <v>3.7426760944152662E-2</v>
      </c>
      <c r="G180" s="6">
        <f ca="1"/>
        <v>2.4063713313992038E-2</v>
      </c>
      <c r="H180" s="6">
        <f ca="1"/>
        <v>2.1009148710449357E-2</v>
      </c>
      <c r="I180" s="6">
        <f ca="1"/>
        <v>1.7904025280331321E-2</v>
      </c>
      <c r="J180" s="6">
        <f ca="1"/>
        <v>1.7176027931949955E-2</v>
      </c>
      <c r="K180" s="6">
        <f ca="1"/>
        <v>1.6433969660869265E-2</v>
      </c>
      <c r="L180" s="6">
        <f ca="1"/>
        <v>1.5678356159514385E-2</v>
      </c>
      <c r="M180" s="6">
        <f ca="1"/>
        <v>1.4909641731143208E-2</v>
      </c>
      <c r="N180" s="6">
        <f ca="1"/>
        <v>1.412825698576789E-2</v>
      </c>
      <c r="O180" s="6">
        <f ca="1"/>
        <v>1.4146873460968368E-2</v>
      </c>
      <c r="P180" s="6">
        <f ca="1"/>
        <v>1.4163326757119421E-2</v>
      </c>
      <c r="Q180" s="6">
        <f ca="1"/>
        <v>1.4177761585482514E-2</v>
      </c>
      <c r="R180" s="6">
        <f ca="1"/>
        <v>1.4190309965345455E-2</v>
      </c>
      <c r="S180" s="6">
        <f ca="1"/>
        <v>1.4201093207437463E-2</v>
      </c>
      <c r="T180" s="6">
        <f ca="1"/>
        <v>1.4210203477493136E-2</v>
      </c>
      <c r="U180" s="6">
        <f ca="1"/>
        <v>1.4217726907077937E-2</v>
      </c>
      <c r="V180" s="6">
        <f ca="1"/>
        <v>1.4223737783638328E-2</v>
      </c>
      <c r="W180" s="6">
        <f ca="1"/>
        <v>1.4228302091971868E-2</v>
      </c>
      <c r="X180" s="6">
        <f ca="1"/>
        <v>1.4231480228945294E-2</v>
      </c>
      <c r="Y180" s="6">
        <f ca="1"/>
        <v>1.430485256399038E-2</v>
      </c>
      <c r="Z180" s="6">
        <f ca="1"/>
        <v>1.4377675937028047E-2</v>
      </c>
      <c r="AA180" s="6">
        <f ca="1"/>
        <v>1.4449992206521066E-2</v>
      </c>
      <c r="AB180" s="6">
        <f ca="1"/>
        <v>1.4521840498117567E-2</v>
      </c>
      <c r="AC180" s="6">
        <f ca="1"/>
        <v>1.4593257063867569E-2</v>
      </c>
      <c r="AD180" s="6">
        <f ca="1"/>
        <v>1.4664275280782587E-2</v>
      </c>
      <c r="AE180" s="6">
        <f ca="1"/>
        <v>1.4734925825920642E-2</v>
      </c>
      <c r="AF180" s="6">
        <f ca="1"/>
        <v>1.4805236956673195E-2</v>
      </c>
      <c r="AG180" s="6">
        <f ca="1"/>
        <v>1.4875234828039319E-2</v>
      </c>
      <c r="AH180" s="6">
        <f ca="1"/>
        <v>1.4944943788822577E-2</v>
      </c>
      <c r="AI180" s="6">
        <f ca="1"/>
        <v>1.5014386615423286E-2</v>
      </c>
      <c r="AJ180" s="6">
        <f ca="1"/>
        <v>1.5083584679439762E-2</v>
      </c>
      <c r="AK180" s="6">
        <f ca="1"/>
        <v>1.5152558068048626E-2</v>
      </c>
      <c r="AL180" s="6">
        <f ca="1"/>
        <v>1.5221325649390743E-2</v>
      </c>
      <c r="AM180" s="6">
        <f ca="1"/>
        <v>1.5289905160142822E-2</v>
      </c>
      <c r="AN180" s="6">
        <f ca="1"/>
        <v>1.5358313256748062E-2</v>
      </c>
    </row>
    <row r="181" spans="5:40" hidden="1" x14ac:dyDescent="0.35">
      <c r="E181" s="6">
        <f ca="1"/>
        <v>7.9455016497868847E-2</v>
      </c>
      <c r="F181" s="6">
        <f ca="1"/>
        <v>6.162847537725142E-2</v>
      </c>
      <c r="G181" s="6">
        <f ca="1"/>
        <v>4.3961371355182702E-2</v>
      </c>
      <c r="H181" s="6">
        <f ca="1"/>
        <v>3.8161411978505554E-2</v>
      </c>
      <c r="I181" s="6">
        <f ca="1"/>
        <v>3.2341273442818168E-2</v>
      </c>
      <c r="J181" s="6">
        <f ca="1"/>
        <v>3.0859823749019771E-2</v>
      </c>
      <c r="K181" s="6">
        <f ca="1"/>
        <v>2.937277515140807E-2</v>
      </c>
      <c r="L181" s="6">
        <f ca="1"/>
        <v>2.7880323277177235E-2</v>
      </c>
      <c r="M181" s="6">
        <f ca="1"/>
        <v>2.6382643733834362E-2</v>
      </c>
      <c r="N181" s="6">
        <f ca="1"/>
        <v>2.4879903148801875E-2</v>
      </c>
      <c r="O181" s="6">
        <f ca="1"/>
        <v>2.4795951716037243E-2</v>
      </c>
      <c r="P181" s="6">
        <f ca="1"/>
        <v>2.4711153677547629E-2</v>
      </c>
      <c r="Q181" s="6">
        <f ca="1"/>
        <v>2.4625565895907284E-2</v>
      </c>
      <c r="R181" s="6">
        <f ca="1"/>
        <v>2.4539240287379197E-2</v>
      </c>
      <c r="S181" s="6">
        <f ca="1"/>
        <v>2.4452224600409137E-2</v>
      </c>
      <c r="T181" s="6">
        <f ca="1"/>
        <v>2.4364554960926016E-2</v>
      </c>
      <c r="U181" s="6">
        <f ca="1"/>
        <v>2.4276265160743007E-2</v>
      </c>
      <c r="V181" s="6">
        <f ca="1"/>
        <v>2.4187384301139061E-2</v>
      </c>
      <c r="W181" s="6">
        <f ca="1"/>
        <v>2.4097938207478378E-2</v>
      </c>
      <c r="X181" s="6">
        <f ca="1"/>
        <v>2.4007950515274008E-2</v>
      </c>
      <c r="Y181" s="6">
        <f ca="1"/>
        <v>2.4037631343929194E-2</v>
      </c>
      <c r="Z181" s="6">
        <f ca="1"/>
        <v>2.4067108013226261E-2</v>
      </c>
      <c r="AA181" s="6">
        <f ca="1"/>
        <v>2.4096397094064026E-2</v>
      </c>
      <c r="AB181" s="6">
        <f ca="1"/>
        <v>2.412551409238322E-2</v>
      </c>
      <c r="AC181" s="6">
        <f ca="1"/>
        <v>2.4154473388184459E-2</v>
      </c>
      <c r="AD181" s="6">
        <f ca="1"/>
        <v>2.4183288230998357E-2</v>
      </c>
      <c r="AE181" s="6">
        <f ca="1"/>
        <v>2.4211970807131507E-2</v>
      </c>
      <c r="AF181" s="6">
        <f ca="1"/>
        <v>2.424053234999143E-2</v>
      </c>
      <c r="AG181" s="6">
        <f ca="1"/>
        <v>2.4268983265917136E-2</v>
      </c>
      <c r="AH181" s="6">
        <f ca="1"/>
        <v>2.4297333251942693E-2</v>
      </c>
      <c r="AI181" s="6">
        <f ca="1"/>
        <v>2.4325591388624793E-2</v>
      </c>
      <c r="AJ181" s="6">
        <f ca="1"/>
        <v>2.4353766206280394E-2</v>
      </c>
      <c r="AK181" s="6">
        <f ca="1"/>
        <v>2.4381865732248941E-2</v>
      </c>
      <c r="AL181" s="6">
        <f ca="1"/>
        <v>2.4409897515926513E-2</v>
      </c>
      <c r="AM181" s="6">
        <f ca="1"/>
        <v>2.4437868662965826E-2</v>
      </c>
      <c r="AN181" s="6">
        <f ca="1"/>
        <v>2.4465785854784022E-2</v>
      </c>
    </row>
    <row r="189" spans="5:40" hidden="1" x14ac:dyDescent="0.35">
      <c r="E189" s="6">
        <f t="array" aca="1" ref="E189:AN193" ca="1">adjShpStdmed_Com</f>
        <v>-1.126011872884787E-2</v>
      </c>
      <c r="F189" s="6">
        <f ca="1"/>
        <v>-8.6740290797897787E-3</v>
      </c>
      <c r="G189" s="6">
        <f ca="1"/>
        <v>-1.4332442887263508E-2</v>
      </c>
      <c r="H189" s="6">
        <f ca="1"/>
        <v>-1.2351995669089927E-2</v>
      </c>
      <c r="I189" s="6">
        <f ca="1"/>
        <v>-1.0394313492985967E-2</v>
      </c>
      <c r="J189" s="6">
        <f ca="1"/>
        <v>-9.8494465510934846E-3</v>
      </c>
      <c r="K189" s="6">
        <f ca="1"/>
        <v>-9.3108949154568233E-3</v>
      </c>
      <c r="L189" s="6">
        <f ca="1"/>
        <v>-8.7784383943792042E-3</v>
      </c>
      <c r="M189" s="6">
        <f ca="1"/>
        <v>-8.2518793421008409E-3</v>
      </c>
      <c r="N189" s="6">
        <f ca="1"/>
        <v>-7.7310302055725614E-3</v>
      </c>
      <c r="O189" s="6">
        <f ca="1"/>
        <v>-7.6552475345991943E-3</v>
      </c>
      <c r="P189" s="6">
        <f ca="1"/>
        <v>-7.5804185780015548E-3</v>
      </c>
      <c r="Q189" s="6">
        <f ca="1"/>
        <v>-7.50647925826278E-3</v>
      </c>
      <c r="R189" s="6">
        <f ca="1"/>
        <v>-7.4333710683947736E-3</v>
      </c>
      <c r="S189" s="6">
        <f ca="1"/>
        <v>-7.361040194732057E-3</v>
      </c>
      <c r="T189" s="6">
        <f ca="1"/>
        <v>-7.2894459347911814E-3</v>
      </c>
      <c r="U189" s="6">
        <f ca="1"/>
        <v>-7.2185502133169507E-3</v>
      </c>
      <c r="V189" s="6">
        <f ca="1"/>
        <v>-7.1483202437299231E-3</v>
      </c>
      <c r="W189" s="6">
        <f ca="1"/>
        <v>-7.078726932127649E-3</v>
      </c>
      <c r="X189" s="6">
        <f ca="1"/>
        <v>-7.0097436518278379E-3</v>
      </c>
      <c r="Y189" s="6">
        <f ca="1"/>
        <v>-6.9762267941292687E-3</v>
      </c>
      <c r="Z189" s="6">
        <f ca="1"/>
        <v>-6.9429390148437161E-3</v>
      </c>
      <c r="AA189" s="6">
        <f ca="1"/>
        <v>-6.9098616296355275E-3</v>
      </c>
      <c r="AB189" s="6">
        <f ca="1"/>
        <v>-6.8769771534975448E-3</v>
      </c>
      <c r="AC189" s="6">
        <f ca="1"/>
        <v>-6.8442693699368373E-3</v>
      </c>
      <c r="AD189" s="6">
        <f ca="1"/>
        <v>-6.8117233364071543E-3</v>
      </c>
      <c r="AE189" s="6">
        <f ca="1"/>
        <v>-6.7793253086588165E-3</v>
      </c>
      <c r="AF189" s="6">
        <f ca="1"/>
        <v>-6.7470626164008122E-3</v>
      </c>
      <c r="AG189" s="6">
        <f ca="1"/>
        <v>-6.7149235214091123E-3</v>
      </c>
      <c r="AH189" s="6">
        <f ca="1"/>
        <v>-6.6828970847073047E-3</v>
      </c>
      <c r="AI189" s="6">
        <f ca="1"/>
        <v>-6.6509730618816319E-3</v>
      </c>
      <c r="AJ189" s="6">
        <f ca="1"/>
        <v>-6.6191418284067801E-3</v>
      </c>
      <c r="AK189" s="6">
        <f ca="1"/>
        <v>-6.5873943263906132E-3</v>
      </c>
      <c r="AL189" s="6">
        <f ca="1"/>
        <v>-6.5557220364177889E-3</v>
      </c>
      <c r="AM189" s="6">
        <f ca="1"/>
        <v>-6.524116939027662E-3</v>
      </c>
      <c r="AN189" s="6">
        <f ca="1"/>
        <v>-6.492571492782922E-3</v>
      </c>
    </row>
    <row r="190" spans="5:40" hidden="1" x14ac:dyDescent="0.35">
      <c r="E190" s="6">
        <f ca="1"/>
        <v>0</v>
      </c>
      <c r="F190" s="6">
        <f ca="1"/>
        <v>0</v>
      </c>
      <c r="G190" s="6">
        <f ca="1"/>
        <v>-7.2002247255236913E-3</v>
      </c>
      <c r="H190" s="6">
        <f ca="1"/>
        <v>-6.2069943235422845E-3</v>
      </c>
      <c r="I190" s="6">
        <f ca="1"/>
        <v>-5.2246384485299478E-3</v>
      </c>
      <c r="J190" s="6">
        <f ca="1"/>
        <v>-4.9520682048260914E-3</v>
      </c>
      <c r="K190" s="6">
        <f ca="1"/>
        <v>-4.6825121613921234E-3</v>
      </c>
      <c r="L190" s="6">
        <f ca="1"/>
        <v>-4.4158663173646086E-3</v>
      </c>
      <c r="M190" s="6">
        <f ca="1"/>
        <v>-4.1520373505773821E-3</v>
      </c>
      <c r="N190" s="6">
        <f ca="1"/>
        <v>-3.8909366712126937E-3</v>
      </c>
      <c r="O190" s="6">
        <f ca="1"/>
        <v>-3.8537473929940347E-3</v>
      </c>
      <c r="P190" s="6">
        <f ca="1"/>
        <v>-3.8170104391596271E-3</v>
      </c>
      <c r="Q190" s="6">
        <f ca="1"/>
        <v>-3.7806953680512962E-3</v>
      </c>
      <c r="R190" s="6">
        <f ca="1"/>
        <v>-3.744774376465278E-3</v>
      </c>
      <c r="S190" s="6">
        <f ca="1"/>
        <v>-3.7092218830627505E-3</v>
      </c>
      <c r="T190" s="6">
        <f ca="1"/>
        <v>-3.6740185679277008E-3</v>
      </c>
      <c r="U190" s="6">
        <f ca="1"/>
        <v>-3.6391463521239778E-3</v>
      </c>
      <c r="V190" s="6">
        <f ca="1"/>
        <v>-3.6045896762163768E-3</v>
      </c>
      <c r="W190" s="6">
        <f ca="1"/>
        <v>-3.5703347376396443E-3</v>
      </c>
      <c r="X190" s="6">
        <f ca="1"/>
        <v>-3.5363689047953513E-3</v>
      </c>
      <c r="Y190" s="6">
        <f ca="1"/>
        <v>-3.5202818478489513E-3</v>
      </c>
      <c r="Z190" s="6">
        <f ca="1"/>
        <v>-3.5043012790232733E-3</v>
      </c>
      <c r="AA190" s="6">
        <f ca="1"/>
        <v>-3.4884182957086256E-3</v>
      </c>
      <c r="AB190" s="6">
        <f ca="1"/>
        <v>-3.4726245632710718E-3</v>
      </c>
      <c r="AC190" s="6">
        <f ca="1"/>
        <v>-3.4569123490133398E-3</v>
      </c>
      <c r="AD190" s="6">
        <f ca="1"/>
        <v>-3.441274525523209E-3</v>
      </c>
      <c r="AE190" s="6">
        <f ca="1"/>
        <v>-3.425704535036793E-3</v>
      </c>
      <c r="AF190" s="6">
        <f ca="1"/>
        <v>-3.4101963303348566E-3</v>
      </c>
      <c r="AG190" s="6">
        <f ca="1"/>
        <v>-3.3947443071106944E-3</v>
      </c>
      <c r="AH190" s="6">
        <f ca="1"/>
        <v>-3.3793432406055645E-3</v>
      </c>
      <c r="AI190" s="6">
        <f ca="1"/>
        <v>-3.3639882356888817E-3</v>
      </c>
      <c r="AJ190" s="6">
        <f ca="1"/>
        <v>-3.3486746913085896E-3</v>
      </c>
      <c r="AK190" s="6">
        <f ca="1"/>
        <v>-3.3333982751980527E-3</v>
      </c>
      <c r="AL190" s="6">
        <f ca="1"/>
        <v>-3.3181549106274981E-3</v>
      </c>
      <c r="AM190" s="6">
        <f ca="1"/>
        <v>-3.3029407581437954E-3</v>
      </c>
      <c r="AN190" s="6">
        <f ca="1"/>
        <v>-3.2877522052729134E-3</v>
      </c>
    </row>
    <row r="191" spans="5:40" hidden="1" x14ac:dyDescent="0.35">
      <c r="E191" s="6">
        <f ca="1"/>
        <v>1.1354582110598676E-2</v>
      </c>
      <c r="F191" s="6">
        <f ca="1"/>
        <v>8.7518337310430305E-3</v>
      </c>
      <c r="G191" s="6">
        <f ca="1"/>
        <v>0</v>
      </c>
      <c r="H191" s="6">
        <f ca="1"/>
        <v>0</v>
      </c>
      <c r="I191" s="6">
        <f ca="1"/>
        <v>0</v>
      </c>
      <c r="J191" s="6">
        <f ca="1"/>
        <v>0</v>
      </c>
      <c r="K191" s="6">
        <f ca="1"/>
        <v>0</v>
      </c>
      <c r="L191" s="6">
        <f ca="1"/>
        <v>0</v>
      </c>
      <c r="M191" s="6">
        <f ca="1"/>
        <v>0</v>
      </c>
      <c r="N191" s="6">
        <f ca="1"/>
        <v>0</v>
      </c>
      <c r="O191" s="6">
        <f ca="1"/>
        <v>0</v>
      </c>
      <c r="P191" s="6">
        <f ca="1"/>
        <v>0</v>
      </c>
      <c r="Q191" s="6">
        <f ca="1"/>
        <v>0</v>
      </c>
      <c r="R191" s="6">
        <f ca="1"/>
        <v>0</v>
      </c>
      <c r="S191" s="6">
        <f ca="1"/>
        <v>0</v>
      </c>
      <c r="T191" s="6">
        <f ca="1"/>
        <v>0</v>
      </c>
      <c r="U191" s="6">
        <f ca="1"/>
        <v>0</v>
      </c>
      <c r="V191" s="6">
        <f ca="1"/>
        <v>0</v>
      </c>
      <c r="W191" s="6">
        <f ca="1"/>
        <v>0</v>
      </c>
      <c r="X191" s="6">
        <f ca="1"/>
        <v>0</v>
      </c>
      <c r="Y191" s="6">
        <f ca="1"/>
        <v>0</v>
      </c>
      <c r="Z191" s="6">
        <f ca="1"/>
        <v>0</v>
      </c>
      <c r="AA191" s="6">
        <f ca="1"/>
        <v>0</v>
      </c>
      <c r="AB191" s="6">
        <f ca="1"/>
        <v>0</v>
      </c>
      <c r="AC191" s="6">
        <f ca="1"/>
        <v>0</v>
      </c>
      <c r="AD191" s="6">
        <f ca="1"/>
        <v>0</v>
      </c>
      <c r="AE191" s="6">
        <f ca="1"/>
        <v>0</v>
      </c>
      <c r="AF191" s="6">
        <f ca="1"/>
        <v>0</v>
      </c>
      <c r="AG191" s="6">
        <f ca="1"/>
        <v>0</v>
      </c>
      <c r="AH191" s="6">
        <f ca="1"/>
        <v>0</v>
      </c>
      <c r="AI191" s="6">
        <f ca="1"/>
        <v>0</v>
      </c>
      <c r="AJ191" s="6">
        <f ca="1"/>
        <v>0</v>
      </c>
      <c r="AK191" s="6">
        <f ca="1"/>
        <v>0</v>
      </c>
      <c r="AL191" s="6">
        <f ca="1"/>
        <v>0</v>
      </c>
      <c r="AM191" s="6">
        <f ca="1"/>
        <v>0</v>
      </c>
      <c r="AN191" s="6">
        <f ca="1"/>
        <v>0</v>
      </c>
    </row>
    <row r="192" spans="5:40" hidden="1" x14ac:dyDescent="0.35">
      <c r="E192" s="6">
        <f ca="1"/>
        <v>4.918429174233608E-2</v>
      </c>
      <c r="F192" s="6">
        <f ca="1"/>
        <v>3.8302173066767899E-2</v>
      </c>
      <c r="G192" s="6">
        <f ca="1"/>
        <v>2.4626746760715766E-2</v>
      </c>
      <c r="H192" s="6">
        <f ca="1"/>
        <v>2.1496774045546806E-2</v>
      </c>
      <c r="I192" s="6">
        <f ca="1"/>
        <v>1.8316353187427008E-2</v>
      </c>
      <c r="J192" s="6">
        <f ca="1"/>
        <v>1.7568604827766052E-2</v>
      </c>
      <c r="K192" s="6">
        <f ca="1"/>
        <v>1.6806826327644877E-2</v>
      </c>
      <c r="L192" s="6">
        <f ca="1"/>
        <v>1.603152227242436E-2</v>
      </c>
      <c r="M192" s="6">
        <f ca="1"/>
        <v>1.5243145970799501E-2</v>
      </c>
      <c r="N192" s="6">
        <f ca="1"/>
        <v>1.4442127090089001E-2</v>
      </c>
      <c r="O192" s="6">
        <f ca="1"/>
        <v>1.4459060906432253E-2</v>
      </c>
      <c r="P192" s="6">
        <f ca="1"/>
        <v>1.4473836279367994E-2</v>
      </c>
      <c r="Q192" s="6">
        <f ca="1"/>
        <v>1.4486597603355151E-2</v>
      </c>
      <c r="R192" s="6">
        <f ca="1"/>
        <v>1.4497476608664184E-2</v>
      </c>
      <c r="S192" s="6">
        <f ca="1"/>
        <v>1.4506594340450301E-2</v>
      </c>
      <c r="T192" s="6">
        <f ca="1"/>
        <v>1.4514042762678496E-2</v>
      </c>
      <c r="U192" s="6">
        <f ca="1"/>
        <v>1.4519907818354508E-2</v>
      </c>
      <c r="V192" s="6">
        <f ca="1"/>
        <v>1.452426363229444E-2</v>
      </c>
      <c r="W192" s="6">
        <f ca="1"/>
        <v>1.4527176044841593E-2</v>
      </c>
      <c r="X192" s="6">
        <f ca="1"/>
        <v>1.4528705320641573E-2</v>
      </c>
      <c r="Y192" s="6">
        <f ca="1"/>
        <v>1.4601917028620454E-2</v>
      </c>
      <c r="Z192" s="6">
        <f ca="1"/>
        <v>1.467458097638219E-2</v>
      </c>
      <c r="AA192" s="6">
        <f ca="1"/>
        <v>1.4746738930752779E-2</v>
      </c>
      <c r="AB192" s="6">
        <f ca="1"/>
        <v>1.4818429931726242E-2</v>
      </c>
      <c r="AC192" s="6">
        <f ca="1"/>
        <v>1.4889690151989562E-2</v>
      </c>
      <c r="AD192" s="6">
        <f ca="1"/>
        <v>1.4960552895485044E-2</v>
      </c>
      <c r="AE192" s="6">
        <f ca="1"/>
        <v>1.5031048772112372E-2</v>
      </c>
      <c r="AF192" s="6">
        <f ca="1"/>
        <v>1.5101205977401779E-2</v>
      </c>
      <c r="AG192" s="6">
        <f ca="1"/>
        <v>1.5171050609093708E-2</v>
      </c>
      <c r="AH192" s="6">
        <f ca="1"/>
        <v>1.5240606962687199E-2</v>
      </c>
      <c r="AI192" s="6">
        <f ca="1"/>
        <v>1.530989776472038E-2</v>
      </c>
      <c r="AJ192" s="6">
        <f ca="1"/>
        <v>1.5378944340004716E-2</v>
      </c>
      <c r="AK192" s="6">
        <f ca="1"/>
        <v>1.544776673174195E-2</v>
      </c>
      <c r="AL192" s="6">
        <f ca="1"/>
        <v>1.551638376676666E-2</v>
      </c>
      <c r="AM192" s="6">
        <f ca="1"/>
        <v>1.5584813142926354E-2</v>
      </c>
      <c r="AN192" s="6">
        <f ca="1"/>
        <v>1.5653071480199905E-2</v>
      </c>
    </row>
    <row r="193" spans="5:40" hidden="1" x14ac:dyDescent="0.35">
      <c r="E193" s="6">
        <f ca="1"/>
        <v>8.1148091362672092E-2</v>
      </c>
      <c r="F193" s="6">
        <f ca="1"/>
        <v>6.2940376112995633E-2</v>
      </c>
      <c r="G193" s="6">
        <f ca="1"/>
        <v>4.4898078342848431E-2</v>
      </c>
      <c r="H193" s="6">
        <f ca="1"/>
        <v>3.8972981703038485E-2</v>
      </c>
      <c r="I193" s="6">
        <f ca="1"/>
        <v>3.302778556230955E-2</v>
      </c>
      <c r="J193" s="6">
        <f ca="1"/>
        <v>3.1513695413324085E-2</v>
      </c>
      <c r="K193" s="6">
        <f ca="1"/>
        <v>2.9994028462437036E-2</v>
      </c>
      <c r="L193" s="6">
        <f ca="1"/>
        <v>2.8468979564595875E-2</v>
      </c>
      <c r="M193" s="6">
        <f ca="1"/>
        <v>2.6938723634089612E-2</v>
      </c>
      <c r="N193" s="6">
        <f ca="1"/>
        <v>2.5403426640571769E-2</v>
      </c>
      <c r="O193" s="6">
        <f ca="1"/>
        <v>2.5316845952664889E-2</v>
      </c>
      <c r="P193" s="6">
        <f ca="1"/>
        <v>2.522942200104529E-2</v>
      </c>
      <c r="Q193" s="6">
        <f ca="1"/>
        <v>2.5141211423819743E-2</v>
      </c>
      <c r="R193" s="6">
        <f ca="1"/>
        <v>2.5052265932309577E-2</v>
      </c>
      <c r="S193" s="6">
        <f ca="1"/>
        <v>2.496263308647155E-2</v>
      </c>
      <c r="T193" s="6">
        <f ca="1"/>
        <v>2.4872348869625926E-2</v>
      </c>
      <c r="U193" s="6">
        <f ca="1"/>
        <v>2.4781446940191184E-2</v>
      </c>
      <c r="V193" s="6">
        <f ca="1"/>
        <v>2.4689956284567841E-2</v>
      </c>
      <c r="W193" s="6">
        <f ca="1"/>
        <v>2.459790262617333E-2</v>
      </c>
      <c r="X193" s="6">
        <f ca="1"/>
        <v>2.4505309507218458E-2</v>
      </c>
      <c r="Y193" s="6">
        <f ca="1"/>
        <v>2.4534873169535888E-2</v>
      </c>
      <c r="Z193" s="6">
        <f ca="1"/>
        <v>2.4564233478423039E-2</v>
      </c>
      <c r="AA193" s="6">
        <f ca="1"/>
        <v>2.4593406939364317E-2</v>
      </c>
      <c r="AB193" s="6">
        <f ca="1"/>
        <v>2.4622408997090079E-2</v>
      </c>
      <c r="AC193" s="6">
        <f ca="1"/>
        <v>2.465125397483537E-2</v>
      </c>
      <c r="AD193" s="6">
        <f ca="1"/>
        <v>2.4679955069827592E-2</v>
      </c>
      <c r="AE193" s="6">
        <f ca="1"/>
        <v>2.4708524420267476E-2</v>
      </c>
      <c r="AF193" s="6">
        <f ca="1"/>
        <v>2.473697321521811E-2</v>
      </c>
      <c r="AG193" s="6">
        <f ca="1"/>
        <v>2.476531181993908E-2</v>
      </c>
      <c r="AH193" s="6">
        <f ca="1"/>
        <v>2.4793549893184989E-2</v>
      </c>
      <c r="AI193" s="6">
        <f ca="1"/>
        <v>2.482169647966664E-2</v>
      </c>
      <c r="AJ193" s="6">
        <f ca="1"/>
        <v>2.48497600760272E-2</v>
      </c>
      <c r="AK193" s="6">
        <f ca="1"/>
        <v>2.4877748677917883E-2</v>
      </c>
      <c r="AL193" s="6">
        <f ca="1"/>
        <v>2.4905669804933136E-2</v>
      </c>
      <c r="AM193" s="6">
        <f ca="1"/>
        <v>2.4933530534675865E-2</v>
      </c>
      <c r="AN193" s="6">
        <f ca="1"/>
        <v>2.4961337522188019E-2</v>
      </c>
    </row>
    <row r="201" spans="5:40" hidden="1" x14ac:dyDescent="0.35">
      <c r="E201" s="6">
        <f t="array" aca="1" ref="E201:AN205" ca="1">adjShpStdsml_Res</f>
        <v>-1.1870245742607843E-2</v>
      </c>
      <c r="F201" s="6">
        <f ca="1"/>
        <v>-9.1425763849691932E-3</v>
      </c>
      <c r="G201" s="6">
        <f ca="1"/>
        <v>-1.5784307369257719E-2</v>
      </c>
      <c r="H201" s="6">
        <f ca="1"/>
        <v>-1.3632033539754205E-2</v>
      </c>
      <c r="I201" s="6">
        <f ca="1"/>
        <v>-1.1495365112189829E-2</v>
      </c>
      <c r="J201" s="6">
        <f ca="1"/>
        <v>-1.091515264610712E-2</v>
      </c>
      <c r="K201" s="6">
        <f ca="1"/>
        <v>-1.0339259520182404E-2</v>
      </c>
      <c r="L201" s="6">
        <f ca="1"/>
        <v>-9.7675393463649736E-3</v>
      </c>
      <c r="M201" s="6">
        <f ca="1"/>
        <v>-9.199860844001791E-3</v>
      </c>
      <c r="N201" s="6">
        <f ca="1"/>
        <v>-8.6360993117527221E-3</v>
      </c>
      <c r="O201" s="6">
        <f ca="1"/>
        <v>-8.5680828011462009E-3</v>
      </c>
      <c r="P201" s="6">
        <f ca="1"/>
        <v>-8.5007074403417506E-3</v>
      </c>
      <c r="Q201" s="6">
        <f ca="1"/>
        <v>-8.4339299437443203E-3</v>
      </c>
      <c r="R201" s="6">
        <f ca="1"/>
        <v>-8.3677107579371891E-3</v>
      </c>
      <c r="S201" s="6">
        <f ca="1"/>
        <v>-8.3020134696662386E-3</v>
      </c>
      <c r="T201" s="6">
        <f ca="1"/>
        <v>-8.2368106476573607E-3</v>
      </c>
      <c r="U201" s="6">
        <f ca="1"/>
        <v>-8.1720766078023765E-3</v>
      </c>
      <c r="V201" s="6">
        <f ca="1"/>
        <v>-8.1077892653368712E-3</v>
      </c>
      <c r="W201" s="6">
        <f ca="1"/>
        <v>-8.0439290397928149E-3</v>
      </c>
      <c r="X201" s="6">
        <f ca="1"/>
        <v>-7.980478012894367E-3</v>
      </c>
      <c r="Y201" s="6">
        <f ca="1"/>
        <v>-7.9572055570884242E-3</v>
      </c>
      <c r="Z201" s="6">
        <f ca="1"/>
        <v>-7.9340786584333935E-3</v>
      </c>
      <c r="AA201" s="6">
        <f ca="1"/>
        <v>-7.9110845907692223E-3</v>
      </c>
      <c r="AB201" s="6">
        <f ca="1"/>
        <v>-7.8882114310485293E-3</v>
      </c>
      <c r="AC201" s="6">
        <f ca="1"/>
        <v>-7.8654481102763841E-3</v>
      </c>
      <c r="AD201" s="6">
        <f ca="1"/>
        <v>-7.8427844201381311E-3</v>
      </c>
      <c r="AE201" s="6">
        <f ca="1"/>
        <v>-7.8202109630669779E-3</v>
      </c>
      <c r="AF201" s="6">
        <f ca="1"/>
        <v>-7.7977190681255155E-3</v>
      </c>
      <c r="AG201" s="6">
        <f ca="1"/>
        <v>-7.7753006942999974E-3</v>
      </c>
      <c r="AH201" s="6">
        <f ca="1"/>
        <v>-7.7529483397563896E-3</v>
      </c>
      <c r="AI201" s="6">
        <f ca="1"/>
        <v>-7.7306549704056187E-3</v>
      </c>
      <c r="AJ201" s="6">
        <f ca="1"/>
        <v>-7.7084139691739667E-3</v>
      </c>
      <c r="AK201" s="6">
        <f ca="1"/>
        <v>-7.6862191000554919E-3</v>
      </c>
      <c r="AL201" s="6">
        <f ca="1"/>
        <v>-7.6640644895841874E-3</v>
      </c>
      <c r="AM201" s="6">
        <f ca="1"/>
        <v>-7.6419446009689633E-3</v>
      </c>
      <c r="AN201" s="6">
        <f ca="1"/>
        <v>-7.6198542197468272E-3</v>
      </c>
    </row>
    <row r="202" spans="5:40" hidden="1" x14ac:dyDescent="0.35">
      <c r="E202" s="6">
        <f ca="1"/>
        <v>0</v>
      </c>
      <c r="F202" s="6">
        <f ca="1"/>
        <v>0</v>
      </c>
      <c r="G202" s="6">
        <f ca="1"/>
        <v>-8.2409133847761145E-3</v>
      </c>
      <c r="H202" s="6">
        <f ca="1"/>
        <v>-7.1331920885496815E-3</v>
      </c>
      <c r="I202" s="6">
        <f ca="1"/>
        <v>-6.0283910812456935E-3</v>
      </c>
      <c r="J202" s="6">
        <f ca="1"/>
        <v>-5.7365177982708244E-3</v>
      </c>
      <c r="K202" s="6">
        <f ca="1"/>
        <v>-5.4454520613277753E-3</v>
      </c>
      <c r="L202" s="6">
        <f ca="1"/>
        <v>-5.1551668194717102E-3</v>
      </c>
      <c r="M202" s="6">
        <f ca="1"/>
        <v>-4.8656378232355664E-3</v>
      </c>
      <c r="N202" s="6">
        <f ca="1"/>
        <v>-4.5768420292938046E-3</v>
      </c>
      <c r="O202" s="6">
        <f ca="1"/>
        <v>-4.5500014889373018E-3</v>
      </c>
      <c r="P202" s="6">
        <f ca="1"/>
        <v>-4.5232799623603631E-3</v>
      </c>
      <c r="Q202" s="6">
        <f ca="1"/>
        <v>-4.4966693967199338E-3</v>
      </c>
      <c r="R202" s="6">
        <f ca="1"/>
        <v>-4.4701624311283784E-3</v>
      </c>
      <c r="S202" s="6">
        <f ca="1"/>
        <v>-4.4437522865532104E-3</v>
      </c>
      <c r="T202" s="6">
        <f ca="1"/>
        <v>-4.4174338644316115E-3</v>
      </c>
      <c r="U202" s="6">
        <f ca="1"/>
        <v>-4.3912023891304912E-3</v>
      </c>
      <c r="V202" s="6">
        <f ca="1"/>
        <v>-4.3650537566537898E-3</v>
      </c>
      <c r="W202" s="6">
        <f ca="1"/>
        <v>-4.3389843296402757E-3</v>
      </c>
      <c r="X202" s="6">
        <f ca="1"/>
        <v>-4.3129907796145596E-3</v>
      </c>
      <c r="Y202" s="6">
        <f ca="1"/>
        <v>-4.3086130776954562E-3</v>
      </c>
      <c r="Z202" s="6">
        <f ca="1"/>
        <v>-4.3042617241128471E-3</v>
      </c>
      <c r="AA202" s="6">
        <f ca="1"/>
        <v>-4.2999343426401134E-3</v>
      </c>
      <c r="AB202" s="6">
        <f ca="1"/>
        <v>-4.2956287058976772E-3</v>
      </c>
      <c r="AC202" s="6">
        <f ca="1"/>
        <v>-4.2913427451501292E-3</v>
      </c>
      <c r="AD202" s="6">
        <f ca="1"/>
        <v>-4.2870745517653809E-3</v>
      </c>
      <c r="AE202" s="6">
        <f ca="1"/>
        <v>-4.2828223680154189E-3</v>
      </c>
      <c r="AF202" s="6">
        <f ca="1"/>
        <v>-4.278584571418032E-3</v>
      </c>
      <c r="AG202" s="6">
        <f ca="1"/>
        <v>-4.2743596566810109E-3</v>
      </c>
      <c r="AH202" s="6">
        <f ca="1"/>
        <v>-4.2701462187420547E-3</v>
      </c>
      <c r="AI202" s="6">
        <f ca="1"/>
        <v>-4.2659429394243126E-3</v>
      </c>
      <c r="AJ202" s="6">
        <f ca="1"/>
        <v>-4.2617485779765478E-3</v>
      </c>
      <c r="AK202" s="6">
        <f ca="1"/>
        <v>-4.2575619643874353E-3</v>
      </c>
      <c r="AL202" s="6">
        <f ca="1"/>
        <v>-4.2533819959763167E-3</v>
      </c>
      <c r="AM202" s="6">
        <f ca="1"/>
        <v>-4.2492076325932058E-3</v>
      </c>
      <c r="AN202" s="6">
        <f ca="1"/>
        <v>-4.2450378939856747E-3</v>
      </c>
    </row>
    <row r="203" spans="5:40" hidden="1" x14ac:dyDescent="0.35">
      <c r="E203" s="6">
        <f ca="1"/>
        <v>1.284261380293473E-2</v>
      </c>
      <c r="F203" s="6">
        <f ca="1"/>
        <v>9.9402286118176857E-3</v>
      </c>
      <c r="G203" s="6">
        <f ca="1"/>
        <v>0</v>
      </c>
      <c r="H203" s="6">
        <f ca="1"/>
        <v>0</v>
      </c>
      <c r="I203" s="6">
        <f ca="1"/>
        <v>0</v>
      </c>
      <c r="J203" s="6">
        <f ca="1"/>
        <v>0</v>
      </c>
      <c r="K203" s="6">
        <f ca="1"/>
        <v>0</v>
      </c>
      <c r="L203" s="6">
        <f ca="1"/>
        <v>0</v>
      </c>
      <c r="M203" s="6">
        <f ca="1"/>
        <v>0</v>
      </c>
      <c r="N203" s="6">
        <f ca="1"/>
        <v>0</v>
      </c>
      <c r="O203" s="6">
        <f ca="1"/>
        <v>0</v>
      </c>
      <c r="P203" s="6">
        <f ca="1"/>
        <v>0</v>
      </c>
      <c r="Q203" s="6">
        <f ca="1"/>
        <v>0</v>
      </c>
      <c r="R203" s="6">
        <f ca="1"/>
        <v>0</v>
      </c>
      <c r="S203" s="6">
        <f ca="1"/>
        <v>0</v>
      </c>
      <c r="T203" s="6">
        <f ca="1"/>
        <v>0</v>
      </c>
      <c r="U203" s="6">
        <f ca="1"/>
        <v>0</v>
      </c>
      <c r="V203" s="6">
        <f ca="1"/>
        <v>0</v>
      </c>
      <c r="W203" s="6">
        <f ca="1"/>
        <v>0</v>
      </c>
      <c r="X203" s="6">
        <f ca="1"/>
        <v>0</v>
      </c>
      <c r="Y203" s="6">
        <f ca="1"/>
        <v>0</v>
      </c>
      <c r="Z203" s="6">
        <f ca="1"/>
        <v>0</v>
      </c>
      <c r="AA203" s="6">
        <f ca="1"/>
        <v>0</v>
      </c>
      <c r="AB203" s="6">
        <f ca="1"/>
        <v>0</v>
      </c>
      <c r="AC203" s="6">
        <f ca="1"/>
        <v>0</v>
      </c>
      <c r="AD203" s="6">
        <f ca="1"/>
        <v>0</v>
      </c>
      <c r="AE203" s="6">
        <f ca="1"/>
        <v>0</v>
      </c>
      <c r="AF203" s="6">
        <f ca="1"/>
        <v>0</v>
      </c>
      <c r="AG203" s="6">
        <f ca="1"/>
        <v>0</v>
      </c>
      <c r="AH203" s="6">
        <f ca="1"/>
        <v>0</v>
      </c>
      <c r="AI203" s="6">
        <f ca="1"/>
        <v>0</v>
      </c>
      <c r="AJ203" s="6">
        <f ca="1"/>
        <v>0</v>
      </c>
      <c r="AK203" s="6">
        <f ca="1"/>
        <v>0</v>
      </c>
      <c r="AL203" s="6">
        <f ca="1"/>
        <v>0</v>
      </c>
      <c r="AM203" s="6">
        <f ca="1"/>
        <v>0</v>
      </c>
      <c r="AN203" s="6">
        <f ca="1"/>
        <v>0</v>
      </c>
    </row>
    <row r="204" spans="5:40" hidden="1" x14ac:dyDescent="0.35">
      <c r="E204" s="6">
        <f ca="1"/>
        <v>7.0317662328298836E-2</v>
      </c>
      <c r="F204" s="6">
        <f ca="1"/>
        <v>5.4713279898067388E-2</v>
      </c>
      <c r="G204" s="6">
        <f ca="1"/>
        <v>3.7349797182117783E-2</v>
      </c>
      <c r="H204" s="6">
        <f ca="1"/>
        <v>3.2524132413920777E-2</v>
      </c>
      <c r="I204" s="6">
        <f ca="1"/>
        <v>2.7647846759204495E-2</v>
      </c>
      <c r="J204" s="6">
        <f ca="1"/>
        <v>2.6459637047883535E-2</v>
      </c>
      <c r="K204" s="6">
        <f ca="1"/>
        <v>2.5257369809779714E-2</v>
      </c>
      <c r="L204" s="6">
        <f ca="1"/>
        <v>2.404154156227372E-2</v>
      </c>
      <c r="M204" s="6">
        <f ca="1"/>
        <v>2.2812598150013227E-2</v>
      </c>
      <c r="N204" s="6">
        <f ca="1"/>
        <v>2.157096245122574E-2</v>
      </c>
      <c r="O204" s="6">
        <f ca="1"/>
        <v>2.1554624357840162E-2</v>
      </c>
      <c r="P204" s="6">
        <f ca="1"/>
        <v>2.1536146776685885E-2</v>
      </c>
      <c r="Q204" s="6">
        <f ca="1"/>
        <v>2.1515673177715262E-2</v>
      </c>
      <c r="R204" s="6">
        <f ca="1"/>
        <v>2.1493334512142914E-2</v>
      </c>
      <c r="S204" s="6">
        <f ca="1"/>
        <v>2.146925117744395E-2</v>
      </c>
      <c r="T204" s="6">
        <f ca="1"/>
        <v>2.1443514406548823E-2</v>
      </c>
      <c r="U204" s="6">
        <f ca="1"/>
        <v>2.1416209508288382E-2</v>
      </c>
      <c r="V204" s="6">
        <f ca="1"/>
        <v>2.1387409991143091E-2</v>
      </c>
      <c r="W204" s="6">
        <f ca="1"/>
        <v>2.135718111079923E-2</v>
      </c>
      <c r="X204" s="6">
        <f ca="1"/>
        <v>2.1325582592170468E-2</v>
      </c>
      <c r="Y204" s="6">
        <f ca="1"/>
        <v>2.139966826852269E-2</v>
      </c>
      <c r="Z204" s="6">
        <f ca="1"/>
        <v>2.147322770542015E-2</v>
      </c>
      <c r="AA204" s="6">
        <f ca="1"/>
        <v>2.1546302591996108E-2</v>
      </c>
      <c r="AB204" s="6">
        <f ca="1"/>
        <v>2.1618931921855863E-2</v>
      </c>
      <c r="AC204" s="6">
        <f ca="1"/>
        <v>2.1691151844555587E-2</v>
      </c>
      <c r="AD204" s="6">
        <f ca="1"/>
        <v>2.1762995657917478E-2</v>
      </c>
      <c r="AE204" s="6">
        <f ca="1"/>
        <v>2.1834493979169783E-2</v>
      </c>
      <c r="AF204" s="6">
        <f ca="1"/>
        <v>2.1905675023134216E-2</v>
      </c>
      <c r="AG204" s="6">
        <f ca="1"/>
        <v>2.197656491861575E-2</v>
      </c>
      <c r="AH204" s="6">
        <f ca="1"/>
        <v>2.2047188004233161E-2</v>
      </c>
      <c r="AI204" s="6">
        <f ca="1"/>
        <v>2.2117567061724009E-2</v>
      </c>
      <c r="AJ204" s="6">
        <f ca="1"/>
        <v>2.2187723482708369E-2</v>
      </c>
      <c r="AK204" s="6">
        <f ca="1"/>
        <v>2.2257677387972959E-2</v>
      </c>
      <c r="AL204" s="6">
        <f ca="1"/>
        <v>2.2327447691257763E-2</v>
      </c>
      <c r="AM204" s="6">
        <f ca="1"/>
        <v>2.2397052185744969E-2</v>
      </c>
      <c r="AN204" s="6">
        <f ca="1"/>
        <v>2.2466507593869128E-2</v>
      </c>
    </row>
    <row r="205" spans="5:40" hidden="1" x14ac:dyDescent="0.35">
      <c r="E205" s="6">
        <f ca="1"/>
        <v>0.10639558081532008</v>
      </c>
      <c r="F205" s="6">
        <f ca="1"/>
        <v>8.2635360179709433E-2</v>
      </c>
      <c r="G205" s="6">
        <f ca="1"/>
        <v>6.0496673849140731E-2</v>
      </c>
      <c r="H205" s="6">
        <f ca="1"/>
        <v>5.2558175521553875E-2</v>
      </c>
      <c r="I205" s="6">
        <f ca="1"/>
        <v>4.4577790001742702E-2</v>
      </c>
      <c r="J205" s="6">
        <f ca="1"/>
        <v>4.2568817050132775E-2</v>
      </c>
      <c r="K205" s="6">
        <f ca="1"/>
        <v>4.0548216297291342E-2</v>
      </c>
      <c r="L205" s="6">
        <f ca="1"/>
        <v>3.8516396540957065E-2</v>
      </c>
      <c r="M205" s="6">
        <f ca="1"/>
        <v>3.6473724810196714E-2</v>
      </c>
      <c r="N205" s="6">
        <f ca="1"/>
        <v>3.4420549286905695E-2</v>
      </c>
      <c r="O205" s="6">
        <f ca="1"/>
        <v>3.4328199622908194E-2</v>
      </c>
      <c r="P205" s="6">
        <f ca="1"/>
        <v>3.4234085179966622E-2</v>
      </c>
      <c r="Q205" s="6">
        <f ca="1"/>
        <v>3.4138324380135622E-2</v>
      </c>
      <c r="R205" s="6">
        <f ca="1"/>
        <v>3.4041025326015398E-2</v>
      </c>
      <c r="S205" s="6">
        <f ca="1"/>
        <v>3.394228742240768E-2</v>
      </c>
      <c r="T205" s="6">
        <f ca="1"/>
        <v>3.3842185944508205E-2</v>
      </c>
      <c r="U205" s="6">
        <f ca="1"/>
        <v>3.3740791290029194E-2</v>
      </c>
      <c r="V205" s="6">
        <f ca="1"/>
        <v>3.3638164104338661E-2</v>
      </c>
      <c r="W205" s="6">
        <f ca="1"/>
        <v>3.3534358216343034E-2</v>
      </c>
      <c r="X205" s="6">
        <f ca="1"/>
        <v>3.3429422891737712E-2</v>
      </c>
      <c r="Y205" s="6">
        <f ca="1"/>
        <v>3.3490858197579666E-2</v>
      </c>
      <c r="Z205" s="6">
        <f ca="1"/>
        <v>3.3551863049621045E-2</v>
      </c>
      <c r="AA205" s="6">
        <f ca="1"/>
        <v>3.3612471900864645E-2</v>
      </c>
      <c r="AB205" s="6">
        <f ca="1"/>
        <v>3.3672716982388384E-2</v>
      </c>
      <c r="AC205" s="6">
        <f ca="1"/>
        <v>3.3732628178861933E-2</v>
      </c>
      <c r="AD205" s="6">
        <f ca="1"/>
        <v>3.379223302087838E-2</v>
      </c>
      <c r="AE205" s="6">
        <f ca="1"/>
        <v>3.3851556825695323E-2</v>
      </c>
      <c r="AF205" s="6">
        <f ca="1"/>
        <v>3.3910622926916607E-2</v>
      </c>
      <c r="AG205" s="6">
        <f ca="1"/>
        <v>3.3969452936032311E-2</v>
      </c>
      <c r="AH205" s="6">
        <f ca="1"/>
        <v>3.4028066987060956E-2</v>
      </c>
      <c r="AI205" s="6">
        <f ca="1"/>
        <v>3.4086483929444258E-2</v>
      </c>
      <c r="AJ205" s="6">
        <f ca="1"/>
        <v>3.4144721465823598E-2</v>
      </c>
      <c r="AK205" s="6">
        <f ca="1"/>
        <v>3.4202796250485577E-2</v>
      </c>
      <c r="AL205" s="6">
        <f ca="1"/>
        <v>3.4260723941792054E-2</v>
      </c>
      <c r="AM205" s="6">
        <f ca="1"/>
        <v>3.431851927349891E-2</v>
      </c>
      <c r="AN205" s="6">
        <f ca="1"/>
        <v>3.4376196095661331E-2</v>
      </c>
    </row>
    <row r="213" spans="5:40" hidden="1" x14ac:dyDescent="0.35">
      <c r="E213" s="6">
        <f t="array" aca="1" ref="E213:AN217" ca="1">adjShpStdsml_Com</f>
        <v>-1.2178105467466952E-2</v>
      </c>
      <c r="F213" s="6">
        <f ca="1"/>
        <v>-9.3811297689782528E-3</v>
      </c>
      <c r="G213" s="6">
        <f ca="1"/>
        <v>-1.6200615855132789E-2</v>
      </c>
      <c r="H213" s="6">
        <f ca="1"/>
        <v>-1.3992767374250972E-2</v>
      </c>
      <c r="I213" s="6">
        <f ca="1"/>
        <v>-1.1800546167062009E-2</v>
      </c>
      <c r="J213" s="6">
        <f ca="1"/>
        <v>-1.1205855389875698E-2</v>
      </c>
      <c r="K213" s="6">
        <f ca="1"/>
        <v>-1.0615490006619425E-2</v>
      </c>
      <c r="L213" s="6">
        <f ca="1"/>
        <v>-1.0029303424072126E-2</v>
      </c>
      <c r="M213" s="6">
        <f ca="1"/>
        <v>-9.4471641775844741E-3</v>
      </c>
      <c r="N213" s="6">
        <f ca="1"/>
        <v>-8.8689473910410592E-3</v>
      </c>
      <c r="O213" s="6">
        <f ca="1"/>
        <v>-8.79978438924983E-3</v>
      </c>
      <c r="P213" s="6">
        <f ca="1"/>
        <v>-8.7312634358642956E-3</v>
      </c>
      <c r="Q213" s="6">
        <f ca="1"/>
        <v>-8.6633411846224733E-3</v>
      </c>
      <c r="R213" s="6">
        <f ca="1"/>
        <v>-8.5959780266715406E-3</v>
      </c>
      <c r="S213" s="6">
        <f ca="1"/>
        <v>-8.5291374977223815E-3</v>
      </c>
      <c r="T213" s="6">
        <f ca="1"/>
        <v>-8.462792128054536E-3</v>
      </c>
      <c r="U213" s="6">
        <f ca="1"/>
        <v>-8.3969161975623215E-3</v>
      </c>
      <c r="V213" s="6">
        <f ca="1"/>
        <v>-8.3314875905283695E-3</v>
      </c>
      <c r="W213" s="6">
        <f ca="1"/>
        <v>-8.2664866990416787E-3</v>
      </c>
      <c r="X213" s="6">
        <f ca="1"/>
        <v>-8.2018955797130699E-3</v>
      </c>
      <c r="Y213" s="6">
        <f ca="1"/>
        <v>-8.1785905063925593E-3</v>
      </c>
      <c r="Z213" s="6">
        <f ca="1"/>
        <v>-8.1554311942286361E-3</v>
      </c>
      <c r="AA213" s="6">
        <f ca="1"/>
        <v>-8.1324048992248796E-3</v>
      </c>
      <c r="AB213" s="6">
        <f ca="1"/>
        <v>-8.1094996816231234E-3</v>
      </c>
      <c r="AC213" s="6">
        <f ca="1"/>
        <v>-8.0867044569147735E-3</v>
      </c>
      <c r="AD213" s="6">
        <f ca="1"/>
        <v>-8.0640090024776036E-3</v>
      </c>
      <c r="AE213" s="6">
        <f ca="1"/>
        <v>-8.0414039075736941E-3</v>
      </c>
      <c r="AF213" s="6">
        <f ca="1"/>
        <v>-8.0188804891129142E-3</v>
      </c>
      <c r="AG213" s="6">
        <f ca="1"/>
        <v>-7.9964306948116307E-3</v>
      </c>
      <c r="AH213" s="6">
        <f ca="1"/>
        <v>-7.9740470123215428E-3</v>
      </c>
      <c r="AI213" s="6">
        <f ca="1"/>
        <v>-7.9517223976950657E-3</v>
      </c>
      <c r="AJ213" s="6">
        <f ca="1"/>
        <v>-7.9294502245842099E-3</v>
      </c>
      <c r="AK213" s="6">
        <f ca="1"/>
        <v>-7.907224248242993E-3</v>
      </c>
      <c r="AL213" s="6">
        <f ca="1"/>
        <v>-7.8850385869734755E-3</v>
      </c>
      <c r="AM213" s="6">
        <f ca="1"/>
        <v>-7.8628876962244503E-3</v>
      </c>
      <c r="AN213" s="6">
        <f ca="1"/>
        <v>-7.8407663542246157E-3</v>
      </c>
    </row>
    <row r="214" spans="5:40" hidden="1" x14ac:dyDescent="0.35">
      <c r="E214" s="6">
        <f ca="1"/>
        <v>0</v>
      </c>
      <c r="F214" s="6">
        <f ca="1"/>
        <v>0</v>
      </c>
      <c r="G214" s="6">
        <f ca="1"/>
        <v>-8.4535474553238746E-3</v>
      </c>
      <c r="H214" s="6">
        <f ca="1"/>
        <v>-7.3174683884240851E-3</v>
      </c>
      <c r="I214" s="6">
        <f ca="1"/>
        <v>-6.1843117554291538E-3</v>
      </c>
      <c r="J214" s="6">
        <f ca="1"/>
        <v>-5.8850626126488058E-3</v>
      </c>
      <c r="K214" s="6">
        <f ca="1"/>
        <v>-5.5866216090512269E-3</v>
      </c>
      <c r="L214" s="6">
        <f ca="1"/>
        <v>-5.2889616738222983E-3</v>
      </c>
      <c r="M214" s="6">
        <f ca="1"/>
        <v>-4.9920585396835424E-3</v>
      </c>
      <c r="N214" s="6">
        <f ca="1"/>
        <v>-4.6958891463838442E-3</v>
      </c>
      <c r="O214" s="6">
        <f ca="1"/>
        <v>-4.6684780086143187E-3</v>
      </c>
      <c r="P214" s="6">
        <f ca="1"/>
        <v>-4.641185972041253E-3</v>
      </c>
      <c r="Q214" s="6">
        <f ca="1"/>
        <v>-4.614004977906639E-3</v>
      </c>
      <c r="R214" s="6">
        <f ca="1"/>
        <v>-4.5869276599161879E-3</v>
      </c>
      <c r="S214" s="6">
        <f ca="1"/>
        <v>-4.5599472340582172E-3</v>
      </c>
      <c r="T214" s="6">
        <f ca="1"/>
        <v>-4.5330585980248549E-3</v>
      </c>
      <c r="U214" s="6">
        <f ca="1"/>
        <v>-4.5062569726753371E-3</v>
      </c>
      <c r="V214" s="6">
        <f ca="1"/>
        <v>-4.4795382509991042E-3</v>
      </c>
      <c r="W214" s="6">
        <f ca="1"/>
        <v>-4.4528987929633394E-3</v>
      </c>
      <c r="X214" s="6">
        <f ca="1"/>
        <v>-4.4263352676478249E-3</v>
      </c>
      <c r="Y214" s="6">
        <f ca="1"/>
        <v>-4.4219543502613421E-3</v>
      </c>
      <c r="Z214" s="6">
        <f ca="1"/>
        <v>-4.4175998005645161E-3</v>
      </c>
      <c r="AA214" s="6">
        <f ca="1"/>
        <v>-4.4132692405853147E-3</v>
      </c>
      <c r="AB214" s="6">
        <f ca="1"/>
        <v>-4.4089604413081558E-3</v>
      </c>
      <c r="AC214" s="6">
        <f ca="1"/>
        <v>-4.4046713324781247E-3</v>
      </c>
      <c r="AD214" s="6">
        <f ca="1"/>
        <v>-4.4004000040611564E-3</v>
      </c>
      <c r="AE214" s="6">
        <f ca="1"/>
        <v>-4.3961446970382494E-3</v>
      </c>
      <c r="AF214" s="6">
        <f ca="1"/>
        <v>-4.3919037877354402E-3</v>
      </c>
      <c r="AG214" s="6">
        <f ca="1"/>
        <v>-4.3876757697548351E-3</v>
      </c>
      <c r="AH214" s="6">
        <f ca="1"/>
        <v>-4.3834592370021342E-3</v>
      </c>
      <c r="AI214" s="6">
        <f ca="1"/>
        <v>-4.37925287033225E-3</v>
      </c>
      <c r="AJ214" s="6">
        <f ca="1"/>
        <v>-4.3750554280826102E-3</v>
      </c>
      <c r="AK214" s="6">
        <f ca="1"/>
        <v>-4.3708657393825082E-3</v>
      </c>
      <c r="AL214" s="6">
        <f ca="1"/>
        <v>-4.3666827007413237E-3</v>
      </c>
      <c r="AM214" s="6">
        <f ca="1"/>
        <v>-4.3625052712451332E-3</v>
      </c>
      <c r="AN214" s="6">
        <f ca="1"/>
        <v>-4.3583324699214745E-3</v>
      </c>
    </row>
    <row r="215" spans="5:40" hidden="1" x14ac:dyDescent="0.35">
      <c r="E215" s="6">
        <f ca="1"/>
        <v>1.3163474749628692E-2</v>
      </c>
      <c r="F215" s="6">
        <f ca="1"/>
        <v>1.018890523819811E-2</v>
      </c>
      <c r="G215" s="6">
        <f ca="1"/>
        <v>0</v>
      </c>
      <c r="H215" s="6">
        <f ca="1"/>
        <v>0</v>
      </c>
      <c r="I215" s="6">
        <f ca="1"/>
        <v>0</v>
      </c>
      <c r="J215" s="6">
        <f ca="1"/>
        <v>0</v>
      </c>
      <c r="K215" s="6">
        <f ca="1"/>
        <v>0</v>
      </c>
      <c r="L215" s="6">
        <f ca="1"/>
        <v>0</v>
      </c>
      <c r="M215" s="6">
        <f ca="1"/>
        <v>0</v>
      </c>
      <c r="N215" s="6">
        <f ca="1"/>
        <v>0</v>
      </c>
      <c r="O215" s="6">
        <f ca="1"/>
        <v>0</v>
      </c>
      <c r="P215" s="6">
        <f ca="1"/>
        <v>0</v>
      </c>
      <c r="Q215" s="6">
        <f ca="1"/>
        <v>0</v>
      </c>
      <c r="R215" s="6">
        <f ca="1"/>
        <v>0</v>
      </c>
      <c r="S215" s="6">
        <f ca="1"/>
        <v>0</v>
      </c>
      <c r="T215" s="6">
        <f ca="1"/>
        <v>0</v>
      </c>
      <c r="U215" s="6">
        <f ca="1"/>
        <v>0</v>
      </c>
      <c r="V215" s="6">
        <f ca="1"/>
        <v>0</v>
      </c>
      <c r="W215" s="6">
        <f ca="1"/>
        <v>0</v>
      </c>
      <c r="X215" s="6">
        <f ca="1"/>
        <v>0</v>
      </c>
      <c r="Y215" s="6">
        <f ca="1"/>
        <v>0</v>
      </c>
      <c r="Z215" s="6">
        <f ca="1"/>
        <v>0</v>
      </c>
      <c r="AA215" s="6">
        <f ca="1"/>
        <v>0</v>
      </c>
      <c r="AB215" s="6">
        <f ca="1"/>
        <v>0</v>
      </c>
      <c r="AC215" s="6">
        <f ca="1"/>
        <v>0</v>
      </c>
      <c r="AD215" s="6">
        <f ca="1"/>
        <v>0</v>
      </c>
      <c r="AE215" s="6">
        <f ca="1"/>
        <v>0</v>
      </c>
      <c r="AF215" s="6">
        <f ca="1"/>
        <v>0</v>
      </c>
      <c r="AG215" s="6">
        <f ca="1"/>
        <v>0</v>
      </c>
      <c r="AH215" s="6">
        <f ca="1"/>
        <v>0</v>
      </c>
      <c r="AI215" s="6">
        <f ca="1"/>
        <v>0</v>
      </c>
      <c r="AJ215" s="6">
        <f ca="1"/>
        <v>0</v>
      </c>
      <c r="AK215" s="6">
        <f ca="1"/>
        <v>0</v>
      </c>
      <c r="AL215" s="6">
        <f ca="1"/>
        <v>0</v>
      </c>
      <c r="AM215" s="6">
        <f ca="1"/>
        <v>0</v>
      </c>
      <c r="AN215" s="6">
        <f ca="1"/>
        <v>0</v>
      </c>
    </row>
    <row r="216" spans="5:40" hidden="1" x14ac:dyDescent="0.35">
      <c r="E216" s="6">
        <f ca="1"/>
        <v>7.1869199269807726E-2</v>
      </c>
      <c r="F216" s="6">
        <f ca="1"/>
        <v>5.5914833902912124E-2</v>
      </c>
      <c r="G216" s="6">
        <f ca="1"/>
        <v>3.8168057768343679E-2</v>
      </c>
      <c r="H216" s="6">
        <f ca="1"/>
        <v>3.3232773900234346E-2</v>
      </c>
      <c r="I216" s="6">
        <f ca="1"/>
        <v>2.8247038973575622E-2</v>
      </c>
      <c r="J216" s="6">
        <f ca="1"/>
        <v>2.7030105319183619E-2</v>
      </c>
      <c r="K216" s="6">
        <f ca="1"/>
        <v>2.5799161299593556E-2</v>
      </c>
      <c r="L216" s="6">
        <f ca="1"/>
        <v>2.4554701766420481E-2</v>
      </c>
      <c r="M216" s="6">
        <f ca="1"/>
        <v>2.32971710685481E-2</v>
      </c>
      <c r="N216" s="6">
        <f ca="1"/>
        <v>2.2026990665490177E-2</v>
      </c>
      <c r="O216" s="6">
        <f ca="1"/>
        <v>2.2008191210388408E-2</v>
      </c>
      <c r="P216" s="6">
        <f ca="1"/>
        <v>2.1987259445283597E-2</v>
      </c>
      <c r="Q216" s="6">
        <f ca="1"/>
        <v>2.1964338358800968E-2</v>
      </c>
      <c r="R216" s="6">
        <f ca="1"/>
        <v>2.1939558462827014E-2</v>
      </c>
      <c r="S216" s="6">
        <f ca="1"/>
        <v>2.1913039750915381E-2</v>
      </c>
      <c r="T216" s="6">
        <f ca="1"/>
        <v>2.1884873149919326E-2</v>
      </c>
      <c r="U216" s="6">
        <f ca="1"/>
        <v>2.1855143682467121E-2</v>
      </c>
      <c r="V216" s="6">
        <f ca="1"/>
        <v>2.1823924610425753E-2</v>
      </c>
      <c r="W216" s="6">
        <f ca="1"/>
        <v>2.1791280970555209E-2</v>
      </c>
      <c r="X216" s="6">
        <f ca="1"/>
        <v>2.1757272287398061E-2</v>
      </c>
      <c r="Y216" s="6">
        <f ca="1"/>
        <v>2.1831109413776719E-2</v>
      </c>
      <c r="Z216" s="6">
        <f ca="1"/>
        <v>2.1904422066180967E-2</v>
      </c>
      <c r="AA216" s="6">
        <f ca="1"/>
        <v>2.1977251793881113E-2</v>
      </c>
      <c r="AB216" s="6">
        <f ca="1"/>
        <v>2.204963745966293E-2</v>
      </c>
      <c r="AC216" s="6">
        <f ca="1"/>
        <v>2.2121615091804429E-2</v>
      </c>
      <c r="AD216" s="6">
        <f ca="1"/>
        <v>2.2193217876417034E-2</v>
      </c>
      <c r="AE216" s="6">
        <f ca="1"/>
        <v>2.2264476328011269E-2</v>
      </c>
      <c r="AF216" s="6">
        <f ca="1"/>
        <v>2.2335418566750868E-2</v>
      </c>
      <c r="AG216" s="6">
        <f ca="1"/>
        <v>2.2406070633781403E-2</v>
      </c>
      <c r="AH216" s="6">
        <f ca="1"/>
        <v>2.2476456786067987E-2</v>
      </c>
      <c r="AI216" s="6">
        <f ca="1"/>
        <v>2.2546599728917791E-2</v>
      </c>
      <c r="AJ216" s="6">
        <f ca="1"/>
        <v>2.2616520782184128E-2</v>
      </c>
      <c r="AK216" s="6">
        <f ca="1"/>
        <v>2.2686239999150534E-2</v>
      </c>
      <c r="AL216" s="6">
        <f ca="1"/>
        <v>2.2755776230103244E-2</v>
      </c>
      <c r="AM216" s="6">
        <f ca="1"/>
        <v>2.2825147208530183E-2</v>
      </c>
      <c r="AN216" s="6">
        <f ca="1"/>
        <v>2.2894369600763777E-2</v>
      </c>
    </row>
    <row r="217" spans="5:40" hidden="1" x14ac:dyDescent="0.35">
      <c r="E217" s="6">
        <f ca="1"/>
        <v>0.10850124537403497</v>
      </c>
      <c r="F217" s="6">
        <f ca="1"/>
        <v>8.4266154588449521E-2</v>
      </c>
      <c r="G217" s="6">
        <f ca="1"/>
        <v>6.1688334698644022E-2</v>
      </c>
      <c r="H217" s="6">
        <f ca="1"/>
        <v>5.3590258779136861E-2</v>
      </c>
      <c r="I217" s="6">
        <f ca="1"/>
        <v>4.5450521780995401E-2</v>
      </c>
      <c r="J217" s="6">
        <f ca="1"/>
        <v>4.3399761559271111E-2</v>
      </c>
      <c r="K217" s="6">
        <f ca="1"/>
        <v>4.1337436304998039E-2</v>
      </c>
      <c r="L217" s="6">
        <f ca="1"/>
        <v>3.9263952609160997E-2</v>
      </c>
      <c r="M217" s="6">
        <f ca="1"/>
        <v>3.7179675519546616E-2</v>
      </c>
      <c r="N217" s="6">
        <f ca="1"/>
        <v>3.5084951338510251E-2</v>
      </c>
      <c r="O217" s="6">
        <f ca="1"/>
        <v>3.4989051575532414E-2</v>
      </c>
      <c r="P217" s="6">
        <f ca="1"/>
        <v>3.4891396560162193E-2</v>
      </c>
      <c r="Q217" s="6">
        <f ca="1"/>
        <v>3.4792104075193529E-2</v>
      </c>
      <c r="R217" s="6">
        <f ca="1"/>
        <v>3.4691281639672014E-2</v>
      </c>
      <c r="S217" s="6">
        <f ca="1"/>
        <v>3.4589028121796671E-2</v>
      </c>
      <c r="T217" s="6">
        <f ca="1"/>
        <v>3.4485418390416099E-2</v>
      </c>
      <c r="U217" s="6">
        <f ca="1"/>
        <v>3.4380522463224615E-2</v>
      </c>
      <c r="V217" s="6">
        <f ca="1"/>
        <v>3.4274400658217144E-2</v>
      </c>
      <c r="W217" s="6">
        <f ca="1"/>
        <v>3.4167106513723282E-2</v>
      </c>
      <c r="X217" s="6">
        <f ca="1"/>
        <v>3.4058689029494472E-2</v>
      </c>
      <c r="Y217" s="6">
        <f ca="1"/>
        <v>3.4119792697983459E-2</v>
      </c>
      <c r="Z217" s="6">
        <f ca="1"/>
        <v>3.4180468236328525E-2</v>
      </c>
      <c r="AA217" s="6">
        <f ca="1"/>
        <v>3.4240749911549857E-2</v>
      </c>
      <c r="AB217" s="6">
        <f ca="1"/>
        <v>3.4300669780736898E-2</v>
      </c>
      <c r="AC217" s="6">
        <f ca="1"/>
        <v>3.4360257567237283E-2</v>
      </c>
      <c r="AD217" s="6">
        <f ca="1"/>
        <v>3.4419540653029677E-2</v>
      </c>
      <c r="AE217" s="6">
        <f ca="1"/>
        <v>3.4478544218705144E-2</v>
      </c>
      <c r="AF217" s="6">
        <f ca="1"/>
        <v>3.45372914719091E-2</v>
      </c>
      <c r="AG217" s="6">
        <f ca="1"/>
        <v>3.4595803907469469E-2</v>
      </c>
      <c r="AH217" s="6">
        <f ca="1"/>
        <v>3.4654101550718179E-2</v>
      </c>
      <c r="AI217" s="6">
        <f ca="1"/>
        <v>3.4712203149344707E-2</v>
      </c>
      <c r="AJ217" s="6">
        <f ca="1"/>
        <v>3.4770126310428848E-2</v>
      </c>
      <c r="AK217" s="6">
        <f ca="1"/>
        <v>3.4827887598354756E-2</v>
      </c>
      <c r="AL217" s="6">
        <f ca="1"/>
        <v>3.4885502586958016E-2</v>
      </c>
      <c r="AM217" s="6">
        <f ca="1"/>
        <v>3.49429859304594E-2</v>
      </c>
      <c r="AN217" s="6">
        <f ca="1"/>
        <v>3.5000351404149338E-2</v>
      </c>
    </row>
  </sheetData>
  <mergeCells count="2">
    <mergeCell ref="C73:BG73"/>
    <mergeCell ref="C3:BG3"/>
  </mergeCells>
  <conditionalFormatting sqref="E116:K116">
    <cfRule type="containsBlanks" dxfId="303" priority="9" stopIfTrue="1">
      <formula>LEN(TRIM(E116))=0</formula>
    </cfRule>
    <cfRule type="notContainsBlanks" dxfId="302" priority="10" stopIfTrue="1">
      <formula>LEN(TRIM(E116))&gt;0</formula>
    </cfRule>
  </conditionalFormatting>
  <conditionalFormatting sqref="E118:K118">
    <cfRule type="containsBlanks" dxfId="301" priority="11" stopIfTrue="1">
      <formula>LEN(TRIM(E118))=0</formula>
    </cfRule>
    <cfRule type="notContainsBlanks" dxfId="300" priority="12" stopIfTrue="1">
      <formula>LEN(TRIM(E118))&gt;0</formula>
    </cfRule>
  </conditionalFormatting>
  <conditionalFormatting sqref="E119:K119">
    <cfRule type="containsBlanks" dxfId="299" priority="13" stopIfTrue="1">
      <formula>LEN(TRIM(E119))=0</formula>
    </cfRule>
    <cfRule type="notContainsBlanks" dxfId="298" priority="14" stopIfTrue="1">
      <formula>LEN(TRIM(E119))&gt;0</formula>
    </cfRule>
  </conditionalFormatting>
  <conditionalFormatting sqref="E120:K120">
    <cfRule type="containsBlanks" dxfId="297" priority="15" stopIfTrue="1">
      <formula>LEN(TRIM(E120))=0</formula>
    </cfRule>
    <cfRule type="notContainsBlanks" dxfId="296" priority="16" stopIfTrue="1">
      <formula>LEN(TRIM(E120))&gt;0</formula>
    </cfRule>
  </conditionalFormatting>
  <conditionalFormatting sqref="E123:K127">
    <cfRule type="containsBlanks" dxfId="295" priority="47" stopIfTrue="1">
      <formula>LEN(TRIM(E123))=0</formula>
    </cfRule>
    <cfRule type="expression" dxfId="294" priority="48" stopIfTrue="1">
      <formula>SUM($E$123:$E$127)&lt;&gt;1</formula>
    </cfRule>
    <cfRule type="notContainsBlanks" dxfId="293" priority="49" stopIfTrue="1">
      <formula>LEN(TRIM(E123))&gt;0</formula>
    </cfRule>
  </conditionalFormatting>
  <conditionalFormatting sqref="E129:K133">
    <cfRule type="containsBlanks" dxfId="292" priority="68" stopIfTrue="1">
      <formula>LEN(TRIM(E129))=0</formula>
    </cfRule>
  </conditionalFormatting>
  <conditionalFormatting sqref="E129:K133">
    <cfRule type="expression" dxfId="291" priority="69" stopIfTrue="1">
      <formula>SUM($E$129:$E$133)&lt;&gt;1</formula>
    </cfRule>
  </conditionalFormatting>
  <conditionalFormatting sqref="E129:K133">
    <cfRule type="notContainsBlanks" dxfId="290" priority="70" stopIfTrue="1">
      <formula>LEN(TRIM(E129))&gt;0</formula>
    </cfRule>
  </conditionalFormatting>
  <conditionalFormatting sqref="E135:K139">
    <cfRule type="containsBlanks" dxfId="289" priority="89" stopIfTrue="1">
      <formula>LEN(TRIM(E135))=0</formula>
    </cfRule>
  </conditionalFormatting>
  <conditionalFormatting sqref="E135:K139">
    <cfRule type="expression" dxfId="288" priority="90" stopIfTrue="1">
      <formula>SUM($E$135:$E$139)&lt;&gt;1</formula>
    </cfRule>
  </conditionalFormatting>
  <conditionalFormatting sqref="E135:K139">
    <cfRule type="notContainsBlanks" dxfId="287" priority="91" stopIfTrue="1">
      <formula>LEN(TRIM(E135))&gt;0</formula>
    </cfRule>
  </conditionalFormatting>
  <conditionalFormatting sqref="E103:BG103">
    <cfRule type="containsBlanks" dxfId="286" priority="110" stopIfTrue="1">
      <formula>LEN(TRIM(E103))=0</formula>
    </cfRule>
    <cfRule type="notContainsBlanks" dxfId="285" priority="111" stopIfTrue="1">
      <formula>LEN(TRIM(E103))&gt;0</formula>
    </cfRule>
  </conditionalFormatting>
  <conditionalFormatting sqref="E105:BG105">
    <cfRule type="containsBlanks" dxfId="284" priority="112" stopIfTrue="1">
      <formula>LEN(TRIM(E105))=0</formula>
    </cfRule>
    <cfRule type="notContainsBlanks" dxfId="283" priority="113" stopIfTrue="1">
      <formula>LEN(TRIM(E105))&gt;0</formula>
    </cfRule>
  </conditionalFormatting>
  <conditionalFormatting sqref="E106:BG106">
    <cfRule type="containsBlanks" dxfId="282" priority="114" stopIfTrue="1">
      <formula>LEN(TRIM(E106))=0</formula>
    </cfRule>
    <cfRule type="notContainsBlanks" dxfId="281" priority="115" stopIfTrue="1">
      <formula>LEN(TRIM(E106))&gt;0</formula>
    </cfRule>
  </conditionalFormatting>
  <conditionalFormatting sqref="E107:BG107">
    <cfRule type="containsBlanks" dxfId="280" priority="116" stopIfTrue="1">
      <formula>LEN(TRIM(E107))=0</formula>
    </cfRule>
    <cfRule type="notContainsBlanks" dxfId="279" priority="117" stopIfTrue="1">
      <formula>LEN(TRIM(E107))&gt;0</formula>
    </cfRule>
  </conditionalFormatting>
  <conditionalFormatting sqref="E109:BG109">
    <cfRule type="containsBlanks" dxfId="278" priority="118" stopIfTrue="1">
      <formula>LEN(TRIM(E109))=0</formula>
    </cfRule>
    <cfRule type="notContainsBlanks" dxfId="277" priority="119" stopIfTrue="1">
      <formula>LEN(TRIM(E109))&gt;0</formula>
    </cfRule>
  </conditionalFormatting>
  <conditionalFormatting sqref="E111:BG111">
    <cfRule type="containsBlanks" dxfId="276" priority="120" stopIfTrue="1">
      <formula>LEN(TRIM(E111))=0</formula>
    </cfRule>
    <cfRule type="notContainsBlanks" dxfId="275" priority="121" stopIfTrue="1">
      <formula>LEN(TRIM(E111))&gt;0</formula>
    </cfRule>
  </conditionalFormatting>
  <conditionalFormatting sqref="E112:BG112">
    <cfRule type="containsBlanks" dxfId="274" priority="122" stopIfTrue="1">
      <formula>LEN(TRIM(E112))=0</formula>
    </cfRule>
    <cfRule type="notContainsBlanks" dxfId="273" priority="123" stopIfTrue="1">
      <formula>LEN(TRIM(E112))&gt;0</formula>
    </cfRule>
  </conditionalFormatting>
  <conditionalFormatting sqref="E113:BG113">
    <cfRule type="containsBlanks" dxfId="272" priority="124" stopIfTrue="1">
      <formula>LEN(TRIM(E113))=0</formula>
    </cfRule>
    <cfRule type="notContainsBlanks" dxfId="271" priority="125" stopIfTrue="1">
      <formula>LEN(TRIM(E113))&gt;0</formula>
    </cfRule>
  </conditionalFormatting>
  <conditionalFormatting sqref="E77:AN77">
    <cfRule type="containsBlanks" dxfId="270" priority="128" stopIfTrue="1">
      <formula>LEN(TRIM(E77))=0</formula>
    </cfRule>
    <cfRule type="notContainsBlanks" dxfId="269" priority="129" stopIfTrue="1">
      <formula>LEN(TRIM(E77))&gt;0</formula>
    </cfRule>
  </conditionalFormatting>
  <conditionalFormatting sqref="E79:AN79">
    <cfRule type="containsBlanks" dxfId="268" priority="130" stopIfTrue="1">
      <formula>LEN(TRIM(E79))=0</formula>
    </cfRule>
    <cfRule type="notContainsBlanks" dxfId="267" priority="131" stopIfTrue="1">
      <formula>LEN(TRIM(E79))&gt;0</formula>
    </cfRule>
  </conditionalFormatting>
  <conditionalFormatting sqref="E80:AN80">
    <cfRule type="containsBlanks" dxfId="266" priority="132" stopIfTrue="1">
      <formula>LEN(TRIM(E80))=0</formula>
    </cfRule>
    <cfRule type="notContainsBlanks" dxfId="265" priority="133" stopIfTrue="1">
      <formula>LEN(TRIM(E80))&gt;0</formula>
    </cfRule>
  </conditionalFormatting>
  <conditionalFormatting sqref="E81:AN81">
    <cfRule type="containsBlanks" dxfId="264" priority="134" stopIfTrue="1">
      <formula>LEN(TRIM(E81))=0</formula>
    </cfRule>
    <cfRule type="notContainsBlanks" dxfId="263" priority="135" stopIfTrue="1">
      <formula>LEN(TRIM(E81))&gt;0</formula>
    </cfRule>
  </conditionalFormatting>
  <conditionalFormatting sqref="E82:AN82">
    <cfRule type="containsBlanks" dxfId="262" priority="136" stopIfTrue="1">
      <formula>LEN(TRIM(E82))=0</formula>
    </cfRule>
    <cfRule type="notContainsBlanks" dxfId="261" priority="137" stopIfTrue="1">
      <formula>LEN(TRIM(E82))&gt;0</formula>
    </cfRule>
  </conditionalFormatting>
  <conditionalFormatting sqref="E83:AN83">
    <cfRule type="containsBlanks" dxfId="260" priority="138" stopIfTrue="1">
      <formula>LEN(TRIM(E83))=0</formula>
    </cfRule>
    <cfRule type="notContainsBlanks" dxfId="259" priority="139" stopIfTrue="1">
      <formula>LEN(TRIM(E83))&gt;0</formula>
    </cfRule>
  </conditionalFormatting>
  <conditionalFormatting sqref="E84:AN84">
    <cfRule type="containsBlanks" dxfId="258" priority="140" stopIfTrue="1">
      <formula>LEN(TRIM(E84))=0</formula>
    </cfRule>
    <cfRule type="notContainsBlanks" dxfId="257" priority="141" stopIfTrue="1">
      <formula>LEN(TRIM(E84))&gt;0</formula>
    </cfRule>
  </conditionalFormatting>
  <conditionalFormatting sqref="E85:AN85">
    <cfRule type="containsBlanks" dxfId="256" priority="142" stopIfTrue="1">
      <formula>LEN(TRIM(E85))=0</formula>
    </cfRule>
    <cfRule type="notContainsBlanks" dxfId="255" priority="143" stopIfTrue="1">
      <formula>LEN(TRIM(E85))&gt;0</formula>
    </cfRule>
  </conditionalFormatting>
  <conditionalFormatting sqref="E86:AN86">
    <cfRule type="containsBlanks" dxfId="254" priority="144" stopIfTrue="1">
      <formula>LEN(TRIM(E86))=0</formula>
    </cfRule>
    <cfRule type="notContainsBlanks" dxfId="253" priority="145" stopIfTrue="1">
      <formula>LEN(TRIM(E86))&gt;0</formula>
    </cfRule>
  </conditionalFormatting>
  <conditionalFormatting sqref="E87:AN87">
    <cfRule type="containsBlanks" dxfId="252" priority="146" stopIfTrue="1">
      <formula>LEN(TRIM(E87))=0</formula>
    </cfRule>
    <cfRule type="notContainsBlanks" dxfId="251" priority="147" stopIfTrue="1">
      <formula>LEN(TRIM(E87))&gt;0</formula>
    </cfRule>
  </conditionalFormatting>
  <conditionalFormatting sqref="E88:AN88">
    <cfRule type="containsBlanks" dxfId="250" priority="148" stopIfTrue="1">
      <formula>LEN(TRIM(E88))=0</formula>
    </cfRule>
    <cfRule type="notContainsBlanks" dxfId="249" priority="149" stopIfTrue="1">
      <formula>LEN(TRIM(E88))&gt;0</formula>
    </cfRule>
  </conditionalFormatting>
  <conditionalFormatting sqref="E89:AN89">
    <cfRule type="containsBlanks" dxfId="248" priority="150" stopIfTrue="1">
      <formula>LEN(TRIM(E89))=0</formula>
    </cfRule>
    <cfRule type="notContainsBlanks" dxfId="247" priority="151" stopIfTrue="1">
      <formula>LEN(TRIM(E89))&gt;0</formula>
    </cfRule>
  </conditionalFormatting>
  <conditionalFormatting sqref="E90:AN90">
    <cfRule type="containsBlanks" dxfId="246" priority="152" stopIfTrue="1">
      <formula>LEN(TRIM(E90))=0</formula>
    </cfRule>
    <cfRule type="notContainsBlanks" dxfId="245" priority="153" stopIfTrue="1">
      <formula>LEN(TRIM(E90))&gt;0</formula>
    </cfRule>
  </conditionalFormatting>
  <conditionalFormatting sqref="E92:AN92">
    <cfRule type="containsBlanks" dxfId="244" priority="154" stopIfTrue="1">
      <formula>LEN(TRIM(E92))=0</formula>
    </cfRule>
    <cfRule type="notContainsBlanks" dxfId="243" priority="155" stopIfTrue="1">
      <formula>LEN(TRIM(E92))&gt;0</formula>
    </cfRule>
  </conditionalFormatting>
  <conditionalFormatting sqref="E94:AN94">
    <cfRule type="containsBlanks" dxfId="242" priority="156" stopIfTrue="1">
      <formula>LEN(TRIM(E94))=0</formula>
    </cfRule>
    <cfRule type="notContainsBlanks" dxfId="241" priority="157" stopIfTrue="1">
      <formula>LEN(TRIM(E94))&gt;0</formula>
    </cfRule>
  </conditionalFormatting>
  <conditionalFormatting sqref="E95:AN95">
    <cfRule type="containsBlanks" dxfId="240" priority="158" stopIfTrue="1">
      <formula>LEN(TRIM(E95))=0</formula>
    </cfRule>
    <cfRule type="notContainsBlanks" dxfId="239" priority="159" stopIfTrue="1">
      <formula>LEN(TRIM(E95))&gt;0</formula>
    </cfRule>
  </conditionalFormatting>
  <conditionalFormatting sqref="E96:AN96">
    <cfRule type="containsBlanks" dxfId="238" priority="160" stopIfTrue="1">
      <formula>LEN(TRIM(E96))=0</formula>
    </cfRule>
    <cfRule type="notContainsBlanks" dxfId="237" priority="161" stopIfTrue="1">
      <formula>LEN(TRIM(E96))&gt;0</formula>
    </cfRule>
  </conditionalFormatting>
  <conditionalFormatting sqref="E46:K46">
    <cfRule type="containsBlanks" dxfId="236" priority="162" stopIfTrue="1">
      <formula>LEN(TRIM(E46))=0</formula>
    </cfRule>
    <cfRule type="notContainsBlanks" dxfId="235" priority="163" stopIfTrue="1">
      <formula>LEN(TRIM(E46))&gt;0</formula>
    </cfRule>
  </conditionalFormatting>
  <conditionalFormatting sqref="E48:K48">
    <cfRule type="containsBlanks" dxfId="234" priority="164" stopIfTrue="1">
      <formula>LEN(TRIM(E48))=0</formula>
    </cfRule>
    <cfRule type="notContainsBlanks" dxfId="233" priority="165" stopIfTrue="1">
      <formula>LEN(TRIM(E48))&gt;0</formula>
    </cfRule>
  </conditionalFormatting>
  <conditionalFormatting sqref="E49:K49">
    <cfRule type="containsBlanks" dxfId="232" priority="166" stopIfTrue="1">
      <formula>LEN(TRIM(E49))=0</formula>
    </cfRule>
    <cfRule type="notContainsBlanks" dxfId="231" priority="167" stopIfTrue="1">
      <formula>LEN(TRIM(E49))&gt;0</formula>
    </cfRule>
  </conditionalFormatting>
  <conditionalFormatting sqref="E50:K50">
    <cfRule type="containsBlanks" dxfId="230" priority="168" stopIfTrue="1">
      <formula>LEN(TRIM(E50))=0</formula>
    </cfRule>
    <cfRule type="notContainsBlanks" dxfId="229" priority="169" stopIfTrue="1">
      <formula>LEN(TRIM(E50))&gt;0</formula>
    </cfRule>
  </conditionalFormatting>
  <conditionalFormatting sqref="E53:K57">
    <cfRule type="containsBlanks" dxfId="228" priority="200" stopIfTrue="1">
      <formula>LEN(TRIM(E53))=0</formula>
    </cfRule>
    <cfRule type="expression" dxfId="227" priority="201" stopIfTrue="1">
      <formula>SUM($E$53:$E$57)&lt;&gt;1</formula>
    </cfRule>
    <cfRule type="notContainsBlanks" dxfId="226" priority="202" stopIfTrue="1">
      <formula>LEN(TRIM(E53))&gt;0</formula>
    </cfRule>
  </conditionalFormatting>
  <conditionalFormatting sqref="E59:K63">
    <cfRule type="containsBlanks" dxfId="225" priority="221" stopIfTrue="1">
      <formula>LEN(TRIM(E59))=0</formula>
    </cfRule>
  </conditionalFormatting>
  <conditionalFormatting sqref="E59:K63">
    <cfRule type="expression" dxfId="224" priority="222" stopIfTrue="1">
      <formula>SUM($E$59:$E$63)&lt;&gt;1</formula>
    </cfRule>
  </conditionalFormatting>
  <conditionalFormatting sqref="E59:K63">
    <cfRule type="notContainsBlanks" dxfId="223" priority="223" stopIfTrue="1">
      <formula>LEN(TRIM(E59))&gt;0</formula>
    </cfRule>
  </conditionalFormatting>
  <conditionalFormatting sqref="E65:K69">
    <cfRule type="containsBlanks" dxfId="222" priority="242" stopIfTrue="1">
      <formula>LEN(TRIM(E65))=0</formula>
    </cfRule>
  </conditionalFormatting>
  <conditionalFormatting sqref="E65:K69">
    <cfRule type="expression" dxfId="221" priority="243" stopIfTrue="1">
      <formula>SUM($E$65:$E$69)&lt;&gt;1</formula>
    </cfRule>
  </conditionalFormatting>
  <conditionalFormatting sqref="E65:K69">
    <cfRule type="notContainsBlanks" dxfId="220" priority="244" stopIfTrue="1">
      <formula>LEN(TRIM(E65))&gt;0</formula>
    </cfRule>
  </conditionalFormatting>
  <conditionalFormatting sqref="E33:BG33">
    <cfRule type="containsBlanks" dxfId="219" priority="263" stopIfTrue="1">
      <formula>LEN(TRIM(E33))=0</formula>
    </cfRule>
    <cfRule type="notContainsBlanks" dxfId="218" priority="264" stopIfTrue="1">
      <formula>LEN(TRIM(E33))&gt;0</formula>
    </cfRule>
  </conditionalFormatting>
  <conditionalFormatting sqref="E35:BG35">
    <cfRule type="containsBlanks" dxfId="217" priority="265" stopIfTrue="1">
      <formula>LEN(TRIM(E35))=0</formula>
    </cfRule>
    <cfRule type="notContainsBlanks" dxfId="216" priority="266" stopIfTrue="1">
      <formula>LEN(TRIM(E35))&gt;0</formula>
    </cfRule>
  </conditionalFormatting>
  <conditionalFormatting sqref="E36:BG36">
    <cfRule type="containsBlanks" dxfId="215" priority="267" stopIfTrue="1">
      <formula>LEN(TRIM(E36))=0</formula>
    </cfRule>
    <cfRule type="notContainsBlanks" dxfId="214" priority="268" stopIfTrue="1">
      <formula>LEN(TRIM(E36))&gt;0</formula>
    </cfRule>
  </conditionalFormatting>
  <conditionalFormatting sqref="E37:BG37">
    <cfRule type="containsBlanks" dxfId="213" priority="269" stopIfTrue="1">
      <formula>LEN(TRIM(E37))=0</formula>
    </cfRule>
    <cfRule type="notContainsBlanks" dxfId="212" priority="270" stopIfTrue="1">
      <formula>LEN(TRIM(E37))&gt;0</formula>
    </cfRule>
  </conditionalFormatting>
  <conditionalFormatting sqref="E39:BG39">
    <cfRule type="containsBlanks" dxfId="211" priority="271" stopIfTrue="1">
      <formula>LEN(TRIM(E39))=0</formula>
    </cfRule>
    <cfRule type="notContainsBlanks" dxfId="210" priority="272" stopIfTrue="1">
      <formula>LEN(TRIM(E39))&gt;0</formula>
    </cfRule>
  </conditionalFormatting>
  <conditionalFormatting sqref="E41:BG41">
    <cfRule type="containsBlanks" dxfId="209" priority="273" stopIfTrue="1">
      <formula>LEN(TRIM(E41))=0</formula>
    </cfRule>
    <cfRule type="notContainsBlanks" dxfId="208" priority="274" stopIfTrue="1">
      <formula>LEN(TRIM(E41))&gt;0</formula>
    </cfRule>
  </conditionalFormatting>
  <conditionalFormatting sqref="E42:BG42">
    <cfRule type="containsBlanks" dxfId="207" priority="275" stopIfTrue="1">
      <formula>LEN(TRIM(E42))=0</formula>
    </cfRule>
    <cfRule type="notContainsBlanks" dxfId="206" priority="276" stopIfTrue="1">
      <formula>LEN(TRIM(E42))&gt;0</formula>
    </cfRule>
  </conditionalFormatting>
  <conditionalFormatting sqref="E43:BG43">
    <cfRule type="containsBlanks" dxfId="205" priority="277" stopIfTrue="1">
      <formula>LEN(TRIM(E43))=0</formula>
    </cfRule>
    <cfRule type="notContainsBlanks" dxfId="204" priority="278" stopIfTrue="1">
      <formula>LEN(TRIM(E43))&gt;0</formula>
    </cfRule>
  </conditionalFormatting>
  <conditionalFormatting sqref="E7:AN7">
    <cfRule type="containsBlanks" dxfId="203" priority="281" stopIfTrue="1">
      <formula>LEN(TRIM(E7))=0</formula>
    </cfRule>
    <cfRule type="notContainsBlanks" dxfId="202" priority="282" stopIfTrue="1">
      <formula>LEN(TRIM(E7))&gt;0</formula>
    </cfRule>
  </conditionalFormatting>
  <conditionalFormatting sqref="E9:AN9">
    <cfRule type="containsBlanks" dxfId="201" priority="283" stopIfTrue="1">
      <formula>LEN(TRIM(E9))=0</formula>
    </cfRule>
    <cfRule type="notContainsBlanks" dxfId="200" priority="284" stopIfTrue="1">
      <formula>LEN(TRIM(E9))&gt;0</formula>
    </cfRule>
  </conditionalFormatting>
  <conditionalFormatting sqref="E10:AN10">
    <cfRule type="notContainsBlanks" dxfId="199" priority="286" stopIfTrue="1">
      <formula>LEN(TRIM(E10))&gt;0</formula>
    </cfRule>
  </conditionalFormatting>
  <conditionalFormatting sqref="E11:AN11">
    <cfRule type="notContainsBlanks" dxfId="198" priority="288" stopIfTrue="1">
      <formula>LEN(TRIM(E11))&gt;0</formula>
    </cfRule>
  </conditionalFormatting>
  <conditionalFormatting sqref="E12:AN12">
    <cfRule type="notContainsBlanks" dxfId="197" priority="290" stopIfTrue="1">
      <formula>LEN(TRIM(E12))&gt;0</formula>
    </cfRule>
  </conditionalFormatting>
  <conditionalFormatting sqref="E13:AN13">
    <cfRule type="containsBlanks" dxfId="196" priority="291" stopIfTrue="1">
      <formula>LEN(TRIM(E13))=0</formula>
    </cfRule>
    <cfRule type="notContainsBlanks" dxfId="195" priority="292" stopIfTrue="1">
      <formula>LEN(TRIM(E13))&gt;0</formula>
    </cfRule>
  </conditionalFormatting>
  <conditionalFormatting sqref="E14:AN14">
    <cfRule type="notContainsBlanks" dxfId="194" priority="294" stopIfTrue="1">
      <formula>LEN(TRIM(E14))&gt;0</formula>
    </cfRule>
  </conditionalFormatting>
  <conditionalFormatting sqref="E15:AN15">
    <cfRule type="notContainsBlanks" dxfId="193" priority="296" stopIfTrue="1">
      <formula>LEN(TRIM(E15))&gt;0</formula>
    </cfRule>
  </conditionalFormatting>
  <conditionalFormatting sqref="E16:AN16">
    <cfRule type="notContainsBlanks" dxfId="192" priority="298" stopIfTrue="1">
      <formula>LEN(TRIM(E16))&gt;0</formula>
    </cfRule>
  </conditionalFormatting>
  <conditionalFormatting sqref="E17:AN17">
    <cfRule type="containsBlanks" dxfId="191" priority="299" stopIfTrue="1">
      <formula>LEN(TRIM(E17))=0</formula>
    </cfRule>
    <cfRule type="notContainsBlanks" dxfId="190" priority="300" stopIfTrue="1">
      <formula>LEN(TRIM(E17))&gt;0</formula>
    </cfRule>
  </conditionalFormatting>
  <conditionalFormatting sqref="E18:AN18">
    <cfRule type="notContainsBlanks" dxfId="189" priority="302" stopIfTrue="1">
      <formula>LEN(TRIM(E18))&gt;0</formula>
    </cfRule>
  </conditionalFormatting>
  <conditionalFormatting sqref="E19:AN19">
    <cfRule type="notContainsBlanks" dxfId="188" priority="304" stopIfTrue="1">
      <formula>LEN(TRIM(E19))&gt;0</formula>
    </cfRule>
  </conditionalFormatting>
  <conditionalFormatting sqref="E20:AN20">
    <cfRule type="notContainsBlanks" dxfId="187" priority="306" stopIfTrue="1">
      <formula>LEN(TRIM(E20))&gt;0</formula>
    </cfRule>
  </conditionalFormatting>
  <conditionalFormatting sqref="E22:AN22">
    <cfRule type="containsBlanks" dxfId="186" priority="307" stopIfTrue="1">
      <formula>LEN(TRIM(E22))=0</formula>
    </cfRule>
    <cfRule type="notContainsBlanks" dxfId="185" priority="308" stopIfTrue="1">
      <formula>LEN(TRIM(E22))&gt;0</formula>
    </cfRule>
  </conditionalFormatting>
  <conditionalFormatting sqref="E24:AN24">
    <cfRule type="containsBlanks" dxfId="184" priority="309" stopIfTrue="1">
      <formula>LEN(TRIM(E24))=0</formula>
    </cfRule>
    <cfRule type="notContainsBlanks" dxfId="183" priority="310" stopIfTrue="1">
      <formula>LEN(TRIM(E24))&gt;0</formula>
    </cfRule>
  </conditionalFormatting>
  <conditionalFormatting sqref="E25:AN25">
    <cfRule type="containsBlanks" dxfId="182" priority="311" stopIfTrue="1">
      <formula>LEN(TRIM(E25))=0</formula>
    </cfRule>
    <cfRule type="notContainsBlanks" dxfId="181" priority="312" stopIfTrue="1">
      <formula>LEN(TRIM(E25))&gt;0</formula>
    </cfRule>
  </conditionalFormatting>
  <conditionalFormatting sqref="E26:AN26">
    <cfRule type="containsBlanks" dxfId="180" priority="313" stopIfTrue="1">
      <formula>LEN(TRIM(E26))=0</formula>
    </cfRule>
    <cfRule type="notContainsBlanks" dxfId="179" priority="314" stopIfTrue="1">
      <formula>LEN(TRIM(E26))&gt;0</formula>
    </cfRule>
  </conditionalFormatting>
  <conditionalFormatting sqref="E99:AN99">
    <cfRule type="cellIs" dxfId="178" priority="4" stopIfTrue="1" operator="greaterThan">
      <formula>0</formula>
    </cfRule>
    <cfRule type="containsBlanks" dxfId="177" priority="5" stopIfTrue="1">
      <formula>LEN(TRIM(E99))=0</formula>
    </cfRule>
    <cfRule type="notContainsBlanks" dxfId="176" priority="6" stopIfTrue="1">
      <formula>LEN(TRIM(E99))&gt;0</formula>
    </cfRule>
  </conditionalFormatting>
  <conditionalFormatting sqref="E29:AN29">
    <cfRule type="cellIs" dxfId="175" priority="1" stopIfTrue="1" operator="greaterThan">
      <formula>0</formula>
    </cfRule>
    <cfRule type="containsBlanks" dxfId="174" priority="2" stopIfTrue="1">
      <formula>LEN(TRIM(E29))=0</formula>
    </cfRule>
    <cfRule type="notContainsBlanks" dxfId="173" priority="3" stopIfTrue="1">
      <formula>LEN(TRIM(E29))&gt;0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C30CA-2ABE-8249-B82C-D61A75313227}">
  <dimension ref="B3:AL9"/>
  <sheetViews>
    <sheetView topLeftCell="B1" zoomScale="80" zoomScaleNormal="80" workbookViewId="0">
      <selection activeCell="R23" sqref="R23"/>
    </sheetView>
  </sheetViews>
  <sheetFormatPr defaultColWidth="11.453125" defaultRowHeight="14.5" x14ac:dyDescent="0.35"/>
  <sheetData>
    <row r="3" spans="2:38" x14ac:dyDescent="0.35">
      <c r="B3" t="s">
        <v>113</v>
      </c>
      <c r="C3" s="26">
        <f t="array" ref="C3:AL3">_yS</f>
        <v>2024</v>
      </c>
      <c r="D3" s="26">
        <v>2025</v>
      </c>
      <c r="E3" s="26">
        <v>2026</v>
      </c>
      <c r="F3" s="26">
        <v>2027</v>
      </c>
      <c r="G3" s="26">
        <v>2028</v>
      </c>
      <c r="H3" s="26">
        <v>2029</v>
      </c>
      <c r="I3" s="26">
        <v>2030</v>
      </c>
      <c r="J3" s="26">
        <v>2031</v>
      </c>
      <c r="K3" s="26">
        <v>2032</v>
      </c>
      <c r="L3" s="26">
        <v>2033</v>
      </c>
      <c r="M3" s="26">
        <v>2034</v>
      </c>
      <c r="N3" s="26">
        <v>2035</v>
      </c>
      <c r="O3" s="26">
        <v>2036</v>
      </c>
      <c r="P3" s="26">
        <v>2037</v>
      </c>
      <c r="Q3" s="26">
        <v>2038</v>
      </c>
      <c r="R3" s="26">
        <v>2039</v>
      </c>
      <c r="S3" s="26">
        <v>2040</v>
      </c>
      <c r="T3" s="26">
        <v>2041</v>
      </c>
      <c r="U3" s="26">
        <v>2042</v>
      </c>
      <c r="V3" s="26">
        <v>2043</v>
      </c>
      <c r="W3" s="26">
        <v>2044</v>
      </c>
      <c r="X3" s="26">
        <v>2045</v>
      </c>
      <c r="Y3" s="26">
        <v>2046</v>
      </c>
      <c r="Z3" s="26">
        <v>2047</v>
      </c>
      <c r="AA3" s="26">
        <v>2048</v>
      </c>
      <c r="AB3" s="26">
        <v>2049</v>
      </c>
      <c r="AC3" s="26">
        <v>2050</v>
      </c>
      <c r="AD3" s="26">
        <v>2051</v>
      </c>
      <c r="AE3" s="26">
        <v>2052</v>
      </c>
      <c r="AF3" s="26">
        <v>2053</v>
      </c>
      <c r="AG3" s="26">
        <v>2054</v>
      </c>
      <c r="AH3" s="26">
        <v>2055</v>
      </c>
      <c r="AI3" s="26">
        <v>2056</v>
      </c>
      <c r="AJ3" s="26">
        <v>2057</v>
      </c>
      <c r="AK3" s="26">
        <v>2058</v>
      </c>
      <c r="AL3" s="27">
        <v>2059</v>
      </c>
    </row>
    <row r="4" spans="2:38" x14ac:dyDescent="0.35">
      <c r="B4" s="1" t="s">
        <v>148</v>
      </c>
      <c r="C4">
        <v>8.2127347841074965</v>
      </c>
      <c r="D4">
        <v>8.5984294340082918</v>
      </c>
      <c r="E4">
        <v>9.0122912362700944</v>
      </c>
      <c r="F4">
        <v>9.4703081184118609</v>
      </c>
      <c r="G4">
        <v>9.9670926866355813</v>
      </c>
      <c r="H4">
        <v>10.494559173428762</v>
      </c>
      <c r="I4">
        <v>11.046397652219259</v>
      </c>
      <c r="J4">
        <v>11.618404085770958</v>
      </c>
      <c r="K4">
        <v>12.210331454247907</v>
      </c>
      <c r="L4">
        <v>12.824714907367937</v>
      </c>
      <c r="M4">
        <v>13.465427859557796</v>
      </c>
      <c r="N4">
        <v>14.136991745687819</v>
      </c>
      <c r="O4">
        <v>14.843206467369427</v>
      </c>
      <c r="P4">
        <v>15.586476240436248</v>
      </c>
      <c r="Q4">
        <v>16.369473128948382</v>
      </c>
      <c r="R4">
        <v>17.190628033199836</v>
      </c>
      <c r="S4">
        <v>18.052436324644866</v>
      </c>
      <c r="T4">
        <v>18.955938520315428</v>
      </c>
      <c r="U4">
        <v>19.902673592501202</v>
      </c>
      <c r="V4">
        <v>20.894704857773277</v>
      </c>
      <c r="W4">
        <v>21.934412373627794</v>
      </c>
      <c r="X4">
        <v>23.024524492715912</v>
      </c>
      <c r="Y4">
        <v>24.167797168625285</v>
      </c>
      <c r="Z4">
        <v>25.367001754271541</v>
      </c>
      <c r="AA4">
        <v>26.624910204793775</v>
      </c>
      <c r="AB4">
        <v>27.944321902036265</v>
      </c>
      <c r="AC4">
        <v>29.328123100175667</v>
      </c>
      <c r="AD4">
        <v>30.779340545114337</v>
      </c>
      <c r="AE4">
        <v>32.301181969831163</v>
      </c>
      <c r="AF4">
        <v>33.897058210285969</v>
      </c>
      <c r="AG4">
        <v>35.570585160088655</v>
      </c>
      <c r="AH4">
        <v>37.325577124247054</v>
      </c>
      <c r="AI4">
        <v>39.166042399535925</v>
      </c>
      <c r="AJ4">
        <v>41.096167382286389</v>
      </c>
      <c r="AK4">
        <v>0</v>
      </c>
      <c r="AL4">
        <v>0</v>
      </c>
    </row>
    <row r="5" spans="2:38" x14ac:dyDescent="0.35">
      <c r="B5" s="1" t="s">
        <v>154</v>
      </c>
      <c r="C5">
        <v>8.2127347841074965</v>
      </c>
      <c r="D5">
        <v>8.5984294340082918</v>
      </c>
      <c r="E5">
        <v>9.0122912362700944</v>
      </c>
      <c r="F5">
        <v>9.4703081184118609</v>
      </c>
      <c r="G5">
        <v>9.9455159135469593</v>
      </c>
      <c r="H5">
        <v>10.477038054531986</v>
      </c>
      <c r="I5">
        <v>11.031596152298558</v>
      </c>
      <c r="J5">
        <v>11.604975766838797</v>
      </c>
      <c r="K5">
        <v>12.198445966476864</v>
      </c>
      <c r="L5">
        <v>12.812876427664184</v>
      </c>
      <c r="M5">
        <v>13.453668620554694</v>
      </c>
      <c r="N5">
        <v>14.125343467809101</v>
      </c>
      <c r="O5">
        <v>14.831701749744514</v>
      </c>
      <c r="P5">
        <v>15.575150240788323</v>
      </c>
      <c r="Q5">
        <v>16.357687051846796</v>
      </c>
      <c r="R5">
        <v>17.17836398700004</v>
      </c>
      <c r="S5">
        <v>18.039675311609404</v>
      </c>
      <c r="T5">
        <v>18.94266150883324</v>
      </c>
      <c r="U5">
        <v>19.888861187556422</v>
      </c>
      <c r="V5">
        <v>20.880336970748914</v>
      </c>
      <c r="W5">
        <v>21.919468050405413</v>
      </c>
      <c r="X5">
        <v>23.008981730480222</v>
      </c>
      <c r="Y5">
        <v>24.151632956996089</v>
      </c>
      <c r="Z5">
        <v>25.350192124227839</v>
      </c>
      <c r="AA5">
        <v>26.607342447845248</v>
      </c>
      <c r="AB5">
        <v>27.925962369513414</v>
      </c>
      <c r="AC5">
        <v>29.308936757822398</v>
      </c>
      <c r="AD5">
        <v>30.759290912969998</v>
      </c>
      <c r="AE5">
        <v>32.280231037946123</v>
      </c>
      <c r="AF5">
        <v>33.875166342854769</v>
      </c>
      <c r="AG5">
        <v>35.547711001314141</v>
      </c>
      <c r="AH5">
        <v>37.301677511433248</v>
      </c>
      <c r="AI5">
        <v>39.141072281847642</v>
      </c>
      <c r="AJ5">
        <v>41.070079752325228</v>
      </c>
      <c r="AK5">
        <v>0</v>
      </c>
      <c r="AL5">
        <v>0</v>
      </c>
    </row>
    <row r="6" spans="2:38" x14ac:dyDescent="0.35">
      <c r="B6" s="1" t="s">
        <v>155</v>
      </c>
      <c r="C6">
        <v>8.2127347841074965</v>
      </c>
      <c r="D6">
        <v>8.5984294340082918</v>
      </c>
      <c r="E6">
        <v>9.0122912362700944</v>
      </c>
      <c r="F6">
        <v>9.4703081184118609</v>
      </c>
      <c r="G6">
        <v>9.8926853541332633</v>
      </c>
      <c r="H6">
        <v>10.434064193100561</v>
      </c>
      <c r="I6">
        <v>10.995231154564379</v>
      </c>
      <c r="J6">
        <v>11.571929155018285</v>
      </c>
      <c r="K6">
        <v>12.169147661940178</v>
      </c>
      <c r="L6">
        <v>12.783646013637862</v>
      </c>
      <c r="M6">
        <v>13.424586511246096</v>
      </c>
      <c r="N6">
        <v>14.096489138301987</v>
      </c>
      <c r="O6">
        <v>14.803157174187159</v>
      </c>
      <c r="P6">
        <v>15.54700408323456</v>
      </c>
      <c r="Q6">
        <v>16.328350833150978</v>
      </c>
      <c r="R6">
        <v>17.147789525954511</v>
      </c>
      <c r="S6">
        <v>18.00781142275693</v>
      </c>
      <c r="T6">
        <v>18.909456666414464</v>
      </c>
      <c r="U6">
        <v>19.854262697920056</v>
      </c>
      <c r="V6">
        <v>20.844290135069478</v>
      </c>
      <c r="W6">
        <v>21.881915717739137</v>
      </c>
      <c r="X6">
        <v>22.96986381802326</v>
      </c>
      <c r="Y6">
        <v>24.110886532057386</v>
      </c>
      <c r="Z6">
        <v>25.307751506572274</v>
      </c>
      <c r="AA6">
        <v>26.56291720956072</v>
      </c>
      <c r="AB6">
        <v>27.879460905365914</v>
      </c>
      <c r="AC6">
        <v>29.260263470786754</v>
      </c>
      <c r="AD6">
        <v>30.708346031531168</v>
      </c>
      <c r="AE6">
        <v>32.226910369884514</v>
      </c>
      <c r="AF6">
        <v>33.819360996908678</v>
      </c>
      <c r="AG6">
        <v>35.489307110375222</v>
      </c>
      <c r="AH6">
        <v>37.240555971343781</v>
      </c>
      <c r="AI6">
        <v>39.077108501935967</v>
      </c>
      <c r="AJ6">
        <v>41.003143436153252</v>
      </c>
      <c r="AK6">
        <v>0</v>
      </c>
      <c r="AL6">
        <v>0</v>
      </c>
    </row>
    <row r="7" spans="2:38" x14ac:dyDescent="0.35">
      <c r="B7" s="1" t="s">
        <v>156</v>
      </c>
      <c r="C7">
        <v>8.1945872440194094</v>
      </c>
      <c r="D7">
        <v>8.5837827156881428</v>
      </c>
      <c r="E7">
        <v>8.9699231360466918</v>
      </c>
      <c r="F7">
        <v>9.4318697097982991</v>
      </c>
      <c r="G7">
        <v>9.9329893259053517</v>
      </c>
      <c r="H7">
        <v>10.460473829673948</v>
      </c>
      <c r="I7">
        <v>11.01242309777642</v>
      </c>
      <c r="J7">
        <v>11.58465613605517</v>
      </c>
      <c r="K7">
        <v>12.176935142667459</v>
      </c>
      <c r="L7">
        <v>12.791797091782762</v>
      </c>
      <c r="M7">
        <v>13.431147370412633</v>
      </c>
      <c r="N7">
        <v>14.101294532398612</v>
      </c>
      <c r="O7">
        <v>14.806030666074676</v>
      </c>
      <c r="P7">
        <v>15.547755933847926</v>
      </c>
      <c r="Q7">
        <v>16.329137862735617</v>
      </c>
      <c r="R7">
        <v>17.148613343401536</v>
      </c>
      <c r="S7">
        <v>18.008673739701628</v>
      </c>
      <c r="T7">
        <v>18.910359226684385</v>
      </c>
      <c r="U7">
        <v>19.855207300741153</v>
      </c>
      <c r="V7">
        <v>20.845278659044062</v>
      </c>
      <c r="W7">
        <v>21.882691530387731</v>
      </c>
      <c r="X7">
        <v>22.970405012822198</v>
      </c>
      <c r="Y7">
        <v>24.111169669552751</v>
      </c>
      <c r="Z7">
        <v>25.307751506572274</v>
      </c>
      <c r="AA7">
        <v>26.56291720956072</v>
      </c>
      <c r="AB7">
        <v>27.879460905365914</v>
      </c>
      <c r="AC7">
        <v>29.260263470786754</v>
      </c>
      <c r="AD7">
        <v>30.708346031531168</v>
      </c>
      <c r="AE7">
        <v>32.226910369884514</v>
      </c>
      <c r="AF7">
        <v>33.819360996908678</v>
      </c>
      <c r="AG7">
        <v>35.489307110375222</v>
      </c>
      <c r="AH7">
        <v>37.240555971343781</v>
      </c>
      <c r="AI7">
        <v>39.077108501935967</v>
      </c>
      <c r="AJ7">
        <v>41.003143436153252</v>
      </c>
      <c r="AK7">
        <v>0</v>
      </c>
      <c r="AL7">
        <v>0</v>
      </c>
    </row>
    <row r="8" spans="2:38" x14ac:dyDescent="0.35">
      <c r="B8" s="1" t="s">
        <v>157</v>
      </c>
      <c r="C8">
        <v>8.2127347841074965</v>
      </c>
      <c r="D8">
        <v>8.5984294340082918</v>
      </c>
      <c r="E8">
        <v>9.0122912362700944</v>
      </c>
      <c r="F8">
        <v>9.4703081184118609</v>
      </c>
      <c r="G8">
        <v>9.5805410038461289</v>
      </c>
      <c r="H8">
        <v>10.177587278601179</v>
      </c>
      <c r="I8">
        <v>10.776051252204208</v>
      </c>
      <c r="J8">
        <v>11.370823760473062</v>
      </c>
      <c r="K8">
        <v>11.989164857598139</v>
      </c>
      <c r="L8">
        <v>12.602414714835541</v>
      </c>
      <c r="M8">
        <v>13.242634036489958</v>
      </c>
      <c r="N8">
        <v>13.914348263258734</v>
      </c>
      <c r="O8">
        <v>14.621387582770476</v>
      </c>
      <c r="P8">
        <v>15.366219841746116</v>
      </c>
      <c r="Q8">
        <v>16.138314200410655</v>
      </c>
      <c r="R8">
        <v>16.948063040105438</v>
      </c>
      <c r="S8">
        <v>17.797929532783872</v>
      </c>
      <c r="T8">
        <v>18.688942821886471</v>
      </c>
      <c r="U8">
        <v>19.622623735027265</v>
      </c>
      <c r="V8">
        <v>20.601010323662937</v>
      </c>
      <c r="W8">
        <v>21.626453210840346</v>
      </c>
      <c r="X8">
        <v>22.701646727939572</v>
      </c>
      <c r="Y8">
        <v>23.829312760414901</v>
      </c>
      <c r="Z8">
        <v>25.012188739857383</v>
      </c>
      <c r="AA8">
        <v>26.251144245896004</v>
      </c>
      <c r="AB8">
        <v>27.550614550823724</v>
      </c>
      <c r="AC8">
        <v>28.91343601896499</v>
      </c>
      <c r="AD8">
        <v>30.342582944453572</v>
      </c>
      <c r="AE8">
        <v>31.841207431888343</v>
      </c>
      <c r="AF8">
        <v>33.412661147302728</v>
      </c>
      <c r="AG8">
        <v>35.060497190712297</v>
      </c>
      <c r="AH8">
        <v>36.78846349165034</v>
      </c>
      <c r="AI8">
        <v>38.600498401715868</v>
      </c>
      <c r="AJ8">
        <v>40.500714983147581</v>
      </c>
      <c r="AK8">
        <v>0</v>
      </c>
      <c r="AL8">
        <v>0</v>
      </c>
    </row>
    <row r="9" spans="2:38" x14ac:dyDescent="0.35">
      <c r="B9" s="1" t="s">
        <v>158</v>
      </c>
      <c r="C9">
        <v>8.2127347841074965</v>
      </c>
      <c r="D9">
        <v>8.5984294340082918</v>
      </c>
      <c r="E9">
        <v>9.0122912362700944</v>
      </c>
      <c r="F9">
        <v>9.4703081184118609</v>
      </c>
      <c r="G9">
        <v>9.3327208982143688</v>
      </c>
      <c r="H9">
        <v>9.9756406036025087</v>
      </c>
      <c r="I9">
        <v>10.604858567617814</v>
      </c>
      <c r="J9">
        <v>11.214980859322765</v>
      </c>
      <c r="K9">
        <v>11.850760151971173</v>
      </c>
      <c r="L9">
        <v>12.464095602164919</v>
      </c>
      <c r="M9">
        <v>13.104785104139722</v>
      </c>
      <c r="N9">
        <v>13.777351246559798</v>
      </c>
      <c r="O9">
        <v>14.485637653456918</v>
      </c>
      <c r="P9">
        <v>15.232145649446368</v>
      </c>
      <c r="Q9">
        <v>15.998344113540021</v>
      </c>
      <c r="R9">
        <v>16.801949489633749</v>
      </c>
      <c r="S9">
        <v>17.645409398710509</v>
      </c>
      <c r="T9">
        <v>18.529750120073452</v>
      </c>
      <c r="U9">
        <v>19.456485632949626</v>
      </c>
      <c r="V9">
        <v>20.427643070934884</v>
      </c>
      <c r="W9">
        <v>21.445559914347992</v>
      </c>
      <c r="X9">
        <v>22.512914947783461</v>
      </c>
      <c r="Y9">
        <v>23.63241480219267</v>
      </c>
      <c r="Z9">
        <v>24.806782048880883</v>
      </c>
      <c r="AA9">
        <v>26.035795175201102</v>
      </c>
      <c r="AB9">
        <v>27.324847972341509</v>
      </c>
      <c r="AC9">
        <v>28.676755128129592</v>
      </c>
      <c r="AD9">
        <v>30.094468228415629</v>
      </c>
      <c r="AE9">
        <v>31.58111531838426</v>
      </c>
      <c r="AF9">
        <v>33.140022484306577</v>
      </c>
      <c r="AG9">
        <v>34.774715719968064</v>
      </c>
      <c r="AH9">
        <v>36.488914385074445</v>
      </c>
      <c r="AI9">
        <v>38.286526842356295</v>
      </c>
      <c r="AJ9">
        <v>40.171634882133482</v>
      </c>
      <c r="AK9">
        <v>0</v>
      </c>
      <c r="AL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AQ93"/>
  <sheetViews>
    <sheetView zoomScale="85" zoomScaleNormal="85" workbookViewId="0">
      <selection activeCell="AR23" sqref="AR23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24.26953125" style="6" bestFit="1" customWidth="1"/>
    <col min="4" max="39" width="5.90625" style="6" bestFit="1" customWidth="1"/>
    <col min="40" max="41" width="5.7265625" style="6" bestFit="1" customWidth="1"/>
    <col min="42" max="42" width="14.1796875" style="6" bestFit="1" customWidth="1"/>
    <col min="43" max="43" width="5.7265625" style="6" bestFit="1" customWidth="1"/>
    <col min="44" max="46" width="12.453125" style="6" bestFit="1" customWidth="1"/>
    <col min="47" max="16384" width="9.1796875" style="6"/>
  </cols>
  <sheetData>
    <row r="2" spans="2:40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</row>
    <row r="3" spans="2:40" x14ac:dyDescent="0.35">
      <c r="B3" s="8"/>
      <c r="C3" s="23" t="str">
        <f>"Price Index [" &amp; sPIdx &amp; "]"</f>
        <v>Price Index [Ref]</v>
      </c>
      <c r="D3" s="26">
        <f t="array" ref="D3:AM3">_yS</f>
        <v>2024</v>
      </c>
      <c r="E3" s="26">
        <v>2025</v>
      </c>
      <c r="F3" s="26">
        <v>2026</v>
      </c>
      <c r="G3" s="26">
        <v>2027</v>
      </c>
      <c r="H3" s="26">
        <v>2028</v>
      </c>
      <c r="I3" s="26">
        <v>2029</v>
      </c>
      <c r="J3" s="26">
        <v>2030</v>
      </c>
      <c r="K3" s="26">
        <v>2031</v>
      </c>
      <c r="L3" s="26">
        <v>2032</v>
      </c>
      <c r="M3" s="26">
        <v>2033</v>
      </c>
      <c r="N3" s="26">
        <v>2034</v>
      </c>
      <c r="O3" s="26">
        <v>2035</v>
      </c>
      <c r="P3" s="26">
        <v>2036</v>
      </c>
      <c r="Q3" s="26">
        <v>2037</v>
      </c>
      <c r="R3" s="26">
        <v>2038</v>
      </c>
      <c r="S3" s="26">
        <v>2039</v>
      </c>
      <c r="T3" s="26">
        <v>2040</v>
      </c>
      <c r="U3" s="26">
        <v>2041</v>
      </c>
      <c r="V3" s="26">
        <v>2042</v>
      </c>
      <c r="W3" s="26">
        <v>2043</v>
      </c>
      <c r="X3" s="26">
        <v>2044</v>
      </c>
      <c r="Y3" s="26">
        <v>2045</v>
      </c>
      <c r="Z3" s="26">
        <v>2046</v>
      </c>
      <c r="AA3" s="26">
        <v>2047</v>
      </c>
      <c r="AB3" s="26">
        <v>2048</v>
      </c>
      <c r="AC3" s="26">
        <v>2049</v>
      </c>
      <c r="AD3" s="26">
        <v>2050</v>
      </c>
      <c r="AE3" s="26">
        <v>2051</v>
      </c>
      <c r="AF3" s="26">
        <v>2052</v>
      </c>
      <c r="AG3" s="26">
        <v>2053</v>
      </c>
      <c r="AH3" s="26">
        <v>2054</v>
      </c>
      <c r="AI3" s="26">
        <v>2055</v>
      </c>
      <c r="AJ3" s="26">
        <v>2056</v>
      </c>
      <c r="AK3" s="26">
        <v>2057</v>
      </c>
      <c r="AL3" s="26">
        <v>2058</v>
      </c>
      <c r="AM3" s="27">
        <v>2059</v>
      </c>
      <c r="AN3" s="8"/>
    </row>
    <row r="4" spans="2:40" x14ac:dyDescent="0.35">
      <c r="B4" s="8"/>
      <c r="C4" s="10" t="str">
        <f>INDEX(_pcName,1)</f>
        <v>CADR 10-99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18"/>
      <c r="AN4" s="8"/>
    </row>
    <row r="5" spans="2:40" x14ac:dyDescent="0.35">
      <c r="B5" s="8"/>
      <c r="C5" s="20" t="str">
        <f>"CSL 0: " &amp; INDEX(_doName,1,1)</f>
        <v>CSL 0: Baseline</v>
      </c>
      <c r="D5" s="33">
        <f t="array" ref="D5:AM5">CHOOSE(iPIdx,tPIdxsml01,tPIdxsml02,tPIdxsml03)</f>
        <v>1.0275440049511193</v>
      </c>
      <c r="E5" s="33">
        <v>1.0202075484873823</v>
      </c>
      <c r="F5" s="33">
        <v>1.013205275444657</v>
      </c>
      <c r="G5" s="33">
        <v>1.006482497325184</v>
      </c>
      <c r="H5" s="33">
        <v>1</v>
      </c>
      <c r="I5" s="33">
        <v>0.99373135806270296</v>
      </c>
      <c r="J5" s="33">
        <v>0.98765833326395891</v>
      </c>
      <c r="K5" s="33">
        <v>0.9817675414981667</v>
      </c>
      <c r="L5" s="33">
        <v>0.97604735767963346</v>
      </c>
      <c r="M5" s="33">
        <v>0.97048643446670046</v>
      </c>
      <c r="N5" s="33">
        <v>0.96507334989377658</v>
      </c>
      <c r="O5" s="33">
        <v>0.95979666200984159</v>
      </c>
      <c r="P5" s="33">
        <v>0.95464542764433924</v>
      </c>
      <c r="Q5" s="33">
        <v>0.94960974506382967</v>
      </c>
      <c r="R5" s="33">
        <v>0.94468059359457146</v>
      </c>
      <c r="S5" s="33">
        <v>0.93985093297133249</v>
      </c>
      <c r="T5" s="33">
        <v>0.93511424098564955</v>
      </c>
      <c r="U5" s="33">
        <v>0.93046484907838944</v>
      </c>
      <c r="V5" s="33">
        <v>0.92589770479581779</v>
      </c>
      <c r="W5" s="33">
        <v>0.92140819100526394</v>
      </c>
      <c r="X5" s="33">
        <v>0.91699203537593821</v>
      </c>
      <c r="Y5" s="33">
        <v>0.912645237201823</v>
      </c>
      <c r="Z5" s="33">
        <v>0.90836406923423729</v>
      </c>
      <c r="AA5" s="33">
        <v>0.90414507671810074</v>
      </c>
      <c r="AB5" s="33">
        <v>0.89998507441923148</v>
      </c>
      <c r="AC5" s="33">
        <v>0.89588113589783946</v>
      </c>
      <c r="AD5" s="33">
        <v>0.89183057330856352</v>
      </c>
      <c r="AE5" s="33">
        <v>0.88783091226222866</v>
      </c>
      <c r="AF5" s="33">
        <v>0.88387986583133249</v>
      </c>
      <c r="AG5" s="33">
        <v>0.87997531096858395</v>
      </c>
      <c r="AH5" s="33">
        <v>0.876115269486343</v>
      </c>
      <c r="AI5" s="33">
        <v>0.87229789355568188</v>
      </c>
      <c r="AJ5" s="33">
        <v>0.86852145444726381</v>
      </c>
      <c r="AK5" s="33">
        <v>0.86478433476150796</v>
      </c>
      <c r="AL5" s="33">
        <v>0.8610850198161728</v>
      </c>
      <c r="AM5" s="34">
        <v>0.85742209135358383</v>
      </c>
      <c r="AN5" s="8"/>
    </row>
    <row r="6" spans="2:40" x14ac:dyDescent="0.35">
      <c r="B6" s="8"/>
      <c r="C6" s="20" t="str">
        <f>"CSL 1: " &amp; INDEX(_doName,1,2)</f>
        <v>CSL 1: Tier 1</v>
      </c>
      <c r="D6" s="33">
        <f t="array" ref="D6:AM6">CHOOSE(iPIdx,tPIdxsml11,tPIdxsml12,tPIdxsml13)</f>
        <v>1.028169624432264</v>
      </c>
      <c r="E6" s="33">
        <v>1.0206665317043224</v>
      </c>
      <c r="F6" s="33">
        <v>1.0135052128570532</v>
      </c>
      <c r="G6" s="33">
        <v>1.0066297372280339</v>
      </c>
      <c r="H6" s="33">
        <v>1</v>
      </c>
      <c r="I6" s="33">
        <v>0.99358897555430403</v>
      </c>
      <c r="J6" s="33">
        <v>0.9873780113879802</v>
      </c>
      <c r="K6" s="33">
        <v>0.98135341939616472</v>
      </c>
      <c r="L6" s="33">
        <v>0.97550331044731897</v>
      </c>
      <c r="M6" s="33">
        <v>0.96981607946246473</v>
      </c>
      <c r="N6" s="33">
        <v>0.96428004504372455</v>
      </c>
      <c r="O6" s="33">
        <v>0.95888350535385314</v>
      </c>
      <c r="P6" s="33">
        <v>0.95361526866509694</v>
      </c>
      <c r="Q6" s="33">
        <v>0.94846520834145154</v>
      </c>
      <c r="R6" s="33">
        <v>0.94342409881852063</v>
      </c>
      <c r="S6" s="33">
        <v>0.93848473992233339</v>
      </c>
      <c r="T6" s="33">
        <v>0.93364046130254674</v>
      </c>
      <c r="U6" s="33">
        <v>0.92888546564747221</v>
      </c>
      <c r="V6" s="33">
        <v>0.92421458574470128</v>
      </c>
      <c r="W6" s="33">
        <v>0.91962309959053412</v>
      </c>
      <c r="X6" s="33">
        <v>0.91510663781479373</v>
      </c>
      <c r="Y6" s="33">
        <v>0.91066110884161144</v>
      </c>
      <c r="Z6" s="33">
        <v>0.90628270076361606</v>
      </c>
      <c r="AA6" s="33">
        <v>0.90196788035630737</v>
      </c>
      <c r="AB6" s="33">
        <v>0.89771339003783457</v>
      </c>
      <c r="AC6" s="33">
        <v>0.89351623689885307</v>
      </c>
      <c r="AD6" s="33">
        <v>0.88937367204375029</v>
      </c>
      <c r="AE6" s="33">
        <v>0.88528316488142744</v>
      </c>
      <c r="AF6" s="33">
        <v>0.88124237654036019</v>
      </c>
      <c r="AG6" s="33">
        <v>0.87724913575152097</v>
      </c>
      <c r="AH6" s="33">
        <v>0.87330141939579664</v>
      </c>
      <c r="AI6" s="33">
        <v>0.86939733767368244</v>
      </c>
      <c r="AJ6" s="33">
        <v>0.86553512259042786</v>
      </c>
      <c r="AK6" s="33">
        <v>0.86171312000972167</v>
      </c>
      <c r="AL6" s="33">
        <v>0.8579297808456573</v>
      </c>
      <c r="AM6" s="34">
        <v>0.85418365462703016</v>
      </c>
      <c r="AN6" s="8"/>
    </row>
    <row r="7" spans="2:40" x14ac:dyDescent="0.35">
      <c r="B7" s="8"/>
      <c r="C7" s="20" t="str">
        <f>"CSL 2: " &amp; INDEX(_doName,1,3)</f>
        <v>CSL 2: Tier 2</v>
      </c>
      <c r="D7" s="33">
        <f t="array" ref="D7:AM7">CHOOSE(iPIdx,tPIdxsml21,tPIdxsml22,tPIdxsml23)</f>
        <v>1.0283184602276274</v>
      </c>
      <c r="E7" s="33">
        <v>1.0207757244871729</v>
      </c>
      <c r="F7" s="33">
        <v>1.013576568408916</v>
      </c>
      <c r="G7" s="33">
        <v>1.0066647658176326</v>
      </c>
      <c r="H7" s="33">
        <v>1</v>
      </c>
      <c r="I7" s="33">
        <v>0.99355510254599455</v>
      </c>
      <c r="J7" s="33">
        <v>0.98731132240110164</v>
      </c>
      <c r="K7" s="33">
        <v>0.98125489913858543</v>
      </c>
      <c r="L7" s="33">
        <v>0.97537388081001197</v>
      </c>
      <c r="M7" s="33">
        <v>0.96965660102031548</v>
      </c>
      <c r="N7" s="33">
        <v>0.96409131665229553</v>
      </c>
      <c r="O7" s="33">
        <v>0.95866626404139166</v>
      </c>
      <c r="P7" s="33">
        <v>0.95337019232772691</v>
      </c>
      <c r="Q7" s="33">
        <v>0.94819292137064626</v>
      </c>
      <c r="R7" s="33">
        <v>0.9431251768619644</v>
      </c>
      <c r="S7" s="33">
        <v>0.93815972058518671</v>
      </c>
      <c r="T7" s="33">
        <v>0.93328984694679873</v>
      </c>
      <c r="U7" s="33">
        <v>0.92850972800468945</v>
      </c>
      <c r="V7" s="33">
        <v>0.923814169245193</v>
      </c>
      <c r="W7" s="33">
        <v>0.91919842371563742</v>
      </c>
      <c r="X7" s="33">
        <v>0.91465809896003236</v>
      </c>
      <c r="Y7" s="33">
        <v>0.91018908178443814</v>
      </c>
      <c r="Z7" s="33">
        <v>0.90578754014105634</v>
      </c>
      <c r="AA7" s="33">
        <v>0.90144992213739639</v>
      </c>
      <c r="AB7" s="33">
        <v>0.89717295297999067</v>
      </c>
      <c r="AC7" s="33">
        <v>0.89295362394628941</v>
      </c>
      <c r="AD7" s="33">
        <v>0.88878917161673587</v>
      </c>
      <c r="AE7" s="33">
        <v>0.88467705202971036</v>
      </c>
      <c r="AF7" s="33">
        <v>0.88061491395612945</v>
      </c>
      <c r="AG7" s="33">
        <v>0.87660057465494368</v>
      </c>
      <c r="AH7" s="33">
        <v>0.87263200031777599</v>
      </c>
      <c r="AI7" s="33">
        <v>0.8687072911602598</v>
      </c>
      <c r="AJ7" s="33">
        <v>0.86482466984634487</v>
      </c>
      <c r="AK7" s="33">
        <v>0.86098247349999757</v>
      </c>
      <c r="AL7" s="33">
        <v>0.85717914485062907</v>
      </c>
      <c r="AM7" s="34">
        <v>0.85341322576338841</v>
      </c>
      <c r="AN7" s="8"/>
    </row>
    <row r="8" spans="2:40" x14ac:dyDescent="0.35">
      <c r="B8" s="8"/>
      <c r="C8" s="20" t="str">
        <f>"CSL 3: " &amp; INDEX(_doName,1,4)</f>
        <v>CSL 3: EL 3</v>
      </c>
      <c r="D8" s="33">
        <f t="array" ref="D8:AM8">CHOOSE(iPIdx,tPIdxsml31,tPIdxsml32,tPIdxsml33)</f>
        <v>1.0252689175477474</v>
      </c>
      <c r="E8" s="33">
        <v>1.0185384397612451</v>
      </c>
      <c r="F8" s="33">
        <v>1.0121145424203379</v>
      </c>
      <c r="G8" s="33">
        <v>1.0059470542030566</v>
      </c>
      <c r="H8" s="33">
        <v>1</v>
      </c>
      <c r="I8" s="33">
        <v>0.99424913709785434</v>
      </c>
      <c r="J8" s="33">
        <v>0.98867773369529088</v>
      </c>
      <c r="K8" s="33">
        <v>0.9832735111907962</v>
      </c>
      <c r="L8" s="33">
        <v>0.97802580471074774</v>
      </c>
      <c r="M8" s="33">
        <v>0.97292420418437808</v>
      </c>
      <c r="N8" s="33">
        <v>0.96795823108079582</v>
      </c>
      <c r="O8" s="33">
        <v>0.96311738853444218</v>
      </c>
      <c r="P8" s="33">
        <v>0.95839163726181509</v>
      </c>
      <c r="Q8" s="33">
        <v>0.95377189339561474</v>
      </c>
      <c r="R8" s="33">
        <v>0.94924988135422561</v>
      </c>
      <c r="S8" s="33">
        <v>0.94481914238620679</v>
      </c>
      <c r="T8" s="33">
        <v>0.94047369300628891</v>
      </c>
      <c r="U8" s="33">
        <v>0.93620833286856697</v>
      </c>
      <c r="V8" s="33">
        <v>0.93201842684328939</v>
      </c>
      <c r="W8" s="33">
        <v>0.92789973916499768</v>
      </c>
      <c r="X8" s="33">
        <v>0.92384835039007229</v>
      </c>
      <c r="Y8" s="33">
        <v>0.9198605902639273</v>
      </c>
      <c r="Z8" s="33">
        <v>0.9159330394022076</v>
      </c>
      <c r="AA8" s="33">
        <v>0.91206252840665658</v>
      </c>
      <c r="AB8" s="33">
        <v>0.90824613513795383</v>
      </c>
      <c r="AC8" s="33">
        <v>0.9044811748751993</v>
      </c>
      <c r="AD8" s="33">
        <v>0.90076518178443254</v>
      </c>
      <c r="AE8" s="33">
        <v>0.89709588585676592</v>
      </c>
      <c r="AF8" s="33">
        <v>0.89347118906097267</v>
      </c>
      <c r="AG8" s="33">
        <v>0.88988914370981387</v>
      </c>
      <c r="AH8" s="33">
        <v>0.88634793501054421</v>
      </c>
      <c r="AI8" s="33">
        <v>0.88284586776172491</v>
      </c>
      <c r="AJ8" s="33">
        <v>0.87938135602408718</v>
      </c>
      <c r="AK8" s="33">
        <v>0.87595291599247183</v>
      </c>
      <c r="AL8" s="33">
        <v>0.87255915809478368</v>
      </c>
      <c r="AM8" s="34">
        <v>0.86919878121899108</v>
      </c>
      <c r="AN8" s="8"/>
    </row>
    <row r="9" spans="2:40" x14ac:dyDescent="0.35">
      <c r="B9" s="8"/>
      <c r="C9" s="20" t="str">
        <f>"CSL 4: " &amp; INDEX(_doName,1,5)</f>
        <v>CSL 4: EL 4</v>
      </c>
      <c r="D9" s="33">
        <f t="array" ref="D9:AM9">CHOOSE(iPIdx,tPIdxsml41,tPIdxsml42,tPIdxsml43)</f>
        <v>1.0255294344730528</v>
      </c>
      <c r="E9" s="33">
        <v>1.0187295669560466</v>
      </c>
      <c r="F9" s="33">
        <v>1.0122394406609083</v>
      </c>
      <c r="G9" s="33">
        <v>1.0060083670104882</v>
      </c>
      <c r="H9" s="33">
        <v>1</v>
      </c>
      <c r="I9" s="33">
        <v>0.9941898469791427</v>
      </c>
      <c r="J9" s="33">
        <v>0.98856100364543342</v>
      </c>
      <c r="K9" s="33">
        <v>0.98310106480770532</v>
      </c>
      <c r="L9" s="33">
        <v>0.97779925563985848</v>
      </c>
      <c r="M9" s="33">
        <v>0.97264505874560903</v>
      </c>
      <c r="N9" s="33">
        <v>0.9676278875627401</v>
      </c>
      <c r="O9" s="33">
        <v>0.96273713700534169</v>
      </c>
      <c r="P9" s="33">
        <v>0.95796266428712917</v>
      </c>
      <c r="Q9" s="33">
        <v>0.95329529188814943</v>
      </c>
      <c r="R9" s="33">
        <v>0.94872665890737939</v>
      </c>
      <c r="S9" s="33">
        <v>0.94425024000508562</v>
      </c>
      <c r="T9" s="33">
        <v>0.93985999000759524</v>
      </c>
      <c r="U9" s="33">
        <v>0.93555065495459244</v>
      </c>
      <c r="V9" s="33">
        <v>0.93131755192916788</v>
      </c>
      <c r="W9" s="33">
        <v>0.92715640149606227</v>
      </c>
      <c r="X9" s="33">
        <v>0.92306324380306337</v>
      </c>
      <c r="Y9" s="33">
        <v>0.91903437075607564</v>
      </c>
      <c r="Z9" s="33">
        <v>0.9150663277176514</v>
      </c>
      <c r="AA9" s="33">
        <v>0.91115591261374207</v>
      </c>
      <c r="AB9" s="33">
        <v>0.90730017317842016</v>
      </c>
      <c r="AC9" s="33">
        <v>0.90349639701190965</v>
      </c>
      <c r="AD9" s="33">
        <v>0.89974209285804996</v>
      </c>
      <c r="AE9" s="33">
        <v>0.89603496730466603</v>
      </c>
      <c r="AF9" s="33">
        <v>0.8923729006902954</v>
      </c>
      <c r="AG9" s="33">
        <v>0.88875392524747665</v>
      </c>
      <c r="AH9" s="33">
        <v>0.88517620747335424</v>
      </c>
      <c r="AI9" s="33">
        <v>0.88163803468933932</v>
      </c>
      <c r="AJ9" s="33">
        <v>0.87813780460548152</v>
      </c>
      <c r="AK9" s="33">
        <v>0.87467401811892043</v>
      </c>
      <c r="AL9" s="33">
        <v>0.87124527133138108</v>
      </c>
      <c r="AM9" s="34">
        <v>0.86785024971665581</v>
      </c>
      <c r="AN9" s="8"/>
    </row>
    <row r="10" spans="2:40" x14ac:dyDescent="0.35">
      <c r="B10" s="8"/>
      <c r="C10" s="36" t="str">
        <f>INDEX(_pcName,2)</f>
        <v>CADR 100-149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8"/>
      <c r="AN10" s="8"/>
    </row>
    <row r="11" spans="2:40" x14ac:dyDescent="0.35">
      <c r="B11" s="8"/>
      <c r="C11" s="20" t="str">
        <f>"CSL 0: " &amp; INDEX(_doName,2,1)</f>
        <v>CSL 0: Baseline</v>
      </c>
      <c r="D11" s="33">
        <f t="array" ref="D11:AM11">CHOOSE(iPIdx,tPIdxmed01,tPIdxmed02,tPIdxmed03)</f>
        <v>1.0259923365545607</v>
      </c>
      <c r="E11" s="33">
        <v>1.0190691732069741</v>
      </c>
      <c r="F11" s="33">
        <v>1.0124613673379135</v>
      </c>
      <c r="G11" s="33">
        <v>1.0061173112802311</v>
      </c>
      <c r="H11" s="33">
        <v>1</v>
      </c>
      <c r="I11" s="33">
        <v>0.99408449674390442</v>
      </c>
      <c r="J11" s="33">
        <v>0.98835359069907613</v>
      </c>
      <c r="K11" s="33">
        <v>0.98279465174226754</v>
      </c>
      <c r="L11" s="33">
        <v>0.97739670967722936</v>
      </c>
      <c r="M11" s="33">
        <v>0.97214905640526927</v>
      </c>
      <c r="N11" s="33">
        <v>0.96704091340763965</v>
      </c>
      <c r="O11" s="33">
        <v>0.96206148330602548</v>
      </c>
      <c r="P11" s="33">
        <v>0.95720043940419752</v>
      </c>
      <c r="Q11" s="33">
        <v>0.95244843777455701</v>
      </c>
      <c r="R11" s="33">
        <v>0.94779696591544527</v>
      </c>
      <c r="S11" s="33">
        <v>0.94323938016906184</v>
      </c>
      <c r="T11" s="33">
        <v>0.9387695257500821</v>
      </c>
      <c r="U11" s="33">
        <v>0.93438205343289293</v>
      </c>
      <c r="V11" s="33">
        <v>0.93007219538949981</v>
      </c>
      <c r="W11" s="33">
        <v>0.92583559458952513</v>
      </c>
      <c r="X11" s="33">
        <v>0.92166821938034782</v>
      </c>
      <c r="Y11" s="33">
        <v>0.91756629443236515</v>
      </c>
      <c r="Z11" s="33">
        <v>0.91352630246832189</v>
      </c>
      <c r="AA11" s="33">
        <v>0.90954498335386458</v>
      </c>
      <c r="AB11" s="33">
        <v>0.90561933129230554</v>
      </c>
      <c r="AC11" s="33">
        <v>0.90174658470238322</v>
      </c>
      <c r="AD11" s="33">
        <v>0.89792420715624888</v>
      </c>
      <c r="AE11" s="33">
        <v>0.89414986365736426</v>
      </c>
      <c r="AF11" s="33">
        <v>0.89042139611036819</v>
      </c>
      <c r="AG11" s="33">
        <v>0.8867368010680563</v>
      </c>
      <c r="AH11" s="33">
        <v>0.88309421178232883</v>
      </c>
      <c r="AI11" s="33">
        <v>0.87949188452014937</v>
      </c>
      <c r="AJ11" s="33">
        <v>0.87592818793869709</v>
      </c>
      <c r="AK11" s="33">
        <v>0.87240159575323883</v>
      </c>
      <c r="AL11" s="33">
        <v>0.86891067860988558</v>
      </c>
      <c r="AM11" s="34">
        <v>0.86545409814731844</v>
      </c>
      <c r="AN11" s="8"/>
    </row>
    <row r="12" spans="2:40" x14ac:dyDescent="0.35">
      <c r="B12" s="8"/>
      <c r="C12" s="20" t="str">
        <f>"CSL 1: " &amp; INDEX(_doName,2,2)</f>
        <v>CSL 1: Tier 1</v>
      </c>
      <c r="D12" s="33">
        <f t="array" ref="D12:AM12">CHOOSE(iPIdx,tPIdxmed11,tPIdxmed12,tPIdxmed13)</f>
        <v>1.0265698537409766</v>
      </c>
      <c r="E12" s="33">
        <v>1.0194928663687892</v>
      </c>
      <c r="F12" s="33">
        <v>1.0127382433236018</v>
      </c>
      <c r="G12" s="33">
        <v>1.0062532302804938</v>
      </c>
      <c r="H12" s="33">
        <v>1</v>
      </c>
      <c r="I12" s="33">
        <v>0.99395306166535646</v>
      </c>
      <c r="J12" s="33">
        <v>0.98809482206097399</v>
      </c>
      <c r="K12" s="33">
        <v>0.98241237043807417</v>
      </c>
      <c r="L12" s="33">
        <v>0.97689449285637731</v>
      </c>
      <c r="M12" s="33">
        <v>0.97153024329664039</v>
      </c>
      <c r="N12" s="33">
        <v>0.96630860375491945</v>
      </c>
      <c r="O12" s="33">
        <v>0.96121853694866721</v>
      </c>
      <c r="P12" s="33">
        <v>0.95624948673538934</v>
      </c>
      <c r="Q12" s="33">
        <v>0.95139190157711018</v>
      </c>
      <c r="R12" s="33">
        <v>0.94663707983503853</v>
      </c>
      <c r="S12" s="33">
        <v>0.94197823023761296</v>
      </c>
      <c r="T12" s="33">
        <v>0.93740906124788193</v>
      </c>
      <c r="U12" s="33">
        <v>0.9329241047871345</v>
      </c>
      <c r="V12" s="33">
        <v>0.9285184870922053</v>
      </c>
      <c r="W12" s="33">
        <v>0.92418775432495504</v>
      </c>
      <c r="X12" s="33">
        <v>0.91992778525448748</v>
      </c>
      <c r="Y12" s="33">
        <v>0.91573472066810124</v>
      </c>
      <c r="Z12" s="33">
        <v>0.91160496513904254</v>
      </c>
      <c r="AA12" s="33">
        <v>0.90753518609685324</v>
      </c>
      <c r="AB12" s="33">
        <v>0.90352231095980484</v>
      </c>
      <c r="AC12" s="33">
        <v>0.89956351678775714</v>
      </c>
      <c r="AD12" s="33">
        <v>0.89565621079660862</v>
      </c>
      <c r="AE12" s="33">
        <v>0.89179800610912063</v>
      </c>
      <c r="AF12" s="33">
        <v>0.88798669667975427</v>
      </c>
      <c r="AG12" s="33">
        <v>0.88422023454721554</v>
      </c>
      <c r="AH12" s="33">
        <v>0.88049671148659847</v>
      </c>
      <c r="AI12" s="33">
        <v>0.87681434502130096</v>
      </c>
      <c r="AJ12" s="33">
        <v>0.87317146756210651</v>
      </c>
      <c r="AK12" s="33">
        <v>0.86956651891214543</v>
      </c>
      <c r="AL12" s="33">
        <v>0.86599803795907437</v>
      </c>
      <c r="AM12" s="34">
        <v>0.86246465660486082</v>
      </c>
      <c r="AN12" s="8"/>
    </row>
    <row r="13" spans="2:40" x14ac:dyDescent="0.35">
      <c r="B13" s="8"/>
      <c r="C13" s="20" t="str">
        <f>"CSL 2: " &amp; INDEX(_doName,2,3)</f>
        <v>CSL 2: Tier 2</v>
      </c>
      <c r="D13" s="33">
        <f t="array" ref="D13:AM13">CHOOSE(iPIdx,tPIdxmed21,tPIdxmed22,tPIdxmed23)</f>
        <v>1.0271245020204627</v>
      </c>
      <c r="E13" s="33">
        <v>1.0198997818489834</v>
      </c>
      <c r="F13" s="33">
        <v>1.0130041553911648</v>
      </c>
      <c r="G13" s="33">
        <v>1.0063837670704259</v>
      </c>
      <c r="H13" s="33">
        <v>1</v>
      </c>
      <c r="I13" s="33">
        <v>0.99382683123984616</v>
      </c>
      <c r="J13" s="33">
        <v>0.98784630031428955</v>
      </c>
      <c r="K13" s="33">
        <v>0.98204522696141594</v>
      </c>
      <c r="L13" s="33">
        <v>0.97641216314885237</v>
      </c>
      <c r="M13" s="33">
        <v>0.97093593435814007</v>
      </c>
      <c r="N13" s="33">
        <v>0.96560529258343175</v>
      </c>
      <c r="O13" s="33">
        <v>0.96040897013783433</v>
      </c>
      <c r="P13" s="33">
        <v>0.9553361905183525</v>
      </c>
      <c r="Q13" s="33">
        <v>0.95037720279772719</v>
      </c>
      <c r="R13" s="33">
        <v>0.94552312368961156</v>
      </c>
      <c r="S13" s="33">
        <v>0.94076702015399005</v>
      </c>
      <c r="T13" s="33">
        <v>0.93610246931746599</v>
      </c>
      <c r="U13" s="33">
        <v>0.93152388895465366</v>
      </c>
      <c r="V13" s="33">
        <v>0.92702630356210791</v>
      </c>
      <c r="W13" s="33">
        <v>0.92260516632738543</v>
      </c>
      <c r="X13" s="33">
        <v>0.91825626998849419</v>
      </c>
      <c r="Y13" s="33">
        <v>0.91397567477129282</v>
      </c>
      <c r="Z13" s="33">
        <v>0.90975971019414448</v>
      </c>
      <c r="AA13" s="33">
        <v>0.90560497411885865</v>
      </c>
      <c r="AB13" s="33">
        <v>0.9015083298232649</v>
      </c>
      <c r="AC13" s="33">
        <v>0.8974668954380729</v>
      </c>
      <c r="AD13" s="33">
        <v>0.89347802405456112</v>
      </c>
      <c r="AE13" s="33">
        <v>0.8895392789691966</v>
      </c>
      <c r="AF13" s="33">
        <v>0.88564840808502521</v>
      </c>
      <c r="AG13" s="33">
        <v>0.88180332068936196</v>
      </c>
      <c r="AH13" s="33">
        <v>0.87800206872292064</v>
      </c>
      <c r="AI13" s="33">
        <v>0.87424283249972656</v>
      </c>
      <c r="AJ13" s="33">
        <v>0.87052390961947645</v>
      </c>
      <c r="AK13" s="33">
        <v>0.8668437073160391</v>
      </c>
      <c r="AL13" s="33">
        <v>0.86320073397620922</v>
      </c>
      <c r="AM13" s="34">
        <v>0.8595935929427746</v>
      </c>
      <c r="AN13" s="8"/>
    </row>
    <row r="14" spans="2:40" x14ac:dyDescent="0.35">
      <c r="B14" s="8"/>
      <c r="C14" s="20" t="str">
        <f>"CSL 3: " &amp; INDEX(_doName,2,4)</f>
        <v>CSL 3: EL 3</v>
      </c>
      <c r="D14" s="33">
        <f t="array" ref="D14:AM14">CHOOSE(iPIdx,tPIdxmed31,tPIdxmed32,tPIdxmed33)</f>
        <v>1.0242418973392788</v>
      </c>
      <c r="E14" s="33">
        <v>1.0177849705145987</v>
      </c>
      <c r="F14" s="33">
        <v>1.0116221635972829</v>
      </c>
      <c r="G14" s="33">
        <v>1.0057053444093602</v>
      </c>
      <c r="H14" s="33">
        <v>1</v>
      </c>
      <c r="I14" s="33">
        <v>0.99448287296744486</v>
      </c>
      <c r="J14" s="33">
        <v>0.98913791155129238</v>
      </c>
      <c r="K14" s="33">
        <v>0.9839533361968068</v>
      </c>
      <c r="L14" s="33">
        <v>0.97891891548940524</v>
      </c>
      <c r="M14" s="33">
        <v>0.97402466246125008</v>
      </c>
      <c r="N14" s="33">
        <v>0.96926052446684707</v>
      </c>
      <c r="O14" s="33">
        <v>0.96461643127122154</v>
      </c>
      <c r="P14" s="33">
        <v>0.96008275162366552</v>
      </c>
      <c r="Q14" s="33">
        <v>0.95565077085810346</v>
      </c>
      <c r="R14" s="33">
        <v>0.9513125497424898</v>
      </c>
      <c r="S14" s="33">
        <v>0.9470618920324041</v>
      </c>
      <c r="T14" s="33">
        <v>0.94289305743306073</v>
      </c>
      <c r="U14" s="33">
        <v>0.93880105695942251</v>
      </c>
      <c r="V14" s="33">
        <v>0.93478144387017659</v>
      </c>
      <c r="W14" s="33">
        <v>0.93083015455669338</v>
      </c>
      <c r="X14" s="33">
        <v>0.92694342887571934</v>
      </c>
      <c r="Y14" s="33">
        <v>0.92311774574509009</v>
      </c>
      <c r="Z14" s="33">
        <v>0.91934982475659921</v>
      </c>
      <c r="AA14" s="33">
        <v>0.91563662532779888</v>
      </c>
      <c r="AB14" s="33">
        <v>0.91197534408568048</v>
      </c>
      <c r="AC14" s="33">
        <v>0.90836340542611183</v>
      </c>
      <c r="AD14" s="33">
        <v>0.90479844373554408</v>
      </c>
      <c r="AE14" s="33">
        <v>0.90127828126646126</v>
      </c>
      <c r="AF14" s="33">
        <v>0.89780090525921452</v>
      </c>
      <c r="AG14" s="33">
        <v>0.8943644471876192</v>
      </c>
      <c r="AH14" s="33">
        <v>0.89096716601867154</v>
      </c>
      <c r="AI14" s="33">
        <v>0.88760743545005061</v>
      </c>
      <c r="AJ14" s="33">
        <v>0.88428373400079618</v>
      </c>
      <c r="AK14" s="33">
        <v>0.88099463817295753</v>
      </c>
      <c r="AL14" s="33">
        <v>0.87773881487167582</v>
      </c>
      <c r="AM14" s="34">
        <v>0.87451501586681846</v>
      </c>
      <c r="AN14" s="8"/>
    </row>
    <row r="15" spans="2:40" x14ac:dyDescent="0.35">
      <c r="B15" s="8"/>
      <c r="C15" s="20" t="str">
        <f>"CSL 4: " &amp; INDEX(_doName,2,5)</f>
        <v>CSL 4: EL 4</v>
      </c>
      <c r="D15" s="33">
        <f t="array" ref="D15:AM15">CHOOSE(iPIdx,tPIdxmed41,tPIdxmed42,tPIdxmed43)</f>
        <v>1.0258746078519496</v>
      </c>
      <c r="E15" s="33">
        <v>1.0189828020176501</v>
      </c>
      <c r="F15" s="33">
        <v>1.0124049252936835</v>
      </c>
      <c r="G15" s="33">
        <v>1.0060896037627103</v>
      </c>
      <c r="H15" s="33">
        <v>1</v>
      </c>
      <c r="I15" s="33">
        <v>0.99411129019982059</v>
      </c>
      <c r="J15" s="33">
        <v>0.98840634150330631</v>
      </c>
      <c r="K15" s="33">
        <v>0.98287258099361063</v>
      </c>
      <c r="L15" s="33">
        <v>0.97749908816247455</v>
      </c>
      <c r="M15" s="33">
        <v>0.97227520341206175</v>
      </c>
      <c r="N15" s="33">
        <v>0.96719019704343812</v>
      </c>
      <c r="O15" s="33">
        <v>0.96223332058352418</v>
      </c>
      <c r="P15" s="33">
        <v>0.95739429410943688</v>
      </c>
      <c r="Q15" s="33">
        <v>0.95266381601560812</v>
      </c>
      <c r="R15" s="33">
        <v>0.94803341235658123</v>
      </c>
      <c r="S15" s="33">
        <v>0.94349646956608724</v>
      </c>
      <c r="T15" s="33">
        <v>0.93904686073605259</v>
      </c>
      <c r="U15" s="33">
        <v>0.93467926086944364</v>
      </c>
      <c r="V15" s="33">
        <v>0.93038892373348503</v>
      </c>
      <c r="W15" s="33">
        <v>0.92617151203236703</v>
      </c>
      <c r="X15" s="33">
        <v>0.92202301237428297</v>
      </c>
      <c r="Y15" s="33">
        <v>0.91793966652946479</v>
      </c>
      <c r="Z15" s="33">
        <v>0.91391797315167933</v>
      </c>
      <c r="AA15" s="33">
        <v>0.90995468687290204</v>
      </c>
      <c r="AB15" s="33">
        <v>0.90604681551078636</v>
      </c>
      <c r="AC15" s="33">
        <v>0.90219160999227244</v>
      </c>
      <c r="AD15" s="33">
        <v>0.89838654537791129</v>
      </c>
      <c r="AE15" s="33">
        <v>0.89462929724720952</v>
      </c>
      <c r="AF15" s="33">
        <v>0.89091771727960101</v>
      </c>
      <c r="AG15" s="33">
        <v>0.88724981110221923</v>
      </c>
      <c r="AH15" s="33">
        <v>0.88362372042214254</v>
      </c>
      <c r="AI15" s="33">
        <v>0.88003770940433246</v>
      </c>
      <c r="AJ15" s="33">
        <v>0.8764901540949106</v>
      </c>
      <c r="AK15" s="33">
        <v>0.87297953512223991</v>
      </c>
      <c r="AL15" s="33">
        <v>0.86950442960649277</v>
      </c>
      <c r="AM15" s="34">
        <v>0.8660635052482728</v>
      </c>
      <c r="AN15" s="8"/>
    </row>
    <row r="16" spans="2:40" x14ac:dyDescent="0.35">
      <c r="B16" s="8"/>
      <c r="C16" s="36" t="str">
        <f>INDEX(_pcName,3)</f>
        <v>CADR 150+</v>
      </c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8"/>
      <c r="AN16" s="8"/>
    </row>
    <row r="17" spans="2:42" x14ac:dyDescent="0.35">
      <c r="B17" s="8"/>
      <c r="C17" s="20" t="str">
        <f>"CSL 0: " &amp; INDEX(_doName,3,1)</f>
        <v>CSL 0: Baseline</v>
      </c>
      <c r="D17" s="33">
        <f t="array" ref="D17:AM17">CHOOSE(iPIdx,tPIdxlrg01,tPIdxlrg02,tPIdxlrg03)</f>
        <v>1.0262064671785804</v>
      </c>
      <c r="E17" s="33">
        <v>1.0192262692783403</v>
      </c>
      <c r="F17" s="33">
        <v>1.012564026841364</v>
      </c>
      <c r="G17" s="33">
        <v>1.006167707045114</v>
      </c>
      <c r="H17" s="33">
        <v>1</v>
      </c>
      <c r="I17" s="33">
        <v>0.99403576351821077</v>
      </c>
      <c r="J17" s="33">
        <v>0.98825764500039071</v>
      </c>
      <c r="K17" s="33">
        <v>0.98265291027353996</v>
      </c>
      <c r="L17" s="33">
        <v>0.97721049876650357</v>
      </c>
      <c r="M17" s="33">
        <v>0.97191961416490125</v>
      </c>
      <c r="N17" s="33">
        <v>0.96676938915416089</v>
      </c>
      <c r="O17" s="33">
        <v>0.96174893740477441</v>
      </c>
      <c r="P17" s="33">
        <v>0.9568478471469023</v>
      </c>
      <c r="Q17" s="33">
        <v>0.95205669747560107</v>
      </c>
      <c r="R17" s="33">
        <v>0.94736690576133853</v>
      </c>
      <c r="S17" s="33">
        <v>0.94277177361439013</v>
      </c>
      <c r="T17" s="33">
        <v>0.93826509554494686</v>
      </c>
      <c r="U17" s="33">
        <v>0.93384147825929065</v>
      </c>
      <c r="V17" s="33">
        <v>0.92949611465100423</v>
      </c>
      <c r="W17" s="33">
        <v>0.92522461179552873</v>
      </c>
      <c r="X17" s="33">
        <v>0.92102290482659632</v>
      </c>
      <c r="Y17" s="33">
        <v>0.91688718731260288</v>
      </c>
      <c r="Z17" s="33">
        <v>0.91281391300018433</v>
      </c>
      <c r="AA17" s="33">
        <v>0.90879979489727869</v>
      </c>
      <c r="AB17" s="33">
        <v>0.9048418024447793</v>
      </c>
      <c r="AC17" s="33">
        <v>0.90093715131090701</v>
      </c>
      <c r="AD17" s="33">
        <v>0.89708328417215843</v>
      </c>
      <c r="AE17" s="33">
        <v>0.89327784679577715</v>
      </c>
      <c r="AF17" s="33">
        <v>0.88951866330753426</v>
      </c>
      <c r="AG17" s="33">
        <v>0.88580371375538391</v>
      </c>
      <c r="AH17" s="33">
        <v>0.88213111601254202</v>
      </c>
      <c r="AI17" s="33">
        <v>0.8784991119807134</v>
      </c>
      <c r="AJ17" s="33">
        <v>0.87490605687771372</v>
      </c>
      <c r="AK17" s="33">
        <v>0.87135041184493833</v>
      </c>
      <c r="AL17" s="33">
        <v>0.86783073575316438</v>
      </c>
      <c r="AM17" s="34">
        <v>0.86434567921535588</v>
      </c>
      <c r="AN17" s="8"/>
    </row>
    <row r="18" spans="2:42" x14ac:dyDescent="0.35">
      <c r="B18" s="8"/>
      <c r="C18" s="20" t="str">
        <f>"CSL 1: " &amp; INDEX(_doName,3,2)</f>
        <v>CSL 1: Tier 1</v>
      </c>
      <c r="D18" s="33">
        <f t="array" ref="D18:AM18">CHOOSE(iPIdx,tPIdxlrg11,tPIdxlrg12,tPIdxlrg13)</f>
        <v>1.0263931988743566</v>
      </c>
      <c r="E18" s="33">
        <v>1.0193632642361621</v>
      </c>
      <c r="F18" s="33">
        <v>1.0126535506227219</v>
      </c>
      <c r="G18" s="33">
        <v>1.0062116544565578</v>
      </c>
      <c r="H18" s="33">
        <v>1</v>
      </c>
      <c r="I18" s="33">
        <v>0.99399326591696358</v>
      </c>
      <c r="J18" s="33">
        <v>0.98817397596379219</v>
      </c>
      <c r="K18" s="33">
        <v>0.98252930523134452</v>
      </c>
      <c r="L18" s="33">
        <v>0.97704811433741501</v>
      </c>
      <c r="M18" s="33">
        <v>0.97171953003950939</v>
      </c>
      <c r="N18" s="33">
        <v>0.9665326075890367</v>
      </c>
      <c r="O18" s="33">
        <v>0.96147638308698058</v>
      </c>
      <c r="P18" s="33">
        <v>0.95654037057542318</v>
      </c>
      <c r="Q18" s="33">
        <v>0.95171508202165667</v>
      </c>
      <c r="R18" s="33">
        <v>0.94699187364143633</v>
      </c>
      <c r="S18" s="33">
        <v>0.942363999316297</v>
      </c>
      <c r="T18" s="33">
        <v>0.93782520933980085</v>
      </c>
      <c r="U18" s="33">
        <v>0.93337007198882693</v>
      </c>
      <c r="V18" s="33">
        <v>0.92899374590437722</v>
      </c>
      <c r="W18" s="33">
        <v>0.92469180686052588</v>
      </c>
      <c r="X18" s="33">
        <v>0.92046016102718575</v>
      </c>
      <c r="Y18" s="33">
        <v>0.91629497485038569</v>
      </c>
      <c r="Z18" s="33">
        <v>0.91219267680826965</v>
      </c>
      <c r="AA18" s="33">
        <v>0.90814995648762531</v>
      </c>
      <c r="AB18" s="33">
        <v>0.90416376173538493</v>
      </c>
      <c r="AC18" s="33">
        <v>0.90023128838027711</v>
      </c>
      <c r="AD18" s="33">
        <v>0.89634996087683272</v>
      </c>
      <c r="AE18" s="33">
        <v>0.89251740821743286</v>
      </c>
      <c r="AF18" s="33">
        <v>0.88873143902386365</v>
      </c>
      <c r="AG18" s="33">
        <v>0.88499001895110208</v>
      </c>
      <c r="AH18" s="33">
        <v>0.88129125246144857</v>
      </c>
      <c r="AI18" s="33">
        <v>0.8776333689294451</v>
      </c>
      <c r="AJ18" s="33">
        <v>0.87401471185316815</v>
      </c>
      <c r="AK18" s="33">
        <v>0.87043373140902169</v>
      </c>
      <c r="AL18" s="33">
        <v>0.86688897619915373</v>
      </c>
      <c r="AM18" s="34">
        <v>0.86337908722159873</v>
      </c>
      <c r="AN18" s="8"/>
    </row>
    <row r="19" spans="2:42" x14ac:dyDescent="0.35">
      <c r="B19" s="8"/>
      <c r="C19" s="20" t="str">
        <f>"CSL 2: " &amp; INDEX(_doName,3,3)</f>
        <v>CSL 2: Tier 2</v>
      </c>
      <c r="D19" s="33">
        <f t="array" ref="D19:AM19">CHOOSE(iPIdx,tPIdxlrg21,tPIdxlrg22,tPIdxlrg23)</f>
        <v>1.0265650792477503</v>
      </c>
      <c r="E19" s="33">
        <v>1.0194893635810303</v>
      </c>
      <c r="F19" s="33">
        <v>1.0127359543137693</v>
      </c>
      <c r="G19" s="33">
        <v>1.0062521066007812</v>
      </c>
      <c r="H19" s="33">
        <v>1</v>
      </c>
      <c r="I19" s="33">
        <v>0.99395414827525652</v>
      </c>
      <c r="J19" s="33">
        <v>0.98809696137238989</v>
      </c>
      <c r="K19" s="33">
        <v>0.98241553086263</v>
      </c>
      <c r="L19" s="33">
        <v>0.97689864482079614</v>
      </c>
      <c r="M19" s="33">
        <v>0.97153535919459966</v>
      </c>
      <c r="N19" s="33">
        <v>0.96631465795998661</v>
      </c>
      <c r="O19" s="33">
        <v>0.961225505817764</v>
      </c>
      <c r="P19" s="33">
        <v>0.95625734852233257</v>
      </c>
      <c r="Q19" s="33">
        <v>0.95140063625208882</v>
      </c>
      <c r="R19" s="33">
        <v>0.94664666893189031</v>
      </c>
      <c r="S19" s="33">
        <v>0.94198865651053876</v>
      </c>
      <c r="T19" s="33">
        <v>0.93742030858164616</v>
      </c>
      <c r="U19" s="33">
        <v>0.9329361580490928</v>
      </c>
      <c r="V19" s="33">
        <v>0.92853133202550842</v>
      </c>
      <c r="W19" s="33">
        <v>0.92420137747309006</v>
      </c>
      <c r="X19" s="33">
        <v>0.91994217390150956</v>
      </c>
      <c r="Y19" s="33">
        <v>0.91574986279155046</v>
      </c>
      <c r="Z19" s="33">
        <v>0.91162084936254206</v>
      </c>
      <c r="AA19" s="33">
        <v>0.90755180164287563</v>
      </c>
      <c r="AB19" s="33">
        <v>0.9035396476029528</v>
      </c>
      <c r="AC19" s="33">
        <v>0.89958156480990403</v>
      </c>
      <c r="AD19" s="33">
        <v>0.89567496094554067</v>
      </c>
      <c r="AE19" s="33">
        <v>0.89181744956153586</v>
      </c>
      <c r="AF19" s="33">
        <v>0.88800682500876793</v>
      </c>
      <c r="AG19" s="33">
        <v>0.88424103969395329</v>
      </c>
      <c r="AH19" s="33">
        <v>0.88051818573508611</v>
      </c>
      <c r="AI19" s="33">
        <v>0.87683648097586786</v>
      </c>
      <c r="AJ19" s="33">
        <v>0.87319425812674101</v>
      </c>
      <c r="AK19" s="33">
        <v>0.8695899572711967</v>
      </c>
      <c r="AL19" s="33">
        <v>0.86602211755944769</v>
      </c>
      <c r="AM19" s="34">
        <v>0.86248937113930291</v>
      </c>
      <c r="AN19" s="8"/>
    </row>
    <row r="20" spans="2:42" x14ac:dyDescent="0.35">
      <c r="B20" s="8"/>
      <c r="C20" s="20" t="str">
        <f>"CSL 3: " &amp; INDEX(_doName,3,4)</f>
        <v>CSL 3: EL 3</v>
      </c>
      <c r="D20" s="33">
        <f t="array" ref="D20:AM20">CHOOSE(iPIdx,tPIdxlrg31,tPIdxlrg32,tPIdxlrg33)</f>
        <v>1.025332352018018</v>
      </c>
      <c r="E20" s="33">
        <v>1.0185849782053111</v>
      </c>
      <c r="F20" s="33">
        <v>1.012144954470223</v>
      </c>
      <c r="G20" s="33">
        <v>1.0059619835419302</v>
      </c>
      <c r="H20" s="33">
        <v>1</v>
      </c>
      <c r="I20" s="33">
        <v>0.99423470027280603</v>
      </c>
      <c r="J20" s="33">
        <v>0.98864931055591643</v>
      </c>
      <c r="K20" s="33">
        <v>0.98323152142391779</v>
      </c>
      <c r="L20" s="33">
        <v>0.97797064123035082</v>
      </c>
      <c r="M20" s="33">
        <v>0.97285623377126185</v>
      </c>
      <c r="N20" s="33">
        <v>0.96787779421071285</v>
      </c>
      <c r="O20" s="33">
        <v>0.96302479933207152</v>
      </c>
      <c r="P20" s="33">
        <v>0.95828718464946483</v>
      </c>
      <c r="Q20" s="33">
        <v>0.95365584349167543</v>
      </c>
      <c r="R20" s="33">
        <v>0.94912247950227113</v>
      </c>
      <c r="S20" s="33">
        <v>0.94468061771591982</v>
      </c>
      <c r="T20" s="33">
        <v>0.94032425962655741</v>
      </c>
      <c r="U20" s="33">
        <v>0.93604819183345855</v>
      </c>
      <c r="V20" s="33">
        <v>0.93184776757095555</v>
      </c>
      <c r="W20" s="33">
        <v>0.92771874044022828</v>
      </c>
      <c r="X20" s="33">
        <v>0.92365718115838225</v>
      </c>
      <c r="Y20" s="33">
        <v>0.91965941025711428</v>
      </c>
      <c r="Z20" s="33">
        <v>0.91572199976813107</v>
      </c>
      <c r="AA20" s="33">
        <v>0.91184177233679631</v>
      </c>
      <c r="AB20" s="33">
        <v>0.90801579848812264</v>
      </c>
      <c r="AC20" s="33">
        <v>0.90424138676155252</v>
      </c>
      <c r="AD20" s="33">
        <v>0.9005160651329569</v>
      </c>
      <c r="AE20" s="33">
        <v>0.89683755789487307</v>
      </c>
      <c r="AF20" s="33">
        <v>0.89320376174922844</v>
      </c>
      <c r="AG20" s="33">
        <v>0.88961272411935777</v>
      </c>
      <c r="AH20" s="33">
        <v>0.88606262565670468</v>
      </c>
      <c r="AI20" s="33">
        <v>0.8825517669042382</v>
      </c>
      <c r="AJ20" s="33">
        <v>0.87907855794138656</v>
      </c>
      <c r="AK20" s="33">
        <v>0.87564151123808265</v>
      </c>
      <c r="AL20" s="33">
        <v>0.87223923373388346</v>
      </c>
      <c r="AM20" s="34">
        <v>0.86887042105047763</v>
      </c>
      <c r="AN20" s="8"/>
    </row>
    <row r="21" spans="2:42" x14ac:dyDescent="0.35">
      <c r="B21" s="8"/>
      <c r="C21" s="39" t="str">
        <f>"CSL 4: " &amp; INDEX(_doName,3,5)</f>
        <v>CSL 4: EL 4</v>
      </c>
      <c r="D21" s="21">
        <f t="array" ref="D21:AM21">CHOOSE(iPIdx,tPIdxlrg41,tPIdxlrg42,tPIdxlrg43)</f>
        <v>1.0251431935758024</v>
      </c>
      <c r="E21" s="21">
        <v>1.018446202874721</v>
      </c>
      <c r="F21" s="21">
        <v>1.0120542672467576</v>
      </c>
      <c r="G21" s="21">
        <v>1.0059174649943237</v>
      </c>
      <c r="H21" s="21">
        <v>1</v>
      </c>
      <c r="I21" s="21">
        <v>0.99427775016862796</v>
      </c>
      <c r="J21" s="21">
        <v>0.9887340669469451</v>
      </c>
      <c r="K21" s="21">
        <v>0.98335673282487734</v>
      </c>
      <c r="L21" s="21">
        <v>0.97813513599123647</v>
      </c>
      <c r="M21" s="21">
        <v>0.97305891816993284</v>
      </c>
      <c r="N21" s="21">
        <v>0.96811765296537211</v>
      </c>
      <c r="O21" s="21">
        <v>0.96330089573851574</v>
      </c>
      <c r="P21" s="21">
        <v>0.95859865715570991</v>
      </c>
      <c r="Q21" s="21">
        <v>0.95400189854588746</v>
      </c>
      <c r="R21" s="21">
        <v>0.94950238550208899</v>
      </c>
      <c r="S21" s="21">
        <v>0.94509369140800115</v>
      </c>
      <c r="T21" s="21">
        <v>0.94076986254882367</v>
      </c>
      <c r="U21" s="21">
        <v>0.93652572445265836</v>
      </c>
      <c r="V21" s="21">
        <v>0.93235666505156167</v>
      </c>
      <c r="W21" s="21">
        <v>0.92825846965486991</v>
      </c>
      <c r="X21" s="21">
        <v>0.9242272383199186</v>
      </c>
      <c r="Y21" s="21">
        <v>0.92025931905325131</v>
      </c>
      <c r="Z21" s="21">
        <v>0.91635130948345356</v>
      </c>
      <c r="AA21" s="21">
        <v>0.91250005598141803</v>
      </c>
      <c r="AB21" s="21">
        <v>0.90870265094675173</v>
      </c>
      <c r="AC21" s="21">
        <v>0.90495642301622126</v>
      </c>
      <c r="AD21" s="21">
        <v>0.90125891862447416</v>
      </c>
      <c r="AE21" s="21">
        <v>0.89760787905691453</v>
      </c>
      <c r="AF21" s="21">
        <v>0.89400121672094346</v>
      </c>
      <c r="AG21" s="21">
        <v>0.89043699361992201</v>
      </c>
      <c r="AH21" s="21">
        <v>0.88691340399049645</v>
      </c>
      <c r="AI21" s="21">
        <v>0.88342876106560031</v>
      </c>
      <c r="AJ21" s="21">
        <v>0.87998148679670984</v>
      </c>
      <c r="AK21" s="21">
        <v>0.87657010476124864</v>
      </c>
      <c r="AL21" s="21">
        <v>0.87319323230085355</v>
      </c>
      <c r="AM21" s="22">
        <v>0.86984957477709723</v>
      </c>
      <c r="AN21" s="8"/>
    </row>
    <row r="22" spans="2:42" x14ac:dyDescent="0.3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2:42" x14ac:dyDescent="0.35">
      <c r="B23" s="8"/>
      <c r="C23" s="23" t="str">
        <f>"Price Index: " &amp; INDEX(_PIdx,1)</f>
        <v>Price Index: Ref</v>
      </c>
      <c r="D23" s="26">
        <f t="array" ref="D23:AM23">_yS</f>
        <v>2024</v>
      </c>
      <c r="E23" s="26">
        <v>2025</v>
      </c>
      <c r="F23" s="26">
        <v>2026</v>
      </c>
      <c r="G23" s="26">
        <v>2027</v>
      </c>
      <c r="H23" s="26">
        <v>2028</v>
      </c>
      <c r="I23" s="26">
        <v>2029</v>
      </c>
      <c r="J23" s="26">
        <v>2030</v>
      </c>
      <c r="K23" s="26">
        <v>2031</v>
      </c>
      <c r="L23" s="26">
        <v>2032</v>
      </c>
      <c r="M23" s="26">
        <v>2033</v>
      </c>
      <c r="N23" s="26">
        <v>2034</v>
      </c>
      <c r="O23" s="26">
        <v>2035</v>
      </c>
      <c r="P23" s="26">
        <v>2036</v>
      </c>
      <c r="Q23" s="26">
        <v>2037</v>
      </c>
      <c r="R23" s="26">
        <v>2038</v>
      </c>
      <c r="S23" s="26">
        <v>2039</v>
      </c>
      <c r="T23" s="26">
        <v>2040</v>
      </c>
      <c r="U23" s="26">
        <v>2041</v>
      </c>
      <c r="V23" s="26">
        <v>2042</v>
      </c>
      <c r="W23" s="26">
        <v>2043</v>
      </c>
      <c r="X23" s="26">
        <v>2044</v>
      </c>
      <c r="Y23" s="26">
        <v>2045</v>
      </c>
      <c r="Z23" s="26">
        <v>2046</v>
      </c>
      <c r="AA23" s="26">
        <v>2047</v>
      </c>
      <c r="AB23" s="26">
        <v>2048</v>
      </c>
      <c r="AC23" s="26">
        <v>2049</v>
      </c>
      <c r="AD23" s="26">
        <v>2050</v>
      </c>
      <c r="AE23" s="26">
        <v>2051</v>
      </c>
      <c r="AF23" s="26">
        <v>2052</v>
      </c>
      <c r="AG23" s="26">
        <v>2053</v>
      </c>
      <c r="AH23" s="26">
        <v>2054</v>
      </c>
      <c r="AI23" s="26">
        <v>2055</v>
      </c>
      <c r="AJ23" s="26">
        <v>2056</v>
      </c>
      <c r="AK23" s="26">
        <v>2057</v>
      </c>
      <c r="AL23" s="26">
        <v>2058</v>
      </c>
      <c r="AM23" s="27">
        <v>2059</v>
      </c>
      <c r="AN23" s="8"/>
      <c r="AP23" s="88"/>
    </row>
    <row r="24" spans="2:42" x14ac:dyDescent="0.35">
      <c r="B24" s="8"/>
      <c r="C24" s="10" t="str">
        <f>INDEX(_pcName,1)</f>
        <v>CADR 10-99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18"/>
      <c r="AN24" s="8"/>
    </row>
    <row r="25" spans="2:42" x14ac:dyDescent="0.35">
      <c r="B25" s="8"/>
      <c r="C25" s="20" t="str">
        <f>"CSL 0: " &amp; INDEX(_doName,1,1)</f>
        <v>CSL 0: Baseline</v>
      </c>
      <c r="D25" s="33">
        <v>1.0275440049511193</v>
      </c>
      <c r="E25" s="33">
        <v>1.0202075484873823</v>
      </c>
      <c r="F25" s="33">
        <v>1.013205275444657</v>
      </c>
      <c r="G25" s="33">
        <v>1.006482497325184</v>
      </c>
      <c r="H25" s="33">
        <v>1</v>
      </c>
      <c r="I25" s="33">
        <v>0.99373135806270296</v>
      </c>
      <c r="J25" s="33">
        <v>0.98765833326395891</v>
      </c>
      <c r="K25" s="33">
        <v>0.9817675414981667</v>
      </c>
      <c r="L25" s="33">
        <v>0.97604735767963346</v>
      </c>
      <c r="M25" s="33">
        <v>0.97048643446670046</v>
      </c>
      <c r="N25" s="33">
        <v>0.96507334989377658</v>
      </c>
      <c r="O25" s="33">
        <v>0.95979666200984159</v>
      </c>
      <c r="P25" s="33">
        <v>0.95464542764433924</v>
      </c>
      <c r="Q25" s="33">
        <v>0.94960974506382967</v>
      </c>
      <c r="R25" s="33">
        <v>0.94468059359457146</v>
      </c>
      <c r="S25" s="33">
        <v>0.93985093297133249</v>
      </c>
      <c r="T25" s="33">
        <v>0.93511424098564955</v>
      </c>
      <c r="U25" s="33">
        <v>0.93046484907838944</v>
      </c>
      <c r="V25" s="33">
        <v>0.92589770479581779</v>
      </c>
      <c r="W25" s="33">
        <v>0.92140819100526394</v>
      </c>
      <c r="X25" s="33">
        <v>0.91699203537593821</v>
      </c>
      <c r="Y25" s="33">
        <v>0.912645237201823</v>
      </c>
      <c r="Z25" s="33">
        <v>0.90836406923423729</v>
      </c>
      <c r="AA25" s="33">
        <v>0.90414507671810074</v>
      </c>
      <c r="AB25" s="33">
        <v>0.89998507441923148</v>
      </c>
      <c r="AC25" s="33">
        <v>0.89588113589783946</v>
      </c>
      <c r="AD25" s="33">
        <v>0.89183057330856352</v>
      </c>
      <c r="AE25" s="33">
        <v>0.88783091226222866</v>
      </c>
      <c r="AF25" s="33">
        <v>0.88387986583133249</v>
      </c>
      <c r="AG25" s="33">
        <v>0.87997531096858395</v>
      </c>
      <c r="AH25" s="33">
        <v>0.876115269486343</v>
      </c>
      <c r="AI25" s="33">
        <v>0.87229789355568188</v>
      </c>
      <c r="AJ25" s="33">
        <v>0.86852145444726381</v>
      </c>
      <c r="AK25" s="33">
        <v>0.86478433476150796</v>
      </c>
      <c r="AL25" s="33">
        <v>0.8610850198161728</v>
      </c>
      <c r="AM25" s="34">
        <v>0.85742209135358383</v>
      </c>
      <c r="AN25" s="8"/>
      <c r="AP25" s="91"/>
    </row>
    <row r="26" spans="2:42" x14ac:dyDescent="0.35">
      <c r="B26" s="8"/>
      <c r="C26" s="20" t="str">
        <f>"CSL 1: " &amp; INDEX(_doName,1,2)</f>
        <v>CSL 1: Tier 1</v>
      </c>
      <c r="D26" s="33">
        <v>1.028169624432264</v>
      </c>
      <c r="E26" s="33">
        <v>1.0206665317043224</v>
      </c>
      <c r="F26" s="33">
        <v>1.0135052128570532</v>
      </c>
      <c r="G26" s="33">
        <v>1.0066297372280339</v>
      </c>
      <c r="H26" s="33">
        <v>1</v>
      </c>
      <c r="I26" s="33">
        <v>0.99358897555430403</v>
      </c>
      <c r="J26" s="33">
        <v>0.9873780113879802</v>
      </c>
      <c r="K26" s="33">
        <v>0.98135341939616472</v>
      </c>
      <c r="L26" s="33">
        <v>0.97550331044731897</v>
      </c>
      <c r="M26" s="33">
        <v>0.96981607946246473</v>
      </c>
      <c r="N26" s="33">
        <v>0.96428004504372455</v>
      </c>
      <c r="O26" s="33">
        <v>0.95888350535385314</v>
      </c>
      <c r="P26" s="33">
        <v>0.95361526866509694</v>
      </c>
      <c r="Q26" s="33">
        <v>0.94846520834145154</v>
      </c>
      <c r="R26" s="33">
        <v>0.94342409881852063</v>
      </c>
      <c r="S26" s="33">
        <v>0.93848473992233339</v>
      </c>
      <c r="T26" s="33">
        <v>0.93364046130254674</v>
      </c>
      <c r="U26" s="33">
        <v>0.92888546564747221</v>
      </c>
      <c r="V26" s="33">
        <v>0.92421458574470128</v>
      </c>
      <c r="W26" s="33">
        <v>0.91962309959053412</v>
      </c>
      <c r="X26" s="33">
        <v>0.91510663781479373</v>
      </c>
      <c r="Y26" s="33">
        <v>0.91066110884161144</v>
      </c>
      <c r="Z26" s="33">
        <v>0.90628270076361606</v>
      </c>
      <c r="AA26" s="33">
        <v>0.90196788035630737</v>
      </c>
      <c r="AB26" s="33">
        <v>0.89771339003783457</v>
      </c>
      <c r="AC26" s="33">
        <v>0.89351623689885307</v>
      </c>
      <c r="AD26" s="33">
        <v>0.88937367204375029</v>
      </c>
      <c r="AE26" s="33">
        <v>0.88528316488142744</v>
      </c>
      <c r="AF26" s="33">
        <v>0.88124237654036019</v>
      </c>
      <c r="AG26" s="33">
        <v>0.87724913575152097</v>
      </c>
      <c r="AH26" s="33">
        <v>0.87330141939579664</v>
      </c>
      <c r="AI26" s="33">
        <v>0.86939733767368244</v>
      </c>
      <c r="AJ26" s="33">
        <v>0.86553512259042786</v>
      </c>
      <c r="AK26" s="33">
        <v>0.86171312000972167</v>
      </c>
      <c r="AL26" s="33">
        <v>0.8579297808456573</v>
      </c>
      <c r="AM26" s="34">
        <v>0.85418365462703016</v>
      </c>
      <c r="AN26" s="8"/>
      <c r="AP26" s="91"/>
    </row>
    <row r="27" spans="2:42" x14ac:dyDescent="0.35">
      <c r="B27" s="8"/>
      <c r="C27" s="20" t="str">
        <f>"CSL 2: " &amp; INDEX(_doName,1,3)</f>
        <v>CSL 2: Tier 2</v>
      </c>
      <c r="D27" s="33">
        <v>1.0283184602276274</v>
      </c>
      <c r="E27" s="33">
        <v>1.0207757244871729</v>
      </c>
      <c r="F27" s="33">
        <v>1.013576568408916</v>
      </c>
      <c r="G27" s="33">
        <v>1.0066647658176326</v>
      </c>
      <c r="H27" s="33">
        <v>1</v>
      </c>
      <c r="I27" s="33">
        <v>0.99355510254599455</v>
      </c>
      <c r="J27" s="33">
        <v>0.98731132240110164</v>
      </c>
      <c r="K27" s="33">
        <v>0.98125489913858543</v>
      </c>
      <c r="L27" s="33">
        <v>0.97537388081001197</v>
      </c>
      <c r="M27" s="33">
        <v>0.96965660102031548</v>
      </c>
      <c r="N27" s="33">
        <v>0.96409131665229553</v>
      </c>
      <c r="O27" s="33">
        <v>0.95866626404139166</v>
      </c>
      <c r="P27" s="33">
        <v>0.95337019232772691</v>
      </c>
      <c r="Q27" s="33">
        <v>0.94819292137064626</v>
      </c>
      <c r="R27" s="33">
        <v>0.9431251768619644</v>
      </c>
      <c r="S27" s="33">
        <v>0.93815972058518671</v>
      </c>
      <c r="T27" s="33">
        <v>0.93328984694679873</v>
      </c>
      <c r="U27" s="33">
        <v>0.92850972800468945</v>
      </c>
      <c r="V27" s="33">
        <v>0.923814169245193</v>
      </c>
      <c r="W27" s="33">
        <v>0.91919842371563742</v>
      </c>
      <c r="X27" s="33">
        <v>0.91465809896003236</v>
      </c>
      <c r="Y27" s="33">
        <v>0.91018908178443814</v>
      </c>
      <c r="Z27" s="33">
        <v>0.90578754014105634</v>
      </c>
      <c r="AA27" s="33">
        <v>0.90144992213739639</v>
      </c>
      <c r="AB27" s="33">
        <v>0.89717295297999067</v>
      </c>
      <c r="AC27" s="33">
        <v>0.89295362394628941</v>
      </c>
      <c r="AD27" s="33">
        <v>0.88878917161673587</v>
      </c>
      <c r="AE27" s="33">
        <v>0.88467705202971036</v>
      </c>
      <c r="AF27" s="33">
        <v>0.88061491395612945</v>
      </c>
      <c r="AG27" s="33">
        <v>0.87660057465494368</v>
      </c>
      <c r="AH27" s="33">
        <v>0.87263200031777599</v>
      </c>
      <c r="AI27" s="33">
        <v>0.8687072911602598</v>
      </c>
      <c r="AJ27" s="33">
        <v>0.86482466984634487</v>
      </c>
      <c r="AK27" s="33">
        <v>0.86098247349999757</v>
      </c>
      <c r="AL27" s="33">
        <v>0.85717914485062907</v>
      </c>
      <c r="AM27" s="34">
        <v>0.85341322576338841</v>
      </c>
      <c r="AN27" s="8"/>
      <c r="AP27" s="91"/>
    </row>
    <row r="28" spans="2:42" x14ac:dyDescent="0.35">
      <c r="B28" s="8"/>
      <c r="C28" s="20" t="str">
        <f>"CSL 3: " &amp; INDEX(_doName,1,4)</f>
        <v>CSL 3: EL 3</v>
      </c>
      <c r="D28" s="33">
        <v>1.0252689175477474</v>
      </c>
      <c r="E28" s="33">
        <v>1.0185384397612451</v>
      </c>
      <c r="F28" s="33">
        <v>1.0121145424203379</v>
      </c>
      <c r="G28" s="33">
        <v>1.0059470542030566</v>
      </c>
      <c r="H28" s="33">
        <v>1</v>
      </c>
      <c r="I28" s="33">
        <v>0.99424913709785434</v>
      </c>
      <c r="J28" s="33">
        <v>0.98867773369529088</v>
      </c>
      <c r="K28" s="33">
        <v>0.9832735111907962</v>
      </c>
      <c r="L28" s="33">
        <v>0.97802580471074774</v>
      </c>
      <c r="M28" s="33">
        <v>0.97292420418437808</v>
      </c>
      <c r="N28" s="33">
        <v>0.96795823108079582</v>
      </c>
      <c r="O28" s="33">
        <v>0.96311738853444218</v>
      </c>
      <c r="P28" s="33">
        <v>0.95839163726181509</v>
      </c>
      <c r="Q28" s="33">
        <v>0.95377189339561474</v>
      </c>
      <c r="R28" s="33">
        <v>0.94924988135422561</v>
      </c>
      <c r="S28" s="33">
        <v>0.94481914238620679</v>
      </c>
      <c r="T28" s="33">
        <v>0.94047369300628891</v>
      </c>
      <c r="U28" s="33">
        <v>0.93620833286856697</v>
      </c>
      <c r="V28" s="33">
        <v>0.93201842684328939</v>
      </c>
      <c r="W28" s="33">
        <v>0.92789973916499768</v>
      </c>
      <c r="X28" s="33">
        <v>0.92384835039007229</v>
      </c>
      <c r="Y28" s="33">
        <v>0.9198605902639273</v>
      </c>
      <c r="Z28" s="33">
        <v>0.9159330394022076</v>
      </c>
      <c r="AA28" s="33">
        <v>0.91206252840665658</v>
      </c>
      <c r="AB28" s="33">
        <v>0.90824613513795383</v>
      </c>
      <c r="AC28" s="33">
        <v>0.9044811748751993</v>
      </c>
      <c r="AD28" s="33">
        <v>0.90076518178443254</v>
      </c>
      <c r="AE28" s="33">
        <v>0.89709588585676592</v>
      </c>
      <c r="AF28" s="33">
        <v>0.89347118906097267</v>
      </c>
      <c r="AG28" s="33">
        <v>0.88988914370981387</v>
      </c>
      <c r="AH28" s="33">
        <v>0.88634793501054421</v>
      </c>
      <c r="AI28" s="33">
        <v>0.88284586776172491</v>
      </c>
      <c r="AJ28" s="33">
        <v>0.87938135602408718</v>
      </c>
      <c r="AK28" s="33">
        <v>0.87595291599247183</v>
      </c>
      <c r="AL28" s="33">
        <v>0.87255915809478368</v>
      </c>
      <c r="AM28" s="34">
        <v>0.86919878121899108</v>
      </c>
      <c r="AN28" s="8"/>
      <c r="AP28" s="91"/>
    </row>
    <row r="29" spans="2:42" x14ac:dyDescent="0.35">
      <c r="B29" s="8"/>
      <c r="C29" s="20" t="str">
        <f>"CSL 4: " &amp; INDEX(_doName,1,5)</f>
        <v>CSL 4: EL 4</v>
      </c>
      <c r="D29" s="33">
        <v>1.0255294344730528</v>
      </c>
      <c r="E29" s="33">
        <v>1.0187295669560466</v>
      </c>
      <c r="F29" s="33">
        <v>1.0122394406609083</v>
      </c>
      <c r="G29" s="33">
        <v>1.0060083670104882</v>
      </c>
      <c r="H29" s="33">
        <v>1</v>
      </c>
      <c r="I29" s="33">
        <v>0.9941898469791427</v>
      </c>
      <c r="J29" s="33">
        <v>0.98856100364543342</v>
      </c>
      <c r="K29" s="33">
        <v>0.98310106480770532</v>
      </c>
      <c r="L29" s="33">
        <v>0.97779925563985848</v>
      </c>
      <c r="M29" s="33">
        <v>0.97264505874560903</v>
      </c>
      <c r="N29" s="33">
        <v>0.9676278875627401</v>
      </c>
      <c r="O29" s="33">
        <v>0.96273713700534169</v>
      </c>
      <c r="P29" s="33">
        <v>0.95796266428712917</v>
      </c>
      <c r="Q29" s="33">
        <v>0.95329529188814943</v>
      </c>
      <c r="R29" s="33">
        <v>0.94872665890737939</v>
      </c>
      <c r="S29" s="33">
        <v>0.94425024000508562</v>
      </c>
      <c r="T29" s="33">
        <v>0.93985999000759524</v>
      </c>
      <c r="U29" s="33">
        <v>0.93555065495459244</v>
      </c>
      <c r="V29" s="33">
        <v>0.93131755192916788</v>
      </c>
      <c r="W29" s="33">
        <v>0.92715640149606227</v>
      </c>
      <c r="X29" s="33">
        <v>0.92306324380306337</v>
      </c>
      <c r="Y29" s="33">
        <v>0.91903437075607564</v>
      </c>
      <c r="Z29" s="33">
        <v>0.9150663277176514</v>
      </c>
      <c r="AA29" s="33">
        <v>0.91115591261374207</v>
      </c>
      <c r="AB29" s="33">
        <v>0.90730017317842016</v>
      </c>
      <c r="AC29" s="33">
        <v>0.90349639701190965</v>
      </c>
      <c r="AD29" s="33">
        <v>0.89974209285804996</v>
      </c>
      <c r="AE29" s="33">
        <v>0.89603496730466603</v>
      </c>
      <c r="AF29" s="33">
        <v>0.8923729006902954</v>
      </c>
      <c r="AG29" s="33">
        <v>0.88875392524747665</v>
      </c>
      <c r="AH29" s="33">
        <v>0.88517620747335424</v>
      </c>
      <c r="AI29" s="33">
        <v>0.88163803468933932</v>
      </c>
      <c r="AJ29" s="33">
        <v>0.87813780460548152</v>
      </c>
      <c r="AK29" s="33">
        <v>0.87467401811892043</v>
      </c>
      <c r="AL29" s="33">
        <v>0.87124527133138108</v>
      </c>
      <c r="AM29" s="34">
        <v>0.86785024971665581</v>
      </c>
      <c r="AN29" s="8"/>
      <c r="AP29" s="91"/>
    </row>
    <row r="30" spans="2:42" x14ac:dyDescent="0.35">
      <c r="B30" s="8"/>
      <c r="C30" s="36" t="str">
        <f>INDEX(_pcName,2)</f>
        <v>CADR 100-149</v>
      </c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8"/>
      <c r="AN30" s="8"/>
      <c r="AP30" s="91"/>
    </row>
    <row r="31" spans="2:42" x14ac:dyDescent="0.35">
      <c r="B31" s="8"/>
      <c r="C31" s="20" t="str">
        <f>"CSL 0: " &amp; INDEX(_doName,2,1)</f>
        <v>CSL 0: Baseline</v>
      </c>
      <c r="D31" s="33">
        <v>1.0259923365545607</v>
      </c>
      <c r="E31" s="33">
        <v>1.0190691732069741</v>
      </c>
      <c r="F31" s="33">
        <v>1.0124613673379135</v>
      </c>
      <c r="G31" s="33">
        <v>1.0061173112802311</v>
      </c>
      <c r="H31" s="33">
        <v>1</v>
      </c>
      <c r="I31" s="33">
        <v>0.99408449674390442</v>
      </c>
      <c r="J31" s="33">
        <v>0.98835359069907613</v>
      </c>
      <c r="K31" s="33">
        <v>0.98279465174226754</v>
      </c>
      <c r="L31" s="33">
        <v>0.97739670967722936</v>
      </c>
      <c r="M31" s="33">
        <v>0.97214905640526927</v>
      </c>
      <c r="N31" s="33">
        <v>0.96704091340763965</v>
      </c>
      <c r="O31" s="33">
        <v>0.96206148330602548</v>
      </c>
      <c r="P31" s="33">
        <v>0.95720043940419752</v>
      </c>
      <c r="Q31" s="33">
        <v>0.95244843777455701</v>
      </c>
      <c r="R31" s="33">
        <v>0.94779696591544527</v>
      </c>
      <c r="S31" s="33">
        <v>0.94323938016906184</v>
      </c>
      <c r="T31" s="33">
        <v>0.9387695257500821</v>
      </c>
      <c r="U31" s="33">
        <v>0.93438205343289293</v>
      </c>
      <c r="V31" s="33">
        <v>0.93007219538949981</v>
      </c>
      <c r="W31" s="33">
        <v>0.92583559458952513</v>
      </c>
      <c r="X31" s="33">
        <v>0.92166821938034782</v>
      </c>
      <c r="Y31" s="33">
        <v>0.91756629443236515</v>
      </c>
      <c r="Z31" s="33">
        <v>0.91352630246832189</v>
      </c>
      <c r="AA31" s="33">
        <v>0.90954498335386458</v>
      </c>
      <c r="AB31" s="33">
        <v>0.90561933129230554</v>
      </c>
      <c r="AC31" s="33">
        <v>0.90174658470238322</v>
      </c>
      <c r="AD31" s="33">
        <v>0.89792420715624888</v>
      </c>
      <c r="AE31" s="33">
        <v>0.89414986365736426</v>
      </c>
      <c r="AF31" s="33">
        <v>0.89042139611036819</v>
      </c>
      <c r="AG31" s="33">
        <v>0.8867368010680563</v>
      </c>
      <c r="AH31" s="33">
        <v>0.88309421178232883</v>
      </c>
      <c r="AI31" s="33">
        <v>0.87949188452014937</v>
      </c>
      <c r="AJ31" s="33">
        <v>0.87592818793869709</v>
      </c>
      <c r="AK31" s="33">
        <v>0.87240159575323883</v>
      </c>
      <c r="AL31" s="33">
        <v>0.86891067860988558</v>
      </c>
      <c r="AM31" s="34">
        <v>0.86545409814731844</v>
      </c>
      <c r="AN31" s="8"/>
      <c r="AP31" s="91"/>
    </row>
    <row r="32" spans="2:42" x14ac:dyDescent="0.35">
      <c r="B32" s="8"/>
      <c r="C32" s="20" t="str">
        <f>"CSL 1: " &amp; INDEX(_doName,2,2)</f>
        <v>CSL 1: Tier 1</v>
      </c>
      <c r="D32" s="33">
        <v>1.0265698537409766</v>
      </c>
      <c r="E32" s="33">
        <v>1.0194928663687892</v>
      </c>
      <c r="F32" s="33">
        <v>1.0127382433236018</v>
      </c>
      <c r="G32" s="33">
        <v>1.0062532302804938</v>
      </c>
      <c r="H32" s="33">
        <v>1</v>
      </c>
      <c r="I32" s="33">
        <v>0.99395306166535646</v>
      </c>
      <c r="J32" s="33">
        <v>0.98809482206097399</v>
      </c>
      <c r="K32" s="33">
        <v>0.98241237043807417</v>
      </c>
      <c r="L32" s="33">
        <v>0.97689449285637731</v>
      </c>
      <c r="M32" s="33">
        <v>0.97153024329664039</v>
      </c>
      <c r="N32" s="33">
        <v>0.96630860375491945</v>
      </c>
      <c r="O32" s="33">
        <v>0.96121853694866721</v>
      </c>
      <c r="P32" s="33">
        <v>0.95624948673538934</v>
      </c>
      <c r="Q32" s="33">
        <v>0.95139190157711018</v>
      </c>
      <c r="R32" s="33">
        <v>0.94663707983503853</v>
      </c>
      <c r="S32" s="33">
        <v>0.94197823023761296</v>
      </c>
      <c r="T32" s="33">
        <v>0.93740906124788193</v>
      </c>
      <c r="U32" s="33">
        <v>0.9329241047871345</v>
      </c>
      <c r="V32" s="33">
        <v>0.9285184870922053</v>
      </c>
      <c r="W32" s="33">
        <v>0.92418775432495504</v>
      </c>
      <c r="X32" s="33">
        <v>0.91992778525448748</v>
      </c>
      <c r="Y32" s="33">
        <v>0.91573472066810124</v>
      </c>
      <c r="Z32" s="33">
        <v>0.91160496513904254</v>
      </c>
      <c r="AA32" s="33">
        <v>0.90753518609685324</v>
      </c>
      <c r="AB32" s="33">
        <v>0.90352231095980484</v>
      </c>
      <c r="AC32" s="33">
        <v>0.89956351678775714</v>
      </c>
      <c r="AD32" s="33">
        <v>0.89565621079660862</v>
      </c>
      <c r="AE32" s="33">
        <v>0.89179800610912063</v>
      </c>
      <c r="AF32" s="33">
        <v>0.88798669667975427</v>
      </c>
      <c r="AG32" s="33">
        <v>0.88422023454721554</v>
      </c>
      <c r="AH32" s="33">
        <v>0.88049671148659847</v>
      </c>
      <c r="AI32" s="33">
        <v>0.87681434502130096</v>
      </c>
      <c r="AJ32" s="33">
        <v>0.87317146756210651</v>
      </c>
      <c r="AK32" s="33">
        <v>0.86956651891214543</v>
      </c>
      <c r="AL32" s="33">
        <v>0.86599803795907437</v>
      </c>
      <c r="AM32" s="34">
        <v>0.86246465660486082</v>
      </c>
      <c r="AN32" s="8"/>
      <c r="AP32" s="91"/>
    </row>
    <row r="33" spans="2:42" x14ac:dyDescent="0.35">
      <c r="B33" s="8"/>
      <c r="C33" s="20" t="str">
        <f>"CSL 2: " &amp; INDEX(_doName,2,3)</f>
        <v>CSL 2: Tier 2</v>
      </c>
      <c r="D33" s="33">
        <v>1.0271245020204627</v>
      </c>
      <c r="E33" s="33">
        <v>1.0198997818489834</v>
      </c>
      <c r="F33" s="33">
        <v>1.0130041553911648</v>
      </c>
      <c r="G33" s="33">
        <v>1.0063837670704259</v>
      </c>
      <c r="H33" s="33">
        <v>1</v>
      </c>
      <c r="I33" s="33">
        <v>0.99382683123984616</v>
      </c>
      <c r="J33" s="33">
        <v>0.98784630031428955</v>
      </c>
      <c r="K33" s="33">
        <v>0.98204522696141594</v>
      </c>
      <c r="L33" s="33">
        <v>0.97641216314885237</v>
      </c>
      <c r="M33" s="33">
        <v>0.97093593435814007</v>
      </c>
      <c r="N33" s="33">
        <v>0.96560529258343175</v>
      </c>
      <c r="O33" s="33">
        <v>0.96040897013783433</v>
      </c>
      <c r="P33" s="33">
        <v>0.9553361905183525</v>
      </c>
      <c r="Q33" s="33">
        <v>0.95037720279772719</v>
      </c>
      <c r="R33" s="33">
        <v>0.94552312368961156</v>
      </c>
      <c r="S33" s="33">
        <v>0.94076702015399005</v>
      </c>
      <c r="T33" s="33">
        <v>0.93610246931746599</v>
      </c>
      <c r="U33" s="33">
        <v>0.93152388895465366</v>
      </c>
      <c r="V33" s="33">
        <v>0.92702630356210791</v>
      </c>
      <c r="W33" s="33">
        <v>0.92260516632738543</v>
      </c>
      <c r="X33" s="33">
        <v>0.91825626998849419</v>
      </c>
      <c r="Y33" s="33">
        <v>0.91397567477129282</v>
      </c>
      <c r="Z33" s="33">
        <v>0.90975971019414448</v>
      </c>
      <c r="AA33" s="33">
        <v>0.90560497411885865</v>
      </c>
      <c r="AB33" s="33">
        <v>0.9015083298232649</v>
      </c>
      <c r="AC33" s="33">
        <v>0.8974668954380729</v>
      </c>
      <c r="AD33" s="33">
        <v>0.89347802405456112</v>
      </c>
      <c r="AE33" s="33">
        <v>0.8895392789691966</v>
      </c>
      <c r="AF33" s="33">
        <v>0.88564840808502521</v>
      </c>
      <c r="AG33" s="33">
        <v>0.88180332068936196</v>
      </c>
      <c r="AH33" s="33">
        <v>0.87800206872292064</v>
      </c>
      <c r="AI33" s="33">
        <v>0.87424283249972656</v>
      </c>
      <c r="AJ33" s="33">
        <v>0.87052390961947645</v>
      </c>
      <c r="AK33" s="33">
        <v>0.8668437073160391</v>
      </c>
      <c r="AL33" s="33">
        <v>0.86320073397620922</v>
      </c>
      <c r="AM33" s="34">
        <v>0.8595935929427746</v>
      </c>
      <c r="AN33" s="8"/>
      <c r="AP33" s="91"/>
    </row>
    <row r="34" spans="2:42" x14ac:dyDescent="0.35">
      <c r="B34" s="8"/>
      <c r="C34" s="20" t="str">
        <f>"CSL 3: " &amp; INDEX(_doName,2,4)</f>
        <v>CSL 3: EL 3</v>
      </c>
      <c r="D34" s="33">
        <v>1.0242418973392788</v>
      </c>
      <c r="E34" s="33">
        <v>1.0177849705145987</v>
      </c>
      <c r="F34" s="33">
        <v>1.0116221635972829</v>
      </c>
      <c r="G34" s="33">
        <v>1.0057053444093602</v>
      </c>
      <c r="H34" s="33">
        <v>1</v>
      </c>
      <c r="I34" s="33">
        <v>0.99448287296744486</v>
      </c>
      <c r="J34" s="33">
        <v>0.98913791155129238</v>
      </c>
      <c r="K34" s="33">
        <v>0.9839533361968068</v>
      </c>
      <c r="L34" s="33">
        <v>0.97891891548940524</v>
      </c>
      <c r="M34" s="33">
        <v>0.97402466246125008</v>
      </c>
      <c r="N34" s="33">
        <v>0.96926052446684707</v>
      </c>
      <c r="O34" s="33">
        <v>0.96461643127122154</v>
      </c>
      <c r="P34" s="33">
        <v>0.96008275162366552</v>
      </c>
      <c r="Q34" s="33">
        <v>0.95565077085810346</v>
      </c>
      <c r="R34" s="33">
        <v>0.9513125497424898</v>
      </c>
      <c r="S34" s="33">
        <v>0.9470618920324041</v>
      </c>
      <c r="T34" s="33">
        <v>0.94289305743306073</v>
      </c>
      <c r="U34" s="33">
        <v>0.93880105695942251</v>
      </c>
      <c r="V34" s="33">
        <v>0.93478144387017659</v>
      </c>
      <c r="W34" s="33">
        <v>0.93083015455669338</v>
      </c>
      <c r="X34" s="33">
        <v>0.92694342887571934</v>
      </c>
      <c r="Y34" s="33">
        <v>0.92311774574509009</v>
      </c>
      <c r="Z34" s="33">
        <v>0.91934982475659921</v>
      </c>
      <c r="AA34" s="33">
        <v>0.91563662532779888</v>
      </c>
      <c r="AB34" s="33">
        <v>0.91197534408568048</v>
      </c>
      <c r="AC34" s="33">
        <v>0.90836340542611183</v>
      </c>
      <c r="AD34" s="33">
        <v>0.90479844373554408</v>
      </c>
      <c r="AE34" s="33">
        <v>0.90127828126646126</v>
      </c>
      <c r="AF34" s="33">
        <v>0.89780090525921452</v>
      </c>
      <c r="AG34" s="33">
        <v>0.8943644471876192</v>
      </c>
      <c r="AH34" s="33">
        <v>0.89096716601867154</v>
      </c>
      <c r="AI34" s="33">
        <v>0.88760743545005061</v>
      </c>
      <c r="AJ34" s="33">
        <v>0.88428373400079618</v>
      </c>
      <c r="AK34" s="33">
        <v>0.88099463817295753</v>
      </c>
      <c r="AL34" s="33">
        <v>0.87773881487167582</v>
      </c>
      <c r="AM34" s="34">
        <v>0.87451501586681846</v>
      </c>
      <c r="AN34" s="8"/>
      <c r="AP34" s="91"/>
    </row>
    <row r="35" spans="2:42" x14ac:dyDescent="0.35">
      <c r="B35" s="8"/>
      <c r="C35" s="20" t="str">
        <f>"CSL 4: " &amp; INDEX(_doName,2,5)</f>
        <v>CSL 4: EL 4</v>
      </c>
      <c r="D35" s="33">
        <v>1.0258746078519496</v>
      </c>
      <c r="E35" s="33">
        <v>1.0189828020176501</v>
      </c>
      <c r="F35" s="33">
        <v>1.0124049252936835</v>
      </c>
      <c r="G35" s="33">
        <v>1.0060896037627103</v>
      </c>
      <c r="H35" s="33">
        <v>1</v>
      </c>
      <c r="I35" s="33">
        <v>0.99411129019982059</v>
      </c>
      <c r="J35" s="33">
        <v>0.98840634150330631</v>
      </c>
      <c r="K35" s="33">
        <v>0.98287258099361063</v>
      </c>
      <c r="L35" s="33">
        <v>0.97749908816247455</v>
      </c>
      <c r="M35" s="33">
        <v>0.97227520341206175</v>
      </c>
      <c r="N35" s="33">
        <v>0.96719019704343812</v>
      </c>
      <c r="O35" s="33">
        <v>0.96223332058352418</v>
      </c>
      <c r="P35" s="33">
        <v>0.95739429410943688</v>
      </c>
      <c r="Q35" s="33">
        <v>0.95266381601560812</v>
      </c>
      <c r="R35" s="33">
        <v>0.94803341235658123</v>
      </c>
      <c r="S35" s="33">
        <v>0.94349646956608724</v>
      </c>
      <c r="T35" s="33">
        <v>0.93904686073605259</v>
      </c>
      <c r="U35" s="33">
        <v>0.93467926086944364</v>
      </c>
      <c r="V35" s="33">
        <v>0.93038892373348503</v>
      </c>
      <c r="W35" s="33">
        <v>0.92617151203236703</v>
      </c>
      <c r="X35" s="33">
        <v>0.92202301237428297</v>
      </c>
      <c r="Y35" s="33">
        <v>0.91793966652946479</v>
      </c>
      <c r="Z35" s="33">
        <v>0.91391797315167933</v>
      </c>
      <c r="AA35" s="33">
        <v>0.90995468687290204</v>
      </c>
      <c r="AB35" s="33">
        <v>0.90604681551078636</v>
      </c>
      <c r="AC35" s="33">
        <v>0.90219160999227244</v>
      </c>
      <c r="AD35" s="33">
        <v>0.89838654537791129</v>
      </c>
      <c r="AE35" s="33">
        <v>0.89462929724720952</v>
      </c>
      <c r="AF35" s="33">
        <v>0.89091771727960101</v>
      </c>
      <c r="AG35" s="33">
        <v>0.88724981110221923</v>
      </c>
      <c r="AH35" s="33">
        <v>0.88362372042214254</v>
      </c>
      <c r="AI35" s="33">
        <v>0.88003770940433246</v>
      </c>
      <c r="AJ35" s="33">
        <v>0.8764901540949106</v>
      </c>
      <c r="AK35" s="33">
        <v>0.87297953512223991</v>
      </c>
      <c r="AL35" s="33">
        <v>0.86950442960649277</v>
      </c>
      <c r="AM35" s="34">
        <v>0.8660635052482728</v>
      </c>
      <c r="AN35" s="8"/>
      <c r="AP35" s="91"/>
    </row>
    <row r="36" spans="2:42" x14ac:dyDescent="0.35">
      <c r="B36" s="8"/>
      <c r="C36" s="36" t="str">
        <f>INDEX(_pcName,3)</f>
        <v>CADR 150+</v>
      </c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8"/>
      <c r="AN36" s="8"/>
      <c r="AP36" s="91"/>
    </row>
    <row r="37" spans="2:42" x14ac:dyDescent="0.35">
      <c r="B37" s="8"/>
      <c r="C37" s="20" t="str">
        <f>"CSL 0: " &amp; INDEX(_doName,3,1)</f>
        <v>CSL 0: Baseline</v>
      </c>
      <c r="D37" s="33">
        <v>1.0262064671785804</v>
      </c>
      <c r="E37" s="33">
        <v>1.0192262692783403</v>
      </c>
      <c r="F37" s="33">
        <v>1.012564026841364</v>
      </c>
      <c r="G37" s="33">
        <v>1.006167707045114</v>
      </c>
      <c r="H37" s="33">
        <v>1</v>
      </c>
      <c r="I37" s="33">
        <v>0.99403576351821077</v>
      </c>
      <c r="J37" s="33">
        <v>0.98825764500039071</v>
      </c>
      <c r="K37" s="33">
        <v>0.98265291027353996</v>
      </c>
      <c r="L37" s="33">
        <v>0.97721049876650357</v>
      </c>
      <c r="M37" s="33">
        <v>0.97191961416490125</v>
      </c>
      <c r="N37" s="33">
        <v>0.96676938915416089</v>
      </c>
      <c r="O37" s="33">
        <v>0.96174893740477441</v>
      </c>
      <c r="P37" s="33">
        <v>0.9568478471469023</v>
      </c>
      <c r="Q37" s="33">
        <v>0.95205669747560107</v>
      </c>
      <c r="R37" s="33">
        <v>0.94736690576133853</v>
      </c>
      <c r="S37" s="33">
        <v>0.94277177361439013</v>
      </c>
      <c r="T37" s="33">
        <v>0.93826509554494686</v>
      </c>
      <c r="U37" s="33">
        <v>0.93384147825929065</v>
      </c>
      <c r="V37" s="33">
        <v>0.92949611465100423</v>
      </c>
      <c r="W37" s="33">
        <v>0.92522461179552873</v>
      </c>
      <c r="X37" s="33">
        <v>0.92102290482659632</v>
      </c>
      <c r="Y37" s="33">
        <v>0.91688718731260288</v>
      </c>
      <c r="Z37" s="33">
        <v>0.91281391300018433</v>
      </c>
      <c r="AA37" s="33">
        <v>0.90879979489727869</v>
      </c>
      <c r="AB37" s="33">
        <v>0.9048418024447793</v>
      </c>
      <c r="AC37" s="33">
        <v>0.90093715131090701</v>
      </c>
      <c r="AD37" s="33">
        <v>0.89708328417215843</v>
      </c>
      <c r="AE37" s="33">
        <v>0.89327784679577715</v>
      </c>
      <c r="AF37" s="33">
        <v>0.88951866330753426</v>
      </c>
      <c r="AG37" s="33">
        <v>0.88580371375538391</v>
      </c>
      <c r="AH37" s="33">
        <v>0.88213111601254202</v>
      </c>
      <c r="AI37" s="33">
        <v>0.8784991119807134</v>
      </c>
      <c r="AJ37" s="33">
        <v>0.87490605687771372</v>
      </c>
      <c r="AK37" s="33">
        <v>0.87135041184493833</v>
      </c>
      <c r="AL37" s="33">
        <v>0.86783073575316438</v>
      </c>
      <c r="AM37" s="34">
        <v>0.86434567921535588</v>
      </c>
      <c r="AN37" s="8"/>
      <c r="AP37" s="91"/>
    </row>
    <row r="38" spans="2:42" x14ac:dyDescent="0.35">
      <c r="B38" s="8"/>
      <c r="C38" s="20" t="str">
        <f>"CSL 1: " &amp; INDEX(_doName,3,2)</f>
        <v>CSL 1: Tier 1</v>
      </c>
      <c r="D38" s="33">
        <v>1.0263931988743566</v>
      </c>
      <c r="E38" s="33">
        <v>1.0193632642361621</v>
      </c>
      <c r="F38" s="33">
        <v>1.0126535506227219</v>
      </c>
      <c r="G38" s="33">
        <v>1.0062116544565578</v>
      </c>
      <c r="H38" s="33">
        <v>1</v>
      </c>
      <c r="I38" s="33">
        <v>0.99399326591696358</v>
      </c>
      <c r="J38" s="33">
        <v>0.98817397596379219</v>
      </c>
      <c r="K38" s="33">
        <v>0.98252930523134452</v>
      </c>
      <c r="L38" s="33">
        <v>0.97704811433741501</v>
      </c>
      <c r="M38" s="33">
        <v>0.97171953003950939</v>
      </c>
      <c r="N38" s="33">
        <v>0.9665326075890367</v>
      </c>
      <c r="O38" s="33">
        <v>0.96147638308698058</v>
      </c>
      <c r="P38" s="33">
        <v>0.95654037057542318</v>
      </c>
      <c r="Q38" s="33">
        <v>0.95171508202165667</v>
      </c>
      <c r="R38" s="33">
        <v>0.94699187364143633</v>
      </c>
      <c r="S38" s="33">
        <v>0.942363999316297</v>
      </c>
      <c r="T38" s="33">
        <v>0.93782520933980085</v>
      </c>
      <c r="U38" s="33">
        <v>0.93337007198882693</v>
      </c>
      <c r="V38" s="33">
        <v>0.92899374590437722</v>
      </c>
      <c r="W38" s="33">
        <v>0.92469180686052588</v>
      </c>
      <c r="X38" s="33">
        <v>0.92046016102718575</v>
      </c>
      <c r="Y38" s="33">
        <v>0.91629497485038569</v>
      </c>
      <c r="Z38" s="33">
        <v>0.91219267680826965</v>
      </c>
      <c r="AA38" s="33">
        <v>0.90814995648762531</v>
      </c>
      <c r="AB38" s="33">
        <v>0.90416376173538493</v>
      </c>
      <c r="AC38" s="33">
        <v>0.90023128838027711</v>
      </c>
      <c r="AD38" s="33">
        <v>0.89634996087683272</v>
      </c>
      <c r="AE38" s="33">
        <v>0.89251740821743286</v>
      </c>
      <c r="AF38" s="33">
        <v>0.88873143902386365</v>
      </c>
      <c r="AG38" s="33">
        <v>0.88499001895110208</v>
      </c>
      <c r="AH38" s="33">
        <v>0.88129125246144857</v>
      </c>
      <c r="AI38" s="33">
        <v>0.8776333689294451</v>
      </c>
      <c r="AJ38" s="33">
        <v>0.87401471185316815</v>
      </c>
      <c r="AK38" s="33">
        <v>0.87043373140902169</v>
      </c>
      <c r="AL38" s="33">
        <v>0.86688897619915373</v>
      </c>
      <c r="AM38" s="34">
        <v>0.86337908722159873</v>
      </c>
      <c r="AN38" s="8"/>
      <c r="AP38" s="91"/>
    </row>
    <row r="39" spans="2:42" x14ac:dyDescent="0.35">
      <c r="B39" s="8"/>
      <c r="C39" s="20" t="str">
        <f>"CSL 2: " &amp; INDEX(_doName,3,3)</f>
        <v>CSL 2: Tier 2</v>
      </c>
      <c r="D39" s="131">
        <v>1.0265650792477503</v>
      </c>
      <c r="E39" s="131">
        <v>1.0194893635810303</v>
      </c>
      <c r="F39" s="131">
        <v>1.0127359543137693</v>
      </c>
      <c r="G39" s="131">
        <v>1.0062521066007812</v>
      </c>
      <c r="H39" s="131">
        <v>1</v>
      </c>
      <c r="I39" s="131">
        <v>0.99395414827525652</v>
      </c>
      <c r="J39" s="131">
        <v>0.98809696137238989</v>
      </c>
      <c r="K39" s="131">
        <v>0.98241553086263</v>
      </c>
      <c r="L39" s="131">
        <v>0.97689864482079614</v>
      </c>
      <c r="M39" s="131">
        <v>0.97153535919459966</v>
      </c>
      <c r="N39" s="131">
        <v>0.96631465795998661</v>
      </c>
      <c r="O39" s="131">
        <v>0.961225505817764</v>
      </c>
      <c r="P39" s="131">
        <v>0.95625734852233257</v>
      </c>
      <c r="Q39" s="131">
        <v>0.95140063625208882</v>
      </c>
      <c r="R39" s="131">
        <v>0.94664666893189031</v>
      </c>
      <c r="S39" s="131">
        <v>0.94198865651053876</v>
      </c>
      <c r="T39" s="131">
        <v>0.93742030858164616</v>
      </c>
      <c r="U39" s="131">
        <v>0.9329361580490928</v>
      </c>
      <c r="V39" s="131">
        <v>0.92853133202550842</v>
      </c>
      <c r="W39" s="131">
        <v>0.92420137747309006</v>
      </c>
      <c r="X39" s="131">
        <v>0.91994217390150956</v>
      </c>
      <c r="Y39" s="131">
        <v>0.91574986279155046</v>
      </c>
      <c r="Z39" s="131">
        <v>0.91162084936254206</v>
      </c>
      <c r="AA39" s="131">
        <v>0.90755180164287563</v>
      </c>
      <c r="AB39" s="131">
        <v>0.9035396476029528</v>
      </c>
      <c r="AC39" s="131">
        <v>0.89958156480990403</v>
      </c>
      <c r="AD39" s="131">
        <v>0.89567496094554067</v>
      </c>
      <c r="AE39" s="131">
        <v>0.89181744956153586</v>
      </c>
      <c r="AF39" s="131">
        <v>0.88800682500876793</v>
      </c>
      <c r="AG39" s="131">
        <v>0.88424103969395329</v>
      </c>
      <c r="AH39" s="131">
        <v>0.88051818573508611</v>
      </c>
      <c r="AI39" s="131">
        <v>0.87683648097586786</v>
      </c>
      <c r="AJ39" s="131">
        <v>0.87319425812674101</v>
      </c>
      <c r="AK39" s="131">
        <v>0.8695899572711967</v>
      </c>
      <c r="AL39" s="131">
        <v>0.86602211755944769</v>
      </c>
      <c r="AM39" s="34">
        <v>0.86248937113930291</v>
      </c>
      <c r="AN39" s="8"/>
      <c r="AP39" s="91"/>
    </row>
    <row r="40" spans="2:42" x14ac:dyDescent="0.35">
      <c r="B40" s="8"/>
      <c r="C40" s="20" t="str">
        <f>"CSL 3: " &amp; INDEX(_doName,3,4)</f>
        <v>CSL 3: EL 3</v>
      </c>
      <c r="D40" s="131">
        <v>1.025332352018018</v>
      </c>
      <c r="E40" s="131">
        <v>1.0185849782053111</v>
      </c>
      <c r="F40" s="131">
        <v>1.012144954470223</v>
      </c>
      <c r="G40" s="131">
        <v>1.0059619835419302</v>
      </c>
      <c r="H40" s="131">
        <v>1</v>
      </c>
      <c r="I40" s="131">
        <v>0.99423470027280603</v>
      </c>
      <c r="J40" s="131">
        <v>0.98864931055591643</v>
      </c>
      <c r="K40" s="131">
        <v>0.98323152142391779</v>
      </c>
      <c r="L40" s="131">
        <v>0.97797064123035082</v>
      </c>
      <c r="M40" s="131">
        <v>0.97285623377126185</v>
      </c>
      <c r="N40" s="131">
        <v>0.96787779421071285</v>
      </c>
      <c r="O40" s="131">
        <v>0.96302479933207152</v>
      </c>
      <c r="P40" s="131">
        <v>0.95828718464946483</v>
      </c>
      <c r="Q40" s="131">
        <v>0.95365584349167543</v>
      </c>
      <c r="R40" s="131">
        <v>0.94912247950227113</v>
      </c>
      <c r="S40" s="131">
        <v>0.94468061771591982</v>
      </c>
      <c r="T40" s="131">
        <v>0.94032425962655741</v>
      </c>
      <c r="U40" s="131">
        <v>0.93604819183345855</v>
      </c>
      <c r="V40" s="131">
        <v>0.93184776757095555</v>
      </c>
      <c r="W40" s="131">
        <v>0.92771874044022828</v>
      </c>
      <c r="X40" s="131">
        <v>0.92365718115838225</v>
      </c>
      <c r="Y40" s="131">
        <v>0.91965941025711428</v>
      </c>
      <c r="Z40" s="131">
        <v>0.91572199976813107</v>
      </c>
      <c r="AA40" s="131">
        <v>0.91184177233679631</v>
      </c>
      <c r="AB40" s="131">
        <v>0.90801579848812264</v>
      </c>
      <c r="AC40" s="131">
        <v>0.90424138676155252</v>
      </c>
      <c r="AD40" s="131">
        <v>0.9005160651329569</v>
      </c>
      <c r="AE40" s="131">
        <v>0.89683755789487307</v>
      </c>
      <c r="AF40" s="131">
        <v>0.89320376174922844</v>
      </c>
      <c r="AG40" s="131">
        <v>0.88961272411935777</v>
      </c>
      <c r="AH40" s="131">
        <v>0.88606262565670468</v>
      </c>
      <c r="AI40" s="131">
        <v>0.8825517669042382</v>
      </c>
      <c r="AJ40" s="131">
        <v>0.87907855794138656</v>
      </c>
      <c r="AK40" s="131">
        <v>0.87564151123808265</v>
      </c>
      <c r="AL40" s="131">
        <v>0.87223923373388346</v>
      </c>
      <c r="AM40" s="34">
        <v>0.86887042105047763</v>
      </c>
      <c r="AN40" s="8"/>
      <c r="AP40" s="91"/>
    </row>
    <row r="41" spans="2:42" x14ac:dyDescent="0.35">
      <c r="B41" s="8"/>
      <c r="C41" s="39" t="str">
        <f>"CSL 4: " &amp; INDEX(_doName,3,5)</f>
        <v>CSL 4: EL 4</v>
      </c>
      <c r="D41" s="21">
        <v>1.0251431935758024</v>
      </c>
      <c r="E41" s="21">
        <v>1.018446202874721</v>
      </c>
      <c r="F41" s="21">
        <v>1.0120542672467576</v>
      </c>
      <c r="G41" s="21">
        <v>1.0059174649943237</v>
      </c>
      <c r="H41" s="21">
        <v>1</v>
      </c>
      <c r="I41" s="21">
        <v>0.99427775016862796</v>
      </c>
      <c r="J41" s="21">
        <v>0.9887340669469451</v>
      </c>
      <c r="K41" s="21">
        <v>0.98335673282487734</v>
      </c>
      <c r="L41" s="21">
        <v>0.97813513599123647</v>
      </c>
      <c r="M41" s="21">
        <v>0.97305891816993284</v>
      </c>
      <c r="N41" s="21">
        <v>0.96811765296537211</v>
      </c>
      <c r="O41" s="21">
        <v>0.96330089573851574</v>
      </c>
      <c r="P41" s="21">
        <v>0.95859865715570991</v>
      </c>
      <c r="Q41" s="21">
        <v>0.95400189854588746</v>
      </c>
      <c r="R41" s="21">
        <v>0.94950238550208899</v>
      </c>
      <c r="S41" s="21">
        <v>0.94509369140800115</v>
      </c>
      <c r="T41" s="21">
        <v>0.94076986254882367</v>
      </c>
      <c r="U41" s="21">
        <v>0.93652572445265836</v>
      </c>
      <c r="V41" s="21">
        <v>0.93235666505156167</v>
      </c>
      <c r="W41" s="21">
        <v>0.92825846965486991</v>
      </c>
      <c r="X41" s="21">
        <v>0.9242272383199186</v>
      </c>
      <c r="Y41" s="21">
        <v>0.92025931905325131</v>
      </c>
      <c r="Z41" s="21">
        <v>0.91635130948345356</v>
      </c>
      <c r="AA41" s="21">
        <v>0.91250005598141803</v>
      </c>
      <c r="AB41" s="21">
        <v>0.90870265094675173</v>
      </c>
      <c r="AC41" s="21">
        <v>0.90495642301622126</v>
      </c>
      <c r="AD41" s="21">
        <v>0.90125891862447416</v>
      </c>
      <c r="AE41" s="21">
        <v>0.89760787905691453</v>
      </c>
      <c r="AF41" s="21">
        <v>0.89400121672094346</v>
      </c>
      <c r="AG41" s="21">
        <v>0.89043699361992201</v>
      </c>
      <c r="AH41" s="21">
        <v>0.88691340399049645</v>
      </c>
      <c r="AI41" s="21">
        <v>0.88342876106560031</v>
      </c>
      <c r="AJ41" s="21">
        <v>0.87998148679670984</v>
      </c>
      <c r="AK41" s="21">
        <v>0.87657010476124864</v>
      </c>
      <c r="AL41" s="21">
        <v>0.87319323230085355</v>
      </c>
      <c r="AM41" s="34">
        <v>0.86984957477709723</v>
      </c>
      <c r="AN41" s="8"/>
      <c r="AP41" s="91"/>
    </row>
    <row r="42" spans="2:42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130"/>
      <c r="AN42" s="8"/>
    </row>
    <row r="43" spans="2:42" x14ac:dyDescent="0.35">
      <c r="B43" s="8"/>
      <c r="C43" s="23" t="str">
        <f>"Price Index: " &amp; INDEX(_PIdx,2)</f>
        <v>Price Index: Low</v>
      </c>
      <c r="D43" s="26">
        <f t="array" ref="D43:AM43">_yS</f>
        <v>2024</v>
      </c>
      <c r="E43" s="26">
        <v>2025</v>
      </c>
      <c r="F43" s="26">
        <v>2026</v>
      </c>
      <c r="G43" s="26">
        <v>2027</v>
      </c>
      <c r="H43" s="26">
        <v>2028</v>
      </c>
      <c r="I43" s="26">
        <v>2029</v>
      </c>
      <c r="J43" s="26">
        <v>2030</v>
      </c>
      <c r="K43" s="26">
        <v>2031</v>
      </c>
      <c r="L43" s="26">
        <v>2032</v>
      </c>
      <c r="M43" s="26">
        <v>2033</v>
      </c>
      <c r="N43" s="26">
        <v>2034</v>
      </c>
      <c r="O43" s="26">
        <v>2035</v>
      </c>
      <c r="P43" s="26">
        <v>2036</v>
      </c>
      <c r="Q43" s="26">
        <v>2037</v>
      </c>
      <c r="R43" s="26">
        <v>2038</v>
      </c>
      <c r="S43" s="26">
        <v>2039</v>
      </c>
      <c r="T43" s="26">
        <v>2040</v>
      </c>
      <c r="U43" s="26">
        <v>2041</v>
      </c>
      <c r="V43" s="26">
        <v>2042</v>
      </c>
      <c r="W43" s="26">
        <v>2043</v>
      </c>
      <c r="X43" s="26">
        <v>2044</v>
      </c>
      <c r="Y43" s="26">
        <v>2045</v>
      </c>
      <c r="Z43" s="26">
        <v>2046</v>
      </c>
      <c r="AA43" s="26">
        <v>2047</v>
      </c>
      <c r="AB43" s="26">
        <v>2048</v>
      </c>
      <c r="AC43" s="26">
        <v>2049</v>
      </c>
      <c r="AD43" s="26">
        <v>2050</v>
      </c>
      <c r="AE43" s="26">
        <v>2051</v>
      </c>
      <c r="AF43" s="26">
        <v>2052</v>
      </c>
      <c r="AG43" s="26">
        <v>2053</v>
      </c>
      <c r="AH43" s="26">
        <v>2054</v>
      </c>
      <c r="AI43" s="26">
        <v>2055</v>
      </c>
      <c r="AJ43" s="26">
        <v>2056</v>
      </c>
      <c r="AK43" s="26">
        <v>2057</v>
      </c>
      <c r="AL43" s="26">
        <v>2058</v>
      </c>
      <c r="AM43" s="27">
        <v>2059</v>
      </c>
      <c r="AN43" s="8"/>
    </row>
    <row r="44" spans="2:42" x14ac:dyDescent="0.35">
      <c r="B44" s="8"/>
      <c r="C44" s="10" t="str">
        <f>INDEX(_pcName,1)</f>
        <v>CADR 10-99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18"/>
      <c r="AN44" s="8"/>
    </row>
    <row r="45" spans="2:42" x14ac:dyDescent="0.35">
      <c r="B45" s="8"/>
      <c r="C45" s="20" t="str">
        <f>"CSL 0: " &amp; INDEX(_doName,1,1)</f>
        <v>CSL 0: Baseline</v>
      </c>
      <c r="D45" s="33">
        <v>1.0140594126310667</v>
      </c>
      <c r="E45" s="33">
        <v>1.0103343367949509</v>
      </c>
      <c r="F45" s="33">
        <v>1.0067656905718092</v>
      </c>
      <c r="G45" s="33">
        <v>1.0033271713956622</v>
      </c>
      <c r="H45" s="33">
        <v>1</v>
      </c>
      <c r="I45" s="33">
        <v>0.99677169287510137</v>
      </c>
      <c r="J45" s="33">
        <v>0.99363380346774655</v>
      </c>
      <c r="K45" s="33">
        <v>0.99058026805929722</v>
      </c>
      <c r="L45" s="33">
        <v>0.98760583847120742</v>
      </c>
      <c r="M45" s="33">
        <v>0.98470532580324421</v>
      </c>
      <c r="N45" s="33">
        <v>0.98187342087535545</v>
      </c>
      <c r="O45" s="33">
        <v>0.97910472504530865</v>
      </c>
      <c r="P45" s="33">
        <v>0.9763940259711783</v>
      </c>
      <c r="Q45" s="33">
        <v>0.97373659044870131</v>
      </c>
      <c r="R45" s="33">
        <v>0.97112808912221493</v>
      </c>
      <c r="S45" s="33">
        <v>0.9685651887380522</v>
      </c>
      <c r="T45" s="33">
        <v>0.9660447885734047</v>
      </c>
      <c r="U45" s="33">
        <v>0.96356420437622847</v>
      </c>
      <c r="V45" s="33">
        <v>0.96112104795884279</v>
      </c>
      <c r="W45" s="33">
        <v>0.95871313506203359</v>
      </c>
      <c r="X45" s="33">
        <v>0.95633844016546599</v>
      </c>
      <c r="Y45" s="33">
        <v>0.95399505980657029</v>
      </c>
      <c r="Z45" s="33">
        <v>0.95168121581042742</v>
      </c>
      <c r="AA45" s="33">
        <v>0.94939525695251437</v>
      </c>
      <c r="AB45" s="33">
        <v>0.94713565946165112</v>
      </c>
      <c r="AC45" s="33">
        <v>0.94490102321819414</v>
      </c>
      <c r="AD45" s="33">
        <v>0.94269006264145727</v>
      </c>
      <c r="AE45" s="33">
        <v>0.94050159466983196</v>
      </c>
      <c r="AF45" s="33">
        <v>0.93833452603692702</v>
      </c>
      <c r="AG45" s="33">
        <v>0.93618784164236057</v>
      </c>
      <c r="AH45" s="33">
        <v>0.93406059523035689</v>
      </c>
      <c r="AI45" s="33">
        <v>0.93195190239973169</v>
      </c>
      <c r="AJ45" s="33">
        <v>0.92986093528170966</v>
      </c>
      <c r="AK45" s="33">
        <v>0.92778691905527211</v>
      </c>
      <c r="AL45" s="33">
        <v>0.9257291279212857</v>
      </c>
      <c r="AM45" s="34">
        <v>0.9236868822947697</v>
      </c>
      <c r="AN45" s="8"/>
      <c r="AP45" s="91"/>
    </row>
    <row r="46" spans="2:42" x14ac:dyDescent="0.35">
      <c r="B46" s="8"/>
      <c r="C46" s="20" t="str">
        <f>"CSL 1: " &amp; INDEX(_doName,1,2)</f>
        <v>CSL 1: Tier 1</v>
      </c>
      <c r="D46" s="33">
        <v>1.0143787504488988</v>
      </c>
      <c r="E46" s="33">
        <v>1.0105690652752539</v>
      </c>
      <c r="F46" s="33">
        <v>1.0069193627713544</v>
      </c>
      <c r="G46" s="33">
        <v>1.0034027429491064</v>
      </c>
      <c r="H46" s="33">
        <v>1</v>
      </c>
      <c r="I46" s="33">
        <v>0.99669836687069358</v>
      </c>
      <c r="J46" s="33">
        <v>0.99348920515757189</v>
      </c>
      <c r="K46" s="33">
        <v>0.99036631341400427</v>
      </c>
      <c r="L46" s="33">
        <v>0.98732432425718419</v>
      </c>
      <c r="M46" s="33">
        <v>0.98435793092903356</v>
      </c>
      <c r="N46" s="33">
        <v>0.98146170365968488</v>
      </c>
      <c r="O46" s="33">
        <v>0.97863012118509551</v>
      </c>
      <c r="P46" s="33">
        <v>0.9758578527730527</v>
      </c>
      <c r="Q46" s="33">
        <v>0.97314005771187762</v>
      </c>
      <c r="R46" s="33">
        <v>0.97047230831128806</v>
      </c>
      <c r="S46" s="33">
        <v>0.96785119560791433</v>
      </c>
      <c r="T46" s="33">
        <v>0.9652735484508238</v>
      </c>
      <c r="U46" s="33">
        <v>0.96273662161933848</v>
      </c>
      <c r="V46" s="33">
        <v>0.96023797268178679</v>
      </c>
      <c r="W46" s="33">
        <v>0.95777536776688454</v>
      </c>
      <c r="X46" s="33">
        <v>0.95534673534773418</v>
      </c>
      <c r="Y46" s="33">
        <v>0.95295012872755736</v>
      </c>
      <c r="Z46" s="33">
        <v>0.95058372934294122</v>
      </c>
      <c r="AA46" s="33">
        <v>0.94824584846435089</v>
      </c>
      <c r="AB46" s="33">
        <v>0.94593492771050036</v>
      </c>
      <c r="AC46" s="33">
        <v>0.94364953516019323</v>
      </c>
      <c r="AD46" s="33">
        <v>0.94138835603276616</v>
      </c>
      <c r="AE46" s="33">
        <v>0.93915018039519549</v>
      </c>
      <c r="AF46" s="33">
        <v>0.93693389014923423</v>
      </c>
      <c r="AG46" s="33">
        <v>0.9347384471380652</v>
      </c>
      <c r="AH46" s="33">
        <v>0.93256288361317596</v>
      </c>
      <c r="AI46" s="33">
        <v>0.93040629508557671</v>
      </c>
      <c r="AJ46" s="33">
        <v>0.92826783488273323</v>
      </c>
      <c r="AK46" s="33">
        <v>0.92614671058476528</v>
      </c>
      <c r="AL46" s="33">
        <v>0.92404217990713466</v>
      </c>
      <c r="AM46" s="34">
        <v>0.92195354782913863</v>
      </c>
      <c r="AN46" s="8"/>
      <c r="AP46" s="91"/>
    </row>
    <row r="47" spans="2:42" x14ac:dyDescent="0.35">
      <c r="B47" s="8"/>
      <c r="C47" s="20" t="str">
        <f>"CSL 2: " &amp; INDEX(_doName,1,3)</f>
        <v>CSL 2: Tier 2</v>
      </c>
      <c r="D47" s="33">
        <v>1.0144547213857686</v>
      </c>
      <c r="E47" s="33">
        <v>1.0106249075261959</v>
      </c>
      <c r="F47" s="33">
        <v>1.006955921613804</v>
      </c>
      <c r="G47" s="33">
        <v>1.0034207215328985</v>
      </c>
      <c r="H47" s="33">
        <v>1</v>
      </c>
      <c r="I47" s="33">
        <v>0.99668092250632223</v>
      </c>
      <c r="J47" s="33">
        <v>0.99345480500675876</v>
      </c>
      <c r="K47" s="33">
        <v>0.99031541328898642</v>
      </c>
      <c r="L47" s="33">
        <v>0.98725735161132988</v>
      </c>
      <c r="M47" s="33">
        <v>0.98427528517715623</v>
      </c>
      <c r="N47" s="33">
        <v>0.9813637555281034</v>
      </c>
      <c r="O47" s="33">
        <v>0.97851721222821952</v>
      </c>
      <c r="P47" s="33">
        <v>0.97573029638006847</v>
      </c>
      <c r="Q47" s="33">
        <v>0.97299814169579868</v>
      </c>
      <c r="R47" s="33">
        <v>0.9703162970911775</v>
      </c>
      <c r="S47" s="33">
        <v>0.96768133559138536</v>
      </c>
      <c r="T47" s="33">
        <v>0.96509006929053553</v>
      </c>
      <c r="U47" s="33">
        <v>0.96253973846342178</v>
      </c>
      <c r="V47" s="33">
        <v>0.96002788777364756</v>
      </c>
      <c r="W47" s="33">
        <v>0.95755227154714428</v>
      </c>
      <c r="X47" s="33">
        <v>0.95511080731198528</v>
      </c>
      <c r="Y47" s="33">
        <v>0.95270153808591018</v>
      </c>
      <c r="Z47" s="33">
        <v>0.95032263569702413</v>
      </c>
      <c r="AA47" s="33">
        <v>0.94797240249329495</v>
      </c>
      <c r="AB47" s="33">
        <v>0.94564927185964109</v>
      </c>
      <c r="AC47" s="33">
        <v>0.94335180430923016</v>
      </c>
      <c r="AD47" s="33">
        <v>0.94107867811468127</v>
      </c>
      <c r="AE47" s="33">
        <v>0.93882867695022143</v>
      </c>
      <c r="AF47" s="33">
        <v>0.93660067681006876</v>
      </c>
      <c r="AG47" s="33">
        <v>0.93439363405224618</v>
      </c>
      <c r="AH47" s="33">
        <v>0.93220657581508737</v>
      </c>
      <c r="AI47" s="33">
        <v>0.93003859283068413</v>
      </c>
      <c r="AJ47" s="33">
        <v>0.92788883395306032</v>
      </c>
      <c r="AK47" s="33">
        <v>0.92575650257554076</v>
      </c>
      <c r="AL47" s="33">
        <v>0.92364085249168504</v>
      </c>
      <c r="AM47" s="34">
        <v>0.92154118500860938</v>
      </c>
      <c r="AN47" s="8"/>
      <c r="AP47" s="91"/>
    </row>
    <row r="48" spans="2:42" x14ac:dyDescent="0.35">
      <c r="B48" s="8"/>
      <c r="C48" s="20" t="str">
        <f>"CSL 3: " &amp; INDEX(_doName,1,4)</f>
        <v>CSL 3: EL 3</v>
      </c>
      <c r="D48" s="33">
        <v>1.0128981293451931</v>
      </c>
      <c r="E48" s="33">
        <v>1.0094807383619664</v>
      </c>
      <c r="F48" s="33">
        <v>1.0062068561749105</v>
      </c>
      <c r="G48" s="33">
        <v>1.003052352764727</v>
      </c>
      <c r="H48" s="33">
        <v>1</v>
      </c>
      <c r="I48" s="33">
        <v>0.99703834548742509</v>
      </c>
      <c r="J48" s="33">
        <v>0.99415964034454152</v>
      </c>
      <c r="K48" s="33">
        <v>0.99135832170543425</v>
      </c>
      <c r="L48" s="33">
        <v>0.9886295748820727</v>
      </c>
      <c r="M48" s="33">
        <v>0.9859686395684526</v>
      </c>
      <c r="N48" s="33">
        <v>0.98337064511365657</v>
      </c>
      <c r="O48" s="33">
        <v>0.98083063879400922</v>
      </c>
      <c r="P48" s="33">
        <v>0.97834383879805675</v>
      </c>
      <c r="Q48" s="33">
        <v>0.97590590287606238</v>
      </c>
      <c r="R48" s="33">
        <v>0.97351285926968967</v>
      </c>
      <c r="S48" s="33">
        <v>0.97116165004628785</v>
      </c>
      <c r="T48" s="33">
        <v>0.96884943059741568</v>
      </c>
      <c r="U48" s="33">
        <v>0.96657373838562854</v>
      </c>
      <c r="V48" s="33">
        <v>0.96433238248343744</v>
      </c>
      <c r="W48" s="33">
        <v>0.96212335904768054</v>
      </c>
      <c r="X48" s="33">
        <v>0.95994480986251618</v>
      </c>
      <c r="Y48" s="33">
        <v>0.95779498868810709</v>
      </c>
      <c r="Z48" s="33">
        <v>0.95567226422372209</v>
      </c>
      <c r="AA48" s="33">
        <v>0.95357512163314173</v>
      </c>
      <c r="AB48" s="33">
        <v>0.95150216300606305</v>
      </c>
      <c r="AC48" s="33">
        <v>0.94945210387031531</v>
      </c>
      <c r="AD48" s="33">
        <v>0.94742376483196444</v>
      </c>
      <c r="AE48" s="33">
        <v>0.94541606054825467</v>
      </c>
      <c r="AF48" s="33">
        <v>0.94342798805471706</v>
      </c>
      <c r="AG48" s="33">
        <v>0.94145861609651416</v>
      </c>
      <c r="AH48" s="33">
        <v>0.93950707657696886</v>
      </c>
      <c r="AI48" s="33">
        <v>0.93757255814491236</v>
      </c>
      <c r="AJ48" s="33">
        <v>0.93565430131210559</v>
      </c>
      <c r="AK48" s="33">
        <v>0.93375159525641227</v>
      </c>
      <c r="AL48" s="33">
        <v>0.93186377412845833</v>
      </c>
      <c r="AM48" s="34">
        <v>0.92999021447581309</v>
      </c>
      <c r="AN48" s="8"/>
      <c r="AP48" s="91"/>
    </row>
    <row r="49" spans="2:42" x14ac:dyDescent="0.35">
      <c r="B49" s="8"/>
      <c r="C49" s="20" t="str">
        <f>"CSL 4: " &amp; INDEX(_doName,1,5)</f>
        <v>CSL 4: EL 4</v>
      </c>
      <c r="D49" s="33">
        <v>1.0130311061928501</v>
      </c>
      <c r="E49" s="33">
        <v>1.0095784826679113</v>
      </c>
      <c r="F49" s="33">
        <v>1.0062708474829452</v>
      </c>
      <c r="G49" s="33">
        <v>1.0030838218435159</v>
      </c>
      <c r="H49" s="33">
        <v>1</v>
      </c>
      <c r="I49" s="33">
        <v>0.99700781148746342</v>
      </c>
      <c r="J49" s="33">
        <v>0.9940994275341889</v>
      </c>
      <c r="K49" s="33">
        <v>0.99126922792234973</v>
      </c>
      <c r="L49" s="33">
        <v>0.98851234832555146</v>
      </c>
      <c r="M49" s="33">
        <v>0.98582397936009292</v>
      </c>
      <c r="N49" s="33">
        <v>0.98319920015972773</v>
      </c>
      <c r="O49" s="33">
        <v>0.98063300693929989</v>
      </c>
      <c r="P49" s="33">
        <v>0.97812056858794227</v>
      </c>
      <c r="Q49" s="33">
        <v>0.97565749808828772</v>
      </c>
      <c r="R49" s="33">
        <v>0.9732397827340542</v>
      </c>
      <c r="S49" s="33">
        <v>0.97086433306598463</v>
      </c>
      <c r="T49" s="33">
        <v>0.96852827514835682</v>
      </c>
      <c r="U49" s="33">
        <v>0.96622912105551217</v>
      </c>
      <c r="V49" s="33">
        <v>0.96396465727198621</v>
      </c>
      <c r="W49" s="33">
        <v>0.96173285929543928</v>
      </c>
      <c r="X49" s="33">
        <v>0.95953184975223726</v>
      </c>
      <c r="Y49" s="33">
        <v>0.95735986439919818</v>
      </c>
      <c r="Z49" s="33">
        <v>0.95521525511724281</v>
      </c>
      <c r="AA49" s="33">
        <v>0.95309649145252695</v>
      </c>
      <c r="AB49" s="33">
        <v>0.95100216108260283</v>
      </c>
      <c r="AC49" s="33">
        <v>0.94893096629267715</v>
      </c>
      <c r="AD49" s="33">
        <v>0.94688171552952649</v>
      </c>
      <c r="AE49" s="33">
        <v>0.94485331226075242</v>
      </c>
      <c r="AF49" s="33">
        <v>0.94284474318154488</v>
      </c>
      <c r="AG49" s="33">
        <v>0.94085506743603631</v>
      </c>
      <c r="AH49" s="33">
        <v>0.93888340797766556</v>
      </c>
      <c r="AI49" s="33">
        <v>0.9369289450904138</v>
      </c>
      <c r="AJ49" s="33">
        <v>0.93499091145588664</v>
      </c>
      <c r="AK49" s="33">
        <v>0.93306858892352973</v>
      </c>
      <c r="AL49" s="33">
        <v>0.93116130477921</v>
      </c>
      <c r="AM49" s="34">
        <v>0.92926842914284036</v>
      </c>
      <c r="AN49" s="8"/>
      <c r="AP49" s="91"/>
    </row>
    <row r="50" spans="2:42" x14ac:dyDescent="0.35">
      <c r="B50" s="8"/>
      <c r="C50" s="36" t="str">
        <f>INDEX(_pcName,2)</f>
        <v>CADR 100-149</v>
      </c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8"/>
      <c r="AN50" s="8"/>
      <c r="AP50" s="91"/>
    </row>
    <row r="51" spans="2:42" x14ac:dyDescent="0.35">
      <c r="B51" s="8"/>
      <c r="C51" s="20" t="str">
        <f>"CSL 0: " &amp; INDEX(_doName,2,1)</f>
        <v>CSL 0: Baseline</v>
      </c>
      <c r="D51" s="33">
        <v>1.013267387422949</v>
      </c>
      <c r="E51" s="33">
        <v>1.0097521606069719</v>
      </c>
      <c r="F51" s="33">
        <v>1.0063845510730398</v>
      </c>
      <c r="G51" s="33">
        <v>1.0031397379881477</v>
      </c>
      <c r="H51" s="33">
        <v>1</v>
      </c>
      <c r="I51" s="33">
        <v>0.99695355684691589</v>
      </c>
      <c r="J51" s="33">
        <v>0.99399243780516078</v>
      </c>
      <c r="K51" s="33">
        <v>0.99111092075059537</v>
      </c>
      <c r="L51" s="33">
        <v>0.98830405315640657</v>
      </c>
      <c r="M51" s="33">
        <v>0.9855669384347</v>
      </c>
      <c r="N51" s="33">
        <v>0.98289456649362494</v>
      </c>
      <c r="O51" s="33">
        <v>0.98028184281892705</v>
      </c>
      <c r="P51" s="33">
        <v>0.97772384870158757</v>
      </c>
      <c r="Q51" s="33">
        <v>0.97521611757843218</v>
      </c>
      <c r="R51" s="33">
        <v>0.97275456398441507</v>
      </c>
      <c r="S51" s="33">
        <v>0.97033604244191651</v>
      </c>
      <c r="T51" s="33">
        <v>0.96795762690474429</v>
      </c>
      <c r="U51" s="33">
        <v>0.96561678433594034</v>
      </c>
      <c r="V51" s="33">
        <v>0.96331126108437182</v>
      </c>
      <c r="W51" s="33">
        <v>0.96103899593923403</v>
      </c>
      <c r="X51" s="33">
        <v>0.95879807748617962</v>
      </c>
      <c r="Y51" s="33">
        <v>0.95658670949260505</v>
      </c>
      <c r="Z51" s="33">
        <v>0.95440321395558259</v>
      </c>
      <c r="AA51" s="33">
        <v>0.95224603267093644</v>
      </c>
      <c r="AB51" s="33">
        <v>0.95011372770785685</v>
      </c>
      <c r="AC51" s="33">
        <v>0.94800497782126514</v>
      </c>
      <c r="AD51" s="33">
        <v>0.94591856985258393</v>
      </c>
      <c r="AE51" s="33">
        <v>0.94385338738698732</v>
      </c>
      <c r="AF51" s="33">
        <v>0.94180839874632816</v>
      </c>
      <c r="AG51" s="33">
        <v>0.93978264601505268</v>
      </c>
      <c r="AH51" s="33">
        <v>0.9377752362439099</v>
      </c>
      <c r="AI51" s="33">
        <v>0.93578533485371385</v>
      </c>
      <c r="AJ51" s="33">
        <v>0.93381216061298167</v>
      </c>
      <c r="AK51" s="33">
        <v>0.93185498234958619</v>
      </c>
      <c r="AL51" s="33">
        <v>0.92991311515167929</v>
      </c>
      <c r="AM51" s="34">
        <v>0.92798591771812933</v>
      </c>
      <c r="AN51" s="8"/>
      <c r="AP51" s="91"/>
    </row>
    <row r="52" spans="2:42" x14ac:dyDescent="0.35">
      <c r="B52" s="8"/>
      <c r="C52" s="20" t="str">
        <f>"CSL 1: " &amp; INDEX(_doName,2,2)</f>
        <v>CSL 1: Tier 1</v>
      </c>
      <c r="D52" s="33">
        <v>1.0135621721661177</v>
      </c>
      <c r="E52" s="33">
        <v>1.0099688414099228</v>
      </c>
      <c r="F52" s="33">
        <v>1.0065264078070233</v>
      </c>
      <c r="G52" s="33">
        <v>1.0032094990365703</v>
      </c>
      <c r="H52" s="33">
        <v>1</v>
      </c>
      <c r="I52" s="33">
        <v>0.99688586869296125</v>
      </c>
      <c r="J52" s="33">
        <v>0.9938589572922143</v>
      </c>
      <c r="K52" s="33">
        <v>0.99091341653518306</v>
      </c>
      <c r="L52" s="33">
        <v>0.98804418385610715</v>
      </c>
      <c r="M52" s="33">
        <v>0.98524625387103792</v>
      </c>
      <c r="N52" s="33">
        <v>0.98251450517015415</v>
      </c>
      <c r="O52" s="33">
        <v>0.9798437300454711</v>
      </c>
      <c r="P52" s="33">
        <v>0.97722890050041189</v>
      </c>
      <c r="Q52" s="33">
        <v>0.97466545073035871</v>
      </c>
      <c r="R52" s="33">
        <v>0.97214920449634579</v>
      </c>
      <c r="S52" s="33">
        <v>0.9696769464321775</v>
      </c>
      <c r="T52" s="33">
        <v>0.9672456854785777</v>
      </c>
      <c r="U52" s="33">
        <v>0.96485283231767704</v>
      </c>
      <c r="V52" s="33">
        <v>0.96249608322503533</v>
      </c>
      <c r="W52" s="33">
        <v>0.96017333119232384</v>
      </c>
      <c r="X52" s="33">
        <v>0.95788262233596044</v>
      </c>
      <c r="Y52" s="33">
        <v>0.95562212051330131</v>
      </c>
      <c r="Z52" s="33">
        <v>0.95339011043829391</v>
      </c>
      <c r="AA52" s="33">
        <v>0.95118499928541589</v>
      </c>
      <c r="AB52" s="33">
        <v>0.94900531717483472</v>
      </c>
      <c r="AC52" s="33">
        <v>0.94684971350505953</v>
      </c>
      <c r="AD52" s="33">
        <v>0.94471694816264784</v>
      </c>
      <c r="AE52" s="33">
        <v>0.9426058799274335</v>
      </c>
      <c r="AF52" s="33">
        <v>0.94051545419867233</v>
      </c>
      <c r="AG52" s="33">
        <v>0.93844469177712586</v>
      </c>
      <c r="AH52" s="33">
        <v>0.93639267987332842</v>
      </c>
      <c r="AI52" s="33">
        <v>0.93435856536478878</v>
      </c>
      <c r="AJ52" s="33">
        <v>0.93234154966203864</v>
      </c>
      <c r="AK52" s="33">
        <v>0.93034088534722115</v>
      </c>
      <c r="AL52" s="33">
        <v>0.92835587229060412</v>
      </c>
      <c r="AM52" s="34">
        <v>0.92638585494214754</v>
      </c>
      <c r="AN52" s="8"/>
      <c r="AP52" s="91"/>
    </row>
    <row r="53" spans="2:42" x14ac:dyDescent="0.35">
      <c r="B53" s="8"/>
      <c r="C53" s="20" t="str">
        <f>"CSL 2: " &amp; INDEX(_doName,2,3)</f>
        <v>CSL 2: Tier 2</v>
      </c>
      <c r="D53" s="33">
        <v>1.0138452838283558</v>
      </c>
      <c r="E53" s="33">
        <v>1.0101769419433464</v>
      </c>
      <c r="F53" s="33">
        <v>1.0066626472043749</v>
      </c>
      <c r="G53" s="33">
        <v>1.0032764976409285</v>
      </c>
      <c r="H53" s="33">
        <v>1</v>
      </c>
      <c r="I53" s="33">
        <v>0.99682086089922706</v>
      </c>
      <c r="J53" s="33">
        <v>0.99373076242876746</v>
      </c>
      <c r="K53" s="33">
        <v>0.99072373322212071</v>
      </c>
      <c r="L53" s="33">
        <v>0.98779460503197392</v>
      </c>
      <c r="M53" s="33">
        <v>0.98493826798650197</v>
      </c>
      <c r="N53" s="33">
        <v>0.98214949376595573</v>
      </c>
      <c r="O53" s="33">
        <v>0.97942296595094025</v>
      </c>
      <c r="P53" s="33">
        <v>0.97675355158496124</v>
      </c>
      <c r="Q53" s="33">
        <v>0.97413658955178573</v>
      </c>
      <c r="R53" s="33">
        <v>0.97156781643305357</v>
      </c>
      <c r="S53" s="33">
        <v>0.96904394974148733</v>
      </c>
      <c r="T53" s="33">
        <v>0.96656193597915752</v>
      </c>
      <c r="U53" s="33">
        <v>0.964119131775933</v>
      </c>
      <c r="V53" s="33">
        <v>0.96171318531690164</v>
      </c>
      <c r="W53" s="33">
        <v>0.95934194560973107</v>
      </c>
      <c r="X53" s="33">
        <v>0.95700341798332955</v>
      </c>
      <c r="Y53" s="33">
        <v>0.95469572796539715</v>
      </c>
      <c r="Z53" s="33">
        <v>0.9524171244631181</v>
      </c>
      <c r="AA53" s="33">
        <v>0.9501659814005825</v>
      </c>
      <c r="AB53" s="33">
        <v>0.9479407982140734</v>
      </c>
      <c r="AC53" s="33">
        <v>0.94574019610816262</v>
      </c>
      <c r="AD53" s="33">
        <v>0.94356290908191898</v>
      </c>
      <c r="AE53" s="33">
        <v>0.94140777209209447</v>
      </c>
      <c r="AF53" s="33">
        <v>0.93927370852305192</v>
      </c>
      <c r="AG53" s="33">
        <v>0.9371597187346733</v>
      </c>
      <c r="AH53" s="33">
        <v>0.93506487088292434</v>
      </c>
      <c r="AI53" s="33">
        <v>0.9329882940362989</v>
      </c>
      <c r="AJ53" s="33">
        <v>0.9309291729346959</v>
      </c>
      <c r="AK53" s="33">
        <v>0.92888674455783804</v>
      </c>
      <c r="AL53" s="33">
        <v>0.9268602941607168</v>
      </c>
      <c r="AM53" s="34">
        <v>0.92484915250862154</v>
      </c>
      <c r="AN53" s="8"/>
      <c r="AP53" s="91"/>
    </row>
    <row r="54" spans="2:42" x14ac:dyDescent="0.35">
      <c r="B54" s="8"/>
      <c r="C54" s="20" t="str">
        <f>"CSL 3: " &amp; INDEX(_doName,2,4)</f>
        <v>CSL 3: EL 3</v>
      </c>
      <c r="D54" s="33">
        <v>1.0123739027152268</v>
      </c>
      <c r="E54" s="33">
        <v>1.0090954068624849</v>
      </c>
      <c r="F54" s="33">
        <v>1.0059545870893571</v>
      </c>
      <c r="G54" s="33">
        <v>1.002928294107809</v>
      </c>
      <c r="H54" s="33">
        <v>1</v>
      </c>
      <c r="I54" s="33">
        <v>0.99715871783931431</v>
      </c>
      <c r="J54" s="33">
        <v>0.99439701368590239</v>
      </c>
      <c r="K54" s="33">
        <v>0.99170955076884126</v>
      </c>
      <c r="L54" s="33">
        <v>0.98909171008643693</v>
      </c>
      <c r="M54" s="33">
        <v>0.9865389248087395</v>
      </c>
      <c r="N54" s="33">
        <v>0.98404652224570233</v>
      </c>
      <c r="O54" s="33">
        <v>0.98160975097025449</v>
      </c>
      <c r="P54" s="33">
        <v>0.97922402352105586</v>
      </c>
      <c r="Q54" s="33">
        <v>0.97688517413310505</v>
      </c>
      <c r="R54" s="33">
        <v>0.97458939247469067</v>
      </c>
      <c r="S54" s="33">
        <v>0.97233374489860547</v>
      </c>
      <c r="T54" s="33">
        <v>0.97011550241158462</v>
      </c>
      <c r="U54" s="33">
        <v>0.96793230256261209</v>
      </c>
      <c r="V54" s="33">
        <v>0.96578204347141705</v>
      </c>
      <c r="W54" s="33">
        <v>0.96366280273827165</v>
      </c>
      <c r="X54" s="33">
        <v>0.96157279767194725</v>
      </c>
      <c r="Y54" s="33">
        <v>0.95951035300610998</v>
      </c>
      <c r="Z54" s="33">
        <v>0.95747390374199082</v>
      </c>
      <c r="AA54" s="33">
        <v>0.95546199661179365</v>
      </c>
      <c r="AB54" s="33">
        <v>0.95347329052134644</v>
      </c>
      <c r="AC54" s="33">
        <v>0.95150655320407351</v>
      </c>
      <c r="AD54" s="33">
        <v>0.94956065320087624</v>
      </c>
      <c r="AE54" s="33">
        <v>0.94763454928125435</v>
      </c>
      <c r="AF54" s="33">
        <v>0.94572727924484234</v>
      </c>
      <c r="AG54" s="33">
        <v>0.94383794968636803</v>
      </c>
      <c r="AH54" s="33">
        <v>0.94196572779174315</v>
      </c>
      <c r="AI54" s="33">
        <v>0.94010983518604518</v>
      </c>
      <c r="AJ54" s="33">
        <v>0.93826954324938416</v>
      </c>
      <c r="AK54" s="33">
        <v>0.93644417005000646</v>
      </c>
      <c r="AL54" s="33">
        <v>0.93463307680106522</v>
      </c>
      <c r="AM54" s="34">
        <v>0.93283566538949136</v>
      </c>
      <c r="AN54" s="8"/>
      <c r="AP54" s="91"/>
    </row>
    <row r="55" spans="2:42" x14ac:dyDescent="0.35">
      <c r="B55" s="8"/>
      <c r="C55" s="20" t="str">
        <f>"CSL 4: " &amp; INDEX(_doName,2,5)</f>
        <v>CSL 4: EL 4</v>
      </c>
      <c r="D55" s="33">
        <v>1.0132072946219397</v>
      </c>
      <c r="E55" s="33">
        <v>1.0097079895408769</v>
      </c>
      <c r="F55" s="33">
        <v>1.0063556331297452</v>
      </c>
      <c r="G55" s="33">
        <v>1.0031255169780777</v>
      </c>
      <c r="H55" s="33">
        <v>1</v>
      </c>
      <c r="I55" s="33">
        <v>0.99696735529090097</v>
      </c>
      <c r="J55" s="33">
        <v>0.99401964822933986</v>
      </c>
      <c r="K55" s="33">
        <v>0.99115118260874902</v>
      </c>
      <c r="L55" s="33">
        <v>0.98835702833410222</v>
      </c>
      <c r="M55" s="33">
        <v>0.98563231099592474</v>
      </c>
      <c r="N55" s="33">
        <v>0.98297204319488563</v>
      </c>
      <c r="O55" s="33">
        <v>0.98037115349162995</v>
      </c>
      <c r="P55" s="33">
        <v>0.97782474545575293</v>
      </c>
      <c r="Q55" s="33">
        <v>0.97532837275476192</v>
      </c>
      <c r="R55" s="33">
        <v>0.97287796842816154</v>
      </c>
      <c r="S55" s="33">
        <v>0.9704704012453389</v>
      </c>
      <c r="T55" s="33">
        <v>0.96810275841322435</v>
      </c>
      <c r="U55" s="33">
        <v>0.96577251836790123</v>
      </c>
      <c r="V55" s="33">
        <v>0.9634774376658386</v>
      </c>
      <c r="W55" s="33">
        <v>0.96121546443220185</v>
      </c>
      <c r="X55" s="33">
        <v>0.95898469591013125</v>
      </c>
      <c r="Y55" s="33">
        <v>0.95678334400281095</v>
      </c>
      <c r="Z55" s="33">
        <v>0.95460973830759588</v>
      </c>
      <c r="AA55" s="33">
        <v>0.95246232767798122</v>
      </c>
      <c r="AB55" s="33">
        <v>0.95033968069606656</v>
      </c>
      <c r="AC55" s="33">
        <v>0.94824048210117029</v>
      </c>
      <c r="AD55" s="33">
        <v>0.94616352422954964</v>
      </c>
      <c r="AE55" s="33">
        <v>0.94410769572302544</v>
      </c>
      <c r="AF55" s="33">
        <v>0.94207196957629458</v>
      </c>
      <c r="AG55" s="33">
        <v>0.94005539221254952</v>
      </c>
      <c r="AH55" s="33">
        <v>0.93805707472702993</v>
      </c>
      <c r="AI55" s="33">
        <v>0.93607618632066081</v>
      </c>
      <c r="AJ55" s="33">
        <v>0.93411194930043973</v>
      </c>
      <c r="AK55" s="33">
        <v>0.93216363580598283</v>
      </c>
      <c r="AL55" s="33">
        <v>0.93023056402765547</v>
      </c>
      <c r="AM55" s="34">
        <v>0.9283120955690114</v>
      </c>
      <c r="AN55" s="8"/>
      <c r="AP55" s="91"/>
    </row>
    <row r="56" spans="2:42" x14ac:dyDescent="0.35">
      <c r="B56" s="8"/>
      <c r="C56" s="36" t="str">
        <f>INDEX(_pcName,3)</f>
        <v>CADR 150+</v>
      </c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8"/>
      <c r="AN56" s="8"/>
      <c r="AP56" s="91"/>
    </row>
    <row r="57" spans="2:42" x14ac:dyDescent="0.35">
      <c r="B57" s="8"/>
      <c r="C57" s="20" t="str">
        <f>"CSL 0: " &amp; INDEX(_doName,3,1)</f>
        <v>CSL 0: Baseline</v>
      </c>
      <c r="D57" s="33">
        <v>1.0133766870983369</v>
      </c>
      <c r="E57" s="33">
        <v>1.0098325010654732</v>
      </c>
      <c r="F57" s="33">
        <v>1.0064371484185108</v>
      </c>
      <c r="G57" s="33">
        <v>1.0031656038449261</v>
      </c>
      <c r="H57" s="33">
        <v>1</v>
      </c>
      <c r="I57" s="33">
        <v>0.99692845957364684</v>
      </c>
      <c r="J57" s="33">
        <v>0.99394294617754519</v>
      </c>
      <c r="K57" s="33">
        <v>0.99103769054742996</v>
      </c>
      <c r="L57" s="33">
        <v>0.98820769935647546</v>
      </c>
      <c r="M57" s="33">
        <v>0.98544803567761219</v>
      </c>
      <c r="N57" s="33">
        <v>0.98275364814474309</v>
      </c>
      <c r="O57" s="33">
        <v>0.98011940027387767</v>
      </c>
      <c r="P57" s="33">
        <v>0.97754033283458286</v>
      </c>
      <c r="Q57" s="33">
        <v>0.97501194246714806</v>
      </c>
      <c r="R57" s="33">
        <v>0.97253011004956158</v>
      </c>
      <c r="S57" s="33">
        <v>0.97009166419106263</v>
      </c>
      <c r="T57" s="33">
        <v>0.96769365474004265</v>
      </c>
      <c r="U57" s="33">
        <v>0.96533352779182413</v>
      </c>
      <c r="V57" s="33">
        <v>0.96300901112919712</v>
      </c>
      <c r="W57" s="33">
        <v>0.96071802656064598</v>
      </c>
      <c r="X57" s="33">
        <v>0.9584586469251688</v>
      </c>
      <c r="Y57" s="33">
        <v>0.95622906119239992</v>
      </c>
      <c r="Z57" s="33">
        <v>0.95402757753565204</v>
      </c>
      <c r="AA57" s="33">
        <v>0.95185262491391831</v>
      </c>
      <c r="AB57" s="33">
        <v>0.94970275355039657</v>
      </c>
      <c r="AC57" s="33">
        <v>0.94757663131529857</v>
      </c>
      <c r="AD57" s="33">
        <v>0.94547303505577807</v>
      </c>
      <c r="AE57" s="33">
        <v>0.94339083915973643</v>
      </c>
      <c r="AF57" s="33">
        <v>0.94132900344983361</v>
      </c>
      <c r="AG57" s="33">
        <v>0.93928656211899553</v>
      </c>
      <c r="AH57" s="33">
        <v>0.93726261486165729</v>
      </c>
      <c r="AI57" s="33">
        <v>0.93525632022318494</v>
      </c>
      <c r="AJ57" s="33">
        <v>0.93326689053613765</v>
      </c>
      <c r="AK57" s="33">
        <v>0.93129358860483036</v>
      </c>
      <c r="AL57" s="33">
        <v>0.92933572387495933</v>
      </c>
      <c r="AM57" s="34">
        <v>0.92739264976221247</v>
      </c>
      <c r="AN57" s="8"/>
      <c r="AP57" s="91"/>
    </row>
    <row r="58" spans="2:42" x14ac:dyDescent="0.35">
      <c r="B58" s="8"/>
      <c r="C58" s="20" t="str">
        <f>"CSL 1: " &amp; INDEX(_doName,3,2)</f>
        <v>CSL 1: Tier 1</v>
      </c>
      <c r="D58" s="33">
        <v>1.0134720014132621</v>
      </c>
      <c r="E58" s="33">
        <v>1.0099025616190445</v>
      </c>
      <c r="F58" s="33">
        <v>1.0064830157088998</v>
      </c>
      <c r="G58" s="33">
        <v>1.0031881600548149</v>
      </c>
      <c r="H58" s="33">
        <v>1</v>
      </c>
      <c r="I58" s="33">
        <v>0.99690657360372392</v>
      </c>
      <c r="J58" s="33">
        <v>0.99389978721514216</v>
      </c>
      <c r="K58" s="33">
        <v>0.99097383046164478</v>
      </c>
      <c r="L58" s="33">
        <v>0.98812367443692939</v>
      </c>
      <c r="M58" s="33">
        <v>0.98534434703632079</v>
      </c>
      <c r="N58" s="33">
        <v>0.98263076090069235</v>
      </c>
      <c r="O58" s="33">
        <v>0.97997774294652384</v>
      </c>
      <c r="P58" s="33">
        <v>0.97738029860685638</v>
      </c>
      <c r="Q58" s="33">
        <v>0.97483389243371676</v>
      </c>
      <c r="R58" s="33">
        <v>0.97233437595468053</v>
      </c>
      <c r="S58" s="33">
        <v>0.96987855518154276</v>
      </c>
      <c r="T58" s="33">
        <v>0.9674634589416693</v>
      </c>
      <c r="U58" s="33">
        <v>0.9650865151327771</v>
      </c>
      <c r="V58" s="33">
        <v>0.96274543534718837</v>
      </c>
      <c r="W58" s="33">
        <v>0.96043812658543082</v>
      </c>
      <c r="X58" s="33">
        <v>0.95816264795469941</v>
      </c>
      <c r="Y58" s="33">
        <v>0.95591717552030386</v>
      </c>
      <c r="Z58" s="33">
        <v>0.95370000540060584</v>
      </c>
      <c r="AA58" s="33">
        <v>0.95150955536029524</v>
      </c>
      <c r="AB58" s="33">
        <v>0.94934436529232258</v>
      </c>
      <c r="AC58" s="33">
        <v>0.94720309357493537</v>
      </c>
      <c r="AD58" s="33">
        <v>0.94508450833982749</v>
      </c>
      <c r="AE58" s="33">
        <v>0.94298747595445831</v>
      </c>
      <c r="AF58" s="33">
        <v>0.94091094882980297</v>
      </c>
      <c r="AG58" s="33">
        <v>0.93885395427702034</v>
      </c>
      <c r="AH58" s="33">
        <v>0.93681558557550393</v>
      </c>
      <c r="AI58" s="33">
        <v>0.93479499527491439</v>
      </c>
      <c r="AJ58" s="33">
        <v>0.93279139009536149</v>
      </c>
      <c r="AK58" s="33">
        <v>0.93080402758834202</v>
      </c>
      <c r="AL58" s="33">
        <v>0.92883221227907331</v>
      </c>
      <c r="AM58" s="34">
        <v>0.92687529297606797</v>
      </c>
      <c r="AN58" s="8"/>
      <c r="AP58" s="91"/>
    </row>
    <row r="59" spans="2:42" x14ac:dyDescent="0.35">
      <c r="B59" s="8"/>
      <c r="C59" s="20" t="str">
        <f>"CSL 2: " &amp; INDEX(_doName,3,3)</f>
        <v>CSL 2: Tier 2</v>
      </c>
      <c r="D59" s="33">
        <v>1.0135597350996675</v>
      </c>
      <c r="E59" s="33">
        <v>1.0099670500502018</v>
      </c>
      <c r="F59" s="33">
        <v>1.0065252350384348</v>
      </c>
      <c r="G59" s="33">
        <v>1.0032089223028193</v>
      </c>
      <c r="H59" s="33">
        <v>1</v>
      </c>
      <c r="I59" s="33">
        <v>0.99688642828952423</v>
      </c>
      <c r="J59" s="33">
        <v>0.9938600608122824</v>
      </c>
      <c r="K59" s="33">
        <v>0.99091504935678698</v>
      </c>
      <c r="L59" s="33">
        <v>0.98804633226699978</v>
      </c>
      <c r="M59" s="33">
        <v>0.98524890505841889</v>
      </c>
      <c r="N59" s="33">
        <v>0.98251764724151947</v>
      </c>
      <c r="O59" s="33">
        <v>0.97984735204412055</v>
      </c>
      <c r="P59" s="33">
        <v>0.97723299237315508</v>
      </c>
      <c r="Q59" s="33">
        <v>0.97467000324446196</v>
      </c>
      <c r="R59" s="33">
        <v>0.97215420916952822</v>
      </c>
      <c r="S59" s="33">
        <v>0.96968239535994616</v>
      </c>
      <c r="T59" s="33">
        <v>0.9672515712939207</v>
      </c>
      <c r="U59" s="33">
        <v>0.96485914811887241</v>
      </c>
      <c r="V59" s="33">
        <v>0.96250282252433084</v>
      </c>
      <c r="W59" s="33">
        <v>0.96018048788058774</v>
      </c>
      <c r="X59" s="33">
        <v>0.95789019065516612</v>
      </c>
      <c r="Y59" s="33">
        <v>0.95563009503536933</v>
      </c>
      <c r="Z59" s="33">
        <v>0.95339848604337463</v>
      </c>
      <c r="AA59" s="33">
        <v>0.95119377113988379</v>
      </c>
      <c r="AB59" s="33">
        <v>0.94901448070919558</v>
      </c>
      <c r="AC59" s="33">
        <v>0.946859264392517</v>
      </c>
      <c r="AD59" s="33">
        <v>0.94472688229924839</v>
      </c>
      <c r="AE59" s="33">
        <v>0.94261619341429648</v>
      </c>
      <c r="AF59" s="33">
        <v>0.94052614332642448</v>
      </c>
      <c r="AG59" s="33">
        <v>0.93845575301235173</v>
      </c>
      <c r="AH59" s="33">
        <v>0.93640410984663724</v>
      </c>
      <c r="AI59" s="33">
        <v>0.93437036086009251</v>
      </c>
      <c r="AJ59" s="33">
        <v>0.93235370760675229</v>
      </c>
      <c r="AK59" s="33">
        <v>0.93035340280306766</v>
      </c>
      <c r="AL59" s="33">
        <v>0.92836874644511691</v>
      </c>
      <c r="AM59" s="34">
        <v>0.92639908310065966</v>
      </c>
      <c r="AN59" s="8"/>
      <c r="AP59" s="91"/>
    </row>
    <row r="60" spans="2:42" x14ac:dyDescent="0.35">
      <c r="B60" s="8"/>
      <c r="C60" s="20" t="str">
        <f>"CSL 3: " &amp; INDEX(_doName,3,4)</f>
        <v>CSL 3: EL 3</v>
      </c>
      <c r="D60" s="33">
        <v>1.0129305084924578</v>
      </c>
      <c r="E60" s="33">
        <v>1.0095045385748023</v>
      </c>
      <c r="F60" s="33">
        <v>1.0062224377142761</v>
      </c>
      <c r="G60" s="33">
        <v>1.0030600153161737</v>
      </c>
      <c r="H60" s="33">
        <v>1</v>
      </c>
      <c r="I60" s="33">
        <v>0.99703091062264404</v>
      </c>
      <c r="J60" s="33">
        <v>0.99414497884904074</v>
      </c>
      <c r="K60" s="33">
        <v>0.99133662784839305</v>
      </c>
      <c r="L60" s="33">
        <v>0.98860103084599571</v>
      </c>
      <c r="M60" s="33">
        <v>0.98593341558568925</v>
      </c>
      <c r="N60" s="33">
        <v>0.98332889918939359</v>
      </c>
      <c r="O60" s="33">
        <v>0.9807825165002374</v>
      </c>
      <c r="P60" s="33">
        <v>0.97828947370262498</v>
      </c>
      <c r="Q60" s="33">
        <v>0.9758454176461423</v>
      </c>
      <c r="R60" s="33">
        <v>0.97344636660184836</v>
      </c>
      <c r="S60" s="33">
        <v>0.97108925496053333</v>
      </c>
      <c r="T60" s="33">
        <v>0.96877123097272078</v>
      </c>
      <c r="U60" s="33">
        <v>0.9664898259190724</v>
      </c>
      <c r="V60" s="33">
        <v>0.9642428433720488</v>
      </c>
      <c r="W60" s="33">
        <v>0.96202827445808936</v>
      </c>
      <c r="X60" s="33">
        <v>0.95984425629653303</v>
      </c>
      <c r="Y60" s="33">
        <v>0.95768903826382479</v>
      </c>
      <c r="Z60" s="33">
        <v>0.95556098496405639</v>
      </c>
      <c r="AA60" s="33">
        <v>0.95345857775820064</v>
      </c>
      <c r="AB60" s="33">
        <v>0.95138041522667471</v>
      </c>
      <c r="AC60" s="33">
        <v>0.94932520967280076</v>
      </c>
      <c r="AD60" s="33">
        <v>0.94729177874192283</v>
      </c>
      <c r="AE60" s="33">
        <v>0.9452790343666676</v>
      </c>
      <c r="AF60" s="33">
        <v>0.94328597106474854</v>
      </c>
      <c r="AG60" s="33">
        <v>0.941311655243529</v>
      </c>
      <c r="AH60" s="33">
        <v>0.93935521662708321</v>
      </c>
      <c r="AI60" s="33">
        <v>0.93741584182744653</v>
      </c>
      <c r="AJ60" s="33">
        <v>0.9354927694497791</v>
      </c>
      <c r="AK60" s="33">
        <v>0.93358528688751419</v>
      </c>
      <c r="AL60" s="33">
        <v>0.93169272661974589</v>
      </c>
      <c r="AM60" s="34">
        <v>0.92981446362894371</v>
      </c>
      <c r="AN60" s="8"/>
      <c r="AP60" s="91"/>
    </row>
    <row r="61" spans="2:42" x14ac:dyDescent="0.35">
      <c r="B61" s="8"/>
      <c r="C61" s="20" t="str">
        <f>"CSL 4: " &amp; INDEX(_doName,3,5)</f>
        <v>CSL 4: EL 4</v>
      </c>
      <c r="D61" s="33">
        <v>1.0128339554822299</v>
      </c>
      <c r="E61" s="33">
        <v>1.0094335675212849</v>
      </c>
      <c r="F61" s="33">
        <v>1.0061759743371694</v>
      </c>
      <c r="G61" s="33">
        <v>1.0030371659680379</v>
      </c>
      <c r="H61" s="33">
        <v>1</v>
      </c>
      <c r="I61" s="33">
        <v>0.99705308102044288</v>
      </c>
      <c r="J61" s="33">
        <v>0.99418869870100191</v>
      </c>
      <c r="K61" s="33">
        <v>0.99140131785346508</v>
      </c>
      <c r="L61" s="33">
        <v>0.9886861477449912</v>
      </c>
      <c r="M61" s="33">
        <v>0.9860384517541908</v>
      </c>
      <c r="N61" s="33">
        <v>0.98345338346377564</v>
      </c>
      <c r="O61" s="33">
        <v>0.98092601479204755</v>
      </c>
      <c r="P61" s="33">
        <v>0.97845158771916685</v>
      </c>
      <c r="Q61" s="33">
        <v>0.97602578159999764</v>
      </c>
      <c r="R61" s="33">
        <v>0.97364464443744714</v>
      </c>
      <c r="S61" s="33">
        <v>0.97130513351342362</v>
      </c>
      <c r="T61" s="33">
        <v>0.96900441837266327</v>
      </c>
      <c r="U61" s="33">
        <v>0.96674004872992758</v>
      </c>
      <c r="V61" s="33">
        <v>0.96450984455855493</v>
      </c>
      <c r="W61" s="33">
        <v>0.96231181198538407</v>
      </c>
      <c r="X61" s="33">
        <v>0.96014410204001366</v>
      </c>
      <c r="Y61" s="33">
        <v>0.95800497717091748</v>
      </c>
      <c r="Z61" s="33">
        <v>0.95589281419380245</v>
      </c>
      <c r="AA61" s="33">
        <v>0.95380610580942526</v>
      </c>
      <c r="AB61" s="33">
        <v>0.95174346106270102</v>
      </c>
      <c r="AC61" s="33">
        <v>0.94970360187227265</v>
      </c>
      <c r="AD61" s="33">
        <v>0.94768535471220949</v>
      </c>
      <c r="AE61" s="33">
        <v>0.94568763963981295</v>
      </c>
      <c r="AF61" s="33">
        <v>0.94370945868080303</v>
      </c>
      <c r="AG61" s="33">
        <v>0.94174988521374459</v>
      </c>
      <c r="AH61" s="33">
        <v>0.939808055461123</v>
      </c>
      <c r="AI61" s="33">
        <v>0.93788316210859834</v>
      </c>
      <c r="AJ61" s="33">
        <v>0.93597444944671915</v>
      </c>
      <c r="AK61" s="33">
        <v>0.93408121019000179</v>
      </c>
      <c r="AL61" s="33">
        <v>0.9322027818019657</v>
      </c>
      <c r="AM61" s="34">
        <v>0.93033854393212967</v>
      </c>
      <c r="AN61" s="8"/>
      <c r="AP61" s="91"/>
    </row>
    <row r="62" spans="2:42" x14ac:dyDescent="0.35">
      <c r="B62" s="8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8"/>
    </row>
    <row r="63" spans="2:42" x14ac:dyDescent="0.35">
      <c r="B63" s="8"/>
      <c r="C63" s="23" t="str">
        <f>"Price Index: " &amp; INDEX(_PIdx,3)</f>
        <v>Price Index: High</v>
      </c>
      <c r="D63" s="26">
        <f t="array" ref="D63:AM63">_yS</f>
        <v>2024</v>
      </c>
      <c r="E63" s="26">
        <v>2025</v>
      </c>
      <c r="F63" s="26">
        <v>2026</v>
      </c>
      <c r="G63" s="26">
        <v>2027</v>
      </c>
      <c r="H63" s="26">
        <v>2028</v>
      </c>
      <c r="I63" s="26">
        <v>2029</v>
      </c>
      <c r="J63" s="26">
        <v>2030</v>
      </c>
      <c r="K63" s="26">
        <v>2031</v>
      </c>
      <c r="L63" s="26">
        <v>2032</v>
      </c>
      <c r="M63" s="26">
        <v>2033</v>
      </c>
      <c r="N63" s="26">
        <v>2034</v>
      </c>
      <c r="O63" s="26">
        <v>2035</v>
      </c>
      <c r="P63" s="26">
        <v>2036</v>
      </c>
      <c r="Q63" s="26">
        <v>2037</v>
      </c>
      <c r="R63" s="26">
        <v>2038</v>
      </c>
      <c r="S63" s="26">
        <v>2039</v>
      </c>
      <c r="T63" s="26">
        <v>2040</v>
      </c>
      <c r="U63" s="26">
        <v>2041</v>
      </c>
      <c r="V63" s="26">
        <v>2042</v>
      </c>
      <c r="W63" s="26">
        <v>2043</v>
      </c>
      <c r="X63" s="26">
        <v>2044</v>
      </c>
      <c r="Y63" s="26">
        <v>2045</v>
      </c>
      <c r="Z63" s="26">
        <v>2046</v>
      </c>
      <c r="AA63" s="26">
        <v>2047</v>
      </c>
      <c r="AB63" s="26">
        <v>2048</v>
      </c>
      <c r="AC63" s="26">
        <v>2049</v>
      </c>
      <c r="AD63" s="26">
        <v>2050</v>
      </c>
      <c r="AE63" s="26">
        <v>2051</v>
      </c>
      <c r="AF63" s="26">
        <v>2052</v>
      </c>
      <c r="AG63" s="26">
        <v>2053</v>
      </c>
      <c r="AH63" s="26">
        <v>2054</v>
      </c>
      <c r="AI63" s="26">
        <v>2055</v>
      </c>
      <c r="AJ63" s="26">
        <v>2056</v>
      </c>
      <c r="AK63" s="26">
        <v>2057</v>
      </c>
      <c r="AL63" s="26">
        <v>2058</v>
      </c>
      <c r="AM63" s="27">
        <v>2059</v>
      </c>
      <c r="AN63" s="8"/>
    </row>
    <row r="64" spans="2:42" x14ac:dyDescent="0.35">
      <c r="B64" s="8"/>
      <c r="C64" s="10" t="str">
        <f>INDEX(_pcName,1)</f>
        <v>CADR 10-99</v>
      </c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18"/>
      <c r="AN64" s="8"/>
    </row>
    <row r="65" spans="2:42" x14ac:dyDescent="0.35">
      <c r="B65" s="8"/>
      <c r="C65" s="20" t="str">
        <f>"CSL 0: " &amp; INDEX(_doName,1,1)</f>
        <v>CSL 0: Baseline</v>
      </c>
      <c r="D65" s="33">
        <v>1.0358995107878219</v>
      </c>
      <c r="E65" s="33">
        <v>1.0263066588135497</v>
      </c>
      <c r="F65" s="33">
        <v>1.0171716107568347</v>
      </c>
      <c r="G65" s="33">
        <v>1.0084204397792775</v>
      </c>
      <c r="H65" s="33">
        <v>1</v>
      </c>
      <c r="I65" s="33">
        <v>0.99187419472676752</v>
      </c>
      <c r="J65" s="33">
        <v>0.98401783426467127</v>
      </c>
      <c r="K65" s="33">
        <v>0.97641221568981418</v>
      </c>
      <c r="L65" s="33">
        <v>0.96904106722204331</v>
      </c>
      <c r="M65" s="33">
        <v>0.96188861594669928</v>
      </c>
      <c r="N65" s="33">
        <v>0.95493912626863464</v>
      </c>
      <c r="O65" s="33">
        <v>0.94817696492745296</v>
      </c>
      <c r="P65" s="33">
        <v>0.94158725882877325</v>
      </c>
      <c r="Q65" s="33">
        <v>0.93515657689825837</v>
      </c>
      <c r="R65" s="33">
        <v>0.92887271009765171</v>
      </c>
      <c r="S65" s="33">
        <v>0.92272605632065674</v>
      </c>
      <c r="T65" s="33">
        <v>0.91670774004894517</v>
      </c>
      <c r="U65" s="33">
        <v>0.91081003012554351</v>
      </c>
      <c r="V65" s="33">
        <v>0.90502602854428038</v>
      </c>
      <c r="W65" s="33">
        <v>0.8993494342947419</v>
      </c>
      <c r="X65" s="33">
        <v>0.8937744235587628</v>
      </c>
      <c r="Y65" s="33">
        <v>0.88829555305008201</v>
      </c>
      <c r="Z65" s="33">
        <v>0.88290775871479876</v>
      </c>
      <c r="AA65" s="33">
        <v>0.87760635104348972</v>
      </c>
      <c r="AB65" s="33">
        <v>0.87238700800819169</v>
      </c>
      <c r="AC65" s="33">
        <v>0.86724575844761431</v>
      </c>
      <c r="AD65" s="33">
        <v>0.86217895384062604</v>
      </c>
      <c r="AE65" s="33">
        <v>0.85718323423743625</v>
      </c>
      <c r="AF65" s="33">
        <v>0.8522554934837886</v>
      </c>
      <c r="AG65" s="33">
        <v>0.84739284780241164</v>
      </c>
      <c r="AH65" s="33">
        <v>0.84259261035659561</v>
      </c>
      <c r="AI65" s="33">
        <v>0.83785227167604748</v>
      </c>
      <c r="AJ65" s="33">
        <v>0.8331694842964823</v>
      </c>
      <c r="AK65" s="33">
        <v>0.82854205187221053</v>
      </c>
      <c r="AL65" s="33">
        <v>0.82396791736103292</v>
      </c>
      <c r="AM65" s="34">
        <v>0.8194451541892982</v>
      </c>
      <c r="AN65" s="8"/>
      <c r="AP65" s="91"/>
    </row>
    <row r="66" spans="2:42" x14ac:dyDescent="0.35">
      <c r="B66" s="8"/>
      <c r="C66" s="20" t="str">
        <f>"CSL 1: " &amp; INDEX(_doName,1,2)</f>
        <v>CSL 1: Tier 1</v>
      </c>
      <c r="D66" s="33">
        <v>1.0367149126639212</v>
      </c>
      <c r="E66" s="33">
        <v>1.0269041738904892</v>
      </c>
      <c r="F66" s="33">
        <v>1.017561637342699</v>
      </c>
      <c r="G66" s="33">
        <v>1.0086116970483301</v>
      </c>
      <c r="H66" s="33">
        <v>1</v>
      </c>
      <c r="I66" s="33">
        <v>0.99168962962492613</v>
      </c>
      <c r="J66" s="33">
        <v>0.98365482408323068</v>
      </c>
      <c r="K66" s="33">
        <v>0.97587645564302061</v>
      </c>
      <c r="L66" s="33">
        <v>0.96833788293581791</v>
      </c>
      <c r="M66" s="33">
        <v>0.96102297478959642</v>
      </c>
      <c r="N66" s="33">
        <v>0.95391563819949665</v>
      </c>
      <c r="O66" s="33">
        <v>0.94699988481978625</v>
      </c>
      <c r="P66" s="33">
        <v>0.94026050373674364</v>
      </c>
      <c r="Q66" s="33">
        <v>0.93368375880994636</v>
      </c>
      <c r="R66" s="33">
        <v>0.92725716369171285</v>
      </c>
      <c r="S66" s="33">
        <v>0.92097089817874978</v>
      </c>
      <c r="T66" s="33">
        <v>0.91481588515905432</v>
      </c>
      <c r="U66" s="33">
        <v>0.90878421787437669</v>
      </c>
      <c r="V66" s="33">
        <v>0.90286884164100201</v>
      </c>
      <c r="W66" s="33">
        <v>0.89706331233080816</v>
      </c>
      <c r="X66" s="33">
        <v>0.89136167384660547</v>
      </c>
      <c r="Y66" s="33">
        <v>0.88575835926630242</v>
      </c>
      <c r="Z66" s="33">
        <v>0.88024818951384454</v>
      </c>
      <c r="AA66" s="33">
        <v>0.87482636856485319</v>
      </c>
      <c r="AB66" s="33">
        <v>0.86948847622318326</v>
      </c>
      <c r="AC66" s="33">
        <v>0.86423045112875618</v>
      </c>
      <c r="AD66" s="33">
        <v>0.85904856188992473</v>
      </c>
      <c r="AE66" s="33">
        <v>0.85393937224083438</v>
      </c>
      <c r="AF66" s="33">
        <v>0.84889970547573756</v>
      </c>
      <c r="AG66" s="33">
        <v>0.84392661231682153</v>
      </c>
      <c r="AH66" s="33">
        <v>0.83901734490003532</v>
      </c>
      <c r="AI66" s="33">
        <v>0.83416933675634852</v>
      </c>
      <c r="AJ66" s="33">
        <v>0.82938018710245498</v>
      </c>
      <c r="AK66" s="33">
        <v>0.82464764970606885</v>
      </c>
      <c r="AL66" s="33">
        <v>0.81996962080245817</v>
      </c>
      <c r="AM66" s="34">
        <v>0.81534413005883022</v>
      </c>
      <c r="AN66" s="8"/>
      <c r="AP66" s="91"/>
    </row>
    <row r="67" spans="2:42" x14ac:dyDescent="0.35">
      <c r="B67" s="8"/>
      <c r="C67" s="20" t="str">
        <f>"CSL 2: " &amp; INDEX(_doName,1,3)</f>
        <v>CSL 2: Tier 2</v>
      </c>
      <c r="D67" s="33">
        <v>1.0369088979703698</v>
      </c>
      <c r="E67" s="33">
        <v>1.0270463236067273</v>
      </c>
      <c r="F67" s="33">
        <v>1.0176544252415249</v>
      </c>
      <c r="G67" s="33">
        <v>1.0086571974341338</v>
      </c>
      <c r="H67" s="33">
        <v>1</v>
      </c>
      <c r="I67" s="33">
        <v>0.99164572131555151</v>
      </c>
      <c r="J67" s="33">
        <v>0.9835684634267805</v>
      </c>
      <c r="K67" s="33">
        <v>0.9757489975393463</v>
      </c>
      <c r="L67" s="33">
        <v>0.96817059435916453</v>
      </c>
      <c r="M67" s="33">
        <v>0.96081703748425396</v>
      </c>
      <c r="N67" s="33">
        <v>0.9536721488814589</v>
      </c>
      <c r="O67" s="33">
        <v>0.94671985572972284</v>
      </c>
      <c r="P67" s="33">
        <v>0.93994486674760569</v>
      </c>
      <c r="Q67" s="33">
        <v>0.93333337321901444</v>
      </c>
      <c r="R67" s="33">
        <v>0.92687282282394712</v>
      </c>
      <c r="S67" s="33">
        <v>0.92055334347351392</v>
      </c>
      <c r="T67" s="33">
        <v>0.91436581009628015</v>
      </c>
      <c r="U67" s="33">
        <v>0.90830227415819387</v>
      </c>
      <c r="V67" s="33">
        <v>0.90235564370172217</v>
      </c>
      <c r="W67" s="33">
        <v>0.89651944055082922</v>
      </c>
      <c r="X67" s="33">
        <v>0.89078767713895091</v>
      </c>
      <c r="Y67" s="33">
        <v>0.88515475713084968</v>
      </c>
      <c r="Z67" s="33">
        <v>0.8796154740865314</v>
      </c>
      <c r="AA67" s="33">
        <v>0.87416500664155283</v>
      </c>
      <c r="AB67" s="33">
        <v>0.86879891124541386</v>
      </c>
      <c r="AC67" s="33">
        <v>0.86351310507961143</v>
      </c>
      <c r="AD67" s="33">
        <v>0.8583038370374807</v>
      </c>
      <c r="AE67" s="33">
        <v>0.85316765269746309</v>
      </c>
      <c r="AF67" s="33">
        <v>0.84810135856950775</v>
      </c>
      <c r="AG67" s="33">
        <v>0.84310198979312634</v>
      </c>
      <c r="AH67" s="33">
        <v>0.83816678398577382</v>
      </c>
      <c r="AI67" s="33">
        <v>0.83329316111833629</v>
      </c>
      <c r="AJ67" s="33">
        <v>0.82847870772283394</v>
      </c>
      <c r="AK67" s="33">
        <v>0.82372116569888632</v>
      </c>
      <c r="AL67" s="33">
        <v>0.81901842016640192</v>
      </c>
      <c r="AM67" s="34">
        <v>0.81436849038222425</v>
      </c>
      <c r="AN67" s="8"/>
      <c r="AP67" s="91"/>
    </row>
    <row r="68" spans="2:42" x14ac:dyDescent="0.35">
      <c r="B68" s="8"/>
      <c r="C68" s="20" t="str">
        <f>"CSL 3: " &amp; INDEX(_doName,1,4)</f>
        <v>CSL 3: EL 3</v>
      </c>
      <c r="D68" s="33">
        <v>1.0329342729828794</v>
      </c>
      <c r="E68" s="33">
        <v>1.0241337740715624</v>
      </c>
      <c r="F68" s="33">
        <v>1.0157532652621324</v>
      </c>
      <c r="G68" s="33">
        <v>1.0077249259458068</v>
      </c>
      <c r="H68" s="33">
        <v>1</v>
      </c>
      <c r="I68" s="33">
        <v>0.99254537225713002</v>
      </c>
      <c r="J68" s="33">
        <v>0.98533793364773403</v>
      </c>
      <c r="K68" s="33">
        <v>0.97836052607723945</v>
      </c>
      <c r="L68" s="33">
        <v>0.97159822178652888</v>
      </c>
      <c r="M68" s="33">
        <v>0.96503655067654737</v>
      </c>
      <c r="N68" s="33">
        <v>0.95866107688522406</v>
      </c>
      <c r="O68" s="33">
        <v>0.95245745843256546</v>
      </c>
      <c r="P68" s="33">
        <v>0.94641205071618839</v>
      </c>
      <c r="Q68" s="33">
        <v>0.94051253204537988</v>
      </c>
      <c r="R68" s="33">
        <v>0.93474770182743061</v>
      </c>
      <c r="S68" s="33">
        <v>0.929108751073498</v>
      </c>
      <c r="T68" s="33">
        <v>0.92358753736779242</v>
      </c>
      <c r="U68" s="33">
        <v>0.91817696813359995</v>
      </c>
      <c r="V68" s="33">
        <v>0.91287071512818729</v>
      </c>
      <c r="W68" s="33">
        <v>0.90766299779375603</v>
      </c>
      <c r="X68" s="33">
        <v>0.90254847334949806</v>
      </c>
      <c r="Y68" s="33">
        <v>0.89752214811522912</v>
      </c>
      <c r="Z68" s="33">
        <v>0.89257937631918494</v>
      </c>
      <c r="AA68" s="33">
        <v>0.88771585579734957</v>
      </c>
      <c r="AB68" s="33">
        <v>0.88292762151383108</v>
      </c>
      <c r="AC68" s="33">
        <v>0.87821103031842673</v>
      </c>
      <c r="AD68" s="33">
        <v>0.87356273505157112</v>
      </c>
      <c r="AE68" s="33">
        <v>0.86897965328954374</v>
      </c>
      <c r="AF68" s="33">
        <v>0.86445893544108376</v>
      </c>
      <c r="AG68" s="33">
        <v>0.8599979359239589</v>
      </c>
      <c r="AH68" s="33">
        <v>0.85559418982954771</v>
      </c>
      <c r="AI68" s="33">
        <v>0.85124539496548413</v>
      </c>
      <c r="AJ68" s="33">
        <v>0.84694939776399314</v>
      </c>
      <c r="AK68" s="33">
        <v>0.84270418329375896</v>
      </c>
      <c r="AL68" s="33">
        <v>0.83850786442072744</v>
      </c>
      <c r="AM68" s="34">
        <v>0.83435867370291539</v>
      </c>
      <c r="AN68" s="8"/>
      <c r="AP68" s="91"/>
    </row>
    <row r="69" spans="2:42" x14ac:dyDescent="0.35">
      <c r="B69" s="8"/>
      <c r="C69" s="20" t="str">
        <f>"CSL 4: " &amp; INDEX(_doName,1,5)</f>
        <v>CSL 4: EL 4</v>
      </c>
      <c r="D69" s="33">
        <v>1.0332738180195222</v>
      </c>
      <c r="E69" s="33">
        <v>1.0243825879198509</v>
      </c>
      <c r="F69" s="33">
        <v>1.015915677926698</v>
      </c>
      <c r="G69" s="33">
        <v>1.0078045682158729</v>
      </c>
      <c r="H69" s="33">
        <v>1</v>
      </c>
      <c r="I69" s="33">
        <v>0.99246851670147751</v>
      </c>
      <c r="J69" s="33">
        <v>0.98518677100147101</v>
      </c>
      <c r="K69" s="33">
        <v>0.9781374279092655</v>
      </c>
      <c r="L69" s="33">
        <v>0.97130540576386382</v>
      </c>
      <c r="M69" s="33">
        <v>0.96467608528270488</v>
      </c>
      <c r="N69" s="33">
        <v>0.95823488177318761</v>
      </c>
      <c r="O69" s="33">
        <v>0.95196730539269125</v>
      </c>
      <c r="P69" s="33">
        <v>0.94585957086601402</v>
      </c>
      <c r="Q69" s="33">
        <v>0.93989922946854942</v>
      </c>
      <c r="R69" s="33">
        <v>0.93407496513196597</v>
      </c>
      <c r="S69" s="33">
        <v>0.92837787804870364</v>
      </c>
      <c r="T69" s="33">
        <v>0.92279974185647484</v>
      </c>
      <c r="U69" s="33">
        <v>0.91733339085567611</v>
      </c>
      <c r="V69" s="33">
        <v>0.91197243156079721</v>
      </c>
      <c r="W69" s="33">
        <v>0.90671102381777358</v>
      </c>
      <c r="X69" s="33">
        <v>0.90154376976291395</v>
      </c>
      <c r="Y69" s="33">
        <v>0.89646562423230092</v>
      </c>
      <c r="Z69" s="33">
        <v>0.89147189355729572</v>
      </c>
      <c r="AA69" s="33">
        <v>0.88655823121952726</v>
      </c>
      <c r="AB69" s="33">
        <v>0.88172063130446443</v>
      </c>
      <c r="AC69" s="33">
        <v>0.87695541310183556</v>
      </c>
      <c r="AD69" s="33">
        <v>0.87225919494360382</v>
      </c>
      <c r="AE69" s="33">
        <v>0.86762886262694505</v>
      </c>
      <c r="AF69" s="33">
        <v>0.86306153718194545</v>
      </c>
      <c r="AG69" s="33">
        <v>0.8585545457510082</v>
      </c>
      <c r="AH69" s="33">
        <v>0.85410539801285124</v>
      </c>
      <c r="AI69" s="33">
        <v>0.84971176804001702</v>
      </c>
      <c r="AJ69" s="33">
        <v>0.84537148006192508</v>
      </c>
      <c r="AK69" s="33">
        <v>0.8410824983737657</v>
      </c>
      <c r="AL69" s="33">
        <v>0.83684291638555175</v>
      </c>
      <c r="AM69" s="34">
        <v>0.83265094843336596</v>
      </c>
      <c r="AN69" s="8"/>
      <c r="AP69" s="91"/>
    </row>
    <row r="70" spans="2:42" x14ac:dyDescent="0.35">
      <c r="B70" s="8"/>
      <c r="C70" s="36" t="str">
        <f>INDEX(_pcName,2)</f>
        <v>CADR 100-149</v>
      </c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8"/>
      <c r="AN70" s="8"/>
      <c r="AP70" s="91"/>
    </row>
    <row r="71" spans="2:42" x14ac:dyDescent="0.35">
      <c r="B71" s="8"/>
      <c r="C71" s="20" t="str">
        <f>"CSL 0: " &amp; INDEX(_doName,2,1)</f>
        <v>CSL 0: Baseline</v>
      </c>
      <c r="D71" s="33">
        <v>1.0338771419841484</v>
      </c>
      <c r="E71" s="33">
        <v>1.0248246952729363</v>
      </c>
      <c r="F71" s="33">
        <v>1.0162042624798988</v>
      </c>
      <c r="G71" s="33">
        <v>1.0079460813730177</v>
      </c>
      <c r="H71" s="33">
        <v>1</v>
      </c>
      <c r="I71" s="33">
        <v>0.99233195514546624</v>
      </c>
      <c r="J71" s="33">
        <v>0.98491817615482413</v>
      </c>
      <c r="K71" s="33">
        <v>0.97774101371769384</v>
      </c>
      <c r="L71" s="33">
        <v>0.97078511271099766</v>
      </c>
      <c r="M71" s="33">
        <v>0.96403558877398265</v>
      </c>
      <c r="N71" s="33">
        <v>0.95747759276304434</v>
      </c>
      <c r="O71" s="33">
        <v>0.95109637210438736</v>
      </c>
      <c r="P71" s="33">
        <v>0.94487789156691693</v>
      </c>
      <c r="Q71" s="33">
        <v>0.93880947670459369</v>
      </c>
      <c r="R71" s="33">
        <v>0.93287960626508226</v>
      </c>
      <c r="S71" s="33">
        <v>0.92707921906868351</v>
      </c>
      <c r="T71" s="33">
        <v>0.92139993959194366</v>
      </c>
      <c r="U71" s="33">
        <v>0.91583447220612679</v>
      </c>
      <c r="V71" s="33">
        <v>0.910376307498449</v>
      </c>
      <c r="W71" s="33">
        <v>0.90501949942062832</v>
      </c>
      <c r="X71" s="33">
        <v>0.89975855223440693</v>
      </c>
      <c r="Y71" s="33">
        <v>0.8945883292964858</v>
      </c>
      <c r="Z71" s="33">
        <v>0.88950405183218972</v>
      </c>
      <c r="AA71" s="33">
        <v>0.8845012945116717</v>
      </c>
      <c r="AB71" s="33">
        <v>0.87957597878478588</v>
      </c>
      <c r="AC71" s="33">
        <v>0.87472435720227948</v>
      </c>
      <c r="AD71" s="33">
        <v>0.86994298677939597</v>
      </c>
      <c r="AE71" s="33">
        <v>0.86522869684629566</v>
      </c>
      <c r="AF71" s="33">
        <v>0.86057855623131485</v>
      </c>
      <c r="AG71" s="33">
        <v>0.85598984361235353</v>
      </c>
      <c r="AH71" s="33">
        <v>0.85146002351339278</v>
      </c>
      <c r="AI71" s="33">
        <v>0.84698672783304174</v>
      </c>
      <c r="AJ71" s="33">
        <v>0.84256774134944534</v>
      </c>
      <c r="AK71" s="33">
        <v>0.83820099144620475</v>
      </c>
      <c r="AL71" s="33">
        <v>0.83388453696286613</v>
      </c>
      <c r="AM71" s="34">
        <v>0.82961655985768756</v>
      </c>
      <c r="AN71" s="8"/>
      <c r="AP71" s="91"/>
    </row>
    <row r="72" spans="2:42" x14ac:dyDescent="0.35">
      <c r="B72" s="8"/>
      <c r="C72" s="20" t="str">
        <f>"CSL 1: " &amp; INDEX(_doName,2,2)</f>
        <v>CSL 1: Tier 1</v>
      </c>
      <c r="D72" s="33">
        <v>1.0346298496786424</v>
      </c>
      <c r="E72" s="33">
        <v>1.025376268931486</v>
      </c>
      <c r="F72" s="33">
        <v>1.0165643009110605</v>
      </c>
      <c r="G72" s="33">
        <v>1.0081226333558662</v>
      </c>
      <c r="H72" s="33">
        <v>1</v>
      </c>
      <c r="I72" s="33">
        <v>0.99216158078606975</v>
      </c>
      <c r="J72" s="33">
        <v>0.98458307690528946</v>
      </c>
      <c r="K72" s="33">
        <v>0.97724644690169238</v>
      </c>
      <c r="L72" s="33">
        <v>0.97013599448058441</v>
      </c>
      <c r="M72" s="33">
        <v>0.96323650456934595</v>
      </c>
      <c r="N72" s="33">
        <v>0.95653279809498648</v>
      </c>
      <c r="O72" s="33">
        <v>0.95000979469998525</v>
      </c>
      <c r="P72" s="33">
        <v>0.943653147307979</v>
      </c>
      <c r="Q72" s="33">
        <v>0.93744989986260041</v>
      </c>
      <c r="R72" s="33">
        <v>0.93138827512370737</v>
      </c>
      <c r="S72" s="33">
        <v>0.92545901058352875</v>
      </c>
      <c r="T72" s="33">
        <v>0.91965354462496207</v>
      </c>
      <c r="U72" s="33">
        <v>0.91396441951953244</v>
      </c>
      <c r="V72" s="33">
        <v>0.90838498122345079</v>
      </c>
      <c r="W72" s="33">
        <v>0.90290915157468432</v>
      </c>
      <c r="X72" s="33">
        <v>0.89753131272654985</v>
      </c>
      <c r="Y72" s="33">
        <v>0.89224621390596304</v>
      </c>
      <c r="Z72" s="33">
        <v>0.88704897015985629</v>
      </c>
      <c r="AA72" s="33">
        <v>0.88193505783309245</v>
      </c>
      <c r="AB72" s="33">
        <v>0.87690030775524597</v>
      </c>
      <c r="AC72" s="33">
        <v>0.87194088921343171</v>
      </c>
      <c r="AD72" s="33">
        <v>0.86705328272408155</v>
      </c>
      <c r="AE72" s="33">
        <v>0.86223424716904007</v>
      </c>
      <c r="AF72" s="33">
        <v>0.85748078624967783</v>
      </c>
      <c r="AG72" s="33">
        <v>0.85279011817952377</v>
      </c>
      <c r="AH72" s="33">
        <v>0.84815965114745528</v>
      </c>
      <c r="AI72" s="33">
        <v>0.84358696443583236</v>
      </c>
      <c r="AJ72" s="33">
        <v>0.83906979360334299</v>
      </c>
      <c r="AK72" s="33">
        <v>0.83460601998264605</v>
      </c>
      <c r="AL72" s="33">
        <v>0.83019365928313182</v>
      </c>
      <c r="AM72" s="34">
        <v>0.8258308530684465</v>
      </c>
      <c r="AN72" s="8"/>
      <c r="AP72" s="91"/>
    </row>
    <row r="73" spans="2:42" x14ac:dyDescent="0.35">
      <c r="B73" s="8"/>
      <c r="C73" s="20" t="str">
        <f>"CSL 2: " &amp; INDEX(_doName,2,3)</f>
        <v>CSL 2: Tier 2</v>
      </c>
      <c r="D73" s="33">
        <v>1.0353527511567755</v>
      </c>
      <c r="E73" s="33">
        <v>1.0259060010120553</v>
      </c>
      <c r="F73" s="33">
        <v>1.0169100823026624</v>
      </c>
      <c r="G73" s="33">
        <v>1.0082921941167062</v>
      </c>
      <c r="H73" s="33">
        <v>1</v>
      </c>
      <c r="I73" s="33">
        <v>0.99199795302306881</v>
      </c>
      <c r="J73" s="33">
        <v>0.98426124713713137</v>
      </c>
      <c r="K73" s="33">
        <v>0.97677146426907402</v>
      </c>
      <c r="L73" s="33">
        <v>0.96951258046252509</v>
      </c>
      <c r="M73" s="33">
        <v>0.96246906302874513</v>
      </c>
      <c r="N73" s="33">
        <v>0.95562541603011975</v>
      </c>
      <c r="O73" s="33">
        <v>0.94896624430519871</v>
      </c>
      <c r="P73" s="33">
        <v>0.94247690128100536</v>
      </c>
      <c r="Q73" s="33">
        <v>0.93614416044223636</v>
      </c>
      <c r="R73" s="33">
        <v>0.92995599869771683</v>
      </c>
      <c r="S73" s="33">
        <v>0.92390296018392537</v>
      </c>
      <c r="T73" s="33">
        <v>0.91797630455917067</v>
      </c>
      <c r="U73" s="33">
        <v>0.91216841841417085</v>
      </c>
      <c r="V73" s="33">
        <v>0.90647250880132579</v>
      </c>
      <c r="W73" s="33">
        <v>0.90088237067637966</v>
      </c>
      <c r="X73" s="33">
        <v>0.89539226891955359</v>
      </c>
      <c r="Y73" s="33">
        <v>0.88999684314736471</v>
      </c>
      <c r="Z73" s="33">
        <v>0.88469110643287541</v>
      </c>
      <c r="AA73" s="33">
        <v>0.87947044068920788</v>
      </c>
      <c r="AB73" s="33">
        <v>0.87433058971409849</v>
      </c>
      <c r="AC73" s="33">
        <v>0.86926764282815838</v>
      </c>
      <c r="AD73" s="33">
        <v>0.86427800707825786</v>
      </c>
      <c r="AE73" s="33">
        <v>0.85935837368758494</v>
      </c>
      <c r="AF73" s="33">
        <v>0.85450568380948488</v>
      </c>
      <c r="AG73" s="33">
        <v>0.84971709758742409</v>
      </c>
      <c r="AH73" s="33">
        <v>0.84498996910597035</v>
      </c>
      <c r="AI73" s="33">
        <v>0.84032182711476799</v>
      </c>
      <c r="AJ73" s="33">
        <v>0.83571035990207232</v>
      </c>
      <c r="AK73" s="33">
        <v>0.83115340457315556</v>
      </c>
      <c r="AL73" s="33">
        <v>0.82664893541514861</v>
      </c>
      <c r="AM73" s="34">
        <v>0.82219505519665814</v>
      </c>
      <c r="AN73" s="8"/>
      <c r="AP73" s="91"/>
    </row>
    <row r="74" spans="2:42" x14ac:dyDescent="0.35">
      <c r="B74" s="8"/>
      <c r="C74" s="20" t="str">
        <f>"CSL 3: " &amp; INDEX(_doName,2,4)</f>
        <v>CSL 3: EL 3</v>
      </c>
      <c r="D74" s="33">
        <v>1.0315957050034348</v>
      </c>
      <c r="E74" s="33">
        <v>1.0231528901998541</v>
      </c>
      <c r="F74" s="33">
        <v>1.0151129955812881</v>
      </c>
      <c r="G74" s="33">
        <v>1.0074109570138066</v>
      </c>
      <c r="H74" s="33">
        <v>1</v>
      </c>
      <c r="I74" s="33">
        <v>0.99284835529247661</v>
      </c>
      <c r="J74" s="33">
        <v>0.98593385305794345</v>
      </c>
      <c r="K74" s="33">
        <v>0.9792400325688535</v>
      </c>
      <c r="L74" s="33">
        <v>0.97275257278421456</v>
      </c>
      <c r="M74" s="33">
        <v>0.96645759172213641</v>
      </c>
      <c r="N74" s="33">
        <v>0.96034124024619849</v>
      </c>
      <c r="O74" s="33">
        <v>0.95438975928634973</v>
      </c>
      <c r="P74" s="33">
        <v>0.94859005880620162</v>
      </c>
      <c r="Q74" s="33">
        <v>0.94293031791311976</v>
      </c>
      <c r="R74" s="33">
        <v>0.93739979124699602</v>
      </c>
      <c r="S74" s="33">
        <v>0.93199002784815721</v>
      </c>
      <c r="T74" s="33">
        <v>0.92669321623804268</v>
      </c>
      <c r="U74" s="33">
        <v>0.92150255210791077</v>
      </c>
      <c r="V74" s="33">
        <v>0.91641196441770234</v>
      </c>
      <c r="W74" s="33">
        <v>0.91141590755239676</v>
      </c>
      <c r="X74" s="33">
        <v>0.90650925588112297</v>
      </c>
      <c r="Y74" s="33">
        <v>0.90168721868492197</v>
      </c>
      <c r="Z74" s="33">
        <v>0.89694533901299811</v>
      </c>
      <c r="AA74" s="33">
        <v>0.89227948955684211</v>
      </c>
      <c r="AB74" s="33">
        <v>0.88768586643396252</v>
      </c>
      <c r="AC74" s="33">
        <v>0.88316097456495835</v>
      </c>
      <c r="AD74" s="33">
        <v>0.8787016028309359</v>
      </c>
      <c r="AE74" s="33">
        <v>0.87430479408902395</v>
      </c>
      <c r="AF74" s="33">
        <v>0.86996781456565764</v>
      </c>
      <c r="AG74" s="33">
        <v>0.86568812620463598</v>
      </c>
      <c r="AH74" s="33">
        <v>0.86146336428013937</v>
      </c>
      <c r="AI74" s="33">
        <v>0.85729132016922693</v>
      </c>
      <c r="AJ74" s="33">
        <v>0.85316992783290746</v>
      </c>
      <c r="AK74" s="33">
        <v>0.8490972542339621</v>
      </c>
      <c r="AL74" s="33">
        <v>0.84507148893829054</v>
      </c>
      <c r="AM74" s="34">
        <v>0.84109093633914478</v>
      </c>
      <c r="AN74" s="8"/>
      <c r="AP74" s="91"/>
    </row>
    <row r="75" spans="2:42" x14ac:dyDescent="0.35">
      <c r="B75" s="8"/>
      <c r="C75" s="20" t="str">
        <f>"CSL 4: " &amp; INDEX(_doName,2,5)</f>
        <v>CSL 4: EL 4</v>
      </c>
      <c r="D75" s="33">
        <v>1.0337237001431046</v>
      </c>
      <c r="E75" s="33">
        <v>1.0247122552404266</v>
      </c>
      <c r="F75" s="33">
        <v>1.0161308675084801</v>
      </c>
      <c r="G75" s="33">
        <v>1.0079100906936524</v>
      </c>
      <c r="H75" s="33">
        <v>1</v>
      </c>
      <c r="I75" s="33">
        <v>0.99236668649677784</v>
      </c>
      <c r="J75" s="33">
        <v>0.98498648719529458</v>
      </c>
      <c r="K75" s="33">
        <v>0.9778418327252868</v>
      </c>
      <c r="L75" s="33">
        <v>0.97091743751258841</v>
      </c>
      <c r="M75" s="33">
        <v>0.96419848461310509</v>
      </c>
      <c r="N75" s="33">
        <v>0.95767019214037996</v>
      </c>
      <c r="O75" s="33">
        <v>0.95131787434036519</v>
      </c>
      <c r="P75" s="33">
        <v>0.94512755955260919</v>
      </c>
      <c r="Q75" s="33">
        <v>0.93908663073822729</v>
      </c>
      <c r="R75" s="33">
        <v>0.93318361882880718</v>
      </c>
      <c r="S75" s="33">
        <v>0.92740950368601316</v>
      </c>
      <c r="T75" s="33">
        <v>0.9217559477221694</v>
      </c>
      <c r="U75" s="33">
        <v>0.91621568835308398</v>
      </c>
      <c r="V75" s="33">
        <v>0.91078224564946009</v>
      </c>
      <c r="W75" s="33">
        <v>0.9054497004948211</v>
      </c>
      <c r="X75" s="33">
        <v>0.90021258204309773</v>
      </c>
      <c r="Y75" s="33">
        <v>0.89506577691670786</v>
      </c>
      <c r="Z75" s="33">
        <v>0.89000452798577689</v>
      </c>
      <c r="AA75" s="33">
        <v>0.88502442996437913</v>
      </c>
      <c r="AB75" s="33">
        <v>0.88012142277559879</v>
      </c>
      <c r="AC75" s="33">
        <v>0.8752917759437373</v>
      </c>
      <c r="AD75" s="33">
        <v>0.87053206207856293</v>
      </c>
      <c r="AE75" s="33">
        <v>0.86583912487134751</v>
      </c>
      <c r="AF75" s="33">
        <v>0.86121004642676491</v>
      </c>
      <c r="AG75" s="33">
        <v>0.85664211774856824</v>
      </c>
      <c r="AH75" s="33">
        <v>0.85213281484482739</v>
      </c>
      <c r="AI75" s="33">
        <v>0.84767978034014002</v>
      </c>
      <c r="AJ75" s="33">
        <v>0.84328080904619307</v>
      </c>
      <c r="AK75" s="33">
        <v>0.83893383773421759</v>
      </c>
      <c r="AL75" s="33">
        <v>0.83463693403597805</v>
      </c>
      <c r="AM75" s="34">
        <v>0.83038828814430199</v>
      </c>
      <c r="AN75" s="8"/>
      <c r="AP75" s="91"/>
    </row>
    <row r="76" spans="2:42" x14ac:dyDescent="0.35">
      <c r="B76" s="8"/>
      <c r="C76" s="36" t="str">
        <f>INDEX(_pcName,3)</f>
        <v>CADR 150+</v>
      </c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8"/>
      <c r="AN76" s="8"/>
      <c r="AP76" s="91"/>
    </row>
    <row r="77" spans="2:42" x14ac:dyDescent="0.35">
      <c r="B77" s="8"/>
      <c r="C77" s="20" t="str">
        <f>"CSL 0: " &amp; INDEX(_doName,3,1)</f>
        <v>CSL 0: Baseline</v>
      </c>
      <c r="D77" s="33">
        <v>1.0341562293812299</v>
      </c>
      <c r="E77" s="33">
        <v>1.0250292066095272</v>
      </c>
      <c r="F77" s="33">
        <v>1.0163377567823182</v>
      </c>
      <c r="G77" s="33">
        <v>1.0080115429508694</v>
      </c>
      <c r="H77" s="33">
        <v>1</v>
      </c>
      <c r="I77" s="33">
        <v>0.99226878409401931</v>
      </c>
      <c r="J77" s="33">
        <v>0.98479392875041927</v>
      </c>
      <c r="K77" s="33">
        <v>0.9775576392598927</v>
      </c>
      <c r="L77" s="33">
        <v>0.97054443400045809</v>
      </c>
      <c r="M77" s="33">
        <v>0.9637393059907029</v>
      </c>
      <c r="N77" s="33">
        <v>0.95712728375648937</v>
      </c>
      <c r="O77" s="33">
        <v>0.95069349318905261</v>
      </c>
      <c r="P77" s="33">
        <v>0.94442378343195632</v>
      </c>
      <c r="Q77" s="33">
        <v>0.93830537562426808</v>
      </c>
      <c r="R77" s="33">
        <v>0.93232665359902467</v>
      </c>
      <c r="S77" s="33">
        <v>0.9264784815285223</v>
      </c>
      <c r="T77" s="33">
        <v>0.92075241488989001</v>
      </c>
      <c r="U77" s="33">
        <v>0.91514109795138743</v>
      </c>
      <c r="V77" s="33">
        <v>0.90963796767424632</v>
      </c>
      <c r="W77" s="33">
        <v>0.90423702902532244</v>
      </c>
      <c r="X77" s="33">
        <v>0.89893274099124942</v>
      </c>
      <c r="Y77" s="33">
        <v>0.89371992461192318</v>
      </c>
      <c r="Z77" s="33">
        <v>0.88859376174406457</v>
      </c>
      <c r="AA77" s="33">
        <v>0.8835497906009796</v>
      </c>
      <c r="AB77" s="33">
        <v>0.87858389903252299</v>
      </c>
      <c r="AC77" s="33">
        <v>0.87369230871712522</v>
      </c>
      <c r="AD77" s="33">
        <v>0.86887154830595914</v>
      </c>
      <c r="AE77" s="33">
        <v>0.86411842100850478</v>
      </c>
      <c r="AF77" s="33">
        <v>0.85942997150545697</v>
      </c>
      <c r="AG77" s="33">
        <v>0.85480345605586205</v>
      </c>
      <c r="AH77" s="33">
        <v>0.85023631829588786</v>
      </c>
      <c r="AI77" s="33">
        <v>0.84572617061520017</v>
      </c>
      <c r="AJ77" s="33">
        <v>0.84127077954245577</v>
      </c>
      <c r="AK77" s="33">
        <v>0.83686805538658293</v>
      </c>
      <c r="AL77" s="33">
        <v>0.83251604099541798</v>
      </c>
      <c r="AM77" s="34">
        <v>0.8282129033497887</v>
      </c>
      <c r="AN77" s="8"/>
      <c r="AP77" s="91"/>
    </row>
    <row r="78" spans="2:42" x14ac:dyDescent="0.35">
      <c r="B78" s="8"/>
      <c r="C78" s="20" t="str">
        <f>"CSL 1: " &amp; INDEX(_doName,3,2)</f>
        <v>CSL 1: Tier 1</v>
      </c>
      <c r="D78" s="33">
        <v>1.034399606353418</v>
      </c>
      <c r="E78" s="33">
        <v>1.0252075498468005</v>
      </c>
      <c r="F78" s="33">
        <v>1.0164541699183716</v>
      </c>
      <c r="G78" s="33">
        <v>1.0080686284401421</v>
      </c>
      <c r="H78" s="33">
        <v>1</v>
      </c>
      <c r="I78" s="33">
        <v>0.9922136960485114</v>
      </c>
      <c r="J78" s="33">
        <v>0.98468557933227074</v>
      </c>
      <c r="K78" s="33">
        <v>0.97739772834745786</v>
      </c>
      <c r="L78" s="33">
        <v>0.97033455115926248</v>
      </c>
      <c r="M78" s="33">
        <v>0.96348093385544953</v>
      </c>
      <c r="N78" s="33">
        <v>0.95682179828406289</v>
      </c>
      <c r="O78" s="33">
        <v>0.95034216435228624</v>
      </c>
      <c r="P78" s="33">
        <v>0.94402778037309865</v>
      </c>
      <c r="Q78" s="33">
        <v>0.9378657764310061</v>
      </c>
      <c r="R78" s="33">
        <v>0.93184445358914969</v>
      </c>
      <c r="S78" s="33">
        <v>0.92595461092335207</v>
      </c>
      <c r="T78" s="33">
        <v>0.92018774374009582</v>
      </c>
      <c r="U78" s="33">
        <v>0.91453644389507149</v>
      </c>
      <c r="V78" s="33">
        <v>0.908994101585201</v>
      </c>
      <c r="W78" s="33">
        <v>0.90355467906030018</v>
      </c>
      <c r="X78" s="33">
        <v>0.89821259582503743</v>
      </c>
      <c r="Y78" s="33">
        <v>0.89296263601711978</v>
      </c>
      <c r="Z78" s="33">
        <v>0.88779994716204513</v>
      </c>
      <c r="AA78" s="33">
        <v>0.88272003568108193</v>
      </c>
      <c r="AB78" s="33">
        <v>0.87771876012334904</v>
      </c>
      <c r="AC78" s="33">
        <v>0.87279231524520484</v>
      </c>
      <c r="AD78" s="33">
        <v>0.8679372049630556</v>
      </c>
      <c r="AE78" s="33">
        <v>0.86315020970795386</v>
      </c>
      <c r="AF78" s="33">
        <v>0.8584283531027469</v>
      </c>
      <c r="AG78" s="33">
        <v>0.85376887185621519</v>
      </c>
      <c r="AH78" s="33">
        <v>0.84916919138939884</v>
      </c>
      <c r="AI78" s="33">
        <v>0.84462690707927246</v>
      </c>
      <c r="AJ78" s="33">
        <v>0.84013976954010472</v>
      </c>
      <c r="AK78" s="33">
        <v>0.83570567419092834</v>
      </c>
      <c r="AL78" s="33">
        <v>0.83132264993407767</v>
      </c>
      <c r="AM78" s="34">
        <v>0.82698885068937633</v>
      </c>
      <c r="AN78" s="8"/>
      <c r="AP78" s="91"/>
    </row>
    <row r="79" spans="2:42" x14ac:dyDescent="0.35">
      <c r="B79" s="8"/>
      <c r="C79" s="20" t="str">
        <f>"CSL 2: " &amp; INDEX(_doName,3,3)</f>
        <v>CSL 2: Tier 2</v>
      </c>
      <c r="D79" s="33">
        <v>1.0346236268373605</v>
      </c>
      <c r="E79" s="33">
        <v>1.0253717089205314</v>
      </c>
      <c r="F79" s="33">
        <v>1.0165613243744462</v>
      </c>
      <c r="G79" s="33">
        <v>1.0081211737521245</v>
      </c>
      <c r="H79" s="33">
        <v>1</v>
      </c>
      <c r="I79" s="33">
        <v>0.9921629893177013</v>
      </c>
      <c r="J79" s="33">
        <v>0.98458584726283838</v>
      </c>
      <c r="K79" s="33">
        <v>0.97725053562141961</v>
      </c>
      <c r="L79" s="33">
        <v>0.97014136091931047</v>
      </c>
      <c r="M79" s="33">
        <v>0.96324311081797698</v>
      </c>
      <c r="N79" s="33">
        <v>0.95654060897204585</v>
      </c>
      <c r="O79" s="33">
        <v>0.95001877773387422</v>
      </c>
      <c r="P79" s="33">
        <v>0.94366327260520932</v>
      </c>
      <c r="Q79" s="33">
        <v>0.93746113985783397</v>
      </c>
      <c r="R79" s="33">
        <v>0.93140060436792727</v>
      </c>
      <c r="S79" s="33">
        <v>0.92547240529215269</v>
      </c>
      <c r="T79" s="33">
        <v>0.91966798255189519</v>
      </c>
      <c r="U79" s="33">
        <v>0.9139798797588029</v>
      </c>
      <c r="V79" s="33">
        <v>0.90840144406479073</v>
      </c>
      <c r="W79" s="33">
        <v>0.90292659840004708</v>
      </c>
      <c r="X79" s="33">
        <v>0.89754972592739213</v>
      </c>
      <c r="Y79" s="33">
        <v>0.89226557681728413</v>
      </c>
      <c r="Z79" s="33">
        <v>0.88706926699446143</v>
      </c>
      <c r="AA79" s="33">
        <v>0.88195627361666884</v>
      </c>
      <c r="AB79" s="33">
        <v>0.87692242826266376</v>
      </c>
      <c r="AC79" s="33">
        <v>0.87196390090792442</v>
      </c>
      <c r="AD79" s="33">
        <v>0.86707717270131912</v>
      </c>
      <c r="AE79" s="33">
        <v>0.86225900310710835</v>
      </c>
      <c r="AF79" s="33">
        <v>0.85750639636508474</v>
      </c>
      <c r="AG79" s="33">
        <v>0.85281657118865328</v>
      </c>
      <c r="AH79" s="33">
        <v>0.8481869362324288</v>
      </c>
      <c r="AI79" s="33">
        <v>0.84361507121376456</v>
      </c>
      <c r="AJ79" s="33">
        <v>0.83909871209825915</v>
      </c>
      <c r="AK79" s="33">
        <v>0.83463574059928713</v>
      </c>
      <c r="AL79" s="33">
        <v>0.8302241727828078</v>
      </c>
      <c r="AM79" s="34">
        <v>0.82586215054642065</v>
      </c>
      <c r="AN79" s="8"/>
      <c r="AP79" s="91"/>
    </row>
    <row r="80" spans="2:42" x14ac:dyDescent="0.35">
      <c r="B80" s="8"/>
      <c r="C80" s="20" t="str">
        <f>"CSL 3: " &amp; INDEX(_doName,3,4)</f>
        <v>CSL 3: EL 3</v>
      </c>
      <c r="D80" s="33">
        <v>1.0330169503732531</v>
      </c>
      <c r="E80" s="33">
        <v>1.0241943589055178</v>
      </c>
      <c r="F80" s="33">
        <v>1.0157928118725104</v>
      </c>
      <c r="G80" s="33">
        <v>1.0077443184102575</v>
      </c>
      <c r="H80" s="33">
        <v>1</v>
      </c>
      <c r="I80" s="33">
        <v>0.9925266583426523</v>
      </c>
      <c r="J80" s="33">
        <v>0.98530112635631084</v>
      </c>
      <c r="K80" s="33">
        <v>0.97830620287314363</v>
      </c>
      <c r="L80" s="33">
        <v>0.97152692265975338</v>
      </c>
      <c r="M80" s="33">
        <v>0.96494877929170353</v>
      </c>
      <c r="N80" s="33">
        <v>0.95855730066748979</v>
      </c>
      <c r="O80" s="33">
        <v>0.95233810880336378</v>
      </c>
      <c r="P80" s="33">
        <v>0.94627752484386773</v>
      </c>
      <c r="Q80" s="33">
        <v>0.94036319616621866</v>
      </c>
      <c r="R80" s="33">
        <v>0.93458389406001441</v>
      </c>
      <c r="S80" s="33">
        <v>0.92893078742254309</v>
      </c>
      <c r="T80" s="33">
        <v>0.92339571339749404</v>
      </c>
      <c r="U80" s="33">
        <v>0.91797156160312332</v>
      </c>
      <c r="V80" s="33">
        <v>0.91265198791043212</v>
      </c>
      <c r="W80" s="33">
        <v>0.90743119725025168</v>
      </c>
      <c r="X80" s="33">
        <v>0.90230383342938825</v>
      </c>
      <c r="Y80" s="33">
        <v>0.89726489023164535</v>
      </c>
      <c r="Z80" s="33">
        <v>0.89230971022262739</v>
      </c>
      <c r="AA80" s="33">
        <v>0.88743398043827137</v>
      </c>
      <c r="AB80" s="33">
        <v>0.88263372588895661</v>
      </c>
      <c r="AC80" s="33">
        <v>0.87790529427880559</v>
      </c>
      <c r="AD80" s="33">
        <v>0.87324533004562588</v>
      </c>
      <c r="AE80" s="33">
        <v>0.86865074302765577</v>
      </c>
      <c r="AF80" s="33">
        <v>0.86411867648009066</v>
      </c>
      <c r="AG80" s="33">
        <v>0.85964647817929374</v>
      </c>
      <c r="AH80" s="33">
        <v>0.85523167702879721</v>
      </c>
      <c r="AI80" s="33">
        <v>0.85087196505686791</v>
      </c>
      <c r="AJ80" s="33">
        <v>0.84656518328946717</v>
      </c>
      <c r="AK80" s="33">
        <v>0.84230931173704515</v>
      </c>
      <c r="AL80" s="33">
        <v>0.8381024585281327</v>
      </c>
      <c r="AM80" s="34">
        <v>0.83394285178380345</v>
      </c>
      <c r="AN80" s="8"/>
      <c r="AP80" s="91"/>
    </row>
    <row r="81" spans="2:43" x14ac:dyDescent="0.35">
      <c r="B81" s="8"/>
      <c r="C81" s="39" t="str">
        <f>"CSL 4: " &amp; INDEX(_doName,3,5)</f>
        <v>CSL 4: EL 4</v>
      </c>
      <c r="D81" s="21">
        <v>1.0327704104982793</v>
      </c>
      <c r="E81" s="21">
        <v>1.0240136979373724</v>
      </c>
      <c r="F81" s="21">
        <v>1.0156748858429858</v>
      </c>
      <c r="G81" s="21">
        <v>1.0076864910436765</v>
      </c>
      <c r="H81" s="21">
        <v>1</v>
      </c>
      <c r="I81" s="21">
        <v>0.99258246230688918</v>
      </c>
      <c r="J81" s="21">
        <v>0.98541088387265929</v>
      </c>
      <c r="K81" s="21">
        <v>0.97846819197180046</v>
      </c>
      <c r="L81" s="21">
        <v>0.97173953311735861</v>
      </c>
      <c r="M81" s="21">
        <v>0.96521050920538165</v>
      </c>
      <c r="N81" s="21">
        <v>0.95886675619855821</v>
      </c>
      <c r="O81" s="21">
        <v>0.95269400347454924</v>
      </c>
      <c r="P81" s="21">
        <v>0.9466786743188661</v>
      </c>
      <c r="Q81" s="21">
        <v>0.94080850834662311</v>
      </c>
      <c r="R81" s="21">
        <v>0.93507236069298316</v>
      </c>
      <c r="S81" s="21">
        <v>0.9294614661976951</v>
      </c>
      <c r="T81" s="21">
        <v>0.92396772295706686</v>
      </c>
      <c r="U81" s="21">
        <v>0.91858407368307138</v>
      </c>
      <c r="V81" s="21">
        <v>0.91330422161876446</v>
      </c>
      <c r="W81" s="21">
        <v>0.90812241496716373</v>
      </c>
      <c r="X81" s="21">
        <v>0.90303333753014414</v>
      </c>
      <c r="Y81" s="21">
        <v>0.89803202047327513</v>
      </c>
      <c r="Z81" s="21">
        <v>0.89311384113954928</v>
      </c>
      <c r="AA81" s="21">
        <v>0.88827451877010744</v>
      </c>
      <c r="AB81" s="21">
        <v>0.88351010805685426</v>
      </c>
      <c r="AC81" s="21">
        <v>0.8788169839758605</v>
      </c>
      <c r="AD81" s="21">
        <v>0.87419181602115115</v>
      </c>
      <c r="AE81" s="21">
        <v>0.8696315371054183</v>
      </c>
      <c r="AF81" s="21">
        <v>0.86513331181537023</v>
      </c>
      <c r="AG81" s="21">
        <v>0.86069450773170941</v>
      </c>
      <c r="AH81" s="21">
        <v>0.85631267220981799</v>
      </c>
      <c r="AI81" s="21">
        <v>0.85198551451174909</v>
      </c>
      <c r="AJ81" s="21">
        <v>0.84771089178467363</v>
      </c>
      <c r="AK81" s="21">
        <v>0.84348679912244517</v>
      </c>
      <c r="AL81" s="21">
        <v>0.83931135878033092</v>
      </c>
      <c r="AM81" s="22">
        <v>0.83518281211014833</v>
      </c>
      <c r="AN81" s="8"/>
      <c r="AP81" s="91"/>
    </row>
    <row r="82" spans="2:43" x14ac:dyDescent="0.3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5" spans="2:43" hidden="1" x14ac:dyDescent="0.35">
      <c r="C85" s="88" t="s">
        <v>121</v>
      </c>
      <c r="D85" s="6">
        <v>2021</v>
      </c>
      <c r="E85" s="6">
        <v>2022</v>
      </c>
      <c r="F85" s="6">
        <v>2023</v>
      </c>
      <c r="G85" s="6">
        <v>2024</v>
      </c>
      <c r="H85" s="6">
        <v>2025</v>
      </c>
      <c r="I85" s="6">
        <v>2026</v>
      </c>
      <c r="J85" s="6">
        <v>2027</v>
      </c>
      <c r="K85" s="6">
        <v>2028</v>
      </c>
      <c r="L85" s="6">
        <v>2029</v>
      </c>
      <c r="M85" s="6">
        <v>2030</v>
      </c>
      <c r="N85" s="6">
        <v>2031</v>
      </c>
      <c r="O85" s="6">
        <v>2032</v>
      </c>
      <c r="P85" s="6">
        <v>2033</v>
      </c>
      <c r="Q85" s="6">
        <v>2034</v>
      </c>
      <c r="R85" s="6">
        <v>2035</v>
      </c>
      <c r="S85" s="6">
        <v>2036</v>
      </c>
      <c r="T85" s="6">
        <v>2037</v>
      </c>
      <c r="U85" s="6">
        <v>2038</v>
      </c>
      <c r="V85" s="6">
        <v>2039</v>
      </c>
      <c r="W85" s="6">
        <v>2040</v>
      </c>
      <c r="X85" s="6">
        <v>2041</v>
      </c>
      <c r="Y85" s="6">
        <v>2042</v>
      </c>
      <c r="Z85" s="6">
        <v>2043</v>
      </c>
      <c r="AA85" s="6">
        <v>2044</v>
      </c>
      <c r="AB85" s="6">
        <v>2045</v>
      </c>
      <c r="AC85" s="6">
        <v>2046</v>
      </c>
      <c r="AD85" s="6">
        <v>2047</v>
      </c>
      <c r="AE85" s="6">
        <v>2048</v>
      </c>
      <c r="AF85" s="6">
        <v>2049</v>
      </c>
      <c r="AG85" s="6">
        <v>2050</v>
      </c>
      <c r="AH85" s="6">
        <v>2051</v>
      </c>
      <c r="AI85" s="6">
        <v>2052</v>
      </c>
      <c r="AJ85" s="6">
        <v>2053</v>
      </c>
      <c r="AK85" s="6">
        <v>2054</v>
      </c>
      <c r="AL85" s="6">
        <v>2055</v>
      </c>
      <c r="AM85" s="6">
        <v>2056</v>
      </c>
      <c r="AN85" s="6">
        <v>2057</v>
      </c>
      <c r="AO85" s="6">
        <v>2058</v>
      </c>
      <c r="AQ85" s="6">
        <v>2060</v>
      </c>
    </row>
    <row r="86" spans="2:43" hidden="1" x14ac:dyDescent="0.35">
      <c r="C86" s="89" t="s">
        <v>122</v>
      </c>
      <c r="D86" s="90">
        <v>1</v>
      </c>
      <c r="E86" s="90">
        <v>0.99094779748426964</v>
      </c>
      <c r="F86" s="90">
        <v>0.98247620094818189</v>
      </c>
      <c r="G86" s="90">
        <v>0.97449711106499992</v>
      </c>
      <c r="H86" s="90">
        <v>0.96691997765139059</v>
      </c>
      <c r="I86" s="90">
        <v>0.95968799075069833</v>
      </c>
      <c r="J86" s="90">
        <v>0.95274466777548183</v>
      </c>
      <c r="K86" s="90">
        <v>0.94604950815324873</v>
      </c>
      <c r="L86" s="90">
        <v>0.93957521957594692</v>
      </c>
      <c r="M86" s="90">
        <v>0.93330296547729708</v>
      </c>
      <c r="N86" s="90">
        <v>0.92721892267791262</v>
      </c>
      <c r="O86" s="90">
        <v>0.92131108472404066</v>
      </c>
      <c r="P86" s="90">
        <v>0.91556773201752628</v>
      </c>
      <c r="Q86" s="90">
        <v>0.90997706788819799</v>
      </c>
      <c r="R86" s="90">
        <v>0.90452727502482089</v>
      </c>
      <c r="S86" s="90">
        <v>0.89920705125942324</v>
      </c>
      <c r="T86" s="90">
        <v>0.89400617002613192</v>
      </c>
      <c r="U86" s="90">
        <v>0.88891531472247598</v>
      </c>
      <c r="V86" s="90">
        <v>0.88392721412300812</v>
      </c>
      <c r="W86" s="90">
        <v>0.87903513205422001</v>
      </c>
      <c r="X86" s="90">
        <v>0.87423321399642251</v>
      </c>
      <c r="Y86" s="90">
        <v>0.86951624174704034</v>
      </c>
      <c r="Z86" s="90">
        <v>0.86487944670553651</v>
      </c>
      <c r="AA86" s="90">
        <v>0.86031841638469175</v>
      </c>
      <c r="AB86" s="90">
        <v>0.8558290188328761</v>
      </c>
      <c r="AC86" s="90">
        <v>0.85140740452673147</v>
      </c>
      <c r="AD86" s="90">
        <v>0.8470500053758202</v>
      </c>
      <c r="AE86" s="90">
        <v>0.8427535316524013</v>
      </c>
      <c r="AF86" s="90">
        <v>0.83851496091303412</v>
      </c>
      <c r="AG86" s="90">
        <v>0.83433151713594333</v>
      </c>
      <c r="AH86" s="90">
        <v>0.83020064475810096</v>
      </c>
      <c r="AI86" s="90">
        <v>0.82611998182794644</v>
      </c>
      <c r="AJ86" s="90">
        <v>0.82208733565032133</v>
      </c>
      <c r="AK86" s="90">
        <v>0.81810066314192809</v>
      </c>
      <c r="AL86" s="90">
        <v>0.81415805585467838</v>
      </c>
      <c r="AM86" s="90">
        <v>0.81025772834721033</v>
      </c>
      <c r="AN86" s="90">
        <v>0.80639801016015888</v>
      </c>
      <c r="AO86" s="90">
        <v>0.80257733692120337</v>
      </c>
      <c r="AP86" s="90"/>
      <c r="AQ86" s="90">
        <v>0.79504735856441489</v>
      </c>
    </row>
    <row r="87" spans="2:43" hidden="1" x14ac:dyDescent="0.35">
      <c r="C87" s="89" t="s">
        <v>123</v>
      </c>
      <c r="D87" s="90">
        <v>1</v>
      </c>
      <c r="E87" s="90">
        <v>0.99533566146618113</v>
      </c>
      <c r="F87" s="90">
        <v>0.9909517032065478</v>
      </c>
      <c r="G87" s="90">
        <v>0.98680578460381474</v>
      </c>
      <c r="H87" s="90">
        <v>0.98285342630195116</v>
      </c>
      <c r="I87" s="90">
        <v>0.97906704203838746</v>
      </c>
      <c r="J87" s="90">
        <v>0.97541872441752153</v>
      </c>
      <c r="K87" s="90">
        <v>0.97188854837120475</v>
      </c>
      <c r="L87" s="90">
        <v>0.9684632687185456</v>
      </c>
      <c r="M87" s="90">
        <v>0.96513392354676475</v>
      </c>
      <c r="N87" s="90">
        <v>0.96189407916437375</v>
      </c>
      <c r="O87" s="90">
        <v>0.95873816717949056</v>
      </c>
      <c r="P87" s="90">
        <v>0.95566068209536414</v>
      </c>
      <c r="Q87" s="90">
        <v>0.9526559907966492</v>
      </c>
      <c r="R87" s="90">
        <v>0.94971836524735787</v>
      </c>
      <c r="S87" s="90">
        <v>0.94684227507877072</v>
      </c>
      <c r="T87" s="90">
        <v>0.94402269829402474</v>
      </c>
      <c r="U87" s="90">
        <v>0.94125504138535043</v>
      </c>
      <c r="V87" s="90">
        <v>0.93853576772332536</v>
      </c>
      <c r="W87" s="90">
        <v>0.93586158739706626</v>
      </c>
      <c r="X87" s="90">
        <v>0.93322965237707889</v>
      </c>
      <c r="Y87" s="90">
        <v>0.93063742876235767</v>
      </c>
      <c r="Z87" s="90">
        <v>0.92808259902289336</v>
      </c>
      <c r="AA87" s="90">
        <v>0.92556301405287844</v>
      </c>
      <c r="AB87" s="90">
        <v>0.9230766542515263</v>
      </c>
      <c r="AC87" s="90">
        <v>0.92062163295002464</v>
      </c>
      <c r="AD87" s="90">
        <v>0.91819619817573217</v>
      </c>
      <c r="AE87" s="90">
        <v>0.91579873318581217</v>
      </c>
      <c r="AF87" s="90">
        <v>0.91342775243346253</v>
      </c>
      <c r="AG87" s="90">
        <v>0.9110818918993393</v>
      </c>
      <c r="AH87" s="90">
        <v>0.90875989633829446</v>
      </c>
      <c r="AI87" s="90">
        <v>0.90646060577917875</v>
      </c>
      <c r="AJ87" s="90">
        <v>0.90418294318608816</v>
      </c>
      <c r="AK87" s="90">
        <v>0.90192590456822219</v>
      </c>
      <c r="AL87" s="90">
        <v>0.8996885515633789</v>
      </c>
      <c r="AM87" s="90">
        <v>0.89747000579104474</v>
      </c>
      <c r="AN87" s="90">
        <v>0.89526944515512796</v>
      </c>
      <c r="AO87" s="90">
        <v>0.89308609957245289</v>
      </c>
      <c r="AP87" s="90"/>
      <c r="AQ87" s="90">
        <v>0.88876821497643355</v>
      </c>
    </row>
    <row r="88" spans="2:43" hidden="1" x14ac:dyDescent="0.35">
      <c r="C88" s="89" t="s">
        <v>124</v>
      </c>
      <c r="D88" s="90">
        <v>1</v>
      </c>
      <c r="E88" s="90">
        <v>0.98826984426343201</v>
      </c>
      <c r="F88" s="90">
        <v>0.97732090004015171</v>
      </c>
      <c r="G88" s="90">
        <v>0.96703414282655109</v>
      </c>
      <c r="H88" s="90">
        <v>0.95728876595833501</v>
      </c>
      <c r="I88" s="90">
        <v>0.94800847202064975</v>
      </c>
      <c r="J88" s="90">
        <v>0.93911815874955817</v>
      </c>
      <c r="K88" s="90">
        <v>0.93056383525272324</v>
      </c>
      <c r="L88" s="90">
        <v>0.92230883090596905</v>
      </c>
      <c r="M88" s="90">
        <v>0.91432755550205169</v>
      </c>
      <c r="N88" s="90">
        <v>0.90660100874341587</v>
      </c>
      <c r="O88" s="90">
        <v>0.89911266013106805</v>
      </c>
      <c r="P88" s="90">
        <v>0.89184648596339389</v>
      </c>
      <c r="Q88" s="90">
        <v>0.88478650045166551</v>
      </c>
      <c r="R88" s="90">
        <v>0.87791682176901331</v>
      </c>
      <c r="S88" s="90">
        <v>0.87122234034110757</v>
      </c>
      <c r="T88" s="90">
        <v>0.86468941154156265</v>
      </c>
      <c r="U88" s="90">
        <v>0.85830563221026235</v>
      </c>
      <c r="V88" s="90">
        <v>0.8520612475688738</v>
      </c>
      <c r="W88" s="90">
        <v>0.84594724097967133</v>
      </c>
      <c r="X88" s="90">
        <v>0.83995575836145575</v>
      </c>
      <c r="Y88" s="90">
        <v>0.83407979203080229</v>
      </c>
      <c r="Z88" s="90">
        <v>0.82831294079218543</v>
      </c>
      <c r="AA88" s="90">
        <v>0.82264928822961292</v>
      </c>
      <c r="AB88" s="90">
        <v>0.81708330450939615</v>
      </c>
      <c r="AC88" s="90">
        <v>0.81160984505994416</v>
      </c>
      <c r="AD88" s="90">
        <v>0.80622414580934387</v>
      </c>
      <c r="AE88" s="90">
        <v>0.80092181601004186</v>
      </c>
      <c r="AF88" s="90">
        <v>0.79569882135988435</v>
      </c>
      <c r="AG88" s="90">
        <v>0.79055145532680637</v>
      </c>
      <c r="AH88" s="90">
        <v>0.78547630453832451</v>
      </c>
      <c r="AI88" s="90">
        <v>0.78047021345279977</v>
      </c>
      <c r="AJ88" s="90">
        <v>0.77553025244133866</v>
      </c>
      <c r="AK88" s="90">
        <v>0.77065369194693489</v>
      </c>
      <c r="AL88" s="90">
        <v>0.76583798259909752</v>
      </c>
      <c r="AM88" s="90">
        <v>0.76108073960921496</v>
      </c>
      <c r="AN88" s="90">
        <v>0.7563797317100337</v>
      </c>
      <c r="AO88" s="90">
        <v>0.75173286915269488</v>
      </c>
      <c r="AP88" s="90"/>
      <c r="AQ88" s="90">
        <v>0.74259387408235122</v>
      </c>
    </row>
    <row r="89" spans="2:43" hidden="1" x14ac:dyDescent="0.35">
      <c r="C89" s="88" t="s">
        <v>125</v>
      </c>
      <c r="D89" s="6">
        <v>2024</v>
      </c>
      <c r="E89" s="6">
        <v>2025</v>
      </c>
      <c r="F89" s="6">
        <v>2026</v>
      </c>
      <c r="G89" s="6">
        <v>2027</v>
      </c>
      <c r="H89" s="6">
        <v>2028</v>
      </c>
      <c r="I89" s="6">
        <v>2029</v>
      </c>
      <c r="J89" s="6">
        <v>2030</v>
      </c>
      <c r="K89" s="6">
        <v>2031</v>
      </c>
      <c r="L89" s="6">
        <v>2032</v>
      </c>
      <c r="M89" s="6">
        <v>2033</v>
      </c>
      <c r="N89" s="6">
        <v>2034</v>
      </c>
      <c r="O89" s="6">
        <v>2035</v>
      </c>
      <c r="P89" s="6">
        <v>2036</v>
      </c>
      <c r="Q89" s="6">
        <v>2037</v>
      </c>
      <c r="R89" s="6">
        <v>2038</v>
      </c>
      <c r="S89" s="6">
        <v>2039</v>
      </c>
      <c r="T89" s="6">
        <v>2040</v>
      </c>
      <c r="U89" s="6">
        <v>2041</v>
      </c>
      <c r="V89" s="6">
        <v>2042</v>
      </c>
      <c r="W89" s="6">
        <v>2043</v>
      </c>
      <c r="X89" s="6">
        <v>2044</v>
      </c>
      <c r="Y89" s="6">
        <v>2045</v>
      </c>
      <c r="Z89" s="6">
        <v>2046</v>
      </c>
      <c r="AA89" s="6">
        <v>2047</v>
      </c>
      <c r="AB89" s="6">
        <v>2048</v>
      </c>
      <c r="AC89" s="6">
        <v>2049</v>
      </c>
      <c r="AD89" s="6">
        <v>2050</v>
      </c>
      <c r="AE89" s="6">
        <v>2051</v>
      </c>
      <c r="AF89" s="6">
        <v>2052</v>
      </c>
      <c r="AG89" s="6">
        <v>2053</v>
      </c>
      <c r="AH89" s="6">
        <v>2054</v>
      </c>
      <c r="AI89" s="6">
        <v>2055</v>
      </c>
      <c r="AJ89" s="6">
        <v>2056</v>
      </c>
      <c r="AK89" s="6">
        <v>2057</v>
      </c>
      <c r="AL89" s="6">
        <v>2058</v>
      </c>
      <c r="AM89" s="6">
        <v>2059</v>
      </c>
      <c r="AN89" s="6">
        <v>2060</v>
      </c>
    </row>
    <row r="90" spans="2:43" hidden="1" x14ac:dyDescent="0.35">
      <c r="C90" s="89" t="s">
        <v>122</v>
      </c>
      <c r="D90" s="90">
        <f t="shared" ref="D90:G92" si="0">G86/$K86</f>
        <v>1.0300698881682024</v>
      </c>
      <c r="E90" s="90">
        <f t="shared" si="0"/>
        <v>1.0220606525538842</v>
      </c>
      <c r="F90" s="90">
        <f t="shared" si="0"/>
        <v>1.0144162461688424</v>
      </c>
      <c r="G90" s="90">
        <f t="shared" si="0"/>
        <v>1.0070769653855669</v>
      </c>
      <c r="H90" s="90">
        <f>K86/$K86</f>
        <v>1</v>
      </c>
      <c r="I90" s="90">
        <f t="shared" ref="I90:AN92" si="1">L86/$K86</f>
        <v>0.99315650130198785</v>
      </c>
      <c r="J90" s="90">
        <f t="shared" si="1"/>
        <v>0.98652655852986626</v>
      </c>
      <c r="K90" s="90">
        <f t="shared" si="1"/>
        <v>0.98009556020794864</v>
      </c>
      <c r="L90" s="90">
        <f t="shared" si="1"/>
        <v>0.9738508151888382</v>
      </c>
      <c r="M90" s="90">
        <f t="shared" si="1"/>
        <v>0.96777993553928809</v>
      </c>
      <c r="N90" s="90">
        <f t="shared" si="1"/>
        <v>0.96187045185883924</v>
      </c>
      <c r="O90" s="90">
        <f t="shared" si="1"/>
        <v>0.95610987292886818</v>
      </c>
      <c r="P90" s="90">
        <f t="shared" si="1"/>
        <v>0.95048625205115844</v>
      </c>
      <c r="Q90" s="90">
        <f t="shared" si="1"/>
        <v>0.9449887794680969</v>
      </c>
      <c r="R90" s="90">
        <f t="shared" si="1"/>
        <v>0.93960760727807735</v>
      </c>
      <c r="S90" s="90">
        <f t="shared" si="1"/>
        <v>0.93433504959850633</v>
      </c>
      <c r="T90" s="90">
        <f t="shared" si="1"/>
        <v>0.92916398611120765</v>
      </c>
      <c r="U90" s="90">
        <f t="shared" si="1"/>
        <v>0.92408822843001481</v>
      </c>
      <c r="V90" s="90">
        <f t="shared" si="1"/>
        <v>0.91910226077321644</v>
      </c>
      <c r="W90" s="90">
        <f t="shared" si="1"/>
        <v>0.9142010426006546</v>
      </c>
      <c r="X90" s="90">
        <f t="shared" si="1"/>
        <v>0.90937990979361139</v>
      </c>
      <c r="Y90" s="90">
        <f t="shared" si="1"/>
        <v>0.90463449476709834</v>
      </c>
      <c r="Z90" s="90">
        <f t="shared" si="1"/>
        <v>0.89996072847047415</v>
      </c>
      <c r="AA90" s="90">
        <f t="shared" si="1"/>
        <v>0.89535483933533022</v>
      </c>
      <c r="AB90" s="90">
        <f t="shared" si="1"/>
        <v>0.89081335003018181</v>
      </c>
      <c r="AC90" s="90">
        <f t="shared" si="1"/>
        <v>0.8863330657503018</v>
      </c>
      <c r="AD90" s="90">
        <f t="shared" si="1"/>
        <v>0.88191105216534993</v>
      </c>
      <c r="AE90" s="90">
        <f t="shared" si="1"/>
        <v>0.87754460797586331</v>
      </c>
      <c r="AF90" s="90">
        <f t="shared" si="1"/>
        <v>0.87323123653495405</v>
      </c>
      <c r="AG90" s="90">
        <f t="shared" si="1"/>
        <v>0.86896862010434339</v>
      </c>
      <c r="AH90" s="90">
        <f t="shared" si="1"/>
        <v>0.86475459908954944</v>
      </c>
      <c r="AI90" s="90">
        <f t="shared" si="1"/>
        <v>0.86058715620915949</v>
      </c>
      <c r="AJ90" s="90">
        <f t="shared" si="1"/>
        <v>0.85646440420320824</v>
      </c>
      <c r="AK90" s="90">
        <f t="shared" si="1"/>
        <v>0.85238457735082085</v>
      </c>
      <c r="AL90" s="90">
        <f t="shared" si="1"/>
        <v>0.84834602206800724</v>
      </c>
      <c r="AM90" s="90">
        <f t="shared" si="1"/>
        <v>0</v>
      </c>
      <c r="AN90" s="90">
        <f t="shared" si="1"/>
        <v>0.8403866306282427</v>
      </c>
    </row>
    <row r="91" spans="2:43" hidden="1" x14ac:dyDescent="0.35">
      <c r="C91" s="89" t="s">
        <v>123</v>
      </c>
      <c r="D91" s="90">
        <f t="shared" si="0"/>
        <v>1.0153487107730716</v>
      </c>
      <c r="E91" s="90">
        <f t="shared" si="0"/>
        <v>1.0112820322341718</v>
      </c>
      <c r="F91" s="90">
        <f t="shared" si="0"/>
        <v>1.0073861284601133</v>
      </c>
      <c r="G91" s="90">
        <f t="shared" si="0"/>
        <v>1.003632284846069</v>
      </c>
      <c r="H91" s="90">
        <f t="shared" ref="H91:H92" si="2">K87/$K87</f>
        <v>1</v>
      </c>
      <c r="I91" s="90">
        <f t="shared" si="1"/>
        <v>0.99647564562994428</v>
      </c>
      <c r="J91" s="90">
        <f t="shared" si="1"/>
        <v>0.99305000060371107</v>
      </c>
      <c r="K91" s="90">
        <f t="shared" si="1"/>
        <v>0.98971644513809653</v>
      </c>
      <c r="L91" s="90">
        <f t="shared" si="1"/>
        <v>0.98646924977791639</v>
      </c>
      <c r="M91" s="90">
        <f t="shared" si="1"/>
        <v>0.98330274978233156</v>
      </c>
      <c r="N91" s="90">
        <f t="shared" si="1"/>
        <v>0.98021114910059637</v>
      </c>
      <c r="O91" s="90">
        <f t="shared" si="1"/>
        <v>0.97718855401578497</v>
      </c>
      <c r="P91" s="90">
        <f t="shared" si="1"/>
        <v>0.97422927419567884</v>
      </c>
      <c r="Q91" s="90">
        <f t="shared" si="1"/>
        <v>0.97132814238434995</v>
      </c>
      <c r="R91" s="90">
        <f t="shared" si="1"/>
        <v>0.96848043220882352</v>
      </c>
      <c r="S91" s="90">
        <f t="shared" si="1"/>
        <v>0.96568250474421624</v>
      </c>
      <c r="T91" s="90">
        <f t="shared" si="1"/>
        <v>0.96293097492041002</v>
      </c>
      <c r="U91" s="90">
        <f t="shared" si="1"/>
        <v>0.96022291232990187</v>
      </c>
      <c r="V91" s="90">
        <f t="shared" si="1"/>
        <v>0.95755570977970661</v>
      </c>
      <c r="W91" s="90">
        <f t="shared" si="1"/>
        <v>0.95492698270627208</v>
      </c>
      <c r="X91" s="90">
        <f t="shared" si="1"/>
        <v>0.95233451984184436</v>
      </c>
      <c r="Y91" s="90">
        <f t="shared" si="1"/>
        <v>0.94977624316956644</v>
      </c>
      <c r="Z91" s="90">
        <f t="shared" si="1"/>
        <v>0.9472502114495549</v>
      </c>
      <c r="AA91" s="90">
        <f t="shared" si="1"/>
        <v>0.94475462203412519</v>
      </c>
      <c r="AB91" s="90">
        <f t="shared" si="1"/>
        <v>0.94228781141686058</v>
      </c>
      <c r="AC91" s="90">
        <f t="shared" si="1"/>
        <v>0.93984825108216663</v>
      </c>
      <c r="AD91" s="90">
        <f t="shared" si="1"/>
        <v>0.93743453755703599</v>
      </c>
      <c r="AE91" s="90">
        <f t="shared" si="1"/>
        <v>0.93504537928890297</v>
      </c>
      <c r="AF91" s="90">
        <f t="shared" si="1"/>
        <v>0.93267958275495977</v>
      </c>
      <c r="AG91" s="90">
        <f t="shared" si="1"/>
        <v>0.93033603976650936</v>
      </c>
      <c r="AH91" s="90">
        <f t="shared" si="1"/>
        <v>0.92801371729275595</v>
      </c>
      <c r="AI91" s="90">
        <f t="shared" si="1"/>
        <v>0.92571164982978105</v>
      </c>
      <c r="AJ91" s="90">
        <f t="shared" si="1"/>
        <v>0.92342893359029843</v>
      </c>
      <c r="AK91" s="90">
        <f t="shared" si="1"/>
        <v>0.92116472269944605</v>
      </c>
      <c r="AL91" s="90">
        <f t="shared" si="1"/>
        <v>0.91891822479972884</v>
      </c>
      <c r="AM91" s="90">
        <f t="shared" si="1"/>
        <v>0</v>
      </c>
      <c r="AN91" s="90">
        <f t="shared" si="1"/>
        <v>0.91447544727831886</v>
      </c>
    </row>
    <row r="92" spans="2:43" hidden="1" x14ac:dyDescent="0.35">
      <c r="C92" s="89" t="s">
        <v>124</v>
      </c>
      <c r="D92" s="90">
        <f t="shared" si="0"/>
        <v>1.0391916236073404</v>
      </c>
      <c r="E92" s="90">
        <f t="shared" si="0"/>
        <v>1.0287190729890698</v>
      </c>
      <c r="F92" s="90">
        <f t="shared" si="0"/>
        <v>1.0187463085358233</v>
      </c>
      <c r="G92" s="90">
        <f t="shared" si="0"/>
        <v>1.0091926240551909</v>
      </c>
      <c r="H92" s="90">
        <f t="shared" si="2"/>
        <v>1</v>
      </c>
      <c r="I92" s="90">
        <f t="shared" si="1"/>
        <v>0.99112902948295611</v>
      </c>
      <c r="J92" s="90">
        <f t="shared" si="1"/>
        <v>0.98255221282453764</v>
      </c>
      <c r="K92" s="90">
        <f t="shared" si="1"/>
        <v>0.97424913197620722</v>
      </c>
      <c r="L92" s="90">
        <f t="shared" si="1"/>
        <v>0.96620202297769975</v>
      </c>
      <c r="M92" s="90">
        <f t="shared" si="1"/>
        <v>0.95839366648198354</v>
      </c>
      <c r="N92" s="90">
        <f t="shared" si="1"/>
        <v>0.9508068838838708</v>
      </c>
      <c r="O92" s="90">
        <f t="shared" si="1"/>
        <v>0.94342460829738561</v>
      </c>
      <c r="P92" s="90">
        <f t="shared" si="1"/>
        <v>0.93623060271249459</v>
      </c>
      <c r="Q92" s="90">
        <f t="shared" si="1"/>
        <v>0.92921020437757462</v>
      </c>
      <c r="R92" s="90">
        <f t="shared" si="1"/>
        <v>0.92235008464213852</v>
      </c>
      <c r="S92" s="90">
        <f t="shared" si="1"/>
        <v>0.91563976085259147</v>
      </c>
      <c r="T92" s="90">
        <f t="shared" si="1"/>
        <v>0.90906954357400782</v>
      </c>
      <c r="U92" s="90">
        <f t="shared" si="1"/>
        <v>0.90263099267482272</v>
      </c>
      <c r="V92" s="90">
        <f t="shared" si="1"/>
        <v>0.89631657757716565</v>
      </c>
      <c r="W92" s="90">
        <f t="shared" si="1"/>
        <v>0.8901194194455575</v>
      </c>
      <c r="X92" s="90">
        <f t="shared" si="1"/>
        <v>0.88403316039699431</v>
      </c>
      <c r="Y92" s="90">
        <f t="shared" si="1"/>
        <v>0.8780518579765052</v>
      </c>
      <c r="Z92" s="90">
        <f t="shared" si="1"/>
        <v>0.87216998373843591</v>
      </c>
      <c r="AA92" s="90">
        <f t="shared" si="1"/>
        <v>0.86638241812867023</v>
      </c>
      <c r="AB92" s="90">
        <f t="shared" si="1"/>
        <v>0.8606844427739091</v>
      </c>
      <c r="AC92" s="90">
        <f t="shared" si="1"/>
        <v>0.8550717223432478</v>
      </c>
      <c r="AD92" s="90">
        <f t="shared" si="1"/>
        <v>0.84954027373319085</v>
      </c>
      <c r="AE92" s="90">
        <f t="shared" si="1"/>
        <v>0.84408642887460184</v>
      </c>
      <c r="AF92" s="90">
        <f t="shared" si="1"/>
        <v>0.83870679676783166</v>
      </c>
      <c r="AG92" s="90">
        <f t="shared" si="1"/>
        <v>0.83339822918297657</v>
      </c>
      <c r="AH92" s="90">
        <f t="shared" si="1"/>
        <v>0.82815779289084468</v>
      </c>
      <c r="AI92" s="90">
        <f t="shared" si="1"/>
        <v>0.82298274829379181</v>
      </c>
      <c r="AJ92" s="90">
        <f t="shared" si="1"/>
        <v>0.81787053265670917</v>
      </c>
      <c r="AK92" s="90">
        <f t="shared" si="1"/>
        <v>0.81281874822119593</v>
      </c>
      <c r="AL92" s="90">
        <f t="shared" si="1"/>
        <v>0.80782514930696692</v>
      </c>
      <c r="AM92" s="90">
        <f t="shared" si="1"/>
        <v>0</v>
      </c>
      <c r="AN92" s="90">
        <f t="shared" si="1"/>
        <v>0.79800422706162555</v>
      </c>
    </row>
    <row r="93" spans="2:43" hidden="1" x14ac:dyDescent="0.35"/>
  </sheetData>
  <conditionalFormatting sqref="D5:AM5">
    <cfRule type="containsBlanks" dxfId="172" priority="127" stopIfTrue="1">
      <formula>LEN(TRIM(D5))=0</formula>
    </cfRule>
    <cfRule type="notContainsBlanks" dxfId="171" priority="128" stopIfTrue="1">
      <formula>LEN(TRIM(D5))&gt;0</formula>
    </cfRule>
  </conditionalFormatting>
  <conditionalFormatting sqref="D6:AM6">
    <cfRule type="containsBlanks" dxfId="170" priority="129" stopIfTrue="1">
      <formula>LEN(TRIM(D6))=0</formula>
    </cfRule>
    <cfRule type="notContainsBlanks" dxfId="169" priority="130" stopIfTrue="1">
      <formula>LEN(TRIM(D6))&gt;0</formula>
    </cfRule>
  </conditionalFormatting>
  <conditionalFormatting sqref="D7:AM7">
    <cfRule type="containsBlanks" dxfId="168" priority="131" stopIfTrue="1">
      <formula>LEN(TRIM(D7))=0</formula>
    </cfRule>
    <cfRule type="notContainsBlanks" dxfId="167" priority="132" stopIfTrue="1">
      <formula>LEN(TRIM(D7))&gt;0</formula>
    </cfRule>
  </conditionalFormatting>
  <conditionalFormatting sqref="D8:AM8">
    <cfRule type="containsBlanks" dxfId="166" priority="133" stopIfTrue="1">
      <formula>LEN(TRIM(D8))=0</formula>
    </cfRule>
    <cfRule type="notContainsBlanks" dxfId="165" priority="134" stopIfTrue="1">
      <formula>LEN(TRIM(D8))&gt;0</formula>
    </cfRule>
  </conditionalFormatting>
  <conditionalFormatting sqref="D9:AM9">
    <cfRule type="containsBlanks" dxfId="164" priority="135" stopIfTrue="1">
      <formula>LEN(TRIM(D9))=0</formula>
    </cfRule>
    <cfRule type="notContainsBlanks" dxfId="163" priority="136" stopIfTrue="1">
      <formula>LEN(TRIM(D9))&gt;0</formula>
    </cfRule>
  </conditionalFormatting>
  <conditionalFormatting sqref="D11:AM11">
    <cfRule type="containsBlanks" dxfId="162" priority="137" stopIfTrue="1">
      <formula>LEN(TRIM(D11))=0</formula>
    </cfRule>
    <cfRule type="notContainsBlanks" dxfId="161" priority="138" stopIfTrue="1">
      <formula>LEN(TRIM(D11))&gt;0</formula>
    </cfRule>
  </conditionalFormatting>
  <conditionalFormatting sqref="D12:AM12">
    <cfRule type="containsBlanks" dxfId="160" priority="139" stopIfTrue="1">
      <formula>LEN(TRIM(D12))=0</formula>
    </cfRule>
    <cfRule type="notContainsBlanks" dxfId="159" priority="140" stopIfTrue="1">
      <formula>LEN(TRIM(D12))&gt;0</formula>
    </cfRule>
  </conditionalFormatting>
  <conditionalFormatting sqref="D13:AM13">
    <cfRule type="containsBlanks" dxfId="158" priority="141" stopIfTrue="1">
      <formula>LEN(TRIM(D13))=0</formula>
    </cfRule>
    <cfRule type="notContainsBlanks" dxfId="157" priority="142" stopIfTrue="1">
      <formula>LEN(TRIM(D13))&gt;0</formula>
    </cfRule>
  </conditionalFormatting>
  <conditionalFormatting sqref="D14:AM14">
    <cfRule type="containsBlanks" dxfId="156" priority="143" stopIfTrue="1">
      <formula>LEN(TRIM(D14))=0</formula>
    </cfRule>
    <cfRule type="notContainsBlanks" dxfId="155" priority="144" stopIfTrue="1">
      <formula>LEN(TRIM(D14))&gt;0</formula>
    </cfRule>
  </conditionalFormatting>
  <conditionalFormatting sqref="D15:AM15">
    <cfRule type="containsBlanks" dxfId="154" priority="145" stopIfTrue="1">
      <formula>LEN(TRIM(D15))=0</formula>
    </cfRule>
    <cfRule type="notContainsBlanks" dxfId="153" priority="146" stopIfTrue="1">
      <formula>LEN(TRIM(D15))&gt;0</formula>
    </cfRule>
  </conditionalFormatting>
  <conditionalFormatting sqref="D17:AM17">
    <cfRule type="containsBlanks" dxfId="152" priority="147" stopIfTrue="1">
      <formula>LEN(TRIM(D17))=0</formula>
    </cfRule>
    <cfRule type="notContainsBlanks" dxfId="151" priority="148" stopIfTrue="1">
      <formula>LEN(TRIM(D17))&gt;0</formula>
    </cfRule>
  </conditionalFormatting>
  <conditionalFormatting sqref="D18:AM18">
    <cfRule type="containsBlanks" dxfId="150" priority="149" stopIfTrue="1">
      <formula>LEN(TRIM(D18))=0</formula>
    </cfRule>
    <cfRule type="notContainsBlanks" dxfId="149" priority="150" stopIfTrue="1">
      <formula>LEN(TRIM(D18))&gt;0</formula>
    </cfRule>
  </conditionalFormatting>
  <conditionalFormatting sqref="D19:AM19">
    <cfRule type="containsBlanks" dxfId="148" priority="151" stopIfTrue="1">
      <formula>LEN(TRIM(D19))=0</formula>
    </cfRule>
    <cfRule type="notContainsBlanks" dxfId="147" priority="152" stopIfTrue="1">
      <formula>LEN(TRIM(D19))&gt;0</formula>
    </cfRule>
  </conditionalFormatting>
  <conditionalFormatting sqref="D20:AM20">
    <cfRule type="containsBlanks" dxfId="146" priority="153" stopIfTrue="1">
      <formula>LEN(TRIM(D20))=0</formula>
    </cfRule>
    <cfRule type="notContainsBlanks" dxfId="145" priority="154" stopIfTrue="1">
      <formula>LEN(TRIM(D20))&gt;0</formula>
    </cfRule>
  </conditionalFormatting>
  <conditionalFormatting sqref="D21:AM21">
    <cfRule type="containsBlanks" dxfId="144" priority="155" stopIfTrue="1">
      <formula>LEN(TRIM(D21))=0</formula>
    </cfRule>
    <cfRule type="notContainsBlanks" dxfId="143" priority="156" stopIfTrue="1">
      <formula>LEN(TRIM(D21))&gt;0</formula>
    </cfRule>
  </conditionalFormatting>
  <conditionalFormatting sqref="D77:AM81">
    <cfRule type="containsBlanks" dxfId="142" priority="27" stopIfTrue="1">
      <formula>LEN(TRIM(D77))=0</formula>
    </cfRule>
    <cfRule type="notContainsBlanks" dxfId="141" priority="28" stopIfTrue="1">
      <formula>LEN(TRIM(D77))&gt;0</formula>
    </cfRule>
  </conditionalFormatting>
  <conditionalFormatting sqref="D71:AM75">
    <cfRule type="containsBlanks" dxfId="140" priority="25" stopIfTrue="1">
      <formula>LEN(TRIM(D71))=0</formula>
    </cfRule>
    <cfRule type="notContainsBlanks" dxfId="139" priority="26" stopIfTrue="1">
      <formula>LEN(TRIM(D71))&gt;0</formula>
    </cfRule>
  </conditionalFormatting>
  <conditionalFormatting sqref="D65:AM69">
    <cfRule type="containsBlanks" dxfId="138" priority="23" stopIfTrue="1">
      <formula>LEN(TRIM(D65))=0</formula>
    </cfRule>
    <cfRule type="notContainsBlanks" dxfId="137" priority="24" stopIfTrue="1">
      <formula>LEN(TRIM(D65))&gt;0</formula>
    </cfRule>
  </conditionalFormatting>
  <conditionalFormatting sqref="D57:AM61">
    <cfRule type="containsBlanks" dxfId="136" priority="21" stopIfTrue="1">
      <formula>LEN(TRIM(D57))=0</formula>
    </cfRule>
    <cfRule type="notContainsBlanks" dxfId="135" priority="22" stopIfTrue="1">
      <formula>LEN(TRIM(D57))&gt;0</formula>
    </cfRule>
  </conditionalFormatting>
  <conditionalFormatting sqref="D51:AM55">
    <cfRule type="containsBlanks" dxfId="134" priority="19" stopIfTrue="1">
      <formula>LEN(TRIM(D51))=0</formula>
    </cfRule>
    <cfRule type="notContainsBlanks" dxfId="133" priority="20" stopIfTrue="1">
      <formula>LEN(TRIM(D51))&gt;0</formula>
    </cfRule>
  </conditionalFormatting>
  <conditionalFormatting sqref="D45:AM49">
    <cfRule type="containsBlanks" dxfId="132" priority="17" stopIfTrue="1">
      <formula>LEN(TRIM(D45))=0</formula>
    </cfRule>
    <cfRule type="notContainsBlanks" dxfId="131" priority="18" stopIfTrue="1">
      <formula>LEN(TRIM(D45))&gt;0</formula>
    </cfRule>
  </conditionalFormatting>
  <conditionalFormatting sqref="D25:AM29">
    <cfRule type="containsBlanks" dxfId="130" priority="5" stopIfTrue="1">
      <formula>LEN(TRIM(D25))=0</formula>
    </cfRule>
    <cfRule type="notContainsBlanks" dxfId="129" priority="6" stopIfTrue="1">
      <formula>LEN(TRIM(D25))&gt;0</formula>
    </cfRule>
  </conditionalFormatting>
  <conditionalFormatting sqref="D31:AM35">
    <cfRule type="containsBlanks" dxfId="128" priority="3" stopIfTrue="1">
      <formula>LEN(TRIM(D31))=0</formula>
    </cfRule>
    <cfRule type="notContainsBlanks" dxfId="127" priority="4" stopIfTrue="1">
      <formula>LEN(TRIM(D31))&gt;0</formula>
    </cfRule>
  </conditionalFormatting>
  <conditionalFormatting sqref="D37:AM41">
    <cfRule type="containsBlanks" dxfId="126" priority="1" stopIfTrue="1">
      <formula>LEN(TRIM(D37))=0</formula>
    </cfRule>
    <cfRule type="notContainsBlanks" dxfId="125" priority="2" stopIfTrue="1">
      <formula>LEN(TRIM(D37))&gt;0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2:X14"/>
  <sheetViews>
    <sheetView zoomScale="85" zoomScaleNormal="85" workbookViewId="0"/>
  </sheetViews>
  <sheetFormatPr defaultColWidth="9.1796875" defaultRowHeight="14.5" x14ac:dyDescent="0.35"/>
  <cols>
    <col min="1" max="1" width="9.1796875" style="6"/>
    <col min="2" max="2" width="3.453125" style="6" customWidth="1"/>
    <col min="3" max="3" width="16.453125" style="6" bestFit="1" customWidth="1"/>
    <col min="4" max="23" width="5.7265625" style="6" bestFit="1" customWidth="1"/>
    <col min="24" max="24" width="3.453125" style="6" customWidth="1"/>
    <col min="25" max="16384" width="9.1796875" style="6"/>
  </cols>
  <sheetData>
    <row r="2" spans="2:24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</row>
    <row r="3" spans="2:24" x14ac:dyDescent="0.35">
      <c r="B3" s="8"/>
      <c r="C3" s="135" t="s">
        <v>13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8"/>
    </row>
    <row r="4" spans="2:24" x14ac:dyDescent="0.3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2:24" x14ac:dyDescent="0.35">
      <c r="B5" s="8"/>
      <c r="C5" s="23" t="s">
        <v>57</v>
      </c>
      <c r="D5" s="26">
        <f t="array" ref="D5:W5">_t</f>
        <v>1</v>
      </c>
      <c r="E5" s="26">
        <v>2</v>
      </c>
      <c r="F5" s="26">
        <v>3</v>
      </c>
      <c r="G5" s="26">
        <v>4</v>
      </c>
      <c r="H5" s="26">
        <v>5</v>
      </c>
      <c r="I5" s="26">
        <v>6</v>
      </c>
      <c r="J5" s="26">
        <v>7</v>
      </c>
      <c r="K5" s="26">
        <v>8</v>
      </c>
      <c r="L5" s="26">
        <v>9</v>
      </c>
      <c r="M5" s="26">
        <v>10</v>
      </c>
      <c r="N5" s="26">
        <v>11</v>
      </c>
      <c r="O5" s="26">
        <v>12</v>
      </c>
      <c r="P5" s="26">
        <v>13</v>
      </c>
      <c r="Q5" s="26">
        <v>14</v>
      </c>
      <c r="R5" s="26">
        <v>15</v>
      </c>
      <c r="S5" s="26">
        <v>16</v>
      </c>
      <c r="T5" s="26">
        <v>17</v>
      </c>
      <c r="U5" s="26">
        <v>18</v>
      </c>
      <c r="V5" s="26">
        <v>19</v>
      </c>
      <c r="W5" s="27">
        <v>20</v>
      </c>
      <c r="X5" s="8"/>
    </row>
    <row r="6" spans="2:24" x14ac:dyDescent="0.35">
      <c r="B6" s="8"/>
      <c r="C6" s="35" t="s">
        <v>58</v>
      </c>
      <c r="D6" s="21">
        <v>1</v>
      </c>
      <c r="E6" s="21">
        <v>0.99710244488346556</v>
      </c>
      <c r="F6" s="21">
        <v>0.98388722964248154</v>
      </c>
      <c r="G6" s="21">
        <v>0.9523478389021266</v>
      </c>
      <c r="H6" s="21">
        <v>0.89563021737785731</v>
      </c>
      <c r="I6" s="21">
        <v>0.81006920622352951</v>
      </c>
      <c r="J6" s="21">
        <v>0.69716783195435028</v>
      </c>
      <c r="K6" s="21">
        <v>0.56461089851503576</v>
      </c>
      <c r="L6" s="21">
        <v>0.42536961236584486</v>
      </c>
      <c r="M6" s="21">
        <v>0.29460919932949636</v>
      </c>
      <c r="N6" s="21">
        <v>0.18531306310439966</v>
      </c>
      <c r="O6" s="21">
        <v>0.1045514449229058</v>
      </c>
      <c r="P6" s="21">
        <v>5.2236033392055792E-2</v>
      </c>
      <c r="Q6" s="21">
        <v>2.2810050268887661E-2</v>
      </c>
      <c r="R6" s="21">
        <v>8.5871869142433339E-3</v>
      </c>
      <c r="S6" s="21">
        <v>2.7448645834038032E-3</v>
      </c>
      <c r="T6" s="21">
        <v>7.2890565879556776E-4</v>
      </c>
      <c r="U6" s="21">
        <v>0</v>
      </c>
      <c r="V6" s="21">
        <v>0</v>
      </c>
      <c r="W6" s="22">
        <v>0</v>
      </c>
      <c r="X6" s="8"/>
    </row>
    <row r="7" spans="2:24" x14ac:dyDescent="0.3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9" spans="2:24" x14ac:dyDescent="0.3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</row>
    <row r="10" spans="2:24" x14ac:dyDescent="0.35">
      <c r="B10" s="8"/>
      <c r="C10" s="135" t="s">
        <v>15</v>
      </c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8"/>
    </row>
    <row r="11" spans="2:24" x14ac:dyDescent="0.3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</row>
    <row r="12" spans="2:24" x14ac:dyDescent="0.35">
      <c r="B12" s="8"/>
      <c r="C12" s="23" t="s">
        <v>57</v>
      </c>
      <c r="D12" s="26">
        <f t="array" ref="D12:W12">_t</f>
        <v>1</v>
      </c>
      <c r="E12" s="26">
        <v>2</v>
      </c>
      <c r="F12" s="26">
        <v>3</v>
      </c>
      <c r="G12" s="26">
        <v>4</v>
      </c>
      <c r="H12" s="26">
        <v>5</v>
      </c>
      <c r="I12" s="26">
        <v>6</v>
      </c>
      <c r="J12" s="26">
        <v>7</v>
      </c>
      <c r="K12" s="26">
        <v>8</v>
      </c>
      <c r="L12" s="26">
        <v>9</v>
      </c>
      <c r="M12" s="26">
        <v>10</v>
      </c>
      <c r="N12" s="26">
        <v>11</v>
      </c>
      <c r="O12" s="26">
        <v>12</v>
      </c>
      <c r="P12" s="26">
        <v>13</v>
      </c>
      <c r="Q12" s="26">
        <v>14</v>
      </c>
      <c r="R12" s="26">
        <v>15</v>
      </c>
      <c r="S12" s="26">
        <v>16</v>
      </c>
      <c r="T12" s="26">
        <v>17</v>
      </c>
      <c r="U12" s="26">
        <v>18</v>
      </c>
      <c r="V12" s="26">
        <v>19</v>
      </c>
      <c r="W12" s="27">
        <v>20</v>
      </c>
      <c r="X12" s="8"/>
    </row>
    <row r="13" spans="2:24" x14ac:dyDescent="0.35">
      <c r="B13" s="8"/>
      <c r="C13" s="35" t="s">
        <v>58</v>
      </c>
      <c r="D13" s="21">
        <v>1</v>
      </c>
      <c r="E13" s="21">
        <v>0.99710244488346556</v>
      </c>
      <c r="F13" s="21">
        <v>0.98388722964248154</v>
      </c>
      <c r="G13" s="21">
        <v>0.9523478389021266</v>
      </c>
      <c r="H13" s="21">
        <v>0.89563021737785731</v>
      </c>
      <c r="I13" s="21">
        <v>0.81006920622352951</v>
      </c>
      <c r="J13" s="21">
        <v>0.69716783195435028</v>
      </c>
      <c r="K13" s="21">
        <v>0.56461089851503576</v>
      </c>
      <c r="L13" s="21">
        <v>0.42536961236584486</v>
      </c>
      <c r="M13" s="21">
        <v>0.29460919932949636</v>
      </c>
      <c r="N13" s="21">
        <v>0.18531306310439966</v>
      </c>
      <c r="O13" s="21">
        <v>0.1045514449229058</v>
      </c>
      <c r="P13" s="21">
        <v>5.2236033392055792E-2</v>
      </c>
      <c r="Q13" s="21">
        <v>2.2810050268887661E-2</v>
      </c>
      <c r="R13" s="21">
        <v>8.5871869142433339E-3</v>
      </c>
      <c r="S13" s="21">
        <v>2.7448645834038032E-3</v>
      </c>
      <c r="T13" s="21">
        <v>7.2890565879556776E-4</v>
      </c>
      <c r="U13" s="21">
        <v>0</v>
      </c>
      <c r="V13" s="21">
        <v>0</v>
      </c>
      <c r="W13" s="22">
        <v>0</v>
      </c>
      <c r="X13" s="8"/>
    </row>
    <row r="14" spans="2:24" x14ac:dyDescent="0.3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</row>
  </sheetData>
  <mergeCells count="2">
    <mergeCell ref="C10:W10"/>
    <mergeCell ref="C3:W3"/>
  </mergeCells>
  <conditionalFormatting sqref="D13:W13">
    <cfRule type="containsBlanks" dxfId="124" priority="1" stopIfTrue="1">
      <formula>LEN(TRIM(D13))=0</formula>
    </cfRule>
    <cfRule type="notContainsBlanks" dxfId="123" priority="2" stopIfTrue="1">
      <formula>LEN(TRIM(D13))&gt;0</formula>
    </cfRule>
  </conditionalFormatting>
  <conditionalFormatting sqref="D6:W6">
    <cfRule type="containsBlanks" dxfId="122" priority="3" stopIfTrue="1">
      <formula>LEN(TRIM(D6))=0</formula>
    </cfRule>
    <cfRule type="notContainsBlanks" dxfId="121" priority="4" stopIfTrue="1">
      <formula>LEN(TRIM(D6))&gt;0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B2:BH46"/>
  <sheetViews>
    <sheetView zoomScale="85" zoomScaleNormal="85" workbookViewId="0">
      <selection activeCell="Y39" sqref="Y39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24.26953125" style="6" bestFit="1" customWidth="1"/>
    <col min="4" max="4" width="11.54296875" style="6" bestFit="1" customWidth="1"/>
    <col min="5" max="59" width="5.90625" style="6" bestFit="1" customWidth="1"/>
    <col min="60" max="60" width="3.453125" style="6" customWidth="1"/>
    <col min="61" max="16384" width="9.1796875" style="6"/>
  </cols>
  <sheetData>
    <row r="2" spans="2:60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</row>
    <row r="3" spans="2:60" x14ac:dyDescent="0.35">
      <c r="B3" s="8"/>
      <c r="C3" s="135" t="s">
        <v>13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8"/>
    </row>
    <row r="4" spans="2:60" x14ac:dyDescent="0.3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</row>
    <row r="5" spans="2:60" x14ac:dyDescent="0.35">
      <c r="B5" s="8"/>
      <c r="C5" s="23" t="str">
        <f>"Energy Prices [" &amp; sAEO &amp; "]"</f>
        <v>Energy Prices [Reference]</v>
      </c>
      <c r="D5" s="24"/>
      <c r="E5" s="26">
        <f t="array" ref="E5:BG5">_yL</f>
        <v>2024</v>
      </c>
      <c r="F5" s="26">
        <v>2025</v>
      </c>
      <c r="G5" s="26">
        <v>2026</v>
      </c>
      <c r="H5" s="26">
        <v>2027</v>
      </c>
      <c r="I5" s="26">
        <v>2028</v>
      </c>
      <c r="J5" s="26">
        <v>2029</v>
      </c>
      <c r="K5" s="26">
        <v>2030</v>
      </c>
      <c r="L5" s="26">
        <v>2031</v>
      </c>
      <c r="M5" s="26">
        <v>2032</v>
      </c>
      <c r="N5" s="26">
        <v>2033</v>
      </c>
      <c r="O5" s="26">
        <v>2034</v>
      </c>
      <c r="P5" s="26">
        <v>2035</v>
      </c>
      <c r="Q5" s="26">
        <v>2036</v>
      </c>
      <c r="R5" s="26">
        <v>2037</v>
      </c>
      <c r="S5" s="26">
        <v>2038</v>
      </c>
      <c r="T5" s="26">
        <v>2039</v>
      </c>
      <c r="U5" s="26">
        <v>2040</v>
      </c>
      <c r="V5" s="26">
        <v>2041</v>
      </c>
      <c r="W5" s="26">
        <v>2042</v>
      </c>
      <c r="X5" s="26">
        <v>2043</v>
      </c>
      <c r="Y5" s="26">
        <v>2044</v>
      </c>
      <c r="Z5" s="26">
        <v>2045</v>
      </c>
      <c r="AA5" s="26">
        <v>2046</v>
      </c>
      <c r="AB5" s="26">
        <v>2047</v>
      </c>
      <c r="AC5" s="26">
        <v>2048</v>
      </c>
      <c r="AD5" s="26">
        <v>2049</v>
      </c>
      <c r="AE5" s="26">
        <v>2050</v>
      </c>
      <c r="AF5" s="26">
        <v>2051</v>
      </c>
      <c r="AG5" s="26">
        <v>2052</v>
      </c>
      <c r="AH5" s="26">
        <v>2053</v>
      </c>
      <c r="AI5" s="26">
        <v>2054</v>
      </c>
      <c r="AJ5" s="26">
        <v>2055</v>
      </c>
      <c r="AK5" s="26">
        <v>2056</v>
      </c>
      <c r="AL5" s="26">
        <v>2057</v>
      </c>
      <c r="AM5" s="26">
        <v>2058</v>
      </c>
      <c r="AN5" s="26">
        <v>2059</v>
      </c>
      <c r="AO5" s="26">
        <v>2060</v>
      </c>
      <c r="AP5" s="26">
        <v>2061</v>
      </c>
      <c r="AQ5" s="26">
        <v>2062</v>
      </c>
      <c r="AR5" s="26">
        <v>2063</v>
      </c>
      <c r="AS5" s="26">
        <v>2064</v>
      </c>
      <c r="AT5" s="26">
        <v>2065</v>
      </c>
      <c r="AU5" s="26">
        <v>2066</v>
      </c>
      <c r="AV5" s="26">
        <v>2067</v>
      </c>
      <c r="AW5" s="26">
        <v>2068</v>
      </c>
      <c r="AX5" s="26">
        <v>2069</v>
      </c>
      <c r="AY5" s="26">
        <v>2070</v>
      </c>
      <c r="AZ5" s="26">
        <v>2071</v>
      </c>
      <c r="BA5" s="26">
        <v>2072</v>
      </c>
      <c r="BB5" s="26">
        <v>2073</v>
      </c>
      <c r="BC5" s="26">
        <v>2074</v>
      </c>
      <c r="BD5" s="26">
        <v>2075</v>
      </c>
      <c r="BE5" s="26">
        <v>2076</v>
      </c>
      <c r="BF5" s="26">
        <v>2077</v>
      </c>
      <c r="BG5" s="27">
        <v>2078</v>
      </c>
      <c r="BH5" s="8"/>
    </row>
    <row r="6" spans="2:60" x14ac:dyDescent="0.35">
      <c r="B6" s="8"/>
      <c r="C6" s="35" t="str">
        <f>INDEX(_fuel,1)</f>
        <v>Electricity</v>
      </c>
      <c r="D6" s="15" t="str">
        <f>_yearDol &amp; "$/kWh"</f>
        <v>2021$/kWh</v>
      </c>
      <c r="E6" s="21">
        <f t="array" ref="E6:BG6">CHOOSE(iAEO,tPrcElecR_Res,tPrcElecL_Res,tPrcElecH_Res)</f>
        <v>0.15244983727328601</v>
      </c>
      <c r="F6" s="21">
        <v>0.15185046745861508</v>
      </c>
      <c r="G6" s="21">
        <v>0.15179276107271306</v>
      </c>
      <c r="H6" s="21">
        <v>0.15229551763492763</v>
      </c>
      <c r="I6" s="21">
        <v>0.15297919173397032</v>
      </c>
      <c r="J6" s="21">
        <v>0.1536416895491042</v>
      </c>
      <c r="K6" s="21">
        <v>0.15405690262481953</v>
      </c>
      <c r="L6" s="21">
        <v>0.15475959084035082</v>
      </c>
      <c r="M6" s="21">
        <v>0.15530309251632715</v>
      </c>
      <c r="N6" s="21">
        <v>0.15631418516642095</v>
      </c>
      <c r="O6" s="21">
        <v>0.15705196608800145</v>
      </c>
      <c r="P6" s="21">
        <v>0.15639595477512791</v>
      </c>
      <c r="Q6" s="21">
        <v>0.15622090829215596</v>
      </c>
      <c r="R6" s="21">
        <v>0.15560130561119589</v>
      </c>
      <c r="S6" s="21">
        <v>0.15497277083036917</v>
      </c>
      <c r="T6" s="21">
        <v>0.15511731212730506</v>
      </c>
      <c r="U6" s="21">
        <v>0.15517069417836685</v>
      </c>
      <c r="V6" s="21">
        <v>0.1547889380116263</v>
      </c>
      <c r="W6" s="21">
        <v>0.15486835919879077</v>
      </c>
      <c r="X6" s="21">
        <v>0.15460808120983807</v>
      </c>
      <c r="Y6" s="21">
        <v>0.15373569524384792</v>
      </c>
      <c r="Z6" s="21">
        <v>0.15386055838785906</v>
      </c>
      <c r="AA6" s="21">
        <v>0.15370625494551127</v>
      </c>
      <c r="AB6" s="21">
        <v>0.15341805098521663</v>
      </c>
      <c r="AC6" s="21">
        <v>0.15365013981765446</v>
      </c>
      <c r="AD6" s="21">
        <v>0.15334626216806516</v>
      </c>
      <c r="AE6" s="21">
        <v>0.15235981984616184</v>
      </c>
      <c r="AF6" s="21">
        <v>0.15235981984616184</v>
      </c>
      <c r="AG6" s="21">
        <v>0.15235981984616184</v>
      </c>
      <c r="AH6" s="21">
        <v>0.15235981984616184</v>
      </c>
      <c r="AI6" s="21">
        <v>0.15235981984616184</v>
      </c>
      <c r="AJ6" s="21">
        <v>0.15235981984616184</v>
      </c>
      <c r="AK6" s="21">
        <v>0.15235981984616184</v>
      </c>
      <c r="AL6" s="21">
        <v>0.15235981984616184</v>
      </c>
      <c r="AM6" s="21">
        <v>0.15235981984616184</v>
      </c>
      <c r="AN6" s="21">
        <v>0.15235981984616184</v>
      </c>
      <c r="AO6" s="21">
        <v>0.15235981984616184</v>
      </c>
      <c r="AP6" s="21">
        <v>0.15235981984616184</v>
      </c>
      <c r="AQ6" s="21">
        <v>0.15235981984616184</v>
      </c>
      <c r="AR6" s="21">
        <v>0.15235981984616184</v>
      </c>
      <c r="AS6" s="21">
        <v>0.15235981984616184</v>
      </c>
      <c r="AT6" s="21">
        <v>0.15235981984616184</v>
      </c>
      <c r="AU6" s="21">
        <v>0.15235981984616184</v>
      </c>
      <c r="AV6" s="21">
        <v>0.15235981984616184</v>
      </c>
      <c r="AW6" s="21">
        <v>0.15235981984616184</v>
      </c>
      <c r="AX6" s="21">
        <v>0.15235981984616184</v>
      </c>
      <c r="AY6" s="21">
        <v>0.15235981984616184</v>
      </c>
      <c r="AZ6" s="21">
        <v>0.15235981984616184</v>
      </c>
      <c r="BA6" s="21">
        <v>0.15235981984616184</v>
      </c>
      <c r="BB6" s="21">
        <v>0.15235981984616184</v>
      </c>
      <c r="BC6" s="21">
        <v>0.15235981984616184</v>
      </c>
      <c r="BD6" s="21">
        <v>0.15235981984616184</v>
      </c>
      <c r="BE6" s="21">
        <v>0.15235981984616184</v>
      </c>
      <c r="BF6" s="21">
        <v>0.15235981984616184</v>
      </c>
      <c r="BG6" s="22">
        <v>0.15235981984616184</v>
      </c>
      <c r="BH6" s="8"/>
    </row>
    <row r="7" spans="2:60" x14ac:dyDescent="0.3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</row>
    <row r="8" spans="2:60" x14ac:dyDescent="0.35">
      <c r="B8" s="8"/>
      <c r="C8" s="23" t="s">
        <v>56</v>
      </c>
      <c r="D8" s="24"/>
      <c r="E8" s="26">
        <f t="array" ref="E8:BG8">_yL</f>
        <v>2024</v>
      </c>
      <c r="F8" s="26">
        <v>2025</v>
      </c>
      <c r="G8" s="26">
        <v>2026</v>
      </c>
      <c r="H8" s="26">
        <v>2027</v>
      </c>
      <c r="I8" s="26">
        <v>2028</v>
      </c>
      <c r="J8" s="26">
        <v>2029</v>
      </c>
      <c r="K8" s="26">
        <v>2030</v>
      </c>
      <c r="L8" s="26">
        <v>2031</v>
      </c>
      <c r="M8" s="26">
        <v>2032</v>
      </c>
      <c r="N8" s="26">
        <v>2033</v>
      </c>
      <c r="O8" s="26">
        <v>2034</v>
      </c>
      <c r="P8" s="26">
        <v>2035</v>
      </c>
      <c r="Q8" s="26">
        <v>2036</v>
      </c>
      <c r="R8" s="26">
        <v>2037</v>
      </c>
      <c r="S8" s="26">
        <v>2038</v>
      </c>
      <c r="T8" s="26">
        <v>2039</v>
      </c>
      <c r="U8" s="26">
        <v>2040</v>
      </c>
      <c r="V8" s="26">
        <v>2041</v>
      </c>
      <c r="W8" s="26">
        <v>2042</v>
      </c>
      <c r="X8" s="26">
        <v>2043</v>
      </c>
      <c r="Y8" s="26">
        <v>2044</v>
      </c>
      <c r="Z8" s="26">
        <v>2045</v>
      </c>
      <c r="AA8" s="26">
        <v>2046</v>
      </c>
      <c r="AB8" s="26">
        <v>2047</v>
      </c>
      <c r="AC8" s="26">
        <v>2048</v>
      </c>
      <c r="AD8" s="26">
        <v>2049</v>
      </c>
      <c r="AE8" s="26">
        <v>2050</v>
      </c>
      <c r="AF8" s="26">
        <v>2051</v>
      </c>
      <c r="AG8" s="26">
        <v>2052</v>
      </c>
      <c r="AH8" s="26">
        <v>2053</v>
      </c>
      <c r="AI8" s="26">
        <v>2054</v>
      </c>
      <c r="AJ8" s="26">
        <v>2055</v>
      </c>
      <c r="AK8" s="26">
        <v>2056</v>
      </c>
      <c r="AL8" s="26">
        <v>2057</v>
      </c>
      <c r="AM8" s="26">
        <v>2058</v>
      </c>
      <c r="AN8" s="26">
        <v>2059</v>
      </c>
      <c r="AO8" s="26">
        <v>2060</v>
      </c>
      <c r="AP8" s="26">
        <v>2061</v>
      </c>
      <c r="AQ8" s="26">
        <v>2062</v>
      </c>
      <c r="AR8" s="26">
        <v>2063</v>
      </c>
      <c r="AS8" s="26">
        <v>2064</v>
      </c>
      <c r="AT8" s="26">
        <v>2065</v>
      </c>
      <c r="AU8" s="26">
        <v>2066</v>
      </c>
      <c r="AV8" s="26">
        <v>2067</v>
      </c>
      <c r="AW8" s="26">
        <v>2068</v>
      </c>
      <c r="AX8" s="26">
        <v>2069</v>
      </c>
      <c r="AY8" s="26">
        <v>2070</v>
      </c>
      <c r="AZ8" s="26">
        <v>2071</v>
      </c>
      <c r="BA8" s="26">
        <v>2072</v>
      </c>
      <c r="BB8" s="26">
        <v>2073</v>
      </c>
      <c r="BC8" s="26">
        <v>2074</v>
      </c>
      <c r="BD8" s="26">
        <v>2075</v>
      </c>
      <c r="BE8" s="26">
        <v>2076</v>
      </c>
      <c r="BF8" s="26">
        <v>2077</v>
      </c>
      <c r="BG8" s="27">
        <v>2078</v>
      </c>
      <c r="BH8" s="8"/>
    </row>
    <row r="9" spans="2:60" x14ac:dyDescent="0.35">
      <c r="B9" s="8"/>
      <c r="C9" s="35" t="str">
        <f>INDEX(_fuel,1)</f>
        <v>Electricity</v>
      </c>
      <c r="D9" s="15" t="str">
        <f>_yearDol &amp; "$/kWh"</f>
        <v>2021$/kWh</v>
      </c>
      <c r="E9" s="21">
        <f t="array" ref="E9:BG9">tBaseElec_Res*tTrendRElec_Res</f>
        <v>0.15244983727328601</v>
      </c>
      <c r="F9" s="21">
        <v>0.15185046745861508</v>
      </c>
      <c r="G9" s="21">
        <v>0.15179276107271306</v>
      </c>
      <c r="H9" s="21">
        <v>0.15229551763492763</v>
      </c>
      <c r="I9" s="21">
        <v>0.15297919173397032</v>
      </c>
      <c r="J9" s="21">
        <v>0.1536416895491042</v>
      </c>
      <c r="K9" s="21">
        <v>0.15405690262481953</v>
      </c>
      <c r="L9" s="21">
        <v>0.15475959084035082</v>
      </c>
      <c r="M9" s="21">
        <v>0.15530309251632715</v>
      </c>
      <c r="N9" s="21">
        <v>0.15631418516642095</v>
      </c>
      <c r="O9" s="21">
        <v>0.15705196608800145</v>
      </c>
      <c r="P9" s="21">
        <v>0.15639595477512791</v>
      </c>
      <c r="Q9" s="21">
        <v>0.15622090829215596</v>
      </c>
      <c r="R9" s="21">
        <v>0.15560130561119589</v>
      </c>
      <c r="S9" s="21">
        <v>0.15497277083036917</v>
      </c>
      <c r="T9" s="21">
        <v>0.15511731212730506</v>
      </c>
      <c r="U9" s="21">
        <v>0.15517069417836685</v>
      </c>
      <c r="V9" s="21">
        <v>0.1547889380116263</v>
      </c>
      <c r="W9" s="21">
        <v>0.15486835919879077</v>
      </c>
      <c r="X9" s="21">
        <v>0.15460808120983807</v>
      </c>
      <c r="Y9" s="21">
        <v>0.15373569524384792</v>
      </c>
      <c r="Z9" s="21">
        <v>0.15386055838785906</v>
      </c>
      <c r="AA9" s="21">
        <v>0.15370625494551127</v>
      </c>
      <c r="AB9" s="21">
        <v>0.15341805098521663</v>
      </c>
      <c r="AC9" s="21">
        <v>0.15365013981765446</v>
      </c>
      <c r="AD9" s="21">
        <v>0.15334626216806516</v>
      </c>
      <c r="AE9" s="21">
        <v>0.15235981984616184</v>
      </c>
      <c r="AF9" s="21">
        <v>0.15235981984616184</v>
      </c>
      <c r="AG9" s="21">
        <v>0.15235981984616184</v>
      </c>
      <c r="AH9" s="21">
        <v>0.15235981984616184</v>
      </c>
      <c r="AI9" s="21">
        <v>0.15235981984616184</v>
      </c>
      <c r="AJ9" s="21">
        <v>0.15235981984616184</v>
      </c>
      <c r="AK9" s="21">
        <v>0.15235981984616184</v>
      </c>
      <c r="AL9" s="21">
        <v>0.15235981984616184</v>
      </c>
      <c r="AM9" s="21">
        <v>0.15235981984616184</v>
      </c>
      <c r="AN9" s="21">
        <v>0.15235981984616184</v>
      </c>
      <c r="AO9" s="21">
        <v>0.15235981984616184</v>
      </c>
      <c r="AP9" s="21">
        <v>0.15235981984616184</v>
      </c>
      <c r="AQ9" s="21">
        <v>0.15235981984616184</v>
      </c>
      <c r="AR9" s="21">
        <v>0.15235981984616184</v>
      </c>
      <c r="AS9" s="21">
        <v>0.15235981984616184</v>
      </c>
      <c r="AT9" s="21">
        <v>0.15235981984616184</v>
      </c>
      <c r="AU9" s="21">
        <v>0.15235981984616184</v>
      </c>
      <c r="AV9" s="21">
        <v>0.15235981984616184</v>
      </c>
      <c r="AW9" s="21">
        <v>0.15235981984616184</v>
      </c>
      <c r="AX9" s="21">
        <v>0.15235981984616184</v>
      </c>
      <c r="AY9" s="21">
        <v>0.15235981984616184</v>
      </c>
      <c r="AZ9" s="21">
        <v>0.15235981984616184</v>
      </c>
      <c r="BA9" s="21">
        <v>0.15235981984616184</v>
      </c>
      <c r="BB9" s="21">
        <v>0.15235981984616184</v>
      </c>
      <c r="BC9" s="21">
        <v>0.15235981984616184</v>
      </c>
      <c r="BD9" s="21">
        <v>0.15235981984616184</v>
      </c>
      <c r="BE9" s="21">
        <v>0.15235981984616184</v>
      </c>
      <c r="BF9" s="21">
        <v>0.15235981984616184</v>
      </c>
      <c r="BG9" s="22">
        <v>0.15235981984616184</v>
      </c>
      <c r="BH9" s="8"/>
    </row>
    <row r="10" spans="2:60" x14ac:dyDescent="0.3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</row>
    <row r="11" spans="2:60" x14ac:dyDescent="0.35">
      <c r="B11" s="8"/>
      <c r="C11" s="23" t="s">
        <v>55</v>
      </c>
      <c r="D11" s="24"/>
      <c r="E11" s="26">
        <f t="array" ref="E11:BG11">_yL</f>
        <v>2024</v>
      </c>
      <c r="F11" s="26">
        <v>2025</v>
      </c>
      <c r="G11" s="26">
        <v>2026</v>
      </c>
      <c r="H11" s="26">
        <v>2027</v>
      </c>
      <c r="I11" s="26">
        <v>2028</v>
      </c>
      <c r="J11" s="26">
        <v>2029</v>
      </c>
      <c r="K11" s="26">
        <v>2030</v>
      </c>
      <c r="L11" s="26">
        <v>2031</v>
      </c>
      <c r="M11" s="26">
        <v>2032</v>
      </c>
      <c r="N11" s="26">
        <v>2033</v>
      </c>
      <c r="O11" s="26">
        <v>2034</v>
      </c>
      <c r="P11" s="26">
        <v>2035</v>
      </c>
      <c r="Q11" s="26">
        <v>2036</v>
      </c>
      <c r="R11" s="26">
        <v>2037</v>
      </c>
      <c r="S11" s="26">
        <v>2038</v>
      </c>
      <c r="T11" s="26">
        <v>2039</v>
      </c>
      <c r="U11" s="26">
        <v>2040</v>
      </c>
      <c r="V11" s="26">
        <v>2041</v>
      </c>
      <c r="W11" s="26">
        <v>2042</v>
      </c>
      <c r="X11" s="26">
        <v>2043</v>
      </c>
      <c r="Y11" s="26">
        <v>2044</v>
      </c>
      <c r="Z11" s="26">
        <v>2045</v>
      </c>
      <c r="AA11" s="26">
        <v>2046</v>
      </c>
      <c r="AB11" s="26">
        <v>2047</v>
      </c>
      <c r="AC11" s="26">
        <v>2048</v>
      </c>
      <c r="AD11" s="26">
        <v>2049</v>
      </c>
      <c r="AE11" s="26">
        <v>2050</v>
      </c>
      <c r="AF11" s="26">
        <v>2051</v>
      </c>
      <c r="AG11" s="26">
        <v>2052</v>
      </c>
      <c r="AH11" s="26">
        <v>2053</v>
      </c>
      <c r="AI11" s="26">
        <v>2054</v>
      </c>
      <c r="AJ11" s="26">
        <v>2055</v>
      </c>
      <c r="AK11" s="26">
        <v>2056</v>
      </c>
      <c r="AL11" s="26">
        <v>2057</v>
      </c>
      <c r="AM11" s="26">
        <v>2058</v>
      </c>
      <c r="AN11" s="26">
        <v>2059</v>
      </c>
      <c r="AO11" s="26">
        <v>2060</v>
      </c>
      <c r="AP11" s="26">
        <v>2061</v>
      </c>
      <c r="AQ11" s="26">
        <v>2062</v>
      </c>
      <c r="AR11" s="26">
        <v>2063</v>
      </c>
      <c r="AS11" s="26">
        <v>2064</v>
      </c>
      <c r="AT11" s="26">
        <v>2065</v>
      </c>
      <c r="AU11" s="26">
        <v>2066</v>
      </c>
      <c r="AV11" s="26">
        <v>2067</v>
      </c>
      <c r="AW11" s="26">
        <v>2068</v>
      </c>
      <c r="AX11" s="26">
        <v>2069</v>
      </c>
      <c r="AY11" s="26">
        <v>2070</v>
      </c>
      <c r="AZ11" s="26">
        <v>2071</v>
      </c>
      <c r="BA11" s="26">
        <v>2072</v>
      </c>
      <c r="BB11" s="26">
        <v>2073</v>
      </c>
      <c r="BC11" s="26">
        <v>2074</v>
      </c>
      <c r="BD11" s="26">
        <v>2075</v>
      </c>
      <c r="BE11" s="26">
        <v>2076</v>
      </c>
      <c r="BF11" s="26">
        <v>2077</v>
      </c>
      <c r="BG11" s="27">
        <v>2078</v>
      </c>
      <c r="BH11" s="8"/>
    </row>
    <row r="12" spans="2:60" x14ac:dyDescent="0.35">
      <c r="B12" s="8"/>
      <c r="C12" s="35" t="str">
        <f>INDEX(_fuel,1)</f>
        <v>Electricity</v>
      </c>
      <c r="D12" s="15" t="str">
        <f>_yearDol &amp; "$/kWh"</f>
        <v>2021$/kWh</v>
      </c>
      <c r="E12" s="21">
        <f t="array" ref="E12:BG12">tBaseElec_Res*tTrendLElec_Res</f>
        <v>0.15244983727328601</v>
      </c>
      <c r="F12" s="21">
        <v>0.15171195797388534</v>
      </c>
      <c r="G12" s="21">
        <v>0.15233994113334196</v>
      </c>
      <c r="H12" s="21">
        <v>0.15260115343230218</v>
      </c>
      <c r="I12" s="21">
        <v>0.15287882337206929</v>
      </c>
      <c r="J12" s="21">
        <v>0.1533798806286463</v>
      </c>
      <c r="K12" s="21">
        <v>0.15348488735607255</v>
      </c>
      <c r="L12" s="21">
        <v>0.15401434378129036</v>
      </c>
      <c r="M12" s="21">
        <v>0.1546787926256413</v>
      </c>
      <c r="N12" s="21">
        <v>0.15532792807344259</v>
      </c>
      <c r="O12" s="21">
        <v>0.15565675628127995</v>
      </c>
      <c r="P12" s="21">
        <v>0.15440079807757426</v>
      </c>
      <c r="Q12" s="21">
        <v>0.15341907302326005</v>
      </c>
      <c r="R12" s="21">
        <v>0.15280576621656441</v>
      </c>
      <c r="S12" s="21">
        <v>0.15219564868641569</v>
      </c>
      <c r="T12" s="21">
        <v>0.15160641158516047</v>
      </c>
      <c r="U12" s="21">
        <v>0.15183072809322895</v>
      </c>
      <c r="V12" s="21">
        <v>0.15145744477871512</v>
      </c>
      <c r="W12" s="21">
        <v>0.1515094551435727</v>
      </c>
      <c r="X12" s="21">
        <v>0.15082415833115828</v>
      </c>
      <c r="Y12" s="21">
        <v>0.15030395730009241</v>
      </c>
      <c r="Z12" s="21">
        <v>0.15037137844398954</v>
      </c>
      <c r="AA12" s="21">
        <v>0.14939210012473614</v>
      </c>
      <c r="AB12" s="21">
        <v>0.14922842856230356</v>
      </c>
      <c r="AC12" s="21">
        <v>0.148738286259812</v>
      </c>
      <c r="AD12" s="21">
        <v>0.1482587789367471</v>
      </c>
      <c r="AE12" s="21">
        <v>0.14725228626914763</v>
      </c>
      <c r="AF12" s="21">
        <v>0.14725228626914763</v>
      </c>
      <c r="AG12" s="21">
        <v>0.14725228626914763</v>
      </c>
      <c r="AH12" s="21">
        <v>0.14725228626914763</v>
      </c>
      <c r="AI12" s="21">
        <v>0.14725228626914763</v>
      </c>
      <c r="AJ12" s="21">
        <v>0.14725228626914763</v>
      </c>
      <c r="AK12" s="21">
        <v>0.14725228626914763</v>
      </c>
      <c r="AL12" s="21">
        <v>0.14725228626914763</v>
      </c>
      <c r="AM12" s="21">
        <v>0.14725228626914763</v>
      </c>
      <c r="AN12" s="21">
        <v>0.14725228626914763</v>
      </c>
      <c r="AO12" s="21">
        <v>0.14725228626914763</v>
      </c>
      <c r="AP12" s="21">
        <v>0.14725228626914763</v>
      </c>
      <c r="AQ12" s="21">
        <v>0.14725228626914763</v>
      </c>
      <c r="AR12" s="21">
        <v>0.14725228626914763</v>
      </c>
      <c r="AS12" s="21">
        <v>0.14725228626914763</v>
      </c>
      <c r="AT12" s="21">
        <v>0.14725228626914763</v>
      </c>
      <c r="AU12" s="21">
        <v>0.14725228626914763</v>
      </c>
      <c r="AV12" s="21">
        <v>0.14725228626914763</v>
      </c>
      <c r="AW12" s="21">
        <v>0.14725228626914763</v>
      </c>
      <c r="AX12" s="21">
        <v>0.14725228626914763</v>
      </c>
      <c r="AY12" s="21">
        <v>0.14725228626914763</v>
      </c>
      <c r="AZ12" s="21">
        <v>0.14725228626914763</v>
      </c>
      <c r="BA12" s="21">
        <v>0.14725228626914763</v>
      </c>
      <c r="BB12" s="21">
        <v>0.14725228626914763</v>
      </c>
      <c r="BC12" s="21">
        <v>0.14725228626914763</v>
      </c>
      <c r="BD12" s="21">
        <v>0.14725228626914763</v>
      </c>
      <c r="BE12" s="21">
        <v>0.14725228626914763</v>
      </c>
      <c r="BF12" s="21">
        <v>0.14725228626914763</v>
      </c>
      <c r="BG12" s="22">
        <v>0.14725228626914763</v>
      </c>
      <c r="BH12" s="8"/>
    </row>
    <row r="13" spans="2:60" x14ac:dyDescent="0.3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</row>
    <row r="14" spans="2:60" x14ac:dyDescent="0.35">
      <c r="B14" s="8"/>
      <c r="C14" s="23" t="s">
        <v>54</v>
      </c>
      <c r="D14" s="24"/>
      <c r="E14" s="26">
        <f t="array" ref="E14:BG14">_yL</f>
        <v>2024</v>
      </c>
      <c r="F14" s="26">
        <v>2025</v>
      </c>
      <c r="G14" s="26">
        <v>2026</v>
      </c>
      <c r="H14" s="26">
        <v>2027</v>
      </c>
      <c r="I14" s="26">
        <v>2028</v>
      </c>
      <c r="J14" s="26">
        <v>2029</v>
      </c>
      <c r="K14" s="26">
        <v>2030</v>
      </c>
      <c r="L14" s="26">
        <v>2031</v>
      </c>
      <c r="M14" s="26">
        <v>2032</v>
      </c>
      <c r="N14" s="26">
        <v>2033</v>
      </c>
      <c r="O14" s="26">
        <v>2034</v>
      </c>
      <c r="P14" s="26">
        <v>2035</v>
      </c>
      <c r="Q14" s="26">
        <v>2036</v>
      </c>
      <c r="R14" s="26">
        <v>2037</v>
      </c>
      <c r="S14" s="26">
        <v>2038</v>
      </c>
      <c r="T14" s="26">
        <v>2039</v>
      </c>
      <c r="U14" s="26">
        <v>2040</v>
      </c>
      <c r="V14" s="26">
        <v>2041</v>
      </c>
      <c r="W14" s="26">
        <v>2042</v>
      </c>
      <c r="X14" s="26">
        <v>2043</v>
      </c>
      <c r="Y14" s="26">
        <v>2044</v>
      </c>
      <c r="Z14" s="26">
        <v>2045</v>
      </c>
      <c r="AA14" s="26">
        <v>2046</v>
      </c>
      <c r="AB14" s="26">
        <v>2047</v>
      </c>
      <c r="AC14" s="26">
        <v>2048</v>
      </c>
      <c r="AD14" s="26">
        <v>2049</v>
      </c>
      <c r="AE14" s="26">
        <v>2050</v>
      </c>
      <c r="AF14" s="26">
        <v>2051</v>
      </c>
      <c r="AG14" s="26">
        <v>2052</v>
      </c>
      <c r="AH14" s="26">
        <v>2053</v>
      </c>
      <c r="AI14" s="26">
        <v>2054</v>
      </c>
      <c r="AJ14" s="26">
        <v>2055</v>
      </c>
      <c r="AK14" s="26">
        <v>2056</v>
      </c>
      <c r="AL14" s="26">
        <v>2057</v>
      </c>
      <c r="AM14" s="26">
        <v>2058</v>
      </c>
      <c r="AN14" s="26">
        <v>2059</v>
      </c>
      <c r="AO14" s="26">
        <v>2060</v>
      </c>
      <c r="AP14" s="26">
        <v>2061</v>
      </c>
      <c r="AQ14" s="26">
        <v>2062</v>
      </c>
      <c r="AR14" s="26">
        <v>2063</v>
      </c>
      <c r="AS14" s="26">
        <v>2064</v>
      </c>
      <c r="AT14" s="26">
        <v>2065</v>
      </c>
      <c r="AU14" s="26">
        <v>2066</v>
      </c>
      <c r="AV14" s="26">
        <v>2067</v>
      </c>
      <c r="AW14" s="26">
        <v>2068</v>
      </c>
      <c r="AX14" s="26">
        <v>2069</v>
      </c>
      <c r="AY14" s="26">
        <v>2070</v>
      </c>
      <c r="AZ14" s="26">
        <v>2071</v>
      </c>
      <c r="BA14" s="26">
        <v>2072</v>
      </c>
      <c r="BB14" s="26">
        <v>2073</v>
      </c>
      <c r="BC14" s="26">
        <v>2074</v>
      </c>
      <c r="BD14" s="26">
        <v>2075</v>
      </c>
      <c r="BE14" s="26">
        <v>2076</v>
      </c>
      <c r="BF14" s="26">
        <v>2077</v>
      </c>
      <c r="BG14" s="27">
        <v>2078</v>
      </c>
      <c r="BH14" s="8"/>
    </row>
    <row r="15" spans="2:60" x14ac:dyDescent="0.35">
      <c r="B15" s="8"/>
      <c r="C15" s="35" t="str">
        <f>INDEX(_fuel,1)</f>
        <v>Electricity</v>
      </c>
      <c r="D15" s="15" t="str">
        <f>_yearDol &amp; "$/kWh"</f>
        <v>2021$/kWh</v>
      </c>
      <c r="E15" s="21">
        <f t="array" ref="E15:BG15">tBaseElec_Res*tTrendHElec_Res</f>
        <v>0.15244983727328601</v>
      </c>
      <c r="F15" s="21">
        <v>0.1516312421279456</v>
      </c>
      <c r="G15" s="21">
        <v>0.15173832337072982</v>
      </c>
      <c r="H15" s="21">
        <v>0.15221158886118846</v>
      </c>
      <c r="I15" s="21">
        <v>0.15278099257394739</v>
      </c>
      <c r="J15" s="21">
        <v>0.15366847717592791</v>
      </c>
      <c r="K15" s="21">
        <v>0.15425101976563754</v>
      </c>
      <c r="L15" s="21">
        <v>0.15583048119126167</v>
      </c>
      <c r="M15" s="21">
        <v>0.15679825355803734</v>
      </c>
      <c r="N15" s="21">
        <v>0.15814731927661665</v>
      </c>
      <c r="O15" s="21">
        <v>0.15844427965281291</v>
      </c>
      <c r="P15" s="21">
        <v>0.15779492259009692</v>
      </c>
      <c r="Q15" s="21">
        <v>0.15777198898457601</v>
      </c>
      <c r="R15" s="21">
        <v>0.15752662922080168</v>
      </c>
      <c r="S15" s="21">
        <v>0.15731876823892874</v>
      </c>
      <c r="T15" s="21">
        <v>0.1575034659568981</v>
      </c>
      <c r="U15" s="21">
        <v>0.15813493384032518</v>
      </c>
      <c r="V15" s="21">
        <v>0.15813395074128317</v>
      </c>
      <c r="W15" s="21">
        <v>0.15870538108854262</v>
      </c>
      <c r="X15" s="21">
        <v>0.15871434179456481</v>
      </c>
      <c r="Y15" s="21">
        <v>0.15844750695745491</v>
      </c>
      <c r="Z15" s="21">
        <v>0.15908166627596421</v>
      </c>
      <c r="AA15" s="21">
        <v>0.15940100424264939</v>
      </c>
      <c r="AB15" s="21">
        <v>0.15905670603594282</v>
      </c>
      <c r="AC15" s="21">
        <v>0.1593585214709326</v>
      </c>
      <c r="AD15" s="21">
        <v>0.15912997108913879</v>
      </c>
      <c r="AE15" s="21">
        <v>0.15902424362208448</v>
      </c>
      <c r="AF15" s="21">
        <v>0.15902424362208448</v>
      </c>
      <c r="AG15" s="21">
        <v>0.15902424362208448</v>
      </c>
      <c r="AH15" s="21">
        <v>0.15902424362208448</v>
      </c>
      <c r="AI15" s="21">
        <v>0.15902424362208448</v>
      </c>
      <c r="AJ15" s="21">
        <v>0.15902424362208448</v>
      </c>
      <c r="AK15" s="21">
        <v>0.15902424362208448</v>
      </c>
      <c r="AL15" s="21">
        <v>0.15902424362208448</v>
      </c>
      <c r="AM15" s="21">
        <v>0.15902424362208448</v>
      </c>
      <c r="AN15" s="21">
        <v>0.15902424362208448</v>
      </c>
      <c r="AO15" s="21">
        <v>0.15902424362208448</v>
      </c>
      <c r="AP15" s="21">
        <v>0.15902424362208448</v>
      </c>
      <c r="AQ15" s="21">
        <v>0.15902424362208448</v>
      </c>
      <c r="AR15" s="21">
        <v>0.15902424362208448</v>
      </c>
      <c r="AS15" s="21">
        <v>0.15902424362208448</v>
      </c>
      <c r="AT15" s="21">
        <v>0.15902424362208448</v>
      </c>
      <c r="AU15" s="21">
        <v>0.15902424362208448</v>
      </c>
      <c r="AV15" s="21">
        <v>0.15902424362208448</v>
      </c>
      <c r="AW15" s="21">
        <v>0.15902424362208448</v>
      </c>
      <c r="AX15" s="21">
        <v>0.15902424362208448</v>
      </c>
      <c r="AY15" s="21">
        <v>0.15902424362208448</v>
      </c>
      <c r="AZ15" s="21">
        <v>0.15902424362208448</v>
      </c>
      <c r="BA15" s="21">
        <v>0.15902424362208448</v>
      </c>
      <c r="BB15" s="21">
        <v>0.15902424362208448</v>
      </c>
      <c r="BC15" s="21">
        <v>0.15902424362208448</v>
      </c>
      <c r="BD15" s="21">
        <v>0.15902424362208448</v>
      </c>
      <c r="BE15" s="21">
        <v>0.15902424362208448</v>
      </c>
      <c r="BF15" s="21">
        <v>0.15902424362208448</v>
      </c>
      <c r="BG15" s="22">
        <v>0.15902424362208448</v>
      </c>
      <c r="BH15" s="8"/>
    </row>
    <row r="16" spans="2:60" x14ac:dyDescent="0.35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</row>
    <row r="17" spans="2:60" x14ac:dyDescent="0.35">
      <c r="B17" s="8"/>
      <c r="C17" s="23" t="str">
        <f>INDEX(_fuel,1)</f>
        <v>Electricity</v>
      </c>
      <c r="D17" s="24"/>
      <c r="E17" s="26">
        <f t="array" ref="E17:BG17">_yL</f>
        <v>2024</v>
      </c>
      <c r="F17" s="26">
        <v>2025</v>
      </c>
      <c r="G17" s="26">
        <v>2026</v>
      </c>
      <c r="H17" s="26">
        <v>2027</v>
      </c>
      <c r="I17" s="26">
        <v>2028</v>
      </c>
      <c r="J17" s="26">
        <v>2029</v>
      </c>
      <c r="K17" s="26">
        <v>2030</v>
      </c>
      <c r="L17" s="26">
        <v>2031</v>
      </c>
      <c r="M17" s="26">
        <v>2032</v>
      </c>
      <c r="N17" s="26">
        <v>2033</v>
      </c>
      <c r="O17" s="26">
        <v>2034</v>
      </c>
      <c r="P17" s="26">
        <v>2035</v>
      </c>
      <c r="Q17" s="26">
        <v>2036</v>
      </c>
      <c r="R17" s="26">
        <v>2037</v>
      </c>
      <c r="S17" s="26">
        <v>2038</v>
      </c>
      <c r="T17" s="26">
        <v>2039</v>
      </c>
      <c r="U17" s="26">
        <v>2040</v>
      </c>
      <c r="V17" s="26">
        <v>2041</v>
      </c>
      <c r="W17" s="26">
        <v>2042</v>
      </c>
      <c r="X17" s="26">
        <v>2043</v>
      </c>
      <c r="Y17" s="26">
        <v>2044</v>
      </c>
      <c r="Z17" s="26">
        <v>2045</v>
      </c>
      <c r="AA17" s="26">
        <v>2046</v>
      </c>
      <c r="AB17" s="26">
        <v>2047</v>
      </c>
      <c r="AC17" s="26">
        <v>2048</v>
      </c>
      <c r="AD17" s="26">
        <v>2049</v>
      </c>
      <c r="AE17" s="26">
        <v>2050</v>
      </c>
      <c r="AF17" s="26">
        <v>2051</v>
      </c>
      <c r="AG17" s="26">
        <v>2052</v>
      </c>
      <c r="AH17" s="26">
        <v>2053</v>
      </c>
      <c r="AI17" s="26">
        <v>2054</v>
      </c>
      <c r="AJ17" s="26">
        <v>2055</v>
      </c>
      <c r="AK17" s="26">
        <v>2056</v>
      </c>
      <c r="AL17" s="26">
        <v>2057</v>
      </c>
      <c r="AM17" s="26">
        <v>2058</v>
      </c>
      <c r="AN17" s="26">
        <v>2059</v>
      </c>
      <c r="AO17" s="26">
        <v>2060</v>
      </c>
      <c r="AP17" s="26">
        <v>2061</v>
      </c>
      <c r="AQ17" s="26">
        <v>2062</v>
      </c>
      <c r="AR17" s="26">
        <v>2063</v>
      </c>
      <c r="AS17" s="26">
        <v>2064</v>
      </c>
      <c r="AT17" s="26">
        <v>2065</v>
      </c>
      <c r="AU17" s="26">
        <v>2066</v>
      </c>
      <c r="AV17" s="26">
        <v>2067</v>
      </c>
      <c r="AW17" s="26">
        <v>2068</v>
      </c>
      <c r="AX17" s="26">
        <v>2069</v>
      </c>
      <c r="AY17" s="26">
        <v>2070</v>
      </c>
      <c r="AZ17" s="26">
        <v>2071</v>
      </c>
      <c r="BA17" s="26">
        <v>2072</v>
      </c>
      <c r="BB17" s="26">
        <v>2073</v>
      </c>
      <c r="BC17" s="26">
        <v>2074</v>
      </c>
      <c r="BD17" s="26">
        <v>2075</v>
      </c>
      <c r="BE17" s="26">
        <v>2076</v>
      </c>
      <c r="BF17" s="26">
        <v>2077</v>
      </c>
      <c r="BG17" s="27">
        <v>2078</v>
      </c>
      <c r="BH17" s="8"/>
    </row>
    <row r="18" spans="2:60" x14ac:dyDescent="0.35">
      <c r="B18" s="8"/>
      <c r="C18" s="19" t="s">
        <v>49</v>
      </c>
      <c r="D18" s="11" t="str">
        <f>_yearDol &amp; "$/kWh"</f>
        <v>2021$/kWh</v>
      </c>
      <c r="E18" s="32">
        <v>0.15244983727328601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18"/>
      <c r="BH18" s="8"/>
    </row>
    <row r="19" spans="2:60" x14ac:dyDescent="0.35">
      <c r="B19" s="8"/>
      <c r="C19" s="19" t="s">
        <v>50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8"/>
    </row>
    <row r="20" spans="2:60" x14ac:dyDescent="0.35">
      <c r="B20" s="8"/>
      <c r="C20" s="10" t="s">
        <v>51</v>
      </c>
      <c r="D20" s="11"/>
      <c r="E20" s="33">
        <v>1</v>
      </c>
      <c r="F20" s="33">
        <v>0.99606841289311132</v>
      </c>
      <c r="G20" s="33">
        <v>0.99568988585146823</v>
      </c>
      <c r="H20" s="33">
        <v>0.99898773497487081</v>
      </c>
      <c r="I20" s="33">
        <v>1.00347231896178</v>
      </c>
      <c r="J20" s="33">
        <v>1.0078179963792395</v>
      </c>
      <c r="K20" s="33">
        <v>1.0105416009638151</v>
      </c>
      <c r="L20" s="33">
        <v>1.01515090870792</v>
      </c>
      <c r="M20" s="33">
        <v>1.0187160268195388</v>
      </c>
      <c r="N20" s="33">
        <v>1.0253483241586385</v>
      </c>
      <c r="O20" s="33">
        <v>1.0301878237263418</v>
      </c>
      <c r="P20" s="33">
        <v>1.0258846947456426</v>
      </c>
      <c r="Q20" s="33">
        <v>1.0247364712637235</v>
      </c>
      <c r="R20" s="33">
        <v>1.0206721659680127</v>
      </c>
      <c r="S20" s="33">
        <v>1.0165492702531422</v>
      </c>
      <c r="T20" s="33">
        <v>1.0174973939082483</v>
      </c>
      <c r="U20" s="33">
        <v>1.0178475553253845</v>
      </c>
      <c r="V20" s="33">
        <v>1.0153434124967096</v>
      </c>
      <c r="W20" s="33">
        <v>1.0158643785310788</v>
      </c>
      <c r="X20" s="33">
        <v>1.0141570760268057</v>
      </c>
      <c r="Y20" s="33">
        <v>1.0084346299973863</v>
      </c>
      <c r="Z20" s="33">
        <v>1.0092536741252414</v>
      </c>
      <c r="AA20" s="33">
        <v>1.0082415153384059</v>
      </c>
      <c r="AB20" s="33">
        <v>1.0063510314556452</v>
      </c>
      <c r="AC20" s="33">
        <v>1.007873426209152</v>
      </c>
      <c r="AD20" s="33">
        <v>1.0058801302173395</v>
      </c>
      <c r="AE20" s="33">
        <v>0.99940952756175916</v>
      </c>
      <c r="AF20" s="33">
        <v>0.99940952756175916</v>
      </c>
      <c r="AG20" s="33">
        <v>0.99940952756175916</v>
      </c>
      <c r="AH20" s="33">
        <v>0.99940952756175916</v>
      </c>
      <c r="AI20" s="33">
        <v>0.99940952756175916</v>
      </c>
      <c r="AJ20" s="33">
        <v>0.99940952756175916</v>
      </c>
      <c r="AK20" s="33">
        <v>0.99940952756175916</v>
      </c>
      <c r="AL20" s="33">
        <v>0.99940952756175916</v>
      </c>
      <c r="AM20" s="33">
        <v>0.99940952756175916</v>
      </c>
      <c r="AN20" s="33">
        <v>0.99940952756175916</v>
      </c>
      <c r="AO20" s="33">
        <v>0.99940952756175916</v>
      </c>
      <c r="AP20" s="33">
        <v>0.99940952756175916</v>
      </c>
      <c r="AQ20" s="33">
        <v>0.99940952756175916</v>
      </c>
      <c r="AR20" s="33">
        <v>0.99940952756175916</v>
      </c>
      <c r="AS20" s="33">
        <v>0.99940952756175916</v>
      </c>
      <c r="AT20" s="33">
        <v>0.99940952756175916</v>
      </c>
      <c r="AU20" s="33">
        <v>0.99940952756175916</v>
      </c>
      <c r="AV20" s="33">
        <v>0.99940952756175916</v>
      </c>
      <c r="AW20" s="33">
        <v>0.99940952756175916</v>
      </c>
      <c r="AX20" s="33">
        <v>0.99940952756175916</v>
      </c>
      <c r="AY20" s="33">
        <v>0.99940952756175916</v>
      </c>
      <c r="AZ20" s="33">
        <v>0.99940952756175916</v>
      </c>
      <c r="BA20" s="34">
        <v>0.99940952756175916</v>
      </c>
      <c r="BB20" s="33">
        <f>BA20</f>
        <v>0.99940952756175916</v>
      </c>
      <c r="BC20" s="33">
        <f t="shared" ref="BC20:BG20" si="0">BB20</f>
        <v>0.99940952756175916</v>
      </c>
      <c r="BD20" s="33">
        <f t="shared" si="0"/>
        <v>0.99940952756175916</v>
      </c>
      <c r="BE20" s="33">
        <f t="shared" si="0"/>
        <v>0.99940952756175916</v>
      </c>
      <c r="BF20" s="33">
        <f t="shared" si="0"/>
        <v>0.99940952756175916</v>
      </c>
      <c r="BG20" s="34">
        <f t="shared" si="0"/>
        <v>0.99940952756175916</v>
      </c>
      <c r="BH20" s="8"/>
    </row>
    <row r="21" spans="2:60" x14ac:dyDescent="0.35">
      <c r="B21" s="8"/>
      <c r="C21" s="10" t="s">
        <v>52</v>
      </c>
      <c r="D21" s="11"/>
      <c r="E21" s="33">
        <v>1</v>
      </c>
      <c r="F21" s="33">
        <v>0.99515985511957017</v>
      </c>
      <c r="G21" s="33">
        <v>0.99927913245491329</v>
      </c>
      <c r="H21" s="33">
        <v>1.0009925635981161</v>
      </c>
      <c r="I21" s="33">
        <v>1.0028139492075303</v>
      </c>
      <c r="J21" s="33">
        <v>1.0061006516766107</v>
      </c>
      <c r="K21" s="33">
        <v>1.0067894469505472</v>
      </c>
      <c r="L21" s="33">
        <v>1.0102624347522247</v>
      </c>
      <c r="M21" s="33">
        <v>1.0146209100135646</v>
      </c>
      <c r="N21" s="33">
        <v>1.0188789365186217</v>
      </c>
      <c r="O21" s="33">
        <v>1.021035896563439</v>
      </c>
      <c r="P21" s="33">
        <v>1.012797395124738</v>
      </c>
      <c r="Q21" s="33">
        <v>1.0063577355496718</v>
      </c>
      <c r="R21" s="33">
        <v>1.0023347282597643</v>
      </c>
      <c r="S21" s="33">
        <v>0.99833264114008424</v>
      </c>
      <c r="T21" s="33">
        <v>0.99446751991861038</v>
      </c>
      <c r="U21" s="33">
        <v>0.99593893184059479</v>
      </c>
      <c r="V21" s="33">
        <v>0.99349036698024207</v>
      </c>
      <c r="W21" s="33">
        <v>0.99383153077410269</v>
      </c>
      <c r="X21" s="33">
        <v>0.98933630254249805</v>
      </c>
      <c r="Y21" s="33">
        <v>0.985924025820068</v>
      </c>
      <c r="Z21" s="33">
        <v>0.98636627715403491</v>
      </c>
      <c r="AA21" s="33">
        <v>0.97994266702254018</v>
      </c>
      <c r="AB21" s="33">
        <v>0.97886905772678756</v>
      </c>
      <c r="AC21" s="33">
        <v>0.97565395227795104</v>
      </c>
      <c r="AD21" s="33">
        <v>0.97250860734586486</v>
      </c>
      <c r="AE21" s="33">
        <v>0.96590648375162846</v>
      </c>
      <c r="AF21" s="33">
        <v>0.96590648375162846</v>
      </c>
      <c r="AG21" s="33">
        <v>0.96590648375162846</v>
      </c>
      <c r="AH21" s="33">
        <v>0.96590648375162846</v>
      </c>
      <c r="AI21" s="33">
        <v>0.96590648375162846</v>
      </c>
      <c r="AJ21" s="33">
        <v>0.96590648375162846</v>
      </c>
      <c r="AK21" s="33">
        <v>0.96590648375162846</v>
      </c>
      <c r="AL21" s="33">
        <v>0.96590648375162846</v>
      </c>
      <c r="AM21" s="33">
        <v>0.96590648375162846</v>
      </c>
      <c r="AN21" s="33">
        <v>0.96590648375162846</v>
      </c>
      <c r="AO21" s="33">
        <v>0.96590648375162846</v>
      </c>
      <c r="AP21" s="33">
        <v>0.96590648375162846</v>
      </c>
      <c r="AQ21" s="33">
        <v>0.96590648375162846</v>
      </c>
      <c r="AR21" s="33">
        <v>0.96590648375162846</v>
      </c>
      <c r="AS21" s="33">
        <v>0.96590648375162846</v>
      </c>
      <c r="AT21" s="33">
        <v>0.96590648375162846</v>
      </c>
      <c r="AU21" s="33">
        <v>0.96590648375162846</v>
      </c>
      <c r="AV21" s="33">
        <v>0.96590648375162846</v>
      </c>
      <c r="AW21" s="33">
        <v>0.96590648375162846</v>
      </c>
      <c r="AX21" s="33">
        <v>0.96590648375162846</v>
      </c>
      <c r="AY21" s="33">
        <v>0.96590648375162846</v>
      </c>
      <c r="AZ21" s="33">
        <v>0.96590648375162846</v>
      </c>
      <c r="BA21" s="34">
        <v>0.96590648375162846</v>
      </c>
      <c r="BB21" s="33">
        <f>BA21</f>
        <v>0.96590648375162846</v>
      </c>
      <c r="BC21" s="33">
        <f t="shared" ref="BC21:BG21" si="1">BB21</f>
        <v>0.96590648375162846</v>
      </c>
      <c r="BD21" s="33">
        <f t="shared" si="1"/>
        <v>0.96590648375162846</v>
      </c>
      <c r="BE21" s="33">
        <f t="shared" si="1"/>
        <v>0.96590648375162846</v>
      </c>
      <c r="BF21" s="33">
        <f t="shared" si="1"/>
        <v>0.96590648375162846</v>
      </c>
      <c r="BG21" s="34">
        <f t="shared" si="1"/>
        <v>0.96590648375162846</v>
      </c>
      <c r="BH21" s="8"/>
    </row>
    <row r="22" spans="2:60" x14ac:dyDescent="0.35">
      <c r="B22" s="8"/>
      <c r="C22" s="14" t="s">
        <v>53</v>
      </c>
      <c r="D22" s="15"/>
      <c r="E22" s="21">
        <v>1</v>
      </c>
      <c r="F22" s="21">
        <v>0.99463039672601972</v>
      </c>
      <c r="G22" s="21">
        <v>0.99533279985546508</v>
      </c>
      <c r="H22" s="21">
        <v>0.998437201269881</v>
      </c>
      <c r="I22" s="21">
        <v>1.002172224690983</v>
      </c>
      <c r="J22" s="21">
        <v>1.0079937107473413</v>
      </c>
      <c r="K22" s="21">
        <v>1.0118149190879271</v>
      </c>
      <c r="L22" s="21">
        <v>1.0221754511414494</v>
      </c>
      <c r="M22" s="21">
        <v>1.028523587578229</v>
      </c>
      <c r="N22" s="21">
        <v>1.0373728309930379</v>
      </c>
      <c r="O22" s="21">
        <v>1.0393207528898905</v>
      </c>
      <c r="P22" s="21">
        <v>1.0350612726941069</v>
      </c>
      <c r="Q22" s="21">
        <v>1.0349108389125359</v>
      </c>
      <c r="R22" s="21">
        <v>1.0333013930242174</v>
      </c>
      <c r="S22" s="21">
        <v>1.0319379216975781</v>
      </c>
      <c r="T22" s="21">
        <v>1.0331494527905123</v>
      </c>
      <c r="U22" s="21">
        <v>1.0372915882937146</v>
      </c>
      <c r="V22" s="21">
        <v>1.0372851396214195</v>
      </c>
      <c r="W22" s="21">
        <v>1.041033456821884</v>
      </c>
      <c r="X22" s="21">
        <v>1.0410922348841138</v>
      </c>
      <c r="Y22" s="21">
        <v>1.039341922506728</v>
      </c>
      <c r="Z22" s="21">
        <v>1.0435017125717871</v>
      </c>
      <c r="AA22" s="21">
        <v>1.0455964210503059</v>
      </c>
      <c r="AB22" s="21">
        <v>1.0433379850108542</v>
      </c>
      <c r="AC22" s="21">
        <v>1.0453177538344096</v>
      </c>
      <c r="AD22" s="21">
        <v>1.043818569670742</v>
      </c>
      <c r="AE22" s="21">
        <v>1.0431250466801942</v>
      </c>
      <c r="AF22" s="21">
        <v>1.0431250466801942</v>
      </c>
      <c r="AG22" s="21">
        <v>1.0431250466801942</v>
      </c>
      <c r="AH22" s="21">
        <v>1.0431250466801942</v>
      </c>
      <c r="AI22" s="21">
        <v>1.0431250466801942</v>
      </c>
      <c r="AJ22" s="21">
        <v>1.0431250466801942</v>
      </c>
      <c r="AK22" s="21">
        <v>1.0431250466801942</v>
      </c>
      <c r="AL22" s="21">
        <v>1.0431250466801942</v>
      </c>
      <c r="AM22" s="21">
        <v>1.0431250466801942</v>
      </c>
      <c r="AN22" s="21">
        <v>1.0431250466801942</v>
      </c>
      <c r="AO22" s="21">
        <v>1.0431250466801942</v>
      </c>
      <c r="AP22" s="21">
        <v>1.0431250466801942</v>
      </c>
      <c r="AQ22" s="21">
        <v>1.0431250466801942</v>
      </c>
      <c r="AR22" s="21">
        <v>1.0431250466801942</v>
      </c>
      <c r="AS22" s="21">
        <v>1.0431250466801942</v>
      </c>
      <c r="AT22" s="21">
        <v>1.0431250466801942</v>
      </c>
      <c r="AU22" s="21">
        <v>1.0431250466801942</v>
      </c>
      <c r="AV22" s="21">
        <v>1.0431250466801942</v>
      </c>
      <c r="AW22" s="21">
        <v>1.0431250466801942</v>
      </c>
      <c r="AX22" s="21">
        <v>1.0431250466801942</v>
      </c>
      <c r="AY22" s="21">
        <v>1.0431250466801942</v>
      </c>
      <c r="AZ22" s="21">
        <v>1.0431250466801942</v>
      </c>
      <c r="BA22" s="22">
        <v>1.0431250466801942</v>
      </c>
      <c r="BB22" s="21">
        <f>BA22</f>
        <v>1.0431250466801942</v>
      </c>
      <c r="BC22" s="21">
        <f t="shared" ref="BC22:BG22" si="2">BB22</f>
        <v>1.0431250466801942</v>
      </c>
      <c r="BD22" s="21">
        <f t="shared" si="2"/>
        <v>1.0431250466801942</v>
      </c>
      <c r="BE22" s="21">
        <f t="shared" si="2"/>
        <v>1.0431250466801942</v>
      </c>
      <c r="BF22" s="21">
        <f t="shared" si="2"/>
        <v>1.0431250466801942</v>
      </c>
      <c r="BG22" s="22">
        <f t="shared" si="2"/>
        <v>1.0431250466801942</v>
      </c>
      <c r="BH22" s="8"/>
    </row>
    <row r="23" spans="2:60" x14ac:dyDescent="0.3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5" spans="2:60" x14ac:dyDescent="0.3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2:60" x14ac:dyDescent="0.35">
      <c r="B26" s="8"/>
      <c r="C26" s="135" t="s">
        <v>15</v>
      </c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/>
      <c r="BC26" s="135"/>
      <c r="BD26" s="135"/>
      <c r="BE26" s="135"/>
      <c r="BF26" s="135"/>
      <c r="BG26" s="135"/>
      <c r="BH26" s="8"/>
    </row>
    <row r="27" spans="2:60" x14ac:dyDescent="0.3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</row>
    <row r="28" spans="2:60" x14ac:dyDescent="0.35">
      <c r="B28" s="8"/>
      <c r="C28" s="23" t="str">
        <f>"Energy Prices [" &amp; sAEO &amp; "]"</f>
        <v>Energy Prices [Reference]</v>
      </c>
      <c r="D28" s="24"/>
      <c r="E28" s="26">
        <f t="array" ref="E28:BG28">_yL</f>
        <v>2024</v>
      </c>
      <c r="F28" s="26">
        <v>2025</v>
      </c>
      <c r="G28" s="26">
        <v>2026</v>
      </c>
      <c r="H28" s="26">
        <v>2027</v>
      </c>
      <c r="I28" s="26">
        <v>2028</v>
      </c>
      <c r="J28" s="26">
        <v>2029</v>
      </c>
      <c r="K28" s="26">
        <v>2030</v>
      </c>
      <c r="L28" s="26">
        <v>2031</v>
      </c>
      <c r="M28" s="26">
        <v>2032</v>
      </c>
      <c r="N28" s="26">
        <v>2033</v>
      </c>
      <c r="O28" s="26">
        <v>2034</v>
      </c>
      <c r="P28" s="26">
        <v>2035</v>
      </c>
      <c r="Q28" s="26">
        <v>2036</v>
      </c>
      <c r="R28" s="26">
        <v>2037</v>
      </c>
      <c r="S28" s="26">
        <v>2038</v>
      </c>
      <c r="T28" s="26">
        <v>2039</v>
      </c>
      <c r="U28" s="26">
        <v>2040</v>
      </c>
      <c r="V28" s="26">
        <v>2041</v>
      </c>
      <c r="W28" s="26">
        <v>2042</v>
      </c>
      <c r="X28" s="26">
        <v>2043</v>
      </c>
      <c r="Y28" s="26">
        <v>2044</v>
      </c>
      <c r="Z28" s="26">
        <v>2045</v>
      </c>
      <c r="AA28" s="26">
        <v>2046</v>
      </c>
      <c r="AB28" s="26">
        <v>2047</v>
      </c>
      <c r="AC28" s="26">
        <v>2048</v>
      </c>
      <c r="AD28" s="26">
        <v>2049</v>
      </c>
      <c r="AE28" s="26">
        <v>2050</v>
      </c>
      <c r="AF28" s="26">
        <v>2051</v>
      </c>
      <c r="AG28" s="26">
        <v>2052</v>
      </c>
      <c r="AH28" s="26">
        <v>2053</v>
      </c>
      <c r="AI28" s="26">
        <v>2054</v>
      </c>
      <c r="AJ28" s="26">
        <v>2055</v>
      </c>
      <c r="AK28" s="26">
        <v>2056</v>
      </c>
      <c r="AL28" s="26">
        <v>2057</v>
      </c>
      <c r="AM28" s="26">
        <v>2058</v>
      </c>
      <c r="AN28" s="26">
        <v>2059</v>
      </c>
      <c r="AO28" s="26">
        <v>2060</v>
      </c>
      <c r="AP28" s="26">
        <v>2061</v>
      </c>
      <c r="AQ28" s="26">
        <v>2062</v>
      </c>
      <c r="AR28" s="26">
        <v>2063</v>
      </c>
      <c r="AS28" s="26">
        <v>2064</v>
      </c>
      <c r="AT28" s="26">
        <v>2065</v>
      </c>
      <c r="AU28" s="26">
        <v>2066</v>
      </c>
      <c r="AV28" s="26">
        <v>2067</v>
      </c>
      <c r="AW28" s="26">
        <v>2068</v>
      </c>
      <c r="AX28" s="26">
        <v>2069</v>
      </c>
      <c r="AY28" s="26">
        <v>2070</v>
      </c>
      <c r="AZ28" s="26">
        <v>2071</v>
      </c>
      <c r="BA28" s="26">
        <v>2072</v>
      </c>
      <c r="BB28" s="26">
        <v>2073</v>
      </c>
      <c r="BC28" s="26">
        <v>2074</v>
      </c>
      <c r="BD28" s="26">
        <v>2075</v>
      </c>
      <c r="BE28" s="26">
        <v>2076</v>
      </c>
      <c r="BF28" s="26">
        <v>2077</v>
      </c>
      <c r="BG28" s="27">
        <v>2078</v>
      </c>
      <c r="BH28" s="8"/>
    </row>
    <row r="29" spans="2:60" x14ac:dyDescent="0.35">
      <c r="B29" s="8"/>
      <c r="C29" s="35" t="str">
        <f>INDEX(_fuel,1)</f>
        <v>Electricity</v>
      </c>
      <c r="D29" s="15" t="str">
        <f>_yearDol &amp; "$/kWh"</f>
        <v>2021$/kWh</v>
      </c>
      <c r="E29" s="21">
        <f t="array" ref="E29:BG29">CHOOSE(iAEO,tPrcElecR_Com,tPrcElecL_Com,tPrcElecH_Com)</f>
        <v>0.10724227138461542</v>
      </c>
      <c r="F29" s="21">
        <v>0.10674731059436293</v>
      </c>
      <c r="G29" s="21">
        <v>0.10645020217533264</v>
      </c>
      <c r="H29" s="21">
        <v>0.10653486224820734</v>
      </c>
      <c r="I29" s="21">
        <v>0.10670649655672722</v>
      </c>
      <c r="J29" s="21">
        <v>0.10689424112985153</v>
      </c>
      <c r="K29" s="21">
        <v>0.10686129934754872</v>
      </c>
      <c r="L29" s="21">
        <v>0.10716880611687113</v>
      </c>
      <c r="M29" s="21">
        <v>0.10709434271688313</v>
      </c>
      <c r="N29" s="21">
        <v>0.10765880701025517</v>
      </c>
      <c r="O29" s="21">
        <v>0.10790172915419317</v>
      </c>
      <c r="P29" s="21">
        <v>0.10702892745404941</v>
      </c>
      <c r="Q29" s="21">
        <v>0.10657539598843216</v>
      </c>
      <c r="R29" s="21">
        <v>0.1058380633942801</v>
      </c>
      <c r="S29" s="21">
        <v>0.10502456168784691</v>
      </c>
      <c r="T29" s="21">
        <v>0.10502917634034342</v>
      </c>
      <c r="U29" s="21">
        <v>0.10482156825191749</v>
      </c>
      <c r="V29" s="21">
        <v>0.10415660366369391</v>
      </c>
      <c r="W29" s="21">
        <v>0.10396747127655952</v>
      </c>
      <c r="X29" s="21">
        <v>0.10366666771727094</v>
      </c>
      <c r="Y29" s="21">
        <v>0.10261973979625916</v>
      </c>
      <c r="Z29" s="21">
        <v>0.10254962100614012</v>
      </c>
      <c r="AA29" s="21">
        <v>0.10227732574449658</v>
      </c>
      <c r="AB29" s="21">
        <v>0.10171659077399395</v>
      </c>
      <c r="AC29" s="21">
        <v>0.10179229842102543</v>
      </c>
      <c r="AD29" s="21">
        <v>0.10146360868761355</v>
      </c>
      <c r="AE29" s="21">
        <v>0.10051561891612676</v>
      </c>
      <c r="AF29" s="21">
        <v>0.10051561891612676</v>
      </c>
      <c r="AG29" s="21">
        <v>0.10051561891612676</v>
      </c>
      <c r="AH29" s="21">
        <v>0.10051561891612676</v>
      </c>
      <c r="AI29" s="21">
        <v>0.10051561891612676</v>
      </c>
      <c r="AJ29" s="21">
        <v>0.10051561891612676</v>
      </c>
      <c r="AK29" s="21">
        <v>0.10051561891612676</v>
      </c>
      <c r="AL29" s="21">
        <v>0.10051561891612676</v>
      </c>
      <c r="AM29" s="21">
        <v>0.10051561891612676</v>
      </c>
      <c r="AN29" s="21">
        <v>0.10051561891612676</v>
      </c>
      <c r="AO29" s="21">
        <v>0.10051561891612676</v>
      </c>
      <c r="AP29" s="21">
        <v>0.10051561891612676</v>
      </c>
      <c r="AQ29" s="21">
        <v>0.10051561891612676</v>
      </c>
      <c r="AR29" s="21">
        <v>0.10051561891612676</v>
      </c>
      <c r="AS29" s="21">
        <v>0.10051561891612676</v>
      </c>
      <c r="AT29" s="21">
        <v>0.10051561891612676</v>
      </c>
      <c r="AU29" s="21">
        <v>0.10051561891612676</v>
      </c>
      <c r="AV29" s="21">
        <v>0.10051561891612676</v>
      </c>
      <c r="AW29" s="21">
        <v>0.10051561891612676</v>
      </c>
      <c r="AX29" s="21">
        <v>0.10051561891612676</v>
      </c>
      <c r="AY29" s="21">
        <v>0.10051561891612676</v>
      </c>
      <c r="AZ29" s="21">
        <v>0.10051561891612676</v>
      </c>
      <c r="BA29" s="21">
        <v>0.10051561891612676</v>
      </c>
      <c r="BB29" s="21">
        <v>0.10051561891612676</v>
      </c>
      <c r="BC29" s="21">
        <v>0.10051561891612676</v>
      </c>
      <c r="BD29" s="21">
        <v>0.10051561891612676</v>
      </c>
      <c r="BE29" s="21">
        <v>0.10051561891612676</v>
      </c>
      <c r="BF29" s="21">
        <v>0.10051561891612676</v>
      </c>
      <c r="BG29" s="22">
        <v>0.10051561891612676</v>
      </c>
      <c r="BH29" s="8"/>
    </row>
    <row r="30" spans="2:60" x14ac:dyDescent="0.35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</row>
    <row r="31" spans="2:60" x14ac:dyDescent="0.35">
      <c r="B31" s="8"/>
      <c r="C31" s="23" t="s">
        <v>56</v>
      </c>
      <c r="D31" s="24"/>
      <c r="E31" s="26">
        <f t="array" ref="E31:BG31">_yL</f>
        <v>2024</v>
      </c>
      <c r="F31" s="26">
        <v>2025</v>
      </c>
      <c r="G31" s="26">
        <v>2026</v>
      </c>
      <c r="H31" s="26">
        <v>2027</v>
      </c>
      <c r="I31" s="26">
        <v>2028</v>
      </c>
      <c r="J31" s="26">
        <v>2029</v>
      </c>
      <c r="K31" s="26">
        <v>2030</v>
      </c>
      <c r="L31" s="26">
        <v>2031</v>
      </c>
      <c r="M31" s="26">
        <v>2032</v>
      </c>
      <c r="N31" s="26">
        <v>2033</v>
      </c>
      <c r="O31" s="26">
        <v>2034</v>
      </c>
      <c r="P31" s="26">
        <v>2035</v>
      </c>
      <c r="Q31" s="26">
        <v>2036</v>
      </c>
      <c r="R31" s="26">
        <v>2037</v>
      </c>
      <c r="S31" s="26">
        <v>2038</v>
      </c>
      <c r="T31" s="26">
        <v>2039</v>
      </c>
      <c r="U31" s="26">
        <v>2040</v>
      </c>
      <c r="V31" s="26">
        <v>2041</v>
      </c>
      <c r="W31" s="26">
        <v>2042</v>
      </c>
      <c r="X31" s="26">
        <v>2043</v>
      </c>
      <c r="Y31" s="26">
        <v>2044</v>
      </c>
      <c r="Z31" s="26">
        <v>2045</v>
      </c>
      <c r="AA31" s="26">
        <v>2046</v>
      </c>
      <c r="AB31" s="26">
        <v>2047</v>
      </c>
      <c r="AC31" s="26">
        <v>2048</v>
      </c>
      <c r="AD31" s="26">
        <v>2049</v>
      </c>
      <c r="AE31" s="26">
        <v>2050</v>
      </c>
      <c r="AF31" s="26">
        <v>2051</v>
      </c>
      <c r="AG31" s="26">
        <v>2052</v>
      </c>
      <c r="AH31" s="26">
        <v>2053</v>
      </c>
      <c r="AI31" s="26">
        <v>2054</v>
      </c>
      <c r="AJ31" s="26">
        <v>2055</v>
      </c>
      <c r="AK31" s="26">
        <v>2056</v>
      </c>
      <c r="AL31" s="26">
        <v>2057</v>
      </c>
      <c r="AM31" s="26">
        <v>2058</v>
      </c>
      <c r="AN31" s="26">
        <v>2059</v>
      </c>
      <c r="AO31" s="26">
        <v>2060</v>
      </c>
      <c r="AP31" s="26">
        <v>2061</v>
      </c>
      <c r="AQ31" s="26">
        <v>2062</v>
      </c>
      <c r="AR31" s="26">
        <v>2063</v>
      </c>
      <c r="AS31" s="26">
        <v>2064</v>
      </c>
      <c r="AT31" s="26">
        <v>2065</v>
      </c>
      <c r="AU31" s="26">
        <v>2066</v>
      </c>
      <c r="AV31" s="26">
        <v>2067</v>
      </c>
      <c r="AW31" s="26">
        <v>2068</v>
      </c>
      <c r="AX31" s="26">
        <v>2069</v>
      </c>
      <c r="AY31" s="26">
        <v>2070</v>
      </c>
      <c r="AZ31" s="26">
        <v>2071</v>
      </c>
      <c r="BA31" s="26">
        <v>2072</v>
      </c>
      <c r="BB31" s="26">
        <v>2073</v>
      </c>
      <c r="BC31" s="26">
        <v>2074</v>
      </c>
      <c r="BD31" s="26">
        <v>2075</v>
      </c>
      <c r="BE31" s="26">
        <v>2076</v>
      </c>
      <c r="BF31" s="26">
        <v>2077</v>
      </c>
      <c r="BG31" s="27">
        <v>2078</v>
      </c>
      <c r="BH31" s="8"/>
    </row>
    <row r="32" spans="2:60" x14ac:dyDescent="0.35">
      <c r="B32" s="8"/>
      <c r="C32" s="35" t="str">
        <f>INDEX(_fuel,1)</f>
        <v>Electricity</v>
      </c>
      <c r="D32" s="15" t="str">
        <f>_yearDol &amp; "$/kWh"</f>
        <v>2021$/kWh</v>
      </c>
      <c r="E32" s="21">
        <f t="array" ref="E32:BG32">tBaseElec_Com*tTrendRElec_Com</f>
        <v>0.10724227138461542</v>
      </c>
      <c r="F32" s="21">
        <v>0.10674731059436293</v>
      </c>
      <c r="G32" s="21">
        <v>0.10645020217533264</v>
      </c>
      <c r="H32" s="21">
        <v>0.10653486224820734</v>
      </c>
      <c r="I32" s="21">
        <v>0.10670649655672722</v>
      </c>
      <c r="J32" s="21">
        <v>0.10689424112985153</v>
      </c>
      <c r="K32" s="21">
        <v>0.10686129934754872</v>
      </c>
      <c r="L32" s="21">
        <v>0.10716880611687113</v>
      </c>
      <c r="M32" s="21">
        <v>0.10709434271688313</v>
      </c>
      <c r="N32" s="21">
        <v>0.10765880701025517</v>
      </c>
      <c r="O32" s="21">
        <v>0.10790172915419317</v>
      </c>
      <c r="P32" s="21">
        <v>0.10702892745404941</v>
      </c>
      <c r="Q32" s="21">
        <v>0.10657539598843216</v>
      </c>
      <c r="R32" s="21">
        <v>0.1058380633942801</v>
      </c>
      <c r="S32" s="21">
        <v>0.10502456168784691</v>
      </c>
      <c r="T32" s="21">
        <v>0.10502917634034342</v>
      </c>
      <c r="U32" s="21">
        <v>0.10482156825191749</v>
      </c>
      <c r="V32" s="21">
        <v>0.10415660366369391</v>
      </c>
      <c r="W32" s="21">
        <v>0.10396747127655952</v>
      </c>
      <c r="X32" s="21">
        <v>0.10366666771727094</v>
      </c>
      <c r="Y32" s="21">
        <v>0.10261973979625916</v>
      </c>
      <c r="Z32" s="21">
        <v>0.10254962100614012</v>
      </c>
      <c r="AA32" s="21">
        <v>0.10227732574449658</v>
      </c>
      <c r="AB32" s="21">
        <v>0.10171659077399395</v>
      </c>
      <c r="AC32" s="21">
        <v>0.10179229842102543</v>
      </c>
      <c r="AD32" s="21">
        <v>0.10146360868761355</v>
      </c>
      <c r="AE32" s="21">
        <v>0.10051561891612676</v>
      </c>
      <c r="AF32" s="21">
        <v>0.10051561891612676</v>
      </c>
      <c r="AG32" s="21">
        <v>0.10051561891612676</v>
      </c>
      <c r="AH32" s="21">
        <v>0.10051561891612676</v>
      </c>
      <c r="AI32" s="21">
        <v>0.10051561891612676</v>
      </c>
      <c r="AJ32" s="21">
        <v>0.10051561891612676</v>
      </c>
      <c r="AK32" s="21">
        <v>0.10051561891612676</v>
      </c>
      <c r="AL32" s="21">
        <v>0.10051561891612676</v>
      </c>
      <c r="AM32" s="21">
        <v>0.10051561891612676</v>
      </c>
      <c r="AN32" s="21">
        <v>0.10051561891612676</v>
      </c>
      <c r="AO32" s="21">
        <v>0.10051561891612676</v>
      </c>
      <c r="AP32" s="21">
        <v>0.10051561891612676</v>
      </c>
      <c r="AQ32" s="21">
        <v>0.10051561891612676</v>
      </c>
      <c r="AR32" s="21">
        <v>0.10051561891612676</v>
      </c>
      <c r="AS32" s="21">
        <v>0.10051561891612676</v>
      </c>
      <c r="AT32" s="21">
        <v>0.10051561891612676</v>
      </c>
      <c r="AU32" s="21">
        <v>0.10051561891612676</v>
      </c>
      <c r="AV32" s="21">
        <v>0.10051561891612676</v>
      </c>
      <c r="AW32" s="21">
        <v>0.10051561891612676</v>
      </c>
      <c r="AX32" s="21">
        <v>0.10051561891612676</v>
      </c>
      <c r="AY32" s="21">
        <v>0.10051561891612676</v>
      </c>
      <c r="AZ32" s="21">
        <v>0.10051561891612676</v>
      </c>
      <c r="BA32" s="21">
        <v>0.10051561891612676</v>
      </c>
      <c r="BB32" s="21">
        <v>0.10051561891612676</v>
      </c>
      <c r="BC32" s="21">
        <v>0.10051561891612676</v>
      </c>
      <c r="BD32" s="21">
        <v>0.10051561891612676</v>
      </c>
      <c r="BE32" s="21">
        <v>0.10051561891612676</v>
      </c>
      <c r="BF32" s="21">
        <v>0.10051561891612676</v>
      </c>
      <c r="BG32" s="22">
        <v>0.10051561891612676</v>
      </c>
      <c r="BH32" s="8"/>
    </row>
    <row r="33" spans="2:60" x14ac:dyDescent="0.3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</row>
    <row r="34" spans="2:60" x14ac:dyDescent="0.35">
      <c r="B34" s="8"/>
      <c r="C34" s="23" t="s">
        <v>55</v>
      </c>
      <c r="D34" s="24"/>
      <c r="E34" s="26">
        <f t="array" ref="E34:BG34">_yL</f>
        <v>2024</v>
      </c>
      <c r="F34" s="26">
        <v>2025</v>
      </c>
      <c r="G34" s="26">
        <v>2026</v>
      </c>
      <c r="H34" s="26">
        <v>2027</v>
      </c>
      <c r="I34" s="26">
        <v>2028</v>
      </c>
      <c r="J34" s="26">
        <v>2029</v>
      </c>
      <c r="K34" s="26">
        <v>2030</v>
      </c>
      <c r="L34" s="26">
        <v>2031</v>
      </c>
      <c r="M34" s="26">
        <v>2032</v>
      </c>
      <c r="N34" s="26">
        <v>2033</v>
      </c>
      <c r="O34" s="26">
        <v>2034</v>
      </c>
      <c r="P34" s="26">
        <v>2035</v>
      </c>
      <c r="Q34" s="26">
        <v>2036</v>
      </c>
      <c r="R34" s="26">
        <v>2037</v>
      </c>
      <c r="S34" s="26">
        <v>2038</v>
      </c>
      <c r="T34" s="26">
        <v>2039</v>
      </c>
      <c r="U34" s="26">
        <v>2040</v>
      </c>
      <c r="V34" s="26">
        <v>2041</v>
      </c>
      <c r="W34" s="26">
        <v>2042</v>
      </c>
      <c r="X34" s="26">
        <v>2043</v>
      </c>
      <c r="Y34" s="26">
        <v>2044</v>
      </c>
      <c r="Z34" s="26">
        <v>2045</v>
      </c>
      <c r="AA34" s="26">
        <v>2046</v>
      </c>
      <c r="AB34" s="26">
        <v>2047</v>
      </c>
      <c r="AC34" s="26">
        <v>2048</v>
      </c>
      <c r="AD34" s="26">
        <v>2049</v>
      </c>
      <c r="AE34" s="26">
        <v>2050</v>
      </c>
      <c r="AF34" s="26">
        <v>2051</v>
      </c>
      <c r="AG34" s="26">
        <v>2052</v>
      </c>
      <c r="AH34" s="26">
        <v>2053</v>
      </c>
      <c r="AI34" s="26">
        <v>2054</v>
      </c>
      <c r="AJ34" s="26">
        <v>2055</v>
      </c>
      <c r="AK34" s="26">
        <v>2056</v>
      </c>
      <c r="AL34" s="26">
        <v>2057</v>
      </c>
      <c r="AM34" s="26">
        <v>2058</v>
      </c>
      <c r="AN34" s="26">
        <v>2059</v>
      </c>
      <c r="AO34" s="26">
        <v>2060</v>
      </c>
      <c r="AP34" s="26">
        <v>2061</v>
      </c>
      <c r="AQ34" s="26">
        <v>2062</v>
      </c>
      <c r="AR34" s="26">
        <v>2063</v>
      </c>
      <c r="AS34" s="26">
        <v>2064</v>
      </c>
      <c r="AT34" s="26">
        <v>2065</v>
      </c>
      <c r="AU34" s="26">
        <v>2066</v>
      </c>
      <c r="AV34" s="26">
        <v>2067</v>
      </c>
      <c r="AW34" s="26">
        <v>2068</v>
      </c>
      <c r="AX34" s="26">
        <v>2069</v>
      </c>
      <c r="AY34" s="26">
        <v>2070</v>
      </c>
      <c r="AZ34" s="26">
        <v>2071</v>
      </c>
      <c r="BA34" s="26">
        <v>2072</v>
      </c>
      <c r="BB34" s="26">
        <v>2073</v>
      </c>
      <c r="BC34" s="26">
        <v>2074</v>
      </c>
      <c r="BD34" s="26">
        <v>2075</v>
      </c>
      <c r="BE34" s="26">
        <v>2076</v>
      </c>
      <c r="BF34" s="26">
        <v>2077</v>
      </c>
      <c r="BG34" s="27">
        <v>2078</v>
      </c>
      <c r="BH34" s="8"/>
    </row>
    <row r="35" spans="2:60" x14ac:dyDescent="0.35">
      <c r="B35" s="8"/>
      <c r="C35" s="35" t="str">
        <f>INDEX(_fuel,1)</f>
        <v>Electricity</v>
      </c>
      <c r="D35" s="15" t="str">
        <f>_yearDol &amp; "$/kWh"</f>
        <v>2021$/kWh</v>
      </c>
      <c r="E35" s="21">
        <f t="array" ref="E35:BG35">tBaseElec_Com*tTrendLElec_Com</f>
        <v>0.10724227138461542</v>
      </c>
      <c r="F35" s="21">
        <v>0.10648757337381005</v>
      </c>
      <c r="G35" s="21">
        <v>0.10689250389360255</v>
      </c>
      <c r="H35" s="21">
        <v>0.10677489693239987</v>
      </c>
      <c r="I35" s="21">
        <v>0.10681892808593335</v>
      </c>
      <c r="J35" s="21">
        <v>0.10693718201036528</v>
      </c>
      <c r="K35" s="21">
        <v>0.10667772579383536</v>
      </c>
      <c r="L35" s="21">
        <v>0.10682539771822586</v>
      </c>
      <c r="M35" s="21">
        <v>0.10697943315924688</v>
      </c>
      <c r="N35" s="21">
        <v>0.10743044868409429</v>
      </c>
      <c r="O35" s="21">
        <v>0.10746064030145924</v>
      </c>
      <c r="P35" s="21">
        <v>0.10612564365870449</v>
      </c>
      <c r="Q35" s="21">
        <v>0.1050970816629464</v>
      </c>
      <c r="R35" s="21">
        <v>0.10458094535252634</v>
      </c>
      <c r="S35" s="21">
        <v>0.10386591406077145</v>
      </c>
      <c r="T35" s="21">
        <v>0.10329515214605321</v>
      </c>
      <c r="U35" s="21">
        <v>0.10339408617384027</v>
      </c>
      <c r="V35" s="21">
        <v>0.10288638434700152</v>
      </c>
      <c r="W35" s="21">
        <v>0.10288949935514236</v>
      </c>
      <c r="X35" s="21">
        <v>0.10225966182449618</v>
      </c>
      <c r="Y35" s="21">
        <v>0.10163818004645633</v>
      </c>
      <c r="Z35" s="21">
        <v>0.10151429172268396</v>
      </c>
      <c r="AA35" s="21">
        <v>0.10060910801090378</v>
      </c>
      <c r="AB35" s="21">
        <v>0.10031306242951966</v>
      </c>
      <c r="AC35" s="21">
        <v>9.9810002307119325E-2</v>
      </c>
      <c r="AD35" s="21">
        <v>9.9395918455713023E-2</v>
      </c>
      <c r="AE35" s="21">
        <v>9.8477781787004379E-2</v>
      </c>
      <c r="AF35" s="21">
        <v>9.8477781787004379E-2</v>
      </c>
      <c r="AG35" s="21">
        <v>9.8477781787004379E-2</v>
      </c>
      <c r="AH35" s="21">
        <v>9.8477781787004379E-2</v>
      </c>
      <c r="AI35" s="21">
        <v>9.8477781787004379E-2</v>
      </c>
      <c r="AJ35" s="21">
        <v>9.8477781787004379E-2</v>
      </c>
      <c r="AK35" s="21">
        <v>9.8477781787004379E-2</v>
      </c>
      <c r="AL35" s="21">
        <v>9.8477781787004379E-2</v>
      </c>
      <c r="AM35" s="21">
        <v>9.8477781787004379E-2</v>
      </c>
      <c r="AN35" s="21">
        <v>9.8477781787004379E-2</v>
      </c>
      <c r="AO35" s="21">
        <v>9.8477781787004379E-2</v>
      </c>
      <c r="AP35" s="21">
        <v>9.8477781787004379E-2</v>
      </c>
      <c r="AQ35" s="21">
        <v>9.8477781787004379E-2</v>
      </c>
      <c r="AR35" s="21">
        <v>9.8477781787004379E-2</v>
      </c>
      <c r="AS35" s="21">
        <v>9.8477781787004379E-2</v>
      </c>
      <c r="AT35" s="21">
        <v>9.8477781787004379E-2</v>
      </c>
      <c r="AU35" s="21">
        <v>9.8477781787004379E-2</v>
      </c>
      <c r="AV35" s="21">
        <v>9.8477781787004379E-2</v>
      </c>
      <c r="AW35" s="21">
        <v>9.8477781787004379E-2</v>
      </c>
      <c r="AX35" s="21">
        <v>9.8477781787004379E-2</v>
      </c>
      <c r="AY35" s="21">
        <v>9.8477781787004379E-2</v>
      </c>
      <c r="AZ35" s="21">
        <v>9.8477781787004379E-2</v>
      </c>
      <c r="BA35" s="21">
        <v>9.8477781787004379E-2</v>
      </c>
      <c r="BB35" s="21">
        <v>9.8477781787004379E-2</v>
      </c>
      <c r="BC35" s="21">
        <v>9.8477781787004379E-2</v>
      </c>
      <c r="BD35" s="21">
        <v>9.8477781787004379E-2</v>
      </c>
      <c r="BE35" s="21">
        <v>9.8477781787004379E-2</v>
      </c>
      <c r="BF35" s="21">
        <v>9.8477781787004379E-2</v>
      </c>
      <c r="BG35" s="22">
        <v>9.8477781787004379E-2</v>
      </c>
      <c r="BH35" s="8"/>
    </row>
    <row r="36" spans="2:60" x14ac:dyDescent="0.3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</row>
    <row r="37" spans="2:60" x14ac:dyDescent="0.35">
      <c r="B37" s="8"/>
      <c r="C37" s="23" t="s">
        <v>54</v>
      </c>
      <c r="D37" s="24"/>
      <c r="E37" s="26">
        <f t="array" ref="E37:BG37">_yL</f>
        <v>2024</v>
      </c>
      <c r="F37" s="26">
        <v>2025</v>
      </c>
      <c r="G37" s="26">
        <v>2026</v>
      </c>
      <c r="H37" s="26">
        <v>2027</v>
      </c>
      <c r="I37" s="26">
        <v>2028</v>
      </c>
      <c r="J37" s="26">
        <v>2029</v>
      </c>
      <c r="K37" s="26">
        <v>2030</v>
      </c>
      <c r="L37" s="26">
        <v>2031</v>
      </c>
      <c r="M37" s="26">
        <v>2032</v>
      </c>
      <c r="N37" s="26">
        <v>2033</v>
      </c>
      <c r="O37" s="26">
        <v>2034</v>
      </c>
      <c r="P37" s="26">
        <v>2035</v>
      </c>
      <c r="Q37" s="26">
        <v>2036</v>
      </c>
      <c r="R37" s="26">
        <v>2037</v>
      </c>
      <c r="S37" s="26">
        <v>2038</v>
      </c>
      <c r="T37" s="26">
        <v>2039</v>
      </c>
      <c r="U37" s="26">
        <v>2040</v>
      </c>
      <c r="V37" s="26">
        <v>2041</v>
      </c>
      <c r="W37" s="26">
        <v>2042</v>
      </c>
      <c r="X37" s="26">
        <v>2043</v>
      </c>
      <c r="Y37" s="26">
        <v>2044</v>
      </c>
      <c r="Z37" s="26">
        <v>2045</v>
      </c>
      <c r="AA37" s="26">
        <v>2046</v>
      </c>
      <c r="AB37" s="26">
        <v>2047</v>
      </c>
      <c r="AC37" s="26">
        <v>2048</v>
      </c>
      <c r="AD37" s="26">
        <v>2049</v>
      </c>
      <c r="AE37" s="26">
        <v>2050</v>
      </c>
      <c r="AF37" s="26">
        <v>2051</v>
      </c>
      <c r="AG37" s="26">
        <v>2052</v>
      </c>
      <c r="AH37" s="26">
        <v>2053</v>
      </c>
      <c r="AI37" s="26">
        <v>2054</v>
      </c>
      <c r="AJ37" s="26">
        <v>2055</v>
      </c>
      <c r="AK37" s="26">
        <v>2056</v>
      </c>
      <c r="AL37" s="26">
        <v>2057</v>
      </c>
      <c r="AM37" s="26">
        <v>2058</v>
      </c>
      <c r="AN37" s="26">
        <v>2059</v>
      </c>
      <c r="AO37" s="26">
        <v>2060</v>
      </c>
      <c r="AP37" s="26">
        <v>2061</v>
      </c>
      <c r="AQ37" s="26">
        <v>2062</v>
      </c>
      <c r="AR37" s="26">
        <v>2063</v>
      </c>
      <c r="AS37" s="26">
        <v>2064</v>
      </c>
      <c r="AT37" s="26">
        <v>2065</v>
      </c>
      <c r="AU37" s="26">
        <v>2066</v>
      </c>
      <c r="AV37" s="26">
        <v>2067</v>
      </c>
      <c r="AW37" s="26">
        <v>2068</v>
      </c>
      <c r="AX37" s="26">
        <v>2069</v>
      </c>
      <c r="AY37" s="26">
        <v>2070</v>
      </c>
      <c r="AZ37" s="26">
        <v>2071</v>
      </c>
      <c r="BA37" s="26">
        <v>2072</v>
      </c>
      <c r="BB37" s="26">
        <v>2073</v>
      </c>
      <c r="BC37" s="26">
        <v>2074</v>
      </c>
      <c r="BD37" s="26">
        <v>2075</v>
      </c>
      <c r="BE37" s="26">
        <v>2076</v>
      </c>
      <c r="BF37" s="26">
        <v>2077</v>
      </c>
      <c r="BG37" s="27">
        <v>2078</v>
      </c>
      <c r="BH37" s="8"/>
    </row>
    <row r="38" spans="2:60" x14ac:dyDescent="0.35">
      <c r="B38" s="8"/>
      <c r="C38" s="35" t="str">
        <f>INDEX(_fuel,1)</f>
        <v>Electricity</v>
      </c>
      <c r="D38" s="15" t="str">
        <f>_yearDol &amp; "$/kWh"</f>
        <v>2021$/kWh</v>
      </c>
      <c r="E38" s="21">
        <f t="array" ref="E38:BG38">tBaseElec_Com*tTrendHElec_Com</f>
        <v>0.10724227138461542</v>
      </c>
      <c r="F38" s="21">
        <v>0.106443233898948</v>
      </c>
      <c r="G38" s="21">
        <v>0.10624911621819669</v>
      </c>
      <c r="H38" s="21">
        <v>0.10626583133123681</v>
      </c>
      <c r="I38" s="21">
        <v>0.10635560536085403</v>
      </c>
      <c r="J38" s="21">
        <v>0.10672620076986436</v>
      </c>
      <c r="K38" s="21">
        <v>0.1067673629257764</v>
      </c>
      <c r="L38" s="21">
        <v>0.10787760548695707</v>
      </c>
      <c r="M38" s="21">
        <v>0.10792094713584283</v>
      </c>
      <c r="N38" s="21">
        <v>0.10874629494386671</v>
      </c>
      <c r="O38" s="21">
        <v>0.10836954527232535</v>
      </c>
      <c r="P38" s="21">
        <v>0.10729314775492041</v>
      </c>
      <c r="Q38" s="21">
        <v>0.10689772788693817</v>
      </c>
      <c r="R38" s="21">
        <v>0.10636902233320071</v>
      </c>
      <c r="S38" s="21">
        <v>0.10571920021282327</v>
      </c>
      <c r="T38" s="21">
        <v>0.10562288090399487</v>
      </c>
      <c r="U38" s="21">
        <v>0.10581904207191808</v>
      </c>
      <c r="V38" s="21">
        <v>0.10537065474442833</v>
      </c>
      <c r="W38" s="21">
        <v>0.10550319579841876</v>
      </c>
      <c r="X38" s="21">
        <v>0.10507738543402631</v>
      </c>
      <c r="Y38" s="21">
        <v>0.10439472811295149</v>
      </c>
      <c r="Z38" s="21">
        <v>0.10458863838485505</v>
      </c>
      <c r="AA38" s="21">
        <v>0.10451746654877782</v>
      </c>
      <c r="AB38" s="21">
        <v>0.10374977500027817</v>
      </c>
      <c r="AC38" s="21">
        <v>0.10372333547241</v>
      </c>
      <c r="AD38" s="21">
        <v>0.10332436245285596</v>
      </c>
      <c r="AE38" s="21">
        <v>0.10306703267557722</v>
      </c>
      <c r="AF38" s="21">
        <v>0.10306703267557722</v>
      </c>
      <c r="AG38" s="21">
        <v>0.10306703267557722</v>
      </c>
      <c r="AH38" s="21">
        <v>0.10306703267557722</v>
      </c>
      <c r="AI38" s="21">
        <v>0.10306703267557722</v>
      </c>
      <c r="AJ38" s="21">
        <v>0.10306703267557722</v>
      </c>
      <c r="AK38" s="21">
        <v>0.10306703267557722</v>
      </c>
      <c r="AL38" s="21">
        <v>0.10306703267557722</v>
      </c>
      <c r="AM38" s="21">
        <v>0.10306703267557722</v>
      </c>
      <c r="AN38" s="21">
        <v>0.10306703267557722</v>
      </c>
      <c r="AO38" s="21">
        <v>0.10306703267557722</v>
      </c>
      <c r="AP38" s="21">
        <v>0.10306703267557722</v>
      </c>
      <c r="AQ38" s="21">
        <v>0.10306703267557722</v>
      </c>
      <c r="AR38" s="21">
        <v>0.10306703267557722</v>
      </c>
      <c r="AS38" s="21">
        <v>0.10306703267557722</v>
      </c>
      <c r="AT38" s="21">
        <v>0.10306703267557722</v>
      </c>
      <c r="AU38" s="21">
        <v>0.10306703267557722</v>
      </c>
      <c r="AV38" s="21">
        <v>0.10306703267557722</v>
      </c>
      <c r="AW38" s="21">
        <v>0.10306703267557722</v>
      </c>
      <c r="AX38" s="21">
        <v>0.10306703267557722</v>
      </c>
      <c r="AY38" s="21">
        <v>0.10306703267557722</v>
      </c>
      <c r="AZ38" s="21">
        <v>0.10306703267557722</v>
      </c>
      <c r="BA38" s="21">
        <v>0.10306703267557722</v>
      </c>
      <c r="BB38" s="21">
        <v>0.10306703267557722</v>
      </c>
      <c r="BC38" s="21">
        <v>0.10306703267557722</v>
      </c>
      <c r="BD38" s="21">
        <v>0.10306703267557722</v>
      </c>
      <c r="BE38" s="21">
        <v>0.10306703267557722</v>
      </c>
      <c r="BF38" s="21">
        <v>0.10306703267557722</v>
      </c>
      <c r="BG38" s="22">
        <v>0.10306703267557722</v>
      </c>
      <c r="BH38" s="8"/>
    </row>
    <row r="39" spans="2:60" x14ac:dyDescent="0.3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</row>
    <row r="40" spans="2:60" x14ac:dyDescent="0.35">
      <c r="B40" s="8"/>
      <c r="C40" s="23" t="str">
        <f>INDEX(_fuel,1)</f>
        <v>Electricity</v>
      </c>
      <c r="D40" s="24"/>
      <c r="E40" s="26">
        <f t="array" ref="E40:BG40">_yL</f>
        <v>2024</v>
      </c>
      <c r="F40" s="26">
        <v>2025</v>
      </c>
      <c r="G40" s="26">
        <v>2026</v>
      </c>
      <c r="H40" s="26">
        <v>2027</v>
      </c>
      <c r="I40" s="26">
        <v>2028</v>
      </c>
      <c r="J40" s="26">
        <v>2029</v>
      </c>
      <c r="K40" s="26">
        <v>2030</v>
      </c>
      <c r="L40" s="26">
        <v>2031</v>
      </c>
      <c r="M40" s="26">
        <v>2032</v>
      </c>
      <c r="N40" s="26">
        <v>2033</v>
      </c>
      <c r="O40" s="26">
        <v>2034</v>
      </c>
      <c r="P40" s="26">
        <v>2035</v>
      </c>
      <c r="Q40" s="26">
        <v>2036</v>
      </c>
      <c r="R40" s="26">
        <v>2037</v>
      </c>
      <c r="S40" s="26">
        <v>2038</v>
      </c>
      <c r="T40" s="26">
        <v>2039</v>
      </c>
      <c r="U40" s="26">
        <v>2040</v>
      </c>
      <c r="V40" s="26">
        <v>2041</v>
      </c>
      <c r="W40" s="26">
        <v>2042</v>
      </c>
      <c r="X40" s="26">
        <v>2043</v>
      </c>
      <c r="Y40" s="26">
        <v>2044</v>
      </c>
      <c r="Z40" s="26">
        <v>2045</v>
      </c>
      <c r="AA40" s="26">
        <v>2046</v>
      </c>
      <c r="AB40" s="26">
        <v>2047</v>
      </c>
      <c r="AC40" s="26">
        <v>2048</v>
      </c>
      <c r="AD40" s="26">
        <v>2049</v>
      </c>
      <c r="AE40" s="26">
        <v>2050</v>
      </c>
      <c r="AF40" s="26">
        <v>2051</v>
      </c>
      <c r="AG40" s="26">
        <v>2052</v>
      </c>
      <c r="AH40" s="26">
        <v>2053</v>
      </c>
      <c r="AI40" s="26">
        <v>2054</v>
      </c>
      <c r="AJ40" s="26">
        <v>2055</v>
      </c>
      <c r="AK40" s="26">
        <v>2056</v>
      </c>
      <c r="AL40" s="26">
        <v>2057</v>
      </c>
      <c r="AM40" s="26">
        <v>2058</v>
      </c>
      <c r="AN40" s="26">
        <v>2059</v>
      </c>
      <c r="AO40" s="26">
        <v>2060</v>
      </c>
      <c r="AP40" s="26">
        <v>2061</v>
      </c>
      <c r="AQ40" s="26">
        <v>2062</v>
      </c>
      <c r="AR40" s="26">
        <v>2063</v>
      </c>
      <c r="AS40" s="26">
        <v>2064</v>
      </c>
      <c r="AT40" s="26">
        <v>2065</v>
      </c>
      <c r="AU40" s="26">
        <v>2066</v>
      </c>
      <c r="AV40" s="26">
        <v>2067</v>
      </c>
      <c r="AW40" s="26">
        <v>2068</v>
      </c>
      <c r="AX40" s="26">
        <v>2069</v>
      </c>
      <c r="AY40" s="26">
        <v>2070</v>
      </c>
      <c r="AZ40" s="26">
        <v>2071</v>
      </c>
      <c r="BA40" s="26">
        <v>2072</v>
      </c>
      <c r="BB40" s="26">
        <v>2073</v>
      </c>
      <c r="BC40" s="26">
        <v>2074</v>
      </c>
      <c r="BD40" s="26">
        <v>2075</v>
      </c>
      <c r="BE40" s="26">
        <v>2076</v>
      </c>
      <c r="BF40" s="26">
        <v>2077</v>
      </c>
      <c r="BG40" s="27">
        <v>2078</v>
      </c>
      <c r="BH40" s="8"/>
    </row>
    <row r="41" spans="2:60" x14ac:dyDescent="0.35">
      <c r="B41" s="8"/>
      <c r="C41" s="19" t="s">
        <v>49</v>
      </c>
      <c r="D41" s="11" t="str">
        <f>_yearDol &amp; "$/kWh"</f>
        <v>2021$/kWh</v>
      </c>
      <c r="E41" s="32">
        <v>0.10724227138461542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18"/>
      <c r="BH41" s="8"/>
    </row>
    <row r="42" spans="2:60" x14ac:dyDescent="0.35">
      <c r="B42" s="8"/>
      <c r="C42" s="19" t="s">
        <v>50</v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18"/>
      <c r="BH42" s="8"/>
    </row>
    <row r="43" spans="2:60" x14ac:dyDescent="0.35">
      <c r="B43" s="8"/>
      <c r="C43" s="10" t="s">
        <v>51</v>
      </c>
      <c r="D43" s="11"/>
      <c r="E43" s="33">
        <v>1</v>
      </c>
      <c r="F43" s="33">
        <v>0.99538464838666696</v>
      </c>
      <c r="G43" s="33">
        <v>0.99261420707472625</v>
      </c>
      <c r="H43" s="33">
        <v>0.99340363527110476</v>
      </c>
      <c r="I43" s="33">
        <v>0.99500407049411799</v>
      </c>
      <c r="J43" s="33">
        <v>0.99675472879984317</v>
      </c>
      <c r="K43" s="33">
        <v>0.99644755717919864</v>
      </c>
      <c r="L43" s="33">
        <v>0.99931495979341189</v>
      </c>
      <c r="M43" s="33">
        <v>0.99862061232177979</v>
      </c>
      <c r="N43" s="33">
        <v>1.0038840619492837</v>
      </c>
      <c r="O43" s="33">
        <v>1.006149233516443</v>
      </c>
      <c r="P43" s="33">
        <v>0.99801063584525473</v>
      </c>
      <c r="Q43" s="33">
        <v>0.99378159947963463</v>
      </c>
      <c r="R43" s="33">
        <v>0.98690620804459428</v>
      </c>
      <c r="S43" s="33">
        <v>0.97932056391443922</v>
      </c>
      <c r="T43" s="33">
        <v>0.97936359407816975</v>
      </c>
      <c r="U43" s="33">
        <v>0.97742771482323154</v>
      </c>
      <c r="V43" s="33">
        <v>0.9712271319780702</v>
      </c>
      <c r="W43" s="33">
        <v>0.96946353274903041</v>
      </c>
      <c r="X43" s="33">
        <v>0.96665863543191022</v>
      </c>
      <c r="Y43" s="33">
        <v>0.95689636624929419</v>
      </c>
      <c r="Z43" s="33">
        <v>0.95624253087995958</v>
      </c>
      <c r="AA43" s="33">
        <v>0.95370346435210718</v>
      </c>
      <c r="AB43" s="33">
        <v>0.94847478947173647</v>
      </c>
      <c r="AC43" s="33">
        <v>0.94918073915047807</v>
      </c>
      <c r="AD43" s="33">
        <v>0.94611581214764473</v>
      </c>
      <c r="AE43" s="33">
        <v>0.93727610967540875</v>
      </c>
      <c r="AF43" s="33">
        <v>0.93727610967540875</v>
      </c>
      <c r="AG43" s="33">
        <v>0.93727610967540875</v>
      </c>
      <c r="AH43" s="33">
        <v>0.93727610967540875</v>
      </c>
      <c r="AI43" s="33">
        <v>0.93727610967540875</v>
      </c>
      <c r="AJ43" s="33">
        <v>0.93727610967540875</v>
      </c>
      <c r="AK43" s="33">
        <v>0.93727610967540875</v>
      </c>
      <c r="AL43" s="33">
        <v>0.93727610967540875</v>
      </c>
      <c r="AM43" s="33">
        <v>0.93727610967540875</v>
      </c>
      <c r="AN43" s="33">
        <v>0.93727610967540875</v>
      </c>
      <c r="AO43" s="33">
        <v>0.93727610967540875</v>
      </c>
      <c r="AP43" s="33">
        <v>0.93727610967540875</v>
      </c>
      <c r="AQ43" s="33">
        <v>0.93727610967540875</v>
      </c>
      <c r="AR43" s="33">
        <v>0.93727610967540875</v>
      </c>
      <c r="AS43" s="33">
        <v>0.93727610967540875</v>
      </c>
      <c r="AT43" s="33">
        <v>0.93727610967540875</v>
      </c>
      <c r="AU43" s="33">
        <v>0.93727610967540875</v>
      </c>
      <c r="AV43" s="33">
        <v>0.93727610967540875</v>
      </c>
      <c r="AW43" s="33">
        <v>0.93727610967540875</v>
      </c>
      <c r="AX43" s="33">
        <v>0.93727610967540875</v>
      </c>
      <c r="AY43" s="33">
        <v>0.93727610967540875</v>
      </c>
      <c r="AZ43" s="33">
        <v>0.93727610967540875</v>
      </c>
      <c r="BA43" s="34">
        <v>0.93727610967540875</v>
      </c>
      <c r="BB43" s="33">
        <f>BA43</f>
        <v>0.93727610967540875</v>
      </c>
      <c r="BC43" s="33">
        <f t="shared" ref="BC43:BG43" si="3">BB43</f>
        <v>0.93727610967540875</v>
      </c>
      <c r="BD43" s="33">
        <f t="shared" si="3"/>
        <v>0.93727610967540875</v>
      </c>
      <c r="BE43" s="33">
        <f t="shared" si="3"/>
        <v>0.93727610967540875</v>
      </c>
      <c r="BF43" s="33">
        <f t="shared" si="3"/>
        <v>0.93727610967540875</v>
      </c>
      <c r="BG43" s="34">
        <f t="shared" si="3"/>
        <v>0.93727610967540875</v>
      </c>
      <c r="BH43" s="8"/>
    </row>
    <row r="44" spans="2:60" x14ac:dyDescent="0.35">
      <c r="B44" s="8"/>
      <c r="C44" s="10" t="s">
        <v>52</v>
      </c>
      <c r="D44" s="11"/>
      <c r="E44" s="33">
        <v>1</v>
      </c>
      <c r="F44" s="33">
        <v>0.99296268158943868</v>
      </c>
      <c r="G44" s="33">
        <v>0.99673852962552001</v>
      </c>
      <c r="H44" s="33">
        <v>0.99564188219643956</v>
      </c>
      <c r="I44" s="33">
        <v>0.99605245866936387</v>
      </c>
      <c r="J44" s="33">
        <v>0.99715513882435447</v>
      </c>
      <c r="K44" s="33">
        <v>0.99473579230007758</v>
      </c>
      <c r="L44" s="33">
        <v>0.99611278592846575</v>
      </c>
      <c r="M44" s="33">
        <v>0.99754911732122964</v>
      </c>
      <c r="N44" s="33">
        <v>1.0017546933410613</v>
      </c>
      <c r="O44" s="33">
        <v>1.0020362205502031</v>
      </c>
      <c r="P44" s="33">
        <v>0.9895878023516842</v>
      </c>
      <c r="Q44" s="33">
        <v>0.97999678956840186</v>
      </c>
      <c r="R44" s="33">
        <v>0.97518398297864783</v>
      </c>
      <c r="S44" s="33">
        <v>0.9685165440805058</v>
      </c>
      <c r="T44" s="33">
        <v>0.96319437114115014</v>
      </c>
      <c r="U44" s="33">
        <v>0.96411689941763767</v>
      </c>
      <c r="V44" s="33">
        <v>0.95938274169900895</v>
      </c>
      <c r="W44" s="33">
        <v>0.95941178815709516</v>
      </c>
      <c r="X44" s="33">
        <v>0.95353875392801479</v>
      </c>
      <c r="Y44" s="33">
        <v>0.94774363442881138</v>
      </c>
      <c r="Z44" s="33">
        <v>0.94658841529578819</v>
      </c>
      <c r="AA44" s="33">
        <v>0.93814786568700737</v>
      </c>
      <c r="AB44" s="33">
        <v>0.93538733499736559</v>
      </c>
      <c r="AC44" s="33">
        <v>0.93069645969320358</v>
      </c>
      <c r="AD44" s="33">
        <v>0.92683525975720793</v>
      </c>
      <c r="AE44" s="33">
        <v>0.9182739279534845</v>
      </c>
      <c r="AF44" s="33">
        <v>0.9182739279534845</v>
      </c>
      <c r="AG44" s="33">
        <v>0.9182739279534845</v>
      </c>
      <c r="AH44" s="33">
        <v>0.9182739279534845</v>
      </c>
      <c r="AI44" s="33">
        <v>0.9182739279534845</v>
      </c>
      <c r="AJ44" s="33">
        <v>0.9182739279534845</v>
      </c>
      <c r="AK44" s="33">
        <v>0.9182739279534845</v>
      </c>
      <c r="AL44" s="33">
        <v>0.9182739279534845</v>
      </c>
      <c r="AM44" s="33">
        <v>0.9182739279534845</v>
      </c>
      <c r="AN44" s="33">
        <v>0.9182739279534845</v>
      </c>
      <c r="AO44" s="33">
        <v>0.9182739279534845</v>
      </c>
      <c r="AP44" s="33">
        <v>0.9182739279534845</v>
      </c>
      <c r="AQ44" s="33">
        <v>0.9182739279534845</v>
      </c>
      <c r="AR44" s="33">
        <v>0.9182739279534845</v>
      </c>
      <c r="AS44" s="33">
        <v>0.9182739279534845</v>
      </c>
      <c r="AT44" s="33">
        <v>0.9182739279534845</v>
      </c>
      <c r="AU44" s="33">
        <v>0.9182739279534845</v>
      </c>
      <c r="AV44" s="33">
        <v>0.9182739279534845</v>
      </c>
      <c r="AW44" s="33">
        <v>0.9182739279534845</v>
      </c>
      <c r="AX44" s="33">
        <v>0.9182739279534845</v>
      </c>
      <c r="AY44" s="33">
        <v>0.9182739279534845</v>
      </c>
      <c r="AZ44" s="33">
        <v>0.9182739279534845</v>
      </c>
      <c r="BA44" s="34">
        <v>0.9182739279534845</v>
      </c>
      <c r="BB44" s="33">
        <f>BA44</f>
        <v>0.9182739279534845</v>
      </c>
      <c r="BC44" s="33">
        <f t="shared" ref="BC44:BG44" si="4">BB44</f>
        <v>0.9182739279534845</v>
      </c>
      <c r="BD44" s="33">
        <f t="shared" si="4"/>
        <v>0.9182739279534845</v>
      </c>
      <c r="BE44" s="33">
        <f t="shared" si="4"/>
        <v>0.9182739279534845</v>
      </c>
      <c r="BF44" s="33">
        <f t="shared" si="4"/>
        <v>0.9182739279534845</v>
      </c>
      <c r="BG44" s="34">
        <f t="shared" si="4"/>
        <v>0.9182739279534845</v>
      </c>
      <c r="BH44" s="8"/>
    </row>
    <row r="45" spans="2:60" x14ac:dyDescent="0.35">
      <c r="B45" s="8"/>
      <c r="C45" s="14" t="s">
        <v>53</v>
      </c>
      <c r="D45" s="15"/>
      <c r="E45" s="21">
        <v>1</v>
      </c>
      <c r="F45" s="21">
        <v>0.9925492301183948</v>
      </c>
      <c r="G45" s="21">
        <v>0.99073914461530876</v>
      </c>
      <c r="H45" s="21">
        <v>0.99089500771690397</v>
      </c>
      <c r="I45" s="21">
        <v>0.99173212192996696</v>
      </c>
      <c r="J45" s="21">
        <v>0.99518780600142065</v>
      </c>
      <c r="K45" s="21">
        <v>0.99557162998594273</v>
      </c>
      <c r="L45" s="21">
        <v>1.0059242880082526</v>
      </c>
      <c r="M45" s="21">
        <v>1.0063284350700983</v>
      </c>
      <c r="N45" s="21">
        <v>1.0140245403219523</v>
      </c>
      <c r="O45" s="21">
        <v>1.0105114697139066</v>
      </c>
      <c r="P45" s="21">
        <v>1.0004744059375852</v>
      </c>
      <c r="Q45" s="21">
        <v>0.99678724169836375</v>
      </c>
      <c r="R45" s="21">
        <v>0.9918572309207917</v>
      </c>
      <c r="S45" s="21">
        <v>0.98579784676203119</v>
      </c>
      <c r="T45" s="21">
        <v>0.98489969990645998</v>
      </c>
      <c r="U45" s="21">
        <v>0.98672884027611607</v>
      </c>
      <c r="V45" s="21">
        <v>0.98254777135897564</v>
      </c>
      <c r="W45" s="21">
        <v>0.98378367444345127</v>
      </c>
      <c r="X45" s="21">
        <v>0.97981312851137836</v>
      </c>
      <c r="Y45" s="21">
        <v>0.9734475665714738</v>
      </c>
      <c r="Z45" s="21">
        <v>0.9752557180531608</v>
      </c>
      <c r="AA45" s="21">
        <v>0.97459206336589677</v>
      </c>
      <c r="AB45" s="21">
        <v>0.96743358435768567</v>
      </c>
      <c r="AC45" s="21">
        <v>0.96718704418722112</v>
      </c>
      <c r="AD45" s="21">
        <v>0.96346674794206655</v>
      </c>
      <c r="AE45" s="21">
        <v>0.96106722978606018</v>
      </c>
      <c r="AF45" s="21">
        <v>0.96106722978606018</v>
      </c>
      <c r="AG45" s="21">
        <v>0.96106722978606018</v>
      </c>
      <c r="AH45" s="21">
        <v>0.96106722978606018</v>
      </c>
      <c r="AI45" s="21">
        <v>0.96106722978606018</v>
      </c>
      <c r="AJ45" s="21">
        <v>0.96106722978606018</v>
      </c>
      <c r="AK45" s="21">
        <v>0.96106722978606018</v>
      </c>
      <c r="AL45" s="21">
        <v>0.96106722978606018</v>
      </c>
      <c r="AM45" s="21">
        <v>0.96106722978606018</v>
      </c>
      <c r="AN45" s="21">
        <v>0.96106722978606018</v>
      </c>
      <c r="AO45" s="21">
        <v>0.96106722978606018</v>
      </c>
      <c r="AP45" s="21">
        <v>0.96106722978606018</v>
      </c>
      <c r="AQ45" s="21">
        <v>0.96106722978606018</v>
      </c>
      <c r="AR45" s="21">
        <v>0.96106722978606018</v>
      </c>
      <c r="AS45" s="21">
        <v>0.96106722978606018</v>
      </c>
      <c r="AT45" s="21">
        <v>0.96106722978606018</v>
      </c>
      <c r="AU45" s="21">
        <v>0.96106722978606018</v>
      </c>
      <c r="AV45" s="21">
        <v>0.96106722978606018</v>
      </c>
      <c r="AW45" s="21">
        <v>0.96106722978606018</v>
      </c>
      <c r="AX45" s="21">
        <v>0.96106722978606018</v>
      </c>
      <c r="AY45" s="21">
        <v>0.96106722978606018</v>
      </c>
      <c r="AZ45" s="21">
        <v>0.96106722978606018</v>
      </c>
      <c r="BA45" s="22">
        <v>0.96106722978606018</v>
      </c>
      <c r="BB45" s="21">
        <f>BA45</f>
        <v>0.96106722978606018</v>
      </c>
      <c r="BC45" s="21">
        <f t="shared" ref="BC45:BG45" si="5">BB45</f>
        <v>0.96106722978606018</v>
      </c>
      <c r="BD45" s="21">
        <f t="shared" si="5"/>
        <v>0.96106722978606018</v>
      </c>
      <c r="BE45" s="21">
        <f t="shared" si="5"/>
        <v>0.96106722978606018</v>
      </c>
      <c r="BF45" s="21">
        <f t="shared" si="5"/>
        <v>0.96106722978606018</v>
      </c>
      <c r="BG45" s="22">
        <f t="shared" si="5"/>
        <v>0.96106722978606018</v>
      </c>
      <c r="BH45" s="8"/>
    </row>
    <row r="46" spans="2:60" x14ac:dyDescent="0.3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</row>
  </sheetData>
  <mergeCells count="2">
    <mergeCell ref="C26:BG26"/>
    <mergeCell ref="C3:BG3"/>
  </mergeCells>
  <conditionalFormatting sqref="BB43:BG43">
    <cfRule type="containsBlanks" dxfId="120" priority="25" stopIfTrue="1">
      <formula>LEN(TRIM(BB43))=0</formula>
    </cfRule>
    <cfRule type="notContainsBlanks" dxfId="119" priority="26" stopIfTrue="1">
      <formula>LEN(TRIM(BB43))&gt;0</formula>
    </cfRule>
  </conditionalFormatting>
  <conditionalFormatting sqref="BB44:BG44">
    <cfRule type="containsBlanks" dxfId="118" priority="27" stopIfTrue="1">
      <formula>LEN(TRIM(BB44))=0</formula>
    </cfRule>
    <cfRule type="notContainsBlanks" dxfId="117" priority="28" stopIfTrue="1">
      <formula>LEN(TRIM(BB44))&gt;0</formula>
    </cfRule>
  </conditionalFormatting>
  <conditionalFormatting sqref="BB45:BG45">
    <cfRule type="containsBlanks" dxfId="116" priority="29" stopIfTrue="1">
      <formula>LEN(TRIM(BB45))=0</formula>
    </cfRule>
    <cfRule type="notContainsBlanks" dxfId="115" priority="30" stopIfTrue="1">
      <formula>LEN(TRIM(BB45))&gt;0</formula>
    </cfRule>
  </conditionalFormatting>
  <conditionalFormatting sqref="E38:BG38">
    <cfRule type="containsBlanks" dxfId="114" priority="31" stopIfTrue="1">
      <formula>LEN(TRIM(E38))=0</formula>
    </cfRule>
    <cfRule type="notContainsBlanks" dxfId="113" priority="32" stopIfTrue="1">
      <formula>LEN(TRIM(E38))&gt;0</formula>
    </cfRule>
  </conditionalFormatting>
  <conditionalFormatting sqref="E35:BG35">
    <cfRule type="containsBlanks" dxfId="112" priority="33" stopIfTrue="1">
      <formula>LEN(TRIM(E35))=0</formula>
    </cfRule>
    <cfRule type="notContainsBlanks" dxfId="111" priority="34" stopIfTrue="1">
      <formula>LEN(TRIM(E35))&gt;0</formula>
    </cfRule>
  </conditionalFormatting>
  <conditionalFormatting sqref="E32:BG32">
    <cfRule type="containsBlanks" dxfId="110" priority="35" stopIfTrue="1">
      <formula>LEN(TRIM(E32))=0</formula>
    </cfRule>
    <cfRule type="notContainsBlanks" dxfId="109" priority="36" stopIfTrue="1">
      <formula>LEN(TRIM(E32))&gt;0</formula>
    </cfRule>
  </conditionalFormatting>
  <conditionalFormatting sqref="E29:BG29">
    <cfRule type="containsBlanks" dxfId="108" priority="37" stopIfTrue="1">
      <formula>LEN(TRIM(E29))=0</formula>
    </cfRule>
    <cfRule type="notContainsBlanks" dxfId="107" priority="38" stopIfTrue="1">
      <formula>LEN(TRIM(E29))&gt;0</formula>
    </cfRule>
  </conditionalFormatting>
  <conditionalFormatting sqref="E15:BG15">
    <cfRule type="containsBlanks" dxfId="106" priority="47" stopIfTrue="1">
      <formula>LEN(TRIM(E15))=0</formula>
    </cfRule>
    <cfRule type="notContainsBlanks" dxfId="105" priority="48" stopIfTrue="1">
      <formula>LEN(TRIM(E15))&gt;0</formula>
    </cfRule>
  </conditionalFormatting>
  <conditionalFormatting sqref="E12:BG12">
    <cfRule type="containsBlanks" dxfId="104" priority="49" stopIfTrue="1">
      <formula>LEN(TRIM(E12))=0</formula>
    </cfRule>
    <cfRule type="notContainsBlanks" dxfId="103" priority="50" stopIfTrue="1">
      <formula>LEN(TRIM(E12))&gt;0</formula>
    </cfRule>
  </conditionalFormatting>
  <conditionalFormatting sqref="E9:BG9">
    <cfRule type="containsBlanks" dxfId="102" priority="51" stopIfTrue="1">
      <formula>LEN(TRIM(E9))=0</formula>
    </cfRule>
    <cfRule type="notContainsBlanks" dxfId="101" priority="52" stopIfTrue="1">
      <formula>LEN(TRIM(E9))&gt;0</formula>
    </cfRule>
  </conditionalFormatting>
  <conditionalFormatting sqref="E6:BG6">
    <cfRule type="containsBlanks" dxfId="100" priority="53" stopIfTrue="1">
      <formula>LEN(TRIM(E6))=0</formula>
    </cfRule>
    <cfRule type="notContainsBlanks" dxfId="99" priority="54" stopIfTrue="1">
      <formula>LEN(TRIM(E6))&gt;0</formula>
    </cfRule>
  </conditionalFormatting>
  <conditionalFormatting sqref="E41">
    <cfRule type="containsBlanks" dxfId="98" priority="21" stopIfTrue="1">
      <formula>LEN(TRIM(E41))=0</formula>
    </cfRule>
    <cfRule type="notContainsBlanks" dxfId="97" priority="22" stopIfTrue="1">
      <formula>LEN(TRIM(E41))&gt;0</formula>
    </cfRule>
  </conditionalFormatting>
  <conditionalFormatting sqref="E43:BA43">
    <cfRule type="containsBlanks" dxfId="96" priority="15" stopIfTrue="1">
      <formula>LEN(TRIM(E43))=0</formula>
    </cfRule>
    <cfRule type="notContainsBlanks" dxfId="95" priority="16" stopIfTrue="1">
      <formula>LEN(TRIM(E43))&gt;0</formula>
    </cfRule>
  </conditionalFormatting>
  <conditionalFormatting sqref="E44:BA44">
    <cfRule type="containsBlanks" dxfId="94" priority="17" stopIfTrue="1">
      <formula>LEN(TRIM(E44))=0</formula>
    </cfRule>
    <cfRule type="notContainsBlanks" dxfId="93" priority="18" stopIfTrue="1">
      <formula>LEN(TRIM(E44))&gt;0</formula>
    </cfRule>
  </conditionalFormatting>
  <conditionalFormatting sqref="E45:BA45">
    <cfRule type="containsBlanks" dxfId="92" priority="19" stopIfTrue="1">
      <formula>LEN(TRIM(E45))=0</formula>
    </cfRule>
    <cfRule type="notContainsBlanks" dxfId="91" priority="20" stopIfTrue="1">
      <formula>LEN(TRIM(E45))&gt;0</formula>
    </cfRule>
  </conditionalFormatting>
  <conditionalFormatting sqref="E18">
    <cfRule type="containsBlanks" dxfId="90" priority="13" stopIfTrue="1">
      <formula>LEN(TRIM(E18))=0</formula>
    </cfRule>
    <cfRule type="notContainsBlanks" dxfId="89" priority="14" stopIfTrue="1">
      <formula>LEN(TRIM(E18))&gt;0</formula>
    </cfRule>
  </conditionalFormatting>
  <conditionalFormatting sqref="E20:BA20">
    <cfRule type="containsBlanks" dxfId="88" priority="7" stopIfTrue="1">
      <formula>LEN(TRIM(E20))=0</formula>
    </cfRule>
    <cfRule type="notContainsBlanks" dxfId="87" priority="8" stopIfTrue="1">
      <formula>LEN(TRIM(E20))&gt;0</formula>
    </cfRule>
  </conditionalFormatting>
  <conditionalFormatting sqref="E21:BA21">
    <cfRule type="containsBlanks" dxfId="86" priority="9" stopIfTrue="1">
      <formula>LEN(TRIM(E21))=0</formula>
    </cfRule>
    <cfRule type="notContainsBlanks" dxfId="85" priority="10" stopIfTrue="1">
      <formula>LEN(TRIM(E21))&gt;0</formula>
    </cfRule>
  </conditionalFormatting>
  <conditionalFormatting sqref="E22:BA22">
    <cfRule type="containsBlanks" dxfId="84" priority="11" stopIfTrue="1">
      <formula>LEN(TRIM(E22))=0</formula>
    </cfRule>
    <cfRule type="notContainsBlanks" dxfId="83" priority="12" stopIfTrue="1">
      <formula>LEN(TRIM(E22))&gt;0</formula>
    </cfRule>
  </conditionalFormatting>
  <conditionalFormatting sqref="BB20:BG20">
    <cfRule type="containsBlanks" dxfId="82" priority="1" stopIfTrue="1">
      <formula>LEN(TRIM(BB20))=0</formula>
    </cfRule>
    <cfRule type="notContainsBlanks" dxfId="81" priority="2" stopIfTrue="1">
      <formula>LEN(TRIM(BB20))&gt;0</formula>
    </cfRule>
  </conditionalFormatting>
  <conditionalFormatting sqref="BB21:BG21">
    <cfRule type="containsBlanks" dxfId="80" priority="3" stopIfTrue="1">
      <formula>LEN(TRIM(BB21))=0</formula>
    </cfRule>
    <cfRule type="notContainsBlanks" dxfId="79" priority="4" stopIfTrue="1">
      <formula>LEN(TRIM(BB21))&gt;0</formula>
    </cfRule>
  </conditionalFormatting>
  <conditionalFormatting sqref="BB22:BG22">
    <cfRule type="containsBlanks" dxfId="78" priority="5" stopIfTrue="1">
      <formula>LEN(TRIM(BB22))=0</formula>
    </cfRule>
    <cfRule type="notContainsBlanks" dxfId="77" priority="6" stopIfTrue="1">
      <formula>LEN(TRIM(BB22))&gt;0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B2:BH20"/>
  <sheetViews>
    <sheetView zoomScale="85" zoomScaleNormal="85" workbookViewId="0">
      <selection activeCell="AV30" sqref="AV30"/>
    </sheetView>
  </sheetViews>
  <sheetFormatPr defaultColWidth="9.1796875" defaultRowHeight="14.5" x14ac:dyDescent="0.35"/>
  <cols>
    <col min="1" max="1" width="9.1796875" style="6"/>
    <col min="2" max="2" width="3.453125" style="6" customWidth="1"/>
    <col min="3" max="3" width="17.90625" style="6" bestFit="1" customWidth="1"/>
    <col min="4" max="4" width="14.81640625" style="6" bestFit="1" customWidth="1"/>
    <col min="5" max="59" width="7.90625" style="6" bestFit="1" customWidth="1"/>
    <col min="60" max="60" width="3.453125" style="6" customWidth="1"/>
    <col min="61" max="16384" width="9.1796875" style="6"/>
  </cols>
  <sheetData>
    <row r="2" spans="2:60" x14ac:dyDescent="0.3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</row>
    <row r="3" spans="2:60" x14ac:dyDescent="0.35">
      <c r="B3" s="8"/>
      <c r="C3" s="23" t="s">
        <v>43</v>
      </c>
      <c r="D3" s="24"/>
      <c r="E3" s="26">
        <f t="array" ref="E3:BG3">_yL</f>
        <v>2024</v>
      </c>
      <c r="F3" s="26">
        <v>2025</v>
      </c>
      <c r="G3" s="26">
        <v>2026</v>
      </c>
      <c r="H3" s="26">
        <v>2027</v>
      </c>
      <c r="I3" s="26">
        <v>2028</v>
      </c>
      <c r="J3" s="26">
        <v>2029</v>
      </c>
      <c r="K3" s="26">
        <v>2030</v>
      </c>
      <c r="L3" s="26">
        <v>2031</v>
      </c>
      <c r="M3" s="26">
        <v>2032</v>
      </c>
      <c r="N3" s="26">
        <v>2033</v>
      </c>
      <c r="O3" s="26">
        <v>2034</v>
      </c>
      <c r="P3" s="26">
        <v>2035</v>
      </c>
      <c r="Q3" s="26">
        <v>2036</v>
      </c>
      <c r="R3" s="26">
        <v>2037</v>
      </c>
      <c r="S3" s="26">
        <v>2038</v>
      </c>
      <c r="T3" s="26">
        <v>2039</v>
      </c>
      <c r="U3" s="26">
        <v>2040</v>
      </c>
      <c r="V3" s="26">
        <v>2041</v>
      </c>
      <c r="W3" s="26">
        <v>2042</v>
      </c>
      <c r="X3" s="26">
        <v>2043</v>
      </c>
      <c r="Y3" s="26">
        <v>2044</v>
      </c>
      <c r="Z3" s="26">
        <v>2045</v>
      </c>
      <c r="AA3" s="26">
        <v>2046</v>
      </c>
      <c r="AB3" s="26">
        <v>2047</v>
      </c>
      <c r="AC3" s="26">
        <v>2048</v>
      </c>
      <c r="AD3" s="26">
        <v>2049</v>
      </c>
      <c r="AE3" s="26">
        <v>2050</v>
      </c>
      <c r="AF3" s="26">
        <v>2051</v>
      </c>
      <c r="AG3" s="26">
        <v>2052</v>
      </c>
      <c r="AH3" s="26">
        <v>2053</v>
      </c>
      <c r="AI3" s="26">
        <v>2054</v>
      </c>
      <c r="AJ3" s="26">
        <v>2055</v>
      </c>
      <c r="AK3" s="26">
        <v>2056</v>
      </c>
      <c r="AL3" s="26">
        <v>2057</v>
      </c>
      <c r="AM3" s="26">
        <v>2058</v>
      </c>
      <c r="AN3" s="26">
        <v>2059</v>
      </c>
      <c r="AO3" s="26">
        <v>2060</v>
      </c>
      <c r="AP3" s="26">
        <v>2061</v>
      </c>
      <c r="AQ3" s="26">
        <v>2062</v>
      </c>
      <c r="AR3" s="26">
        <v>2063</v>
      </c>
      <c r="AS3" s="26">
        <v>2064</v>
      </c>
      <c r="AT3" s="26">
        <v>2065</v>
      </c>
      <c r="AU3" s="26">
        <v>2066</v>
      </c>
      <c r="AV3" s="26">
        <v>2067</v>
      </c>
      <c r="AW3" s="26">
        <v>2068</v>
      </c>
      <c r="AX3" s="26">
        <v>2069</v>
      </c>
      <c r="AY3" s="26">
        <v>2070</v>
      </c>
      <c r="AZ3" s="26">
        <v>2071</v>
      </c>
      <c r="BA3" s="26">
        <v>2072</v>
      </c>
      <c r="BB3" s="26">
        <v>2073</v>
      </c>
      <c r="BC3" s="26">
        <v>2074</v>
      </c>
      <c r="BD3" s="26">
        <v>2075</v>
      </c>
      <c r="BE3" s="26">
        <v>2076</v>
      </c>
      <c r="BF3" s="26">
        <v>2077</v>
      </c>
      <c r="BG3" s="27">
        <v>2078</v>
      </c>
      <c r="BH3" s="8"/>
    </row>
    <row r="4" spans="2:60" x14ac:dyDescent="0.35">
      <c r="B4" s="8"/>
      <c r="C4" s="9" t="str">
        <f>INDEX(_fuel,1)</f>
        <v>Electricity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18"/>
      <c r="BH4" s="8"/>
    </row>
    <row r="5" spans="2:60" x14ac:dyDescent="0.35">
      <c r="B5" s="8"/>
      <c r="C5" s="19" t="str">
        <f>"Site to "&amp;sEnergy</f>
        <v>Site to FFC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18"/>
      <c r="BH5" s="8"/>
    </row>
    <row r="6" spans="2:60" x14ac:dyDescent="0.35">
      <c r="B6" s="8"/>
      <c r="C6" s="20" t="s">
        <v>13</v>
      </c>
      <c r="D6" s="11" t="s">
        <v>41</v>
      </c>
      <c r="E6" s="12">
        <f t="array" ref="E6:BG6" xml:space="preserve"> ts2bElec * IF(iEnergy&gt;1,ts2pElecRes,1) * IF(iEnergy&gt;2,tp2fElec,1)</f>
        <v>1.0140312537115618E-2</v>
      </c>
      <c r="F6" s="12">
        <v>1.0016169817174811E-2</v>
      </c>
      <c r="G6" s="12">
        <v>9.9391775526766063E-3</v>
      </c>
      <c r="H6" s="12">
        <v>9.8573612575796367E-3</v>
      </c>
      <c r="I6" s="12">
        <v>9.8109312221700065E-3</v>
      </c>
      <c r="J6" s="12">
        <v>9.7815366639044214E-3</v>
      </c>
      <c r="K6" s="12">
        <v>9.7775591146337399E-3</v>
      </c>
      <c r="L6" s="12">
        <v>9.7618495593010963E-3</v>
      </c>
      <c r="M6" s="12">
        <v>9.7453239030481677E-3</v>
      </c>
      <c r="N6" s="12">
        <v>9.739687675764705E-3</v>
      </c>
      <c r="O6" s="12">
        <v>9.7131112748206298E-3</v>
      </c>
      <c r="P6" s="12">
        <v>9.706190571498385E-3</v>
      </c>
      <c r="Q6" s="12">
        <v>9.6856581049343284E-3</v>
      </c>
      <c r="R6" s="12">
        <v>9.6654381823329093E-3</v>
      </c>
      <c r="S6" s="12">
        <v>9.6548730191842076E-3</v>
      </c>
      <c r="T6" s="12">
        <v>9.6525397296150471E-3</v>
      </c>
      <c r="U6" s="12">
        <v>9.6431818498676197E-3</v>
      </c>
      <c r="V6" s="12">
        <v>9.6312949296226778E-3</v>
      </c>
      <c r="W6" s="12">
        <v>9.6236276281819327E-3</v>
      </c>
      <c r="X6" s="12">
        <v>9.6159412100589974E-3</v>
      </c>
      <c r="Y6" s="12">
        <v>9.5962834572147267E-3</v>
      </c>
      <c r="Z6" s="12">
        <v>9.5842722840018581E-3</v>
      </c>
      <c r="AA6" s="12">
        <v>9.5806697829135638E-3</v>
      </c>
      <c r="AB6" s="12">
        <v>9.5767855656142924E-3</v>
      </c>
      <c r="AC6" s="12">
        <v>9.5780241122488501E-3</v>
      </c>
      <c r="AD6" s="12">
        <v>9.5828388396213392E-3</v>
      </c>
      <c r="AE6" s="12">
        <v>9.5843248792604058E-3</v>
      </c>
      <c r="AF6" s="12">
        <v>9.5843248792604058E-3</v>
      </c>
      <c r="AG6" s="12">
        <v>9.5843248792604058E-3</v>
      </c>
      <c r="AH6" s="12">
        <v>9.5843248792604058E-3</v>
      </c>
      <c r="AI6" s="12">
        <v>9.5843248792604058E-3</v>
      </c>
      <c r="AJ6" s="12">
        <v>9.5843248792604058E-3</v>
      </c>
      <c r="AK6" s="12">
        <v>9.5843248792604058E-3</v>
      </c>
      <c r="AL6" s="12">
        <v>9.5843248792604058E-3</v>
      </c>
      <c r="AM6" s="12">
        <v>9.5843248792604058E-3</v>
      </c>
      <c r="AN6" s="12">
        <v>9.5843248792604058E-3</v>
      </c>
      <c r="AO6" s="12">
        <v>9.5843248792604058E-3</v>
      </c>
      <c r="AP6" s="12">
        <v>9.5843248792604058E-3</v>
      </c>
      <c r="AQ6" s="12">
        <v>9.5843248792604058E-3</v>
      </c>
      <c r="AR6" s="12">
        <v>9.5843248792604058E-3</v>
      </c>
      <c r="AS6" s="12">
        <v>9.5843248792604058E-3</v>
      </c>
      <c r="AT6" s="12">
        <v>9.5843248792604058E-3</v>
      </c>
      <c r="AU6" s="12">
        <v>9.5843248792604058E-3</v>
      </c>
      <c r="AV6" s="12">
        <v>9.5843248792604058E-3</v>
      </c>
      <c r="AW6" s="12">
        <v>9.5843248792604058E-3</v>
      </c>
      <c r="AX6" s="12">
        <v>9.5843248792604058E-3</v>
      </c>
      <c r="AY6" s="12">
        <v>9.5843248792604058E-3</v>
      </c>
      <c r="AZ6" s="12">
        <v>9.5843248792604058E-3</v>
      </c>
      <c r="BA6" s="12">
        <v>9.5843248792604058E-3</v>
      </c>
      <c r="BB6" s="12">
        <v>9.5843248792604058E-3</v>
      </c>
      <c r="BC6" s="12">
        <v>9.5843248792604058E-3</v>
      </c>
      <c r="BD6" s="12">
        <v>9.5843248792604058E-3</v>
      </c>
      <c r="BE6" s="12">
        <v>9.5843248792604058E-3</v>
      </c>
      <c r="BF6" s="12">
        <v>9.5843248792604058E-3</v>
      </c>
      <c r="BG6" s="13">
        <v>9.5843248792604058E-3</v>
      </c>
      <c r="BH6" s="8"/>
    </row>
    <row r="7" spans="2:60" x14ac:dyDescent="0.35">
      <c r="B7" s="8"/>
      <c r="C7" s="20" t="s">
        <v>15</v>
      </c>
      <c r="D7" s="11" t="s">
        <v>41</v>
      </c>
      <c r="E7" s="12">
        <f t="array" ref="E7:BG7" xml:space="preserve"> ts2bElec * IF(iEnergy&gt;1,ts2pElecCom,1) * IF(iEnergy&gt;2,tp2fElec,1)</f>
        <v>1.0027469890327026E-2</v>
      </c>
      <c r="F7" s="12">
        <v>9.8977129034634286E-3</v>
      </c>
      <c r="G7" s="12">
        <v>9.8176719170799398E-3</v>
      </c>
      <c r="H7" s="12">
        <v>9.7314684175071591E-3</v>
      </c>
      <c r="I7" s="12">
        <v>9.6840323926452292E-3</v>
      </c>
      <c r="J7" s="12">
        <v>9.6560618243988258E-3</v>
      </c>
      <c r="K7" s="12">
        <v>9.6519681854774983E-3</v>
      </c>
      <c r="L7" s="12">
        <v>9.6362410772853208E-3</v>
      </c>
      <c r="M7" s="12">
        <v>9.6211815004232423E-3</v>
      </c>
      <c r="N7" s="12">
        <v>9.6151855687072237E-3</v>
      </c>
      <c r="O7" s="12">
        <v>9.5931498641239777E-3</v>
      </c>
      <c r="P7" s="12">
        <v>9.5883031396700943E-3</v>
      </c>
      <c r="Q7" s="12">
        <v>9.5700854041785837E-3</v>
      </c>
      <c r="R7" s="12">
        <v>9.5512951705795431E-3</v>
      </c>
      <c r="S7" s="12">
        <v>9.5412220337254359E-3</v>
      </c>
      <c r="T7" s="12">
        <v>9.5394946691364779E-3</v>
      </c>
      <c r="U7" s="12">
        <v>9.5318186682669878E-3</v>
      </c>
      <c r="V7" s="12">
        <v>9.5211553782698129E-3</v>
      </c>
      <c r="W7" s="12">
        <v>9.5143713204893562E-3</v>
      </c>
      <c r="X7" s="12">
        <v>9.507925439045899E-3</v>
      </c>
      <c r="Y7" s="12">
        <v>9.4898242534120769E-3</v>
      </c>
      <c r="Z7" s="12">
        <v>9.4789642565958274E-3</v>
      </c>
      <c r="AA7" s="12">
        <v>9.4759015046088201E-3</v>
      </c>
      <c r="AB7" s="12">
        <v>9.4729307723057619E-3</v>
      </c>
      <c r="AC7" s="12">
        <v>9.4746481223590643E-3</v>
      </c>
      <c r="AD7" s="12">
        <v>9.4796146397396579E-3</v>
      </c>
      <c r="AE7" s="12">
        <v>9.4813623337180186E-3</v>
      </c>
      <c r="AF7" s="12">
        <v>9.4813623337180186E-3</v>
      </c>
      <c r="AG7" s="12">
        <v>9.4813623337180186E-3</v>
      </c>
      <c r="AH7" s="12">
        <v>9.4813623337180186E-3</v>
      </c>
      <c r="AI7" s="12">
        <v>9.4813623337180186E-3</v>
      </c>
      <c r="AJ7" s="12">
        <v>9.4813623337180186E-3</v>
      </c>
      <c r="AK7" s="12">
        <v>9.4813623337180186E-3</v>
      </c>
      <c r="AL7" s="12">
        <v>9.4813623337180186E-3</v>
      </c>
      <c r="AM7" s="12">
        <v>9.4813623337180186E-3</v>
      </c>
      <c r="AN7" s="12">
        <v>9.4813623337180186E-3</v>
      </c>
      <c r="AO7" s="12">
        <v>9.4813623337180186E-3</v>
      </c>
      <c r="AP7" s="12">
        <v>9.4813623337180186E-3</v>
      </c>
      <c r="AQ7" s="12">
        <v>9.4813623337180186E-3</v>
      </c>
      <c r="AR7" s="12">
        <v>9.4813623337180186E-3</v>
      </c>
      <c r="AS7" s="12">
        <v>9.4813623337180186E-3</v>
      </c>
      <c r="AT7" s="12">
        <v>9.4813623337180186E-3</v>
      </c>
      <c r="AU7" s="12">
        <v>9.4813623337180186E-3</v>
      </c>
      <c r="AV7" s="12">
        <v>9.4813623337180186E-3</v>
      </c>
      <c r="AW7" s="12">
        <v>9.4813623337180186E-3</v>
      </c>
      <c r="AX7" s="12">
        <v>9.4813623337180186E-3</v>
      </c>
      <c r="AY7" s="12">
        <v>9.4813623337180186E-3</v>
      </c>
      <c r="AZ7" s="12">
        <v>9.4813623337180186E-3</v>
      </c>
      <c r="BA7" s="12">
        <v>9.4813623337180186E-3</v>
      </c>
      <c r="BB7" s="12">
        <v>9.4813623337180186E-3</v>
      </c>
      <c r="BC7" s="12">
        <v>9.4813623337180186E-3</v>
      </c>
      <c r="BD7" s="12">
        <v>9.4813623337180186E-3</v>
      </c>
      <c r="BE7" s="12">
        <v>9.4813623337180186E-3</v>
      </c>
      <c r="BF7" s="12">
        <v>9.4813623337180186E-3</v>
      </c>
      <c r="BG7" s="13">
        <v>9.4813623337180186E-3</v>
      </c>
      <c r="BH7" s="8"/>
    </row>
    <row r="8" spans="2:60" x14ac:dyDescent="0.35">
      <c r="B8" s="8"/>
      <c r="C8" s="19" t="s">
        <v>39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18"/>
      <c r="BH8" s="8"/>
    </row>
    <row r="9" spans="2:60" x14ac:dyDescent="0.35">
      <c r="B9" s="8"/>
      <c r="C9" s="10" t="s">
        <v>44</v>
      </c>
      <c r="D9" s="11" t="s">
        <v>41</v>
      </c>
      <c r="E9" s="12">
        <f t="array" ref="E9:BG9">CONVERT(0.000001,"kWh","btu")</f>
        <v>3.412141633127942E-3</v>
      </c>
      <c r="F9" s="12">
        <v>3.412141633127942E-3</v>
      </c>
      <c r="G9" s="12">
        <v>3.412141633127942E-3</v>
      </c>
      <c r="H9" s="12">
        <v>3.412141633127942E-3</v>
      </c>
      <c r="I9" s="12">
        <v>3.412141633127942E-3</v>
      </c>
      <c r="J9" s="12">
        <v>3.412141633127942E-3</v>
      </c>
      <c r="K9" s="12">
        <v>3.412141633127942E-3</v>
      </c>
      <c r="L9" s="12">
        <v>3.412141633127942E-3</v>
      </c>
      <c r="M9" s="12">
        <v>3.412141633127942E-3</v>
      </c>
      <c r="N9" s="12">
        <v>3.412141633127942E-3</v>
      </c>
      <c r="O9" s="12">
        <v>3.412141633127942E-3</v>
      </c>
      <c r="P9" s="12">
        <v>3.412141633127942E-3</v>
      </c>
      <c r="Q9" s="12">
        <v>3.412141633127942E-3</v>
      </c>
      <c r="R9" s="12">
        <v>3.412141633127942E-3</v>
      </c>
      <c r="S9" s="12">
        <v>3.412141633127942E-3</v>
      </c>
      <c r="T9" s="12">
        <v>3.412141633127942E-3</v>
      </c>
      <c r="U9" s="12">
        <v>3.412141633127942E-3</v>
      </c>
      <c r="V9" s="12">
        <v>3.412141633127942E-3</v>
      </c>
      <c r="W9" s="12">
        <v>3.412141633127942E-3</v>
      </c>
      <c r="X9" s="12">
        <v>3.412141633127942E-3</v>
      </c>
      <c r="Y9" s="12">
        <v>3.412141633127942E-3</v>
      </c>
      <c r="Z9" s="12">
        <v>3.412141633127942E-3</v>
      </c>
      <c r="AA9" s="12">
        <v>3.412141633127942E-3</v>
      </c>
      <c r="AB9" s="12">
        <v>3.412141633127942E-3</v>
      </c>
      <c r="AC9" s="12">
        <v>3.412141633127942E-3</v>
      </c>
      <c r="AD9" s="12">
        <v>3.412141633127942E-3</v>
      </c>
      <c r="AE9" s="12">
        <v>3.412141633127942E-3</v>
      </c>
      <c r="AF9" s="12">
        <v>3.412141633127942E-3</v>
      </c>
      <c r="AG9" s="12">
        <v>3.412141633127942E-3</v>
      </c>
      <c r="AH9" s="12">
        <v>3.412141633127942E-3</v>
      </c>
      <c r="AI9" s="12">
        <v>3.412141633127942E-3</v>
      </c>
      <c r="AJ9" s="12">
        <v>3.412141633127942E-3</v>
      </c>
      <c r="AK9" s="12">
        <v>3.412141633127942E-3</v>
      </c>
      <c r="AL9" s="12">
        <v>3.412141633127942E-3</v>
      </c>
      <c r="AM9" s="12">
        <v>3.412141633127942E-3</v>
      </c>
      <c r="AN9" s="12">
        <v>3.412141633127942E-3</v>
      </c>
      <c r="AO9" s="12">
        <v>3.412141633127942E-3</v>
      </c>
      <c r="AP9" s="12">
        <v>3.412141633127942E-3</v>
      </c>
      <c r="AQ9" s="12">
        <v>3.412141633127942E-3</v>
      </c>
      <c r="AR9" s="12">
        <v>3.412141633127942E-3</v>
      </c>
      <c r="AS9" s="12">
        <v>3.412141633127942E-3</v>
      </c>
      <c r="AT9" s="12">
        <v>3.412141633127942E-3</v>
      </c>
      <c r="AU9" s="12">
        <v>3.412141633127942E-3</v>
      </c>
      <c r="AV9" s="12">
        <v>3.412141633127942E-3</v>
      </c>
      <c r="AW9" s="12">
        <v>3.412141633127942E-3</v>
      </c>
      <c r="AX9" s="12">
        <v>3.412141633127942E-3</v>
      </c>
      <c r="AY9" s="12">
        <v>3.412141633127942E-3</v>
      </c>
      <c r="AZ9" s="12">
        <v>3.412141633127942E-3</v>
      </c>
      <c r="BA9" s="12">
        <v>3.412141633127942E-3</v>
      </c>
      <c r="BB9" s="12">
        <v>3.412141633127942E-3</v>
      </c>
      <c r="BC9" s="12">
        <v>3.412141633127942E-3</v>
      </c>
      <c r="BD9" s="12">
        <v>3.412141633127942E-3</v>
      </c>
      <c r="BE9" s="12">
        <v>3.412141633127942E-3</v>
      </c>
      <c r="BF9" s="12">
        <v>3.412141633127942E-3</v>
      </c>
      <c r="BG9" s="13">
        <v>3.412141633127942E-3</v>
      </c>
      <c r="BH9" s="8"/>
    </row>
    <row r="10" spans="2:60" x14ac:dyDescent="0.35">
      <c r="B10" s="8"/>
      <c r="C10" s="10" t="s">
        <v>45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18"/>
      <c r="BH10" s="8"/>
    </row>
    <row r="11" spans="2:60" x14ac:dyDescent="0.35">
      <c r="B11" s="8"/>
      <c r="C11" s="20" t="s">
        <v>13</v>
      </c>
      <c r="D11" s="11" t="s">
        <v>46</v>
      </c>
      <c r="E11" s="12">
        <f t="array" ref="E11:BG11">ts2sRes/ts2bElec</f>
        <v>2.8419981213241097</v>
      </c>
      <c r="F11" s="12">
        <v>2.8106454232245608</v>
      </c>
      <c r="G11" s="12">
        <v>2.7910931800025227</v>
      </c>
      <c r="H11" s="12">
        <v>2.7698533403508576</v>
      </c>
      <c r="I11" s="12">
        <v>2.7567562307572815</v>
      </c>
      <c r="J11" s="12">
        <v>2.7510156919084459</v>
      </c>
      <c r="K11" s="12">
        <v>2.7519579095975084</v>
      </c>
      <c r="L11" s="12">
        <v>2.7483671600151212</v>
      </c>
      <c r="M11" s="12">
        <v>2.7438852989044524</v>
      </c>
      <c r="N11" s="12">
        <v>2.743208000100982</v>
      </c>
      <c r="O11" s="12">
        <v>2.7373012513221613</v>
      </c>
      <c r="P11" s="12">
        <v>2.7372558058095824</v>
      </c>
      <c r="Q11" s="12">
        <v>2.7325952982349389</v>
      </c>
      <c r="R11" s="12">
        <v>2.727378764541704</v>
      </c>
      <c r="S11" s="12">
        <v>2.7243597475822603</v>
      </c>
      <c r="T11" s="12">
        <v>2.7238419013124231</v>
      </c>
      <c r="U11" s="12">
        <v>2.7209108314889492</v>
      </c>
      <c r="V11" s="12">
        <v>2.7173332847539329</v>
      </c>
      <c r="W11" s="12">
        <v>2.7149445329141804</v>
      </c>
      <c r="X11" s="12">
        <v>2.7130256539060436</v>
      </c>
      <c r="Y11" s="12">
        <v>2.7073019380488716</v>
      </c>
      <c r="Z11" s="12">
        <v>2.7038586856159887</v>
      </c>
      <c r="AA11" s="12">
        <v>2.7027401739258328</v>
      </c>
      <c r="AB11" s="12">
        <v>2.7018367288667093</v>
      </c>
      <c r="AC11" s="12">
        <v>2.7017898007071377</v>
      </c>
      <c r="AD11" s="12">
        <v>2.7033440279092891</v>
      </c>
      <c r="AE11" s="12">
        <v>2.703993915719578</v>
      </c>
      <c r="AF11" s="12">
        <v>2.703993915719578</v>
      </c>
      <c r="AG11" s="12">
        <v>2.703993915719578</v>
      </c>
      <c r="AH11" s="12">
        <v>2.703993915719578</v>
      </c>
      <c r="AI11" s="12">
        <v>2.703993915719578</v>
      </c>
      <c r="AJ11" s="12">
        <v>2.703993915719578</v>
      </c>
      <c r="AK11" s="12">
        <v>2.703993915719578</v>
      </c>
      <c r="AL11" s="12">
        <v>2.703993915719578</v>
      </c>
      <c r="AM11" s="12">
        <v>2.703993915719578</v>
      </c>
      <c r="AN11" s="12">
        <v>2.703993915719578</v>
      </c>
      <c r="AO11" s="12">
        <v>2.703993915719578</v>
      </c>
      <c r="AP11" s="12">
        <v>2.703993915719578</v>
      </c>
      <c r="AQ11" s="12">
        <v>2.703993915719578</v>
      </c>
      <c r="AR11" s="12">
        <v>2.703993915719578</v>
      </c>
      <c r="AS11" s="12">
        <v>2.703993915719578</v>
      </c>
      <c r="AT11" s="12">
        <v>2.703993915719578</v>
      </c>
      <c r="AU11" s="12">
        <v>2.703993915719578</v>
      </c>
      <c r="AV11" s="12">
        <v>2.703993915719578</v>
      </c>
      <c r="AW11" s="12">
        <v>2.703993915719578</v>
      </c>
      <c r="AX11" s="12">
        <v>2.703993915719578</v>
      </c>
      <c r="AY11" s="12">
        <v>2.703993915719578</v>
      </c>
      <c r="AZ11" s="12">
        <v>2.703993915719578</v>
      </c>
      <c r="BA11" s="12">
        <v>2.703993915719578</v>
      </c>
      <c r="BB11" s="12">
        <v>2.703993915719578</v>
      </c>
      <c r="BC11" s="12">
        <v>2.703993915719578</v>
      </c>
      <c r="BD11" s="12">
        <v>2.703993915719578</v>
      </c>
      <c r="BE11" s="12">
        <v>2.703993915719578</v>
      </c>
      <c r="BF11" s="12">
        <v>2.703993915719578</v>
      </c>
      <c r="BG11" s="13">
        <v>2.703993915719578</v>
      </c>
      <c r="BH11" s="8"/>
    </row>
    <row r="12" spans="2:60" x14ac:dyDescent="0.35">
      <c r="B12" s="8"/>
      <c r="C12" s="20" t="s">
        <v>15</v>
      </c>
      <c r="D12" s="11" t="s">
        <v>46</v>
      </c>
      <c r="E12" s="12">
        <f t="array" ref="E12:BG12">ts2sCom/ts2bElec</f>
        <v>2.810372016211018</v>
      </c>
      <c r="F12" s="12">
        <v>2.7774051339274179</v>
      </c>
      <c r="G12" s="12">
        <v>2.7569722933347522</v>
      </c>
      <c r="H12" s="12">
        <v>2.7344782846448612</v>
      </c>
      <c r="I12" s="12">
        <v>2.7210991528462962</v>
      </c>
      <c r="J12" s="12">
        <v>2.7157264255814715</v>
      </c>
      <c r="K12" s="12">
        <v>2.7166095218441746</v>
      </c>
      <c r="L12" s="12">
        <v>2.7130031416603635</v>
      </c>
      <c r="M12" s="12">
        <v>2.7089318671948437</v>
      </c>
      <c r="N12" s="12">
        <v>2.7081416625058496</v>
      </c>
      <c r="O12" s="12">
        <v>2.7034943165183201</v>
      </c>
      <c r="P12" s="12">
        <v>2.7040102132336936</v>
      </c>
      <c r="Q12" s="12">
        <v>2.6999890039317598</v>
      </c>
      <c r="R12" s="12">
        <v>2.695170061686825</v>
      </c>
      <c r="S12" s="12">
        <v>2.6922903283944875</v>
      </c>
      <c r="T12" s="12">
        <v>2.6919418127250427</v>
      </c>
      <c r="U12" s="12">
        <v>2.6894887042529692</v>
      </c>
      <c r="V12" s="12">
        <v>2.6862589722086385</v>
      </c>
      <c r="W12" s="12">
        <v>2.684121975483996</v>
      </c>
      <c r="X12" s="12">
        <v>2.6825502639901377</v>
      </c>
      <c r="Y12" s="12">
        <v>2.6772676846774415</v>
      </c>
      <c r="Z12" s="12">
        <v>2.6741498025490738</v>
      </c>
      <c r="AA12" s="12">
        <v>2.6731846792533971</v>
      </c>
      <c r="AB12" s="12">
        <v>2.6725368460294714</v>
      </c>
      <c r="AC12" s="12">
        <v>2.672629277424988</v>
      </c>
      <c r="AD12" s="12">
        <v>2.6742242097681248</v>
      </c>
      <c r="AE12" s="12">
        <v>2.6749454328894449</v>
      </c>
      <c r="AF12" s="12">
        <v>2.6749454328894449</v>
      </c>
      <c r="AG12" s="12">
        <v>2.6749454328894449</v>
      </c>
      <c r="AH12" s="12">
        <v>2.6749454328894449</v>
      </c>
      <c r="AI12" s="12">
        <v>2.6749454328894449</v>
      </c>
      <c r="AJ12" s="12">
        <v>2.6749454328894449</v>
      </c>
      <c r="AK12" s="12">
        <v>2.6749454328894449</v>
      </c>
      <c r="AL12" s="12">
        <v>2.6749454328894449</v>
      </c>
      <c r="AM12" s="12">
        <v>2.6749454328894449</v>
      </c>
      <c r="AN12" s="12">
        <v>2.6749454328894449</v>
      </c>
      <c r="AO12" s="12">
        <v>2.6749454328894449</v>
      </c>
      <c r="AP12" s="12">
        <v>2.6749454328894449</v>
      </c>
      <c r="AQ12" s="12">
        <v>2.6749454328894449</v>
      </c>
      <c r="AR12" s="12">
        <v>2.6749454328894449</v>
      </c>
      <c r="AS12" s="12">
        <v>2.6749454328894449</v>
      </c>
      <c r="AT12" s="12">
        <v>2.6749454328894449</v>
      </c>
      <c r="AU12" s="12">
        <v>2.6749454328894449</v>
      </c>
      <c r="AV12" s="12">
        <v>2.6749454328894449</v>
      </c>
      <c r="AW12" s="12">
        <v>2.6749454328894449</v>
      </c>
      <c r="AX12" s="12">
        <v>2.6749454328894449</v>
      </c>
      <c r="AY12" s="12">
        <v>2.6749454328894449</v>
      </c>
      <c r="AZ12" s="12">
        <v>2.6749454328894449</v>
      </c>
      <c r="BA12" s="12">
        <v>2.6749454328894449</v>
      </c>
      <c r="BB12" s="12">
        <v>2.6749454328894449</v>
      </c>
      <c r="BC12" s="12">
        <v>2.6749454328894449</v>
      </c>
      <c r="BD12" s="12">
        <v>2.6749454328894449</v>
      </c>
      <c r="BE12" s="12">
        <v>2.6749454328894449</v>
      </c>
      <c r="BF12" s="12">
        <v>2.6749454328894449</v>
      </c>
      <c r="BG12" s="13">
        <v>2.6749454328894449</v>
      </c>
      <c r="BH12" s="8"/>
    </row>
    <row r="13" spans="2:60" x14ac:dyDescent="0.35">
      <c r="B13" s="8"/>
      <c r="C13" s="14" t="s">
        <v>47</v>
      </c>
      <c r="D13" s="15" t="s">
        <v>46</v>
      </c>
      <c r="E13" s="21">
        <v>1.0456840998011201</v>
      </c>
      <c r="F13" s="21">
        <v>1.0444041013107901</v>
      </c>
      <c r="G13" s="21">
        <v>1.04363602865886</v>
      </c>
      <c r="H13" s="21">
        <v>1.0429820852778899</v>
      </c>
      <c r="I13" s="21">
        <v>1.0430012202702399</v>
      </c>
      <c r="J13" s="21">
        <v>1.0420461891406401</v>
      </c>
      <c r="K13" s="21">
        <v>1.0412658214736199</v>
      </c>
      <c r="L13" s="21">
        <v>1.0409510558949</v>
      </c>
      <c r="M13" s="21">
        <v>1.0408862595610699</v>
      </c>
      <c r="N13" s="21">
        <v>1.0405411074094599</v>
      </c>
      <c r="O13" s="21">
        <v>1.0399410421628199</v>
      </c>
      <c r="P13" s="21">
        <v>1.03921732563217</v>
      </c>
      <c r="Q13" s="21">
        <v>1.03878762726734</v>
      </c>
      <c r="R13" s="21">
        <v>1.03860173313909</v>
      </c>
      <c r="S13" s="21">
        <v>1.03861612645699</v>
      </c>
      <c r="T13" s="21">
        <v>1.0385625344389999</v>
      </c>
      <c r="U13" s="21">
        <v>1.0386733706593101</v>
      </c>
      <c r="V13" s="21">
        <v>1.0387588184363701</v>
      </c>
      <c r="W13" s="21">
        <v>1.0388451085234001</v>
      </c>
      <c r="X13" s="21">
        <v>1.0387495514787199</v>
      </c>
      <c r="Y13" s="21">
        <v>1.0388176593663501</v>
      </c>
      <c r="Z13" s="21">
        <v>1.0388386604806901</v>
      </c>
      <c r="AA13" s="21">
        <v>1.0388779407406701</v>
      </c>
      <c r="AB13" s="21">
        <v>1.0388039974946</v>
      </c>
      <c r="AC13" s="21">
        <v>1.0389563895671801</v>
      </c>
      <c r="AD13" s="21">
        <v>1.03888103216658</v>
      </c>
      <c r="AE13" s="21">
        <v>1.0387924073770001</v>
      </c>
      <c r="AF13" s="21">
        <f t="array" ref="AF13:BG13">AE$13</f>
        <v>1.0387924073770001</v>
      </c>
      <c r="AG13" s="21">
        <v>1.0387924073770001</v>
      </c>
      <c r="AH13" s="21">
        <v>1.0387924073770001</v>
      </c>
      <c r="AI13" s="21">
        <v>1.0387924073770001</v>
      </c>
      <c r="AJ13" s="21">
        <v>1.0387924073770001</v>
      </c>
      <c r="AK13" s="21">
        <v>1.0387924073770001</v>
      </c>
      <c r="AL13" s="21">
        <v>1.0387924073770001</v>
      </c>
      <c r="AM13" s="21">
        <v>1.0387924073770001</v>
      </c>
      <c r="AN13" s="21">
        <v>1.0387924073770001</v>
      </c>
      <c r="AO13" s="21">
        <v>1.0387924073770001</v>
      </c>
      <c r="AP13" s="21">
        <v>1.0387924073770001</v>
      </c>
      <c r="AQ13" s="21">
        <v>1.0387924073770001</v>
      </c>
      <c r="AR13" s="21">
        <v>1.0387924073770001</v>
      </c>
      <c r="AS13" s="21">
        <v>1.0387924073770001</v>
      </c>
      <c r="AT13" s="21">
        <v>1.0387924073770001</v>
      </c>
      <c r="AU13" s="21">
        <v>1.0387924073770001</v>
      </c>
      <c r="AV13" s="21">
        <v>1.0387924073770001</v>
      </c>
      <c r="AW13" s="21">
        <v>1.0387924073770001</v>
      </c>
      <c r="AX13" s="21">
        <v>1.0387924073770001</v>
      </c>
      <c r="AY13" s="21">
        <v>1.0387924073770001</v>
      </c>
      <c r="AZ13" s="21">
        <v>1.0387924073770001</v>
      </c>
      <c r="BA13" s="21">
        <v>1.0387924073770001</v>
      </c>
      <c r="BB13" s="21">
        <v>1.0387924073770001</v>
      </c>
      <c r="BC13" s="21">
        <v>1.0387924073770001</v>
      </c>
      <c r="BD13" s="21">
        <v>1.0387924073770001</v>
      </c>
      <c r="BE13" s="21">
        <v>1.0387924073770001</v>
      </c>
      <c r="BF13" s="21">
        <v>1.0387924073770001</v>
      </c>
      <c r="BG13" s="22">
        <v>1.0387924073770001</v>
      </c>
      <c r="BH13" s="8"/>
    </row>
    <row r="14" spans="2:60" x14ac:dyDescent="0.3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</row>
    <row r="15" spans="2:60" x14ac:dyDescent="0.35">
      <c r="B15" s="8"/>
      <c r="C15" s="23" t="s">
        <v>38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5"/>
      <c r="BH15" s="8"/>
    </row>
    <row r="16" spans="2:60" x14ac:dyDescent="0.35">
      <c r="B16" s="8"/>
      <c r="C16" s="28" t="s">
        <v>39</v>
      </c>
      <c r="D16" s="29"/>
      <c r="E16" s="30">
        <f t="array" ref="E16:BG16">_yL</f>
        <v>2024</v>
      </c>
      <c r="F16" s="30">
        <v>2025</v>
      </c>
      <c r="G16" s="30">
        <v>2026</v>
      </c>
      <c r="H16" s="30">
        <v>2027</v>
      </c>
      <c r="I16" s="30">
        <v>2028</v>
      </c>
      <c r="J16" s="30">
        <v>2029</v>
      </c>
      <c r="K16" s="30">
        <v>2030</v>
      </c>
      <c r="L16" s="30">
        <v>2031</v>
      </c>
      <c r="M16" s="30">
        <v>2032</v>
      </c>
      <c r="N16" s="30">
        <v>2033</v>
      </c>
      <c r="O16" s="30">
        <v>2034</v>
      </c>
      <c r="P16" s="30">
        <v>2035</v>
      </c>
      <c r="Q16" s="30">
        <v>2036</v>
      </c>
      <c r="R16" s="30">
        <v>2037</v>
      </c>
      <c r="S16" s="30">
        <v>2038</v>
      </c>
      <c r="T16" s="30">
        <v>2039</v>
      </c>
      <c r="U16" s="30">
        <v>2040</v>
      </c>
      <c r="V16" s="30">
        <v>2041</v>
      </c>
      <c r="W16" s="30">
        <v>2042</v>
      </c>
      <c r="X16" s="30">
        <v>2043</v>
      </c>
      <c r="Y16" s="30">
        <v>2044</v>
      </c>
      <c r="Z16" s="30">
        <v>2045</v>
      </c>
      <c r="AA16" s="30">
        <v>2046</v>
      </c>
      <c r="AB16" s="30">
        <v>2047</v>
      </c>
      <c r="AC16" s="30">
        <v>2048</v>
      </c>
      <c r="AD16" s="30">
        <v>2049</v>
      </c>
      <c r="AE16" s="30">
        <v>2050</v>
      </c>
      <c r="AF16" s="30">
        <v>2051</v>
      </c>
      <c r="AG16" s="30">
        <v>2052</v>
      </c>
      <c r="AH16" s="30">
        <v>2053</v>
      </c>
      <c r="AI16" s="30">
        <v>2054</v>
      </c>
      <c r="AJ16" s="30">
        <v>2055</v>
      </c>
      <c r="AK16" s="30">
        <v>2056</v>
      </c>
      <c r="AL16" s="30">
        <v>2057</v>
      </c>
      <c r="AM16" s="30">
        <v>2058</v>
      </c>
      <c r="AN16" s="30">
        <v>2059</v>
      </c>
      <c r="AO16" s="30">
        <v>2060</v>
      </c>
      <c r="AP16" s="30">
        <v>2061</v>
      </c>
      <c r="AQ16" s="30">
        <v>2062</v>
      </c>
      <c r="AR16" s="30">
        <v>2063</v>
      </c>
      <c r="AS16" s="30">
        <v>2064</v>
      </c>
      <c r="AT16" s="30">
        <v>2065</v>
      </c>
      <c r="AU16" s="30">
        <v>2066</v>
      </c>
      <c r="AV16" s="30">
        <v>2067</v>
      </c>
      <c r="AW16" s="30">
        <v>2068</v>
      </c>
      <c r="AX16" s="30">
        <v>2069</v>
      </c>
      <c r="AY16" s="30">
        <v>2070</v>
      </c>
      <c r="AZ16" s="30">
        <v>2071</v>
      </c>
      <c r="BA16" s="30">
        <v>2072</v>
      </c>
      <c r="BB16" s="30">
        <v>2073</v>
      </c>
      <c r="BC16" s="30">
        <v>2074</v>
      </c>
      <c r="BD16" s="30">
        <v>2075</v>
      </c>
      <c r="BE16" s="30">
        <v>2076</v>
      </c>
      <c r="BF16" s="30">
        <v>2077</v>
      </c>
      <c r="BG16" s="31">
        <v>2078</v>
      </c>
      <c r="BH16" s="8"/>
    </row>
    <row r="17" spans="2:60" x14ac:dyDescent="0.35">
      <c r="B17" s="8"/>
      <c r="C17" s="10" t="s">
        <v>40</v>
      </c>
      <c r="D17" s="11" t="s">
        <v>41</v>
      </c>
      <c r="E17" s="12">
        <v>9.6973001110413903E-3</v>
      </c>
      <c r="F17" s="12">
        <v>9.5903202645450294E-3</v>
      </c>
      <c r="G17" s="12">
        <v>9.5236052414260693E-3</v>
      </c>
      <c r="H17" s="12">
        <v>9.4511319002696607E-3</v>
      </c>
      <c r="I17" s="12">
        <v>9.4064427073517805E-3</v>
      </c>
      <c r="J17" s="12">
        <v>9.3868551757490797E-3</v>
      </c>
      <c r="K17" s="12">
        <v>9.3900701559533999E-3</v>
      </c>
      <c r="L17" s="12">
        <v>9.3778180098091999E-3</v>
      </c>
      <c r="M17" s="12">
        <v>9.3625252649195898E-3</v>
      </c>
      <c r="N17" s="12">
        <v>9.3602142254742005E-3</v>
      </c>
      <c r="O17" s="12">
        <v>9.3400595620495592E-3</v>
      </c>
      <c r="P17" s="12">
        <v>9.3399044955240502E-3</v>
      </c>
      <c r="Q17" s="12">
        <v>9.3240021835971007E-3</v>
      </c>
      <c r="R17" s="12">
        <v>9.3062026318017996E-3</v>
      </c>
      <c r="S17" s="12">
        <v>9.2959013183433609E-3</v>
      </c>
      <c r="T17" s="12">
        <v>9.2941343535264901E-3</v>
      </c>
      <c r="U17" s="12">
        <v>9.2841331281522093E-3</v>
      </c>
      <c r="V17" s="12">
        <v>9.2719260319931995E-3</v>
      </c>
      <c r="W17" s="12">
        <v>9.2637752723895694E-3</v>
      </c>
      <c r="X17" s="12">
        <v>9.2572277854369705E-3</v>
      </c>
      <c r="Y17" s="12">
        <v>9.2376976562645197E-3</v>
      </c>
      <c r="Z17" s="12">
        <v>9.2259487912849103E-3</v>
      </c>
      <c r="AA17" s="12">
        <v>9.2221322709797899E-3</v>
      </c>
      <c r="AB17" s="12">
        <v>9.2190495884803096E-3</v>
      </c>
      <c r="AC17" s="12">
        <v>9.2188894629532704E-3</v>
      </c>
      <c r="AD17" s="12">
        <v>9.2241927062970703E-3</v>
      </c>
      <c r="AE17" s="12">
        <v>9.2264102155514196E-3</v>
      </c>
      <c r="AF17" s="12">
        <f t="array" ref="AF17:BG17">AE$17</f>
        <v>9.2264102155514196E-3</v>
      </c>
      <c r="AG17" s="12">
        <v>9.2264102155514196E-3</v>
      </c>
      <c r="AH17" s="12">
        <v>9.2264102155514196E-3</v>
      </c>
      <c r="AI17" s="12">
        <v>9.2264102155514196E-3</v>
      </c>
      <c r="AJ17" s="12">
        <v>9.2264102155514196E-3</v>
      </c>
      <c r="AK17" s="12">
        <v>9.2264102155514196E-3</v>
      </c>
      <c r="AL17" s="12">
        <v>9.2264102155514196E-3</v>
      </c>
      <c r="AM17" s="12">
        <v>9.2264102155514196E-3</v>
      </c>
      <c r="AN17" s="12">
        <v>9.2264102155514196E-3</v>
      </c>
      <c r="AO17" s="12">
        <v>9.2264102155514196E-3</v>
      </c>
      <c r="AP17" s="12">
        <v>9.2264102155514196E-3</v>
      </c>
      <c r="AQ17" s="12">
        <v>9.2264102155514196E-3</v>
      </c>
      <c r="AR17" s="12">
        <v>9.2264102155514196E-3</v>
      </c>
      <c r="AS17" s="12">
        <v>9.2264102155514196E-3</v>
      </c>
      <c r="AT17" s="12">
        <v>9.2264102155514196E-3</v>
      </c>
      <c r="AU17" s="12">
        <v>9.2264102155514196E-3</v>
      </c>
      <c r="AV17" s="12">
        <v>9.2264102155514196E-3</v>
      </c>
      <c r="AW17" s="12">
        <v>9.2264102155514196E-3</v>
      </c>
      <c r="AX17" s="12">
        <v>9.2264102155514196E-3</v>
      </c>
      <c r="AY17" s="12">
        <v>9.2264102155514196E-3</v>
      </c>
      <c r="AZ17" s="12">
        <v>9.2264102155514196E-3</v>
      </c>
      <c r="BA17" s="12">
        <v>9.2264102155514196E-3</v>
      </c>
      <c r="BB17" s="12">
        <v>9.2264102155514196E-3</v>
      </c>
      <c r="BC17" s="12">
        <v>9.2264102155514196E-3</v>
      </c>
      <c r="BD17" s="12">
        <v>9.2264102155514196E-3</v>
      </c>
      <c r="BE17" s="12">
        <v>9.2264102155514196E-3</v>
      </c>
      <c r="BF17" s="12">
        <v>9.2264102155514196E-3</v>
      </c>
      <c r="BG17" s="13">
        <v>9.2264102155514196E-3</v>
      </c>
      <c r="BH17" s="8"/>
    </row>
    <row r="18" spans="2:60" x14ac:dyDescent="0.35">
      <c r="B18" s="8"/>
      <c r="C18" s="14" t="s">
        <v>42</v>
      </c>
      <c r="D18" s="15" t="s">
        <v>41</v>
      </c>
      <c r="E18" s="16">
        <v>9.58938736109133E-3</v>
      </c>
      <c r="F18" s="16">
        <v>9.4768996895370303E-3</v>
      </c>
      <c r="G18" s="16">
        <v>9.4071799434677292E-3</v>
      </c>
      <c r="H18" s="16">
        <v>9.3304271999210108E-3</v>
      </c>
      <c r="I18" s="16">
        <v>9.2847757072960207E-3</v>
      </c>
      <c r="J18" s="16">
        <v>9.2664432009122704E-3</v>
      </c>
      <c r="K18" s="16">
        <v>9.2694564504362999E-3</v>
      </c>
      <c r="L18" s="16">
        <v>9.2571509704662304E-3</v>
      </c>
      <c r="M18" s="16">
        <v>9.2432592053625397E-3</v>
      </c>
      <c r="N18" s="16">
        <v>9.2405629150445305E-3</v>
      </c>
      <c r="O18" s="16">
        <v>9.2247055123169299E-3</v>
      </c>
      <c r="P18" s="16">
        <v>9.2264658249778496E-3</v>
      </c>
      <c r="Q18" s="16">
        <v>9.2127448893032007E-3</v>
      </c>
      <c r="R18" s="16">
        <v>9.1963019758416198E-3</v>
      </c>
      <c r="S18" s="16">
        <v>9.1864759179825298E-3</v>
      </c>
      <c r="T18" s="16">
        <v>9.1852867331570203E-3</v>
      </c>
      <c r="U18" s="16">
        <v>9.1769163796088793E-3</v>
      </c>
      <c r="V18" s="16">
        <v>9.1658960764365704E-3</v>
      </c>
      <c r="W18" s="16">
        <v>9.1586043409425597E-3</v>
      </c>
      <c r="X18" s="16">
        <v>9.1532414387191004E-3</v>
      </c>
      <c r="Y18" s="16">
        <v>9.1352165299159495E-3</v>
      </c>
      <c r="Z18" s="16">
        <v>9.1245778744985604E-3</v>
      </c>
      <c r="AA18" s="16">
        <v>9.1212847371202801E-3</v>
      </c>
      <c r="AB18" s="16">
        <v>9.1190742384056004E-3</v>
      </c>
      <c r="AC18" s="16">
        <v>9.1193896274184508E-3</v>
      </c>
      <c r="AD18" s="16">
        <v>9.1248317624684893E-3</v>
      </c>
      <c r="AE18" s="16">
        <v>9.1272926779075204E-3</v>
      </c>
      <c r="AF18" s="16">
        <f t="array" ref="AF18:BG18">AE$18</f>
        <v>9.1272926779075204E-3</v>
      </c>
      <c r="AG18" s="16">
        <v>9.1272926779075204E-3</v>
      </c>
      <c r="AH18" s="16">
        <v>9.1272926779075204E-3</v>
      </c>
      <c r="AI18" s="16">
        <v>9.1272926779075204E-3</v>
      </c>
      <c r="AJ18" s="16">
        <v>9.1272926779075204E-3</v>
      </c>
      <c r="AK18" s="16">
        <v>9.1272926779075204E-3</v>
      </c>
      <c r="AL18" s="16">
        <v>9.1272926779075204E-3</v>
      </c>
      <c r="AM18" s="16">
        <v>9.1272926779075204E-3</v>
      </c>
      <c r="AN18" s="16">
        <v>9.1272926779075204E-3</v>
      </c>
      <c r="AO18" s="16">
        <v>9.1272926779075204E-3</v>
      </c>
      <c r="AP18" s="16">
        <v>9.1272926779075204E-3</v>
      </c>
      <c r="AQ18" s="16">
        <v>9.1272926779075204E-3</v>
      </c>
      <c r="AR18" s="16">
        <v>9.1272926779075204E-3</v>
      </c>
      <c r="AS18" s="16">
        <v>9.1272926779075204E-3</v>
      </c>
      <c r="AT18" s="16">
        <v>9.1272926779075204E-3</v>
      </c>
      <c r="AU18" s="16">
        <v>9.1272926779075204E-3</v>
      </c>
      <c r="AV18" s="16">
        <v>9.1272926779075204E-3</v>
      </c>
      <c r="AW18" s="16">
        <v>9.1272926779075204E-3</v>
      </c>
      <c r="AX18" s="16">
        <v>9.1272926779075204E-3</v>
      </c>
      <c r="AY18" s="16">
        <v>9.1272926779075204E-3</v>
      </c>
      <c r="AZ18" s="16">
        <v>9.1272926779075204E-3</v>
      </c>
      <c r="BA18" s="16">
        <v>9.1272926779075204E-3</v>
      </c>
      <c r="BB18" s="16">
        <v>9.1272926779075204E-3</v>
      </c>
      <c r="BC18" s="16">
        <v>9.1272926779075204E-3</v>
      </c>
      <c r="BD18" s="16">
        <v>9.1272926779075204E-3</v>
      </c>
      <c r="BE18" s="16">
        <v>9.1272926779075204E-3</v>
      </c>
      <c r="BF18" s="16">
        <v>9.1272926779075204E-3</v>
      </c>
      <c r="BG18" s="17">
        <v>9.1272926779075204E-3</v>
      </c>
      <c r="BH18" s="8"/>
    </row>
    <row r="19" spans="2:60" x14ac:dyDescent="0.3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2:60" x14ac:dyDescent="0.35">
      <c r="C20" s="7" t="s">
        <v>48</v>
      </c>
    </row>
  </sheetData>
  <conditionalFormatting sqref="E17:BG17">
    <cfRule type="containsBlanks" dxfId="76" priority="1" stopIfTrue="1">
      <formula>LEN(TRIM(E17))=0</formula>
    </cfRule>
    <cfRule type="notContainsBlanks" dxfId="75" priority="2" stopIfTrue="1">
      <formula>LEN(TRIM(E17))&gt;0</formula>
    </cfRule>
  </conditionalFormatting>
  <conditionalFormatting sqref="E18:BG18">
    <cfRule type="containsBlanks" dxfId="74" priority="3" stopIfTrue="1">
      <formula>LEN(TRIM(E18))=0</formula>
    </cfRule>
    <cfRule type="notContainsBlanks" dxfId="73" priority="4" stopIfTrue="1">
      <formula>LEN(TRIM(E18))&gt;0</formula>
    </cfRule>
  </conditionalFormatting>
  <conditionalFormatting sqref="E6:BG6">
    <cfRule type="containsBlanks" dxfId="72" priority="5" stopIfTrue="1">
      <formula>LEN(TRIM(E6))=0</formula>
    </cfRule>
    <cfRule type="notContainsBlanks" dxfId="71" priority="6" stopIfTrue="1">
      <formula>LEN(TRIM(E6))&gt;0</formula>
    </cfRule>
  </conditionalFormatting>
  <conditionalFormatting sqref="E7:BG7">
    <cfRule type="containsBlanks" dxfId="70" priority="7" stopIfTrue="1">
      <formula>LEN(TRIM(E7))=0</formula>
    </cfRule>
    <cfRule type="notContainsBlanks" dxfId="69" priority="8" stopIfTrue="1">
      <formula>LEN(TRIM(E7))&gt;0</formula>
    </cfRule>
  </conditionalFormatting>
  <conditionalFormatting sqref="E9:BG9">
    <cfRule type="containsBlanks" dxfId="68" priority="9" stopIfTrue="1">
      <formula>LEN(TRIM(E9))=0</formula>
    </cfRule>
    <cfRule type="notContainsBlanks" dxfId="67" priority="10" stopIfTrue="1">
      <formula>LEN(TRIM(E9))&gt;0</formula>
    </cfRule>
  </conditionalFormatting>
  <conditionalFormatting sqref="E11:BG11">
    <cfRule type="containsBlanks" dxfId="66" priority="11" stopIfTrue="1">
      <formula>LEN(TRIM(E11))=0</formula>
    </cfRule>
    <cfRule type="notContainsBlanks" dxfId="65" priority="12" stopIfTrue="1">
      <formula>LEN(TRIM(E11))&gt;0</formula>
    </cfRule>
  </conditionalFormatting>
  <conditionalFormatting sqref="E12:BG12">
    <cfRule type="containsBlanks" dxfId="64" priority="13" stopIfTrue="1">
      <formula>LEN(TRIM(E12))=0</formula>
    </cfRule>
    <cfRule type="notContainsBlanks" dxfId="63" priority="14" stopIfTrue="1">
      <formula>LEN(TRIM(E12))&gt;0</formula>
    </cfRule>
  </conditionalFormatting>
  <conditionalFormatting sqref="E13:BG13">
    <cfRule type="containsBlanks" dxfId="62" priority="15" stopIfTrue="1">
      <formula>LEN(TRIM(E13))=0</formula>
    </cfRule>
    <cfRule type="notContainsBlanks" dxfId="61" priority="16" stopIfTrue="1">
      <formula>LEN(TRIM(E13))&gt;0</formula>
    </cfRule>
  </conditionalFormatting>
  <pageMargins left="0.7" right="0.7" top="0.75" bottom="0.75" header="0.3" footer="0.3"/>
  <customProperties>
    <customPr name="IsPC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NiaTables"/>
  <dimension ref="B2:AL48"/>
  <sheetViews>
    <sheetView zoomScale="109" zoomScaleNormal="85" workbookViewId="0">
      <selection activeCell="G26" sqref="G26"/>
    </sheetView>
  </sheetViews>
  <sheetFormatPr defaultColWidth="8.81640625" defaultRowHeight="14.5" x14ac:dyDescent="0.35"/>
  <cols>
    <col min="2" max="2" width="19" bestFit="1" customWidth="1"/>
    <col min="3" max="3" width="9.90625" bestFit="1" customWidth="1"/>
    <col min="4" max="4" width="10.7265625" bestFit="1" customWidth="1"/>
    <col min="5" max="38" width="6" bestFit="1" customWidth="1"/>
    <col min="39" max="52" width="2.1796875" bestFit="1" customWidth="1"/>
  </cols>
  <sheetData>
    <row r="2" spans="2:7" x14ac:dyDescent="0.35">
      <c r="B2" s="1" t="s">
        <v>0</v>
      </c>
    </row>
    <row r="3" spans="2:7" x14ac:dyDescent="0.35">
      <c r="B3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</row>
    <row r="4" spans="2:7" x14ac:dyDescent="0.35">
      <c r="B4" s="3" t="s">
        <v>7</v>
      </c>
      <c r="C4" t="s">
        <v>130</v>
      </c>
      <c r="D4" t="s">
        <v>131</v>
      </c>
      <c r="E4" t="s">
        <v>132</v>
      </c>
      <c r="F4" t="s">
        <v>5</v>
      </c>
      <c r="G4" t="s">
        <v>6</v>
      </c>
    </row>
    <row r="5" spans="2:7" x14ac:dyDescent="0.35">
      <c r="B5" s="3" t="s">
        <v>8</v>
      </c>
      <c r="C5" t="s">
        <v>130</v>
      </c>
      <c r="D5" t="s">
        <v>131</v>
      </c>
      <c r="E5" t="s">
        <v>132</v>
      </c>
      <c r="F5" t="s">
        <v>5</v>
      </c>
      <c r="G5" t="s">
        <v>6</v>
      </c>
    </row>
    <row r="6" spans="2:7" x14ac:dyDescent="0.35">
      <c r="B6" s="3" t="s">
        <v>9</v>
      </c>
      <c r="C6" t="s">
        <v>130</v>
      </c>
      <c r="D6" t="s">
        <v>131</v>
      </c>
      <c r="E6" t="s">
        <v>132</v>
      </c>
      <c r="F6" t="s">
        <v>5</v>
      </c>
      <c r="G6" t="s">
        <v>6</v>
      </c>
    </row>
    <row r="7" spans="2:7" x14ac:dyDescent="0.35">
      <c r="B7" t="s">
        <v>10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</row>
    <row r="8" spans="2:7" x14ac:dyDescent="0.35">
      <c r="B8" s="3" t="str">
        <f t="array" ref="B8:B10">TRANSPOSE(kPC)</f>
        <v>sml</v>
      </c>
      <c r="C8" t="s">
        <v>129</v>
      </c>
      <c r="D8" t="s">
        <v>133</v>
      </c>
      <c r="E8" t="s">
        <v>134</v>
      </c>
      <c r="F8" t="s">
        <v>135</v>
      </c>
      <c r="G8" t="s">
        <v>136</v>
      </c>
    </row>
    <row r="9" spans="2:7" x14ac:dyDescent="0.35">
      <c r="B9" s="3" t="str">
        <v>med</v>
      </c>
      <c r="C9" t="s">
        <v>129</v>
      </c>
      <c r="D9" t="s">
        <v>133</v>
      </c>
      <c r="E9" t="s">
        <v>134</v>
      </c>
      <c r="F9" t="s">
        <v>135</v>
      </c>
      <c r="G9" t="s">
        <v>136</v>
      </c>
    </row>
    <row r="10" spans="2:7" x14ac:dyDescent="0.35">
      <c r="B10" s="3" t="str">
        <v>lrg</v>
      </c>
      <c r="C10" t="s">
        <v>129</v>
      </c>
      <c r="D10" t="s">
        <v>133</v>
      </c>
      <c r="E10" t="s">
        <v>134</v>
      </c>
      <c r="F10" t="s">
        <v>135</v>
      </c>
      <c r="G10" t="s">
        <v>136</v>
      </c>
    </row>
    <row r="12" spans="2:7" x14ac:dyDescent="0.35">
      <c r="B12" s="1" t="s">
        <v>11</v>
      </c>
    </row>
    <row r="13" spans="2:7" x14ac:dyDescent="0.35">
      <c r="B13" t="s">
        <v>10</v>
      </c>
      <c r="C13" t="s">
        <v>12</v>
      </c>
      <c r="D13" t="s">
        <v>14</v>
      </c>
    </row>
    <row r="14" spans="2:7" x14ac:dyDescent="0.35">
      <c r="B14" t="s">
        <v>1</v>
      </c>
      <c r="C14" t="s">
        <v>13</v>
      </c>
      <c r="D14" t="s">
        <v>15</v>
      </c>
    </row>
    <row r="16" spans="2:7" x14ac:dyDescent="0.35">
      <c r="B16" s="1" t="s">
        <v>16</v>
      </c>
      <c r="C16" s="2">
        <v>1</v>
      </c>
      <c r="D16" s="2">
        <v>2</v>
      </c>
      <c r="E16" s="2">
        <v>3</v>
      </c>
      <c r="F16" s="2">
        <v>4</v>
      </c>
      <c r="G16" s="2">
        <v>5</v>
      </c>
    </row>
    <row r="17" spans="2:22" x14ac:dyDescent="0.35">
      <c r="B17" s="3" t="str">
        <f t="array" ref="B17:B19">_pcName</f>
        <v>CADR 10-99</v>
      </c>
      <c r="C17">
        <v>0</v>
      </c>
      <c r="D17">
        <v>0</v>
      </c>
      <c r="E17">
        <v>1</v>
      </c>
      <c r="F17">
        <v>0</v>
      </c>
      <c r="G17">
        <v>0</v>
      </c>
    </row>
    <row r="18" spans="2:22" x14ac:dyDescent="0.35">
      <c r="B18" s="3" t="str">
        <v>CADR 100-149</v>
      </c>
      <c r="C18">
        <v>0</v>
      </c>
      <c r="D18">
        <v>0</v>
      </c>
      <c r="E18">
        <v>1</v>
      </c>
      <c r="F18">
        <v>0</v>
      </c>
      <c r="G18">
        <v>0</v>
      </c>
    </row>
    <row r="19" spans="2:22" x14ac:dyDescent="0.35">
      <c r="B19" s="3" t="str">
        <v>CADR 150+</v>
      </c>
      <c r="C19">
        <v>0</v>
      </c>
      <c r="D19">
        <v>0</v>
      </c>
      <c r="E19">
        <v>1</v>
      </c>
      <c r="F19">
        <v>0</v>
      </c>
      <c r="G19">
        <v>0</v>
      </c>
    </row>
    <row r="20" spans="2:22" x14ac:dyDescent="0.35">
      <c r="B20" s="1" t="s">
        <v>17</v>
      </c>
      <c r="C20">
        <v>2028</v>
      </c>
      <c r="D20">
        <v>2028</v>
      </c>
      <c r="E20">
        <v>2024</v>
      </c>
      <c r="F20">
        <v>2028</v>
      </c>
      <c r="G20">
        <v>2028</v>
      </c>
    </row>
    <row r="21" spans="2:22" x14ac:dyDescent="0.35">
      <c r="B21" s="3" t="str">
        <f t="array" ref="B21:B23">_pcName</f>
        <v>CADR 10-99</v>
      </c>
      <c r="C21">
        <v>1</v>
      </c>
      <c r="D21">
        <v>2</v>
      </c>
      <c r="E21">
        <v>2</v>
      </c>
      <c r="F21">
        <v>3</v>
      </c>
      <c r="G21">
        <v>4</v>
      </c>
    </row>
    <row r="22" spans="2:22" x14ac:dyDescent="0.35">
      <c r="B22" s="3" t="str">
        <v>CADR 100-149</v>
      </c>
      <c r="C22">
        <v>1</v>
      </c>
      <c r="D22">
        <v>2</v>
      </c>
      <c r="E22">
        <v>2</v>
      </c>
      <c r="F22">
        <v>3</v>
      </c>
      <c r="G22">
        <v>4</v>
      </c>
    </row>
    <row r="23" spans="2:22" x14ac:dyDescent="0.35">
      <c r="B23" s="3" t="str">
        <v>CADR 150+</v>
      </c>
      <c r="C23">
        <v>1</v>
      </c>
      <c r="D23">
        <v>2</v>
      </c>
      <c r="E23">
        <v>2</v>
      </c>
      <c r="F23">
        <v>3</v>
      </c>
      <c r="G23">
        <v>4</v>
      </c>
    </row>
    <row r="24" spans="2:22" x14ac:dyDescent="0.35">
      <c r="B24" s="1" t="s">
        <v>18</v>
      </c>
      <c r="C24">
        <v>2028</v>
      </c>
      <c r="D24">
        <v>2028</v>
      </c>
      <c r="E24">
        <v>2026</v>
      </c>
      <c r="F24">
        <v>2028</v>
      </c>
      <c r="G24">
        <v>2028</v>
      </c>
    </row>
    <row r="25" spans="2:22" x14ac:dyDescent="0.35">
      <c r="B25" t="s">
        <v>19</v>
      </c>
      <c r="C25">
        <v>30</v>
      </c>
      <c r="D25">
        <v>30</v>
      </c>
      <c r="E25">
        <v>34</v>
      </c>
      <c r="F25">
        <v>30</v>
      </c>
      <c r="G25">
        <v>30</v>
      </c>
    </row>
    <row r="27" spans="2:22" x14ac:dyDescent="0.35">
      <c r="B27" s="1" t="s">
        <v>20</v>
      </c>
      <c r="C27" s="4">
        <f t="array" ref="C27:V27">(1+dRate)^(1-_t)</f>
        <v>1</v>
      </c>
      <c r="D27" s="4">
        <v>0.93457943925233644</v>
      </c>
      <c r="E27" s="4">
        <v>0.87343872827321156</v>
      </c>
      <c r="F27" s="4">
        <v>0.81629787689085187</v>
      </c>
      <c r="G27" s="4">
        <v>0.7628952120475252</v>
      </c>
      <c r="H27" s="4">
        <v>0.71298617948366838</v>
      </c>
      <c r="I27" s="4">
        <v>0.66634222381651254</v>
      </c>
      <c r="J27" s="4">
        <v>0.62274974188459109</v>
      </c>
      <c r="K27" s="4">
        <v>0.5820091045650384</v>
      </c>
      <c r="L27" s="4">
        <v>0.54393374258414806</v>
      </c>
      <c r="M27" s="4">
        <v>0.5083492921347178</v>
      </c>
      <c r="N27" s="4">
        <v>0.47509279638758667</v>
      </c>
      <c r="O27" s="4">
        <v>0.44401195924073528</v>
      </c>
      <c r="P27" s="4">
        <v>0.41496444788853759</v>
      </c>
      <c r="Q27" s="4">
        <v>0.3878172410173249</v>
      </c>
      <c r="R27" s="4">
        <v>0.36244601964235967</v>
      </c>
      <c r="S27" s="4">
        <v>0.33873459779659787</v>
      </c>
      <c r="T27" s="4">
        <v>0.31657439046411018</v>
      </c>
      <c r="U27" s="4">
        <v>0.29586391632159825</v>
      </c>
      <c r="V27" s="4">
        <v>0.27650833301083949</v>
      </c>
    </row>
    <row r="29" spans="2:22" x14ac:dyDescent="0.35">
      <c r="B29" s="1" t="s">
        <v>21</v>
      </c>
      <c r="C29" t="s">
        <v>122</v>
      </c>
      <c r="D29" t="s">
        <v>123</v>
      </c>
      <c r="E29" t="s">
        <v>124</v>
      </c>
    </row>
    <row r="30" spans="2:22" x14ac:dyDescent="0.35">
      <c r="B30" t="s">
        <v>22</v>
      </c>
    </row>
    <row r="31" spans="2:22" x14ac:dyDescent="0.35">
      <c r="B31" s="3" t="s">
        <v>23</v>
      </c>
      <c r="C31" t="s">
        <v>122</v>
      </c>
    </row>
    <row r="32" spans="2:22" x14ac:dyDescent="0.35">
      <c r="B32" s="3" t="s">
        <v>24</v>
      </c>
      <c r="C32" t="s">
        <v>123</v>
      </c>
    </row>
    <row r="33" spans="2:38" x14ac:dyDescent="0.35">
      <c r="B33" s="3" t="s">
        <v>25</v>
      </c>
      <c r="C33" t="s">
        <v>124</v>
      </c>
    </row>
    <row r="35" spans="2:38" x14ac:dyDescent="0.35">
      <c r="B35" t="s">
        <v>26</v>
      </c>
      <c r="C35" t="s">
        <v>27</v>
      </c>
      <c r="D35" t="s">
        <v>28</v>
      </c>
    </row>
    <row r="37" spans="2:38" x14ac:dyDescent="0.35">
      <c r="B37" t="s">
        <v>29</v>
      </c>
      <c r="C37" t="s">
        <v>30</v>
      </c>
    </row>
    <row r="39" spans="2:38" x14ac:dyDescent="0.35">
      <c r="B39" t="s">
        <v>31</v>
      </c>
      <c r="C39" t="s">
        <v>32</v>
      </c>
    </row>
    <row r="41" spans="2:38" x14ac:dyDescent="0.35">
      <c r="C41" t="s">
        <v>33</v>
      </c>
      <c r="D41" t="s">
        <v>34</v>
      </c>
      <c r="E41" t="s">
        <v>35</v>
      </c>
    </row>
    <row r="42" spans="2:38" x14ac:dyDescent="0.35">
      <c r="B42" t="s">
        <v>36</v>
      </c>
      <c r="C42" t="s">
        <v>147</v>
      </c>
      <c r="D42" t="s">
        <v>147</v>
      </c>
      <c r="E42" t="s">
        <v>147</v>
      </c>
    </row>
    <row r="44" spans="2:38" x14ac:dyDescent="0.35">
      <c r="B44" s="5" t="s">
        <v>37</v>
      </c>
      <c r="C44" s="5" t="b">
        <v>1</v>
      </c>
    </row>
    <row r="47" spans="2:38" x14ac:dyDescent="0.35">
      <c r="C47" s="2">
        <v>1</v>
      </c>
      <c r="D47" s="2">
        <v>2</v>
      </c>
      <c r="E47" s="2">
        <v>3</v>
      </c>
      <c r="F47" s="2">
        <v>4</v>
      </c>
      <c r="G47" s="2">
        <v>5</v>
      </c>
      <c r="H47" s="2">
        <v>6</v>
      </c>
      <c r="I47" s="2">
        <v>7</v>
      </c>
      <c r="J47" s="2">
        <v>8</v>
      </c>
      <c r="K47" s="2">
        <v>9</v>
      </c>
      <c r="L47" s="2">
        <v>10</v>
      </c>
      <c r="M47" s="2">
        <v>11</v>
      </c>
      <c r="N47" s="2">
        <v>12</v>
      </c>
      <c r="O47" s="2">
        <v>13</v>
      </c>
      <c r="P47" s="2">
        <v>14</v>
      </c>
      <c r="Q47" s="2">
        <v>15</v>
      </c>
      <c r="R47" s="2">
        <v>16</v>
      </c>
      <c r="S47" s="2">
        <v>17</v>
      </c>
      <c r="T47" s="2">
        <v>18</v>
      </c>
      <c r="U47" s="2">
        <v>19</v>
      </c>
      <c r="V47" s="2">
        <v>20</v>
      </c>
      <c r="W47" s="2">
        <v>21</v>
      </c>
      <c r="X47" s="2">
        <v>22</v>
      </c>
      <c r="Y47" s="2">
        <v>23</v>
      </c>
      <c r="Z47" s="2">
        <v>24</v>
      </c>
      <c r="AA47" s="2">
        <v>25</v>
      </c>
      <c r="AB47" s="2">
        <v>26</v>
      </c>
      <c r="AC47" s="2">
        <v>27</v>
      </c>
      <c r="AD47" s="2">
        <v>28</v>
      </c>
      <c r="AE47" s="2">
        <v>29</v>
      </c>
      <c r="AF47" s="2">
        <v>30</v>
      </c>
      <c r="AG47" s="2">
        <v>31</v>
      </c>
      <c r="AH47" s="2">
        <v>32</v>
      </c>
      <c r="AI47" s="2">
        <v>33</v>
      </c>
      <c r="AJ47" s="2">
        <v>34</v>
      </c>
      <c r="AK47" s="2">
        <v>35</v>
      </c>
      <c r="AL47" s="2">
        <v>36</v>
      </c>
    </row>
    <row r="48" spans="2:38" x14ac:dyDescent="0.35">
      <c r="B48" s="1" t="s">
        <v>68</v>
      </c>
      <c r="C48" s="94">
        <v>-0.45</v>
      </c>
      <c r="D48" s="95">
        <v>-0.34875</v>
      </c>
      <c r="E48" s="95">
        <v>-0.28125</v>
      </c>
      <c r="F48" s="95">
        <v>-0.24375000000000005</v>
      </c>
      <c r="G48" s="95">
        <v>-0.20625000000000002</v>
      </c>
      <c r="H48" s="95">
        <v>-0.19650000000000001</v>
      </c>
      <c r="I48" s="95">
        <v>-0.18675</v>
      </c>
      <c r="J48" s="95">
        <v>-0.17700000000000002</v>
      </c>
      <c r="K48" s="95">
        <v>-0.16725000000000001</v>
      </c>
      <c r="L48" s="95">
        <v>-0.1575</v>
      </c>
      <c r="M48" s="95">
        <v>-0.15675</v>
      </c>
      <c r="N48" s="95">
        <v>-0.156</v>
      </c>
      <c r="O48" s="95">
        <v>-0.15525</v>
      </c>
      <c r="P48" s="95">
        <v>-0.1545</v>
      </c>
      <c r="Q48" s="95">
        <v>-0.15375000000000003</v>
      </c>
      <c r="R48" s="95">
        <v>-0.15300000000000002</v>
      </c>
      <c r="S48" s="95">
        <v>-0.15225000000000002</v>
      </c>
      <c r="T48" s="95">
        <v>-0.15150000000000002</v>
      </c>
      <c r="U48" s="95">
        <v>-0.15075000000000002</v>
      </c>
      <c r="V48" s="95">
        <v>-0.15000000000000002</v>
      </c>
      <c r="W48" s="95">
        <v>-0.15000000000000002</v>
      </c>
      <c r="X48" s="95">
        <v>-0.15000000000000002</v>
      </c>
      <c r="Y48" s="95">
        <v>-0.15000000000000002</v>
      </c>
      <c r="Z48" s="95">
        <v>-0.15000000000000002</v>
      </c>
      <c r="AA48" s="95">
        <v>-0.14999999999999986</v>
      </c>
      <c r="AB48" s="95">
        <v>-0.14999999999999986</v>
      </c>
      <c r="AC48" s="95">
        <v>-0.14999999999999986</v>
      </c>
      <c r="AD48" s="95">
        <v>-0.14999999999999986</v>
      </c>
      <c r="AE48" s="95">
        <v>-0.14999999999999986</v>
      </c>
      <c r="AF48" s="95">
        <v>-0.14999999999999986</v>
      </c>
      <c r="AG48" s="95">
        <v>-0.15</v>
      </c>
      <c r="AH48" s="95">
        <v>-0.15</v>
      </c>
      <c r="AI48" s="95">
        <v>-0.15</v>
      </c>
      <c r="AJ48" s="95">
        <v>-0.15</v>
      </c>
      <c r="AK48" s="95">
        <v>-0.15</v>
      </c>
      <c r="AL48" s="96">
        <v>-0.15</v>
      </c>
    </row>
  </sheetData>
  <conditionalFormatting sqref="C4:G6">
    <cfRule type="containsBlanks" dxfId="60" priority="1" stopIfTrue="1">
      <formula>LEN(TRIM(C4))=0</formula>
    </cfRule>
    <cfRule type="notContainsBlanks" dxfId="59" priority="2" stopIfTrue="1">
      <formula>LEN(TRIM(C4))&gt;0</formula>
    </cfRule>
  </conditionalFormatting>
  <conditionalFormatting sqref="C8:G10">
    <cfRule type="containsBlanks" dxfId="58" priority="3" stopIfTrue="1">
      <formula>LEN(TRIM(C8))=0</formula>
    </cfRule>
    <cfRule type="notContainsBlanks" dxfId="57" priority="4" stopIfTrue="1">
      <formula>LEN(TRIM(C8))&gt;0</formula>
    </cfRule>
  </conditionalFormatting>
  <conditionalFormatting sqref="C17:C19">
    <cfRule type="containsBlanks" dxfId="56" priority="5" stopIfTrue="1">
      <formula>LEN(TRIM(C17))=0</formula>
    </cfRule>
    <cfRule type="notContainsBlanks" dxfId="55" priority="6" stopIfTrue="1">
      <formula>LEN(TRIM(C17))&gt;0</formula>
    </cfRule>
  </conditionalFormatting>
  <conditionalFormatting sqref="C21:C23">
    <cfRule type="containsBlanks" dxfId="54" priority="9" stopIfTrue="1">
      <formula>LEN(TRIM(C21))=0</formula>
    </cfRule>
    <cfRule type="notContainsBlanks" dxfId="53" priority="10" stopIfTrue="1">
      <formula>LEN(TRIM(C21))&gt;0</formula>
    </cfRule>
  </conditionalFormatting>
  <conditionalFormatting sqref="C27:V27">
    <cfRule type="containsBlanks" dxfId="52" priority="15" stopIfTrue="1">
      <formula>LEN(TRIM(C27))=0</formula>
    </cfRule>
    <cfRule type="notContainsBlanks" dxfId="51" priority="16" stopIfTrue="1">
      <formula>LEN(TRIM(C27))&gt;0</formula>
    </cfRule>
  </conditionalFormatting>
  <conditionalFormatting sqref="C29:E29">
    <cfRule type="containsBlanks" dxfId="50" priority="17" stopIfTrue="1">
      <formula>LEN(TRIM(C29))=0</formula>
    </cfRule>
    <cfRule type="notContainsBlanks" dxfId="49" priority="18" stopIfTrue="1">
      <formula>LEN(TRIM(C29))&gt;0</formula>
    </cfRule>
  </conditionalFormatting>
  <conditionalFormatting sqref="C31">
    <cfRule type="containsBlanks" dxfId="48" priority="19" stopIfTrue="1">
      <formula>LEN(TRIM(C31))=0</formula>
    </cfRule>
    <cfRule type="expression" dxfId="47" priority="20" stopIfTrue="1">
      <formula>COUNTIF($C$31:$C$33,sPIdxRef)&gt;1</formula>
    </cfRule>
    <cfRule type="notContainsBlanks" dxfId="46" priority="21" stopIfTrue="1">
      <formula>LEN(TRIM(C31))&gt;0</formula>
    </cfRule>
  </conditionalFormatting>
  <conditionalFormatting sqref="C32">
    <cfRule type="containsBlanks" dxfId="45" priority="22" stopIfTrue="1">
      <formula>LEN(TRIM(C32))=0</formula>
    </cfRule>
    <cfRule type="expression" dxfId="44" priority="23" stopIfTrue="1">
      <formula>COUNTIF($C$31:$C$33,sPIdxLow)&gt;1</formula>
    </cfRule>
    <cfRule type="notContainsBlanks" dxfId="43" priority="24" stopIfTrue="1">
      <formula>LEN(TRIM(C32))&gt;0</formula>
    </cfRule>
  </conditionalFormatting>
  <conditionalFormatting sqref="C33">
    <cfRule type="containsBlanks" dxfId="42" priority="25" stopIfTrue="1">
      <formula>LEN(TRIM(C33))=0</formula>
    </cfRule>
    <cfRule type="expression" dxfId="41" priority="26" stopIfTrue="1">
      <formula>COUNTIF($C$31:$C$33,sPIdxHigh)&gt;1</formula>
    </cfRule>
    <cfRule type="notContainsBlanks" dxfId="40" priority="27" stopIfTrue="1">
      <formula>LEN(TRIM(C33))&gt;0</formula>
    </cfRule>
  </conditionalFormatting>
  <conditionalFormatting sqref="C17:C19">
    <cfRule type="containsBlanks" dxfId="39" priority="30" stopIfTrue="1">
      <formula>LEN(TRIM(C17))=0</formula>
    </cfRule>
    <cfRule type="notContainsBlanks" dxfId="38" priority="31" stopIfTrue="1">
      <formula>LEN(TRIM(C17))&gt;0</formula>
    </cfRule>
  </conditionalFormatting>
  <conditionalFormatting sqref="C21:C23">
    <cfRule type="containsBlanks" dxfId="37" priority="32" stopIfTrue="1">
      <formula>LEN(TRIM(C21))=0</formula>
    </cfRule>
    <cfRule type="notContainsBlanks" dxfId="36" priority="33" stopIfTrue="1">
      <formula>LEN(TRIM(C21))&gt;0</formula>
    </cfRule>
  </conditionalFormatting>
  <conditionalFormatting sqref="C17:C19">
    <cfRule type="containsBlanks" dxfId="35" priority="42" stopIfTrue="1">
      <formula>LEN(TRIM(C17))=0</formula>
    </cfRule>
    <cfRule type="notContainsBlanks" dxfId="34" priority="43" stopIfTrue="1">
      <formula>LEN(TRIM(C17))&gt;0</formula>
    </cfRule>
  </conditionalFormatting>
  <conditionalFormatting sqref="C21:C23">
    <cfRule type="containsBlanks" dxfId="33" priority="44" stopIfTrue="1">
      <formula>LEN(TRIM(C21))=0</formula>
    </cfRule>
    <cfRule type="notContainsBlanks" dxfId="32" priority="45" stopIfTrue="1">
      <formula>LEN(TRIM(C21))&gt;0</formula>
    </cfRule>
  </conditionalFormatting>
  <conditionalFormatting sqref="C17:C19">
    <cfRule type="containsBlanks" dxfId="31" priority="54" stopIfTrue="1">
      <formula>LEN(TRIM(C17))=0</formula>
    </cfRule>
    <cfRule type="notContainsBlanks" dxfId="30" priority="55" stopIfTrue="1">
      <formula>LEN(TRIM(C17))&gt;0</formula>
    </cfRule>
  </conditionalFormatting>
  <conditionalFormatting sqref="C21:C23">
    <cfRule type="containsBlanks" dxfId="29" priority="56" stopIfTrue="1">
      <formula>LEN(TRIM(C21))=0</formula>
    </cfRule>
    <cfRule type="notContainsBlanks" dxfId="28" priority="57" stopIfTrue="1">
      <formula>LEN(TRIM(C21))&gt;0</formula>
    </cfRule>
  </conditionalFormatting>
  <conditionalFormatting sqref="C17:C19">
    <cfRule type="containsBlanks" dxfId="27" priority="66" stopIfTrue="1">
      <formula>LEN(TRIM(C17))=0</formula>
    </cfRule>
    <cfRule type="notContainsBlanks" dxfId="26" priority="67" stopIfTrue="1">
      <formula>LEN(TRIM(C17))&gt;0</formula>
    </cfRule>
  </conditionalFormatting>
  <conditionalFormatting sqref="C21:C23">
    <cfRule type="containsBlanks" dxfId="25" priority="68" stopIfTrue="1">
      <formula>LEN(TRIM(C21))=0</formula>
    </cfRule>
    <cfRule type="notContainsBlanks" dxfId="24" priority="69" stopIfTrue="1">
      <formula>LEN(TRIM(C21))&gt;0</formula>
    </cfRule>
  </conditionalFormatting>
  <conditionalFormatting sqref="C17:D19">
    <cfRule type="containsBlanks" dxfId="23" priority="78" stopIfTrue="1">
      <formula>LEN(TRIM(C17))=0</formula>
    </cfRule>
    <cfRule type="notContainsBlanks" dxfId="22" priority="79" stopIfTrue="1">
      <formula>LEN(TRIM(C17))&gt;0</formula>
    </cfRule>
  </conditionalFormatting>
  <conditionalFormatting sqref="C21:D23">
    <cfRule type="containsBlanks" dxfId="21" priority="80" stopIfTrue="1">
      <formula>LEN(TRIM(C21))=0</formula>
    </cfRule>
    <cfRule type="notContainsBlanks" dxfId="20" priority="81" stopIfTrue="1">
      <formula>LEN(TRIM(C21))&gt;0</formula>
    </cfRule>
  </conditionalFormatting>
  <conditionalFormatting sqref="C17:E19">
    <cfRule type="containsBlanks" dxfId="19" priority="90" stopIfTrue="1">
      <formula>LEN(TRIM(C17))=0</formula>
    </cfRule>
    <cfRule type="notContainsBlanks" dxfId="18" priority="91" stopIfTrue="1">
      <formula>LEN(TRIM(C17))&gt;0</formula>
    </cfRule>
  </conditionalFormatting>
  <conditionalFormatting sqref="C21:E23">
    <cfRule type="containsBlanks" dxfId="17" priority="92" stopIfTrue="1">
      <formula>LEN(TRIM(C21))=0</formula>
    </cfRule>
    <cfRule type="notContainsBlanks" dxfId="16" priority="93" stopIfTrue="1">
      <formula>LEN(TRIM(C21))&gt;0</formula>
    </cfRule>
  </conditionalFormatting>
  <conditionalFormatting sqref="C17:F19">
    <cfRule type="containsBlanks" dxfId="15" priority="102" stopIfTrue="1">
      <formula>LEN(TRIM(C17))=0</formula>
    </cfRule>
    <cfRule type="notContainsBlanks" dxfId="14" priority="103" stopIfTrue="1">
      <formula>LEN(TRIM(C17))&gt;0</formula>
    </cfRule>
  </conditionalFormatting>
  <conditionalFormatting sqref="C21:F23">
    <cfRule type="containsBlanks" dxfId="13" priority="104" stopIfTrue="1">
      <formula>LEN(TRIM(C21))=0</formula>
    </cfRule>
    <cfRule type="notContainsBlanks" dxfId="12" priority="105" stopIfTrue="1">
      <formula>LEN(TRIM(C21))&gt;0</formula>
    </cfRule>
  </conditionalFormatting>
  <conditionalFormatting sqref="C16:G16">
    <cfRule type="containsBlanks" dxfId="11" priority="112" stopIfTrue="1">
      <formula>LEN(TRIM(C16))=0</formula>
    </cfRule>
    <cfRule type="duplicateValues" dxfId="10" priority="113"/>
  </conditionalFormatting>
  <conditionalFormatting sqref="C17:G19">
    <cfRule type="containsBlanks" dxfId="9" priority="114" stopIfTrue="1">
      <formula>LEN(TRIM(C17))=0</formula>
    </cfRule>
    <cfRule type="notContainsBlanks" dxfId="8" priority="115" stopIfTrue="1">
      <formula>LEN(TRIM(C17))&gt;0</formula>
    </cfRule>
  </conditionalFormatting>
  <conditionalFormatting sqref="C21:G23">
    <cfRule type="containsBlanks" dxfId="7" priority="116" stopIfTrue="1">
      <formula>LEN(TRIM(C21))=0</formula>
    </cfRule>
  </conditionalFormatting>
  <conditionalFormatting sqref="C21:G23">
    <cfRule type="notContainsBlanks" dxfId="6" priority="117" stopIfTrue="1">
      <formula>LEN(TRIM(C21))&gt;0</formula>
    </cfRule>
  </conditionalFormatting>
  <conditionalFormatting sqref="C20:G20">
    <cfRule type="containsBlanks" dxfId="5" priority="118" stopIfTrue="1">
      <formula>LEN(TRIM(C20))=0</formula>
    </cfRule>
    <cfRule type="notContainsBlanks" dxfId="4" priority="119" stopIfTrue="1">
      <formula>LEN(TRIM(C20))&gt;0</formula>
    </cfRule>
  </conditionalFormatting>
  <conditionalFormatting sqref="C25:G25">
    <cfRule type="containsBlanks" dxfId="3" priority="120" stopIfTrue="1">
      <formula>LEN(TRIM(C25))=0</formula>
    </cfRule>
  </conditionalFormatting>
  <conditionalFormatting sqref="C25:G25">
    <cfRule type="notContainsBlanks" dxfId="2" priority="121" stopIfTrue="1">
      <formula>LEN(TRIM(C25))&gt;0</formula>
    </cfRule>
  </conditionalFormatting>
  <conditionalFormatting sqref="C24:G24">
    <cfRule type="containsBlanks" dxfId="1" priority="122" stopIfTrue="1">
      <formula>LEN(TRIM(C24))=0</formula>
    </cfRule>
  </conditionalFormatting>
  <conditionalFormatting sqref="C24:G24">
    <cfRule type="notContainsBlanks" dxfId="0" priority="123" stopIfTrue="1">
      <formula>LEN(TRIM(C24))&gt;0</formula>
    </cfRule>
  </conditionalFormatting>
  <dataValidations count="10">
    <dataValidation type="list" allowBlank="1" showInputMessage="1" showErrorMessage="1" sqref="C31:C33" xr:uid="{00000000-0002-0000-0E00-000000000000}">
      <formula1>_PIdx</formula1>
    </dataValidation>
    <dataValidation type="list" allowBlank="1" showInputMessage="1" showErrorMessage="1" sqref="C35" xr:uid="{00000000-0002-0000-0E00-000001000000}">
      <formula1>"Linear,Geometric"</formula1>
    </dataValidation>
    <dataValidation type="list" allowBlank="1" showInputMessage="1" showErrorMessage="1" sqref="C37" xr:uid="{00000000-0002-0000-0E00-000002000000}">
      <formula1>"Retail,TIC"</formula1>
    </dataValidation>
    <dataValidation type="list" allowBlank="1" showInputMessage="1" showErrorMessage="1" sqref="C39" xr:uid="{00000000-0002-0000-0E00-000003000000}">
      <formula1>"Auto,True,False"</formula1>
    </dataValidation>
    <dataValidation type="list" allowBlank="1" showInputMessage="1" showErrorMessage="1" sqref="C42:E42" xr:uid="{00000000-0002-0000-0E00-000004000000}">
      <formula1>"Yes,No"</formula1>
    </dataValidation>
    <dataValidation type="list" allowBlank="1" showInputMessage="1" showErrorMessage="1" sqref="C44" xr:uid="{00000000-0002-0000-0E00-000005000000}">
      <formula1>"True,False"</formula1>
    </dataValidation>
    <dataValidation type="whole" allowBlank="1" showInputMessage="1" showErrorMessage="1" errorTitle="Invalid compliance year" error="The 1st year should be between 2024 and 2030." sqref="C20:G20" xr:uid="{0E66965E-2CBF-FD41-8662-F8D59655C6BA}">
      <formula1>2024</formula1>
      <formula2>2030</formula2>
    </dataValidation>
    <dataValidation type="whole" allowBlank="1" showInputMessage="1" showErrorMessage="1" errorTitle="Invalid number of years" error="The max #Years for the 1st year selected is 36." sqref="C25 E25" xr:uid="{F8081D51-B971-6D4E-9051-0BF9E533B4AB}">
      <formula1>1</formula1>
      <formula2>36</formula2>
    </dataValidation>
    <dataValidation type="whole" allowBlank="1" showInputMessage="1" showErrorMessage="1" errorTitle="Invalid compliance year" error="The 2nd compliance year should be between 2024 and 2030." sqref="C24:G24" xr:uid="{63E62C85-E216-E343-BD10-D3C548141020}">
      <formula1>2024</formula1>
      <formula2>2030</formula2>
    </dataValidation>
    <dataValidation type="whole" allowBlank="1" showInputMessage="1" showErrorMessage="1" errorTitle="Invalid number of years" error="The max #Years for the 1st year selected is 32." sqref="D25 F25:G25" xr:uid="{F32AF041-3675-754D-BC73-BB9762FCCEA7}">
      <formula1>1</formula1>
      <formula2>32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886</vt:i4>
      </vt:variant>
    </vt:vector>
  </HeadingPairs>
  <TitlesOfParts>
    <vt:vector size="899" baseType="lpstr">
      <vt:lpstr>All Scenarios</vt:lpstr>
      <vt:lpstr>Summary</vt:lpstr>
      <vt:lpstr>CADR 10-99</vt:lpstr>
      <vt:lpstr>CADR 100-149</vt:lpstr>
      <vt:lpstr>CADR 150+</vt:lpstr>
      <vt:lpstr>PC Inputs</vt:lpstr>
      <vt:lpstr>Shipments</vt:lpstr>
      <vt:lpstr>Shipments w Elasticity</vt:lpstr>
      <vt:lpstr>Price Indices</vt:lpstr>
      <vt:lpstr>Lifetime</vt:lpstr>
      <vt:lpstr>Energy Price</vt:lpstr>
      <vt:lpstr>Energy Factors</vt:lpstr>
      <vt:lpstr>Tables</vt:lpstr>
      <vt:lpstr>_doName</vt:lpstr>
      <vt:lpstr>_doShort</vt:lpstr>
      <vt:lpstr>_i</vt:lpstr>
      <vt:lpstr>_pcName</vt:lpstr>
      <vt:lpstr>_pcShort</vt:lpstr>
      <vt:lpstr>_PIdx</vt:lpstr>
      <vt:lpstr>_prcElast</vt:lpstr>
      <vt:lpstr>_Sector</vt:lpstr>
      <vt:lpstr>_tslMap1</vt:lpstr>
      <vt:lpstr>_tslMap2</vt:lpstr>
      <vt:lpstr>bAutoFit</vt:lpstr>
      <vt:lpstr>'CADR 100-149'!bcEff_Com</vt:lpstr>
      <vt:lpstr>'CADR 10-99'!bcEff_Com</vt:lpstr>
      <vt:lpstr>'CADR 150+'!bcEff_Com</vt:lpstr>
      <vt:lpstr>'CADR 100-149'!bcEff_Res</vt:lpstr>
      <vt:lpstr>'CADR 10-99'!bcEff_Res</vt:lpstr>
      <vt:lpstr>'CADR 150+'!bcEff_Res</vt:lpstr>
      <vt:lpstr>bcEfflrg_Com</vt:lpstr>
      <vt:lpstr>bcEfflrg_Res</vt:lpstr>
      <vt:lpstr>bcEffmed_Com</vt:lpstr>
      <vt:lpstr>bcEffmed_Res</vt:lpstr>
      <vt:lpstr>bcEffsml_Com</vt:lpstr>
      <vt:lpstr>bcEffsml_Res</vt:lpstr>
      <vt:lpstr>bclrg_Com</vt:lpstr>
      <vt:lpstr>bclrg_Res</vt:lpstr>
      <vt:lpstr>bcmed_Com</vt:lpstr>
      <vt:lpstr>bcmed_Res</vt:lpstr>
      <vt:lpstr>bcsml_Com</vt:lpstr>
      <vt:lpstr>bcsml_Res</vt:lpstr>
      <vt:lpstr>dFactor</vt:lpstr>
      <vt:lpstr>'CADR 100-149'!doEff</vt:lpstr>
      <vt:lpstr>'CADR 10-99'!doEff</vt:lpstr>
      <vt:lpstr>'CADR 150+'!doEff</vt:lpstr>
      <vt:lpstr>dRate</vt:lpstr>
      <vt:lpstr>efflrg</vt:lpstr>
      <vt:lpstr>effmed</vt:lpstr>
      <vt:lpstr>effsml</vt:lpstr>
      <vt:lpstr>effTrend</vt:lpstr>
      <vt:lpstr>eleclrg_Com</vt:lpstr>
      <vt:lpstr>eleclrg_Res</vt:lpstr>
      <vt:lpstr>elecmed_Com</vt:lpstr>
      <vt:lpstr>elecmed_Res</vt:lpstr>
      <vt:lpstr>elecsml_Com</vt:lpstr>
      <vt:lpstr>elecsml_Res</vt:lpstr>
      <vt:lpstr>instlrg</vt:lpstr>
      <vt:lpstr>instmed</vt:lpstr>
      <vt:lpstr>instsml</vt:lpstr>
      <vt:lpstr>'CADR 100-149'!kdoEff0</vt:lpstr>
      <vt:lpstr>'CADR 10-99'!kdoEff0</vt:lpstr>
      <vt:lpstr>'CADR 150+'!kdoEff0</vt:lpstr>
      <vt:lpstr>'CADR 100-149'!kdoEff1</vt:lpstr>
      <vt:lpstr>'CADR 10-99'!kdoEff1</vt:lpstr>
      <vt:lpstr>'CADR 150+'!kdoEff1</vt:lpstr>
      <vt:lpstr>'CADR 100-149'!kdoEff2</vt:lpstr>
      <vt:lpstr>'CADR 10-99'!kdoEff2</vt:lpstr>
      <vt:lpstr>'CADR 150+'!kdoEff2</vt:lpstr>
      <vt:lpstr>'CADR 100-149'!kdoEff3</vt:lpstr>
      <vt:lpstr>'CADR 10-99'!kdoEff3</vt:lpstr>
      <vt:lpstr>'CADR 150+'!kdoEff3</vt:lpstr>
      <vt:lpstr>'CADR 100-149'!kdoEff4</vt:lpstr>
      <vt:lpstr>'CADR 10-99'!kdoEff4</vt:lpstr>
      <vt:lpstr>'CADR 150+'!kdoEff4</vt:lpstr>
      <vt:lpstr>msplrg_Com</vt:lpstr>
      <vt:lpstr>msplrg_Res</vt:lpstr>
      <vt:lpstr>mspmed_Com</vt:lpstr>
      <vt:lpstr>mspmed_Res</vt:lpstr>
      <vt:lpstr>mspsml_Com</vt:lpstr>
      <vt:lpstr>mspsml_Res</vt:lpstr>
      <vt:lpstr>outElastEIA</vt:lpstr>
      <vt:lpstr>outElastMIA</vt:lpstr>
      <vt:lpstr>outElastNIAplus</vt:lpstr>
      <vt:lpstr>'CADR 100-149'!polEff_Com</vt:lpstr>
      <vt:lpstr>'CADR 10-99'!polEff_Com</vt:lpstr>
      <vt:lpstr>'CADR 150+'!polEff_Com</vt:lpstr>
      <vt:lpstr>'CADR 100-149'!polEff_Res</vt:lpstr>
      <vt:lpstr>'CADR 10-99'!polEff_Res</vt:lpstr>
      <vt:lpstr>'CADR 150+'!polEff_Res</vt:lpstr>
      <vt:lpstr>polEfflrg_Com</vt:lpstr>
      <vt:lpstr>polEfflrg_Res</vt:lpstr>
      <vt:lpstr>polEffmed_Com</vt:lpstr>
      <vt:lpstr>polEffmed_Res</vt:lpstr>
      <vt:lpstr>polEffsml_Com</vt:lpstr>
      <vt:lpstr>polEffsml_Res</vt:lpstr>
      <vt:lpstr>'CADR 100-149'!pushBC_Com</vt:lpstr>
      <vt:lpstr>'CADR 10-99'!pushBC_Com</vt:lpstr>
      <vt:lpstr>'CADR 150+'!pushBC_Com</vt:lpstr>
      <vt:lpstr>'CADR 100-149'!pushBC_Res</vt:lpstr>
      <vt:lpstr>'CADR 10-99'!pushBC_Res</vt:lpstr>
      <vt:lpstr>'CADR 150+'!pushBC_Res</vt:lpstr>
      <vt:lpstr>'CADR 100-149'!pushPol_Com</vt:lpstr>
      <vt:lpstr>'CADR 10-99'!pushPol_Com</vt:lpstr>
      <vt:lpstr>'CADR 150+'!pushPol_Com</vt:lpstr>
      <vt:lpstr>'CADR 100-149'!pushPol_Res</vt:lpstr>
      <vt:lpstr>'CADR 10-99'!pushPol_Res</vt:lpstr>
      <vt:lpstr>'CADR 150+'!pushPol_Res</vt:lpstr>
      <vt:lpstr>'CADR 100-149'!refEff_Com</vt:lpstr>
      <vt:lpstr>'CADR 10-99'!refEff_Com</vt:lpstr>
      <vt:lpstr>'CADR 150+'!refEff_Com</vt:lpstr>
      <vt:lpstr>'CADR 100-149'!refEff_Res</vt:lpstr>
      <vt:lpstr>'CADR 10-99'!refEff_Res</vt:lpstr>
      <vt:lpstr>'CADR 150+'!refEff_Res</vt:lpstr>
      <vt:lpstr>sAEO</vt:lpstr>
      <vt:lpstr>segmName</vt:lpstr>
      <vt:lpstr>sElast</vt:lpstr>
      <vt:lpstr>sElastCost</vt:lpstr>
      <vt:lpstr>sEnergy</vt:lpstr>
      <vt:lpstr>sPer</vt:lpstr>
      <vt:lpstr>sPIdx</vt:lpstr>
      <vt:lpstr>sPIdxHigh</vt:lpstr>
      <vt:lpstr>sPIdxLow</vt:lpstr>
      <vt:lpstr>sPIdxRef</vt:lpstr>
      <vt:lpstr>sStdShipm</vt:lpstr>
      <vt:lpstr>sTSL</vt:lpstr>
      <vt:lpstr>Summ</vt:lpstr>
      <vt:lpstr>Summ_Com</vt:lpstr>
      <vt:lpstr>Summ_Res</vt:lpstr>
      <vt:lpstr>t</vt:lpstr>
      <vt:lpstr>'Energy Price'!tBaseElec_Com</vt:lpstr>
      <vt:lpstr>'Energy Price'!tBaseElec_Res</vt:lpstr>
      <vt:lpstr>'CADR 100-149'!tbcEff0_Com</vt:lpstr>
      <vt:lpstr>'CADR 10-99'!tbcEff0_Com</vt:lpstr>
      <vt:lpstr>'CADR 150+'!tbcEff0_Com</vt:lpstr>
      <vt:lpstr>'CADR 100-149'!tbcEff0_Res</vt:lpstr>
      <vt:lpstr>'CADR 10-99'!tbcEff0_Res</vt:lpstr>
      <vt:lpstr>'CADR 150+'!tbcEff0_Res</vt:lpstr>
      <vt:lpstr>'CADR 100-149'!tbcEff1_Com</vt:lpstr>
      <vt:lpstr>'CADR 10-99'!tbcEff1_Com</vt:lpstr>
      <vt:lpstr>'CADR 150+'!tbcEff1_Com</vt:lpstr>
      <vt:lpstr>'CADR 100-149'!tbcEff1_Res</vt:lpstr>
      <vt:lpstr>'CADR 10-99'!tbcEff1_Res</vt:lpstr>
      <vt:lpstr>'CADR 150+'!tbcEff1_Res</vt:lpstr>
      <vt:lpstr>'CADR 100-149'!tbcEff2_Com</vt:lpstr>
      <vt:lpstr>'CADR 10-99'!tbcEff2_Com</vt:lpstr>
      <vt:lpstr>'CADR 150+'!tbcEff2_Com</vt:lpstr>
      <vt:lpstr>'CADR 100-149'!tbcEff2_Res</vt:lpstr>
      <vt:lpstr>'CADR 10-99'!tbcEff2_Res</vt:lpstr>
      <vt:lpstr>'CADR 150+'!tbcEff2_Res</vt:lpstr>
      <vt:lpstr>'CADR 100-149'!tbcEff3_Com</vt:lpstr>
      <vt:lpstr>'CADR 10-99'!tbcEff3_Com</vt:lpstr>
      <vt:lpstr>'CADR 150+'!tbcEff3_Com</vt:lpstr>
      <vt:lpstr>'CADR 100-149'!tbcEff3_Res</vt:lpstr>
      <vt:lpstr>'CADR 10-99'!tbcEff3_Res</vt:lpstr>
      <vt:lpstr>'CADR 150+'!tbcEff3_Res</vt:lpstr>
      <vt:lpstr>'CADR 100-149'!tbcEff4_Com</vt:lpstr>
      <vt:lpstr>'CADR 10-99'!tbcEff4_Com</vt:lpstr>
      <vt:lpstr>'CADR 150+'!tbcEff4_Com</vt:lpstr>
      <vt:lpstr>'CADR 100-149'!tbcEff4_Res</vt:lpstr>
      <vt:lpstr>'CADR 10-99'!tbcEff4_Res</vt:lpstr>
      <vt:lpstr>'CADR 150+'!tbcEff4_Res</vt:lpstr>
      <vt:lpstr>tConvElec_Com</vt:lpstr>
      <vt:lpstr>tConvElec_Res</vt:lpstr>
      <vt:lpstr>'CADR 100-149'!tecs</vt:lpstr>
      <vt:lpstr>'CADR 10-99'!tecs</vt:lpstr>
      <vt:lpstr>'CADR 150+'!tecs</vt:lpstr>
      <vt:lpstr>'CADR 100-149'!tecs_Com</vt:lpstr>
      <vt:lpstr>'CADR 10-99'!tecs_Com</vt:lpstr>
      <vt:lpstr>'CADR 150+'!tecs_Com</vt:lpstr>
      <vt:lpstr>'CADR 100-149'!tecs_Res</vt:lpstr>
      <vt:lpstr>'CADR 10-99'!tecs_Res</vt:lpstr>
      <vt:lpstr>'CADR 150+'!tecs_Res</vt:lpstr>
      <vt:lpstr>'CADR 100-149'!teffPercBC_Com</vt:lpstr>
      <vt:lpstr>'CADR 10-99'!teffPercBC_Com</vt:lpstr>
      <vt:lpstr>'CADR 150+'!teffPercBC_Com</vt:lpstr>
      <vt:lpstr>'CADR 100-149'!teffPercBC_Res</vt:lpstr>
      <vt:lpstr>'CADR 10-99'!teffPercBC_Res</vt:lpstr>
      <vt:lpstr>'CADR 150+'!teffPercBC_Res</vt:lpstr>
      <vt:lpstr>'CADR 100-149'!teffPercBC0_Com</vt:lpstr>
      <vt:lpstr>'CADR 10-99'!teffPercBC0_Com</vt:lpstr>
      <vt:lpstr>'CADR 150+'!teffPercBC0_Com</vt:lpstr>
      <vt:lpstr>'CADR 100-149'!teffPercBC0_Res</vt:lpstr>
      <vt:lpstr>'CADR 10-99'!teffPercBC0_Res</vt:lpstr>
      <vt:lpstr>'CADR 150+'!teffPercBC0_Res</vt:lpstr>
      <vt:lpstr>'CADR 100-149'!teffPercBC1_Com</vt:lpstr>
      <vt:lpstr>'CADR 10-99'!teffPercBC1_Com</vt:lpstr>
      <vt:lpstr>'CADR 150+'!teffPercBC1_Com</vt:lpstr>
      <vt:lpstr>'CADR 100-149'!teffPercBC1_Res</vt:lpstr>
      <vt:lpstr>'CADR 10-99'!teffPercBC1_Res</vt:lpstr>
      <vt:lpstr>'CADR 150+'!teffPercBC1_Res</vt:lpstr>
      <vt:lpstr>'CADR 100-149'!teffPercBC2_Com</vt:lpstr>
      <vt:lpstr>'CADR 10-99'!teffPercBC2_Com</vt:lpstr>
      <vt:lpstr>'CADR 150+'!teffPercBC2_Com</vt:lpstr>
      <vt:lpstr>'CADR 100-149'!teffPercBC2_Res</vt:lpstr>
      <vt:lpstr>'CADR 10-99'!teffPercBC2_Res</vt:lpstr>
      <vt:lpstr>'CADR 150+'!teffPercBC2_Res</vt:lpstr>
      <vt:lpstr>'CADR 100-149'!teffPercBC3_Com</vt:lpstr>
      <vt:lpstr>'CADR 10-99'!teffPercBC3_Com</vt:lpstr>
      <vt:lpstr>'CADR 150+'!teffPercBC3_Com</vt:lpstr>
      <vt:lpstr>'CADR 100-149'!teffPercBC3_Res</vt:lpstr>
      <vt:lpstr>'CADR 10-99'!teffPercBC3_Res</vt:lpstr>
      <vt:lpstr>'CADR 150+'!teffPercBC3_Res</vt:lpstr>
      <vt:lpstr>'CADR 100-149'!teffPercBC4_Com</vt:lpstr>
      <vt:lpstr>'CADR 10-99'!teffPercBC4_Com</vt:lpstr>
      <vt:lpstr>'CADR 150+'!teffPercBC4_Com</vt:lpstr>
      <vt:lpstr>'CADR 100-149'!teffPercBC4_Res</vt:lpstr>
      <vt:lpstr>'CADR 10-99'!teffPercBC4_Res</vt:lpstr>
      <vt:lpstr>'CADR 150+'!teffPercBC4_Res</vt:lpstr>
      <vt:lpstr>'CADR 100-149'!teffPercPol_Com</vt:lpstr>
      <vt:lpstr>'CADR 10-99'!teffPercPol_Com</vt:lpstr>
      <vt:lpstr>'CADR 150+'!teffPercPol_Com</vt:lpstr>
      <vt:lpstr>'CADR 100-149'!teffPercPol_Res</vt:lpstr>
      <vt:lpstr>'CADR 10-99'!teffPercPol_Res</vt:lpstr>
      <vt:lpstr>'CADR 150+'!teffPercPol_Res</vt:lpstr>
      <vt:lpstr>'CADR 100-149'!teffPercPol0_Com</vt:lpstr>
      <vt:lpstr>'CADR 10-99'!teffPercPol0_Com</vt:lpstr>
      <vt:lpstr>'CADR 150+'!teffPercPol0_Com</vt:lpstr>
      <vt:lpstr>'CADR 100-149'!teffPercPol0_Res</vt:lpstr>
      <vt:lpstr>'CADR 10-99'!teffPercPol0_Res</vt:lpstr>
      <vt:lpstr>'CADR 150+'!teffPercPol0_Res</vt:lpstr>
      <vt:lpstr>'CADR 100-149'!teffPercPol1_Com</vt:lpstr>
      <vt:lpstr>'CADR 10-99'!teffPercPol1_Com</vt:lpstr>
      <vt:lpstr>'CADR 150+'!teffPercPol1_Com</vt:lpstr>
      <vt:lpstr>'CADR 100-149'!teffPercPol1_Res</vt:lpstr>
      <vt:lpstr>'CADR 10-99'!teffPercPol1_Res</vt:lpstr>
      <vt:lpstr>'CADR 150+'!teffPercPol1_Res</vt:lpstr>
      <vt:lpstr>'CADR 100-149'!teffPercPol2_Com</vt:lpstr>
      <vt:lpstr>'CADR 10-99'!teffPercPol2_Com</vt:lpstr>
      <vt:lpstr>'CADR 150+'!teffPercPol2_Com</vt:lpstr>
      <vt:lpstr>'CADR 100-149'!teffPercPol2_Res</vt:lpstr>
      <vt:lpstr>'CADR 10-99'!teffPercPol2_Res</vt:lpstr>
      <vt:lpstr>'CADR 150+'!teffPercPol2_Res</vt:lpstr>
      <vt:lpstr>'CADR 100-149'!teffPercPol3_Com</vt:lpstr>
      <vt:lpstr>'CADR 10-99'!teffPercPol3_Com</vt:lpstr>
      <vt:lpstr>'CADR 150+'!teffPercPol3_Com</vt:lpstr>
      <vt:lpstr>'CADR 100-149'!teffPercPol3_Res</vt:lpstr>
      <vt:lpstr>'CADR 10-99'!teffPercPol3_Res</vt:lpstr>
      <vt:lpstr>'CADR 150+'!teffPercPol3_Res</vt:lpstr>
      <vt:lpstr>'CADR 100-149'!teffPercPol4_Com</vt:lpstr>
      <vt:lpstr>'CADR 10-99'!teffPercPol4_Com</vt:lpstr>
      <vt:lpstr>'CADR 150+'!teffPercPol4_Com</vt:lpstr>
      <vt:lpstr>'CADR 100-149'!teffPercPol4_Res</vt:lpstr>
      <vt:lpstr>'CADR 10-99'!teffPercPol4_Res</vt:lpstr>
      <vt:lpstr>'CADR 150+'!teffPercPol4_Res</vt:lpstr>
      <vt:lpstr>'CADR 100-149'!teffSumBC_Com</vt:lpstr>
      <vt:lpstr>'CADR 10-99'!teffSumBC_Com</vt:lpstr>
      <vt:lpstr>'CADR 150+'!teffSumBC_Com</vt:lpstr>
      <vt:lpstr>'CADR 100-149'!teffSumBC_Res</vt:lpstr>
      <vt:lpstr>'CADR 10-99'!teffSumBC_Res</vt:lpstr>
      <vt:lpstr>'CADR 150+'!teffSumBC_Res</vt:lpstr>
      <vt:lpstr>'CADR 100-149'!teffSumBC0_Com</vt:lpstr>
      <vt:lpstr>'CADR 10-99'!teffSumBC0_Com</vt:lpstr>
      <vt:lpstr>'CADR 150+'!teffSumBC0_Com</vt:lpstr>
      <vt:lpstr>'CADR 100-149'!teffSumBC0_Res</vt:lpstr>
      <vt:lpstr>'CADR 10-99'!teffSumBC0_Res</vt:lpstr>
      <vt:lpstr>'CADR 150+'!teffSumBC0_Res</vt:lpstr>
      <vt:lpstr>'CADR 100-149'!teffSumBC1_Com</vt:lpstr>
      <vt:lpstr>'CADR 10-99'!teffSumBC1_Com</vt:lpstr>
      <vt:lpstr>'CADR 150+'!teffSumBC1_Com</vt:lpstr>
      <vt:lpstr>'CADR 100-149'!teffSumBC1_Res</vt:lpstr>
      <vt:lpstr>'CADR 10-99'!teffSumBC1_Res</vt:lpstr>
      <vt:lpstr>'CADR 150+'!teffSumBC1_Res</vt:lpstr>
      <vt:lpstr>'CADR 100-149'!teffSumBC2_Com</vt:lpstr>
      <vt:lpstr>'CADR 10-99'!teffSumBC2_Com</vt:lpstr>
      <vt:lpstr>'CADR 150+'!teffSumBC2_Com</vt:lpstr>
      <vt:lpstr>'CADR 100-149'!teffSumBC2_Res</vt:lpstr>
      <vt:lpstr>'CADR 10-99'!teffSumBC2_Res</vt:lpstr>
      <vt:lpstr>'CADR 150+'!teffSumBC2_Res</vt:lpstr>
      <vt:lpstr>'CADR 100-149'!teffSumBC3_Com</vt:lpstr>
      <vt:lpstr>'CADR 10-99'!teffSumBC3_Com</vt:lpstr>
      <vt:lpstr>'CADR 150+'!teffSumBC3_Com</vt:lpstr>
      <vt:lpstr>'CADR 100-149'!teffSumBC3_Res</vt:lpstr>
      <vt:lpstr>'CADR 10-99'!teffSumBC3_Res</vt:lpstr>
      <vt:lpstr>'CADR 150+'!teffSumBC3_Res</vt:lpstr>
      <vt:lpstr>'CADR 100-149'!teffSumBC4_Com</vt:lpstr>
      <vt:lpstr>'CADR 10-99'!teffSumBC4_Com</vt:lpstr>
      <vt:lpstr>'CADR 150+'!teffSumBC4_Com</vt:lpstr>
      <vt:lpstr>'CADR 100-149'!teffSumBC4_Res</vt:lpstr>
      <vt:lpstr>'CADR 10-99'!teffSumBC4_Res</vt:lpstr>
      <vt:lpstr>'CADR 150+'!teffSumBC4_Res</vt:lpstr>
      <vt:lpstr>'CADR 100-149'!teffSumPol_Com</vt:lpstr>
      <vt:lpstr>'CADR 10-99'!teffSumPol_Com</vt:lpstr>
      <vt:lpstr>'CADR 150+'!teffSumPol_Com</vt:lpstr>
      <vt:lpstr>'CADR 100-149'!teffSumPol_Res</vt:lpstr>
      <vt:lpstr>'CADR 10-99'!teffSumPol_Res</vt:lpstr>
      <vt:lpstr>'CADR 150+'!teffSumPol_Res</vt:lpstr>
      <vt:lpstr>'CADR 100-149'!teffSumPol0_Com</vt:lpstr>
      <vt:lpstr>'CADR 10-99'!teffSumPol0_Com</vt:lpstr>
      <vt:lpstr>'CADR 150+'!teffSumPol0_Com</vt:lpstr>
      <vt:lpstr>'CADR 100-149'!teffSumPol0_Res</vt:lpstr>
      <vt:lpstr>'CADR 10-99'!teffSumPol0_Res</vt:lpstr>
      <vt:lpstr>'CADR 150+'!teffSumPol0_Res</vt:lpstr>
      <vt:lpstr>'CADR 100-149'!teffSumPol1_Com</vt:lpstr>
      <vt:lpstr>'CADR 10-99'!teffSumPol1_Com</vt:lpstr>
      <vt:lpstr>'CADR 150+'!teffSumPol1_Com</vt:lpstr>
      <vt:lpstr>'CADR 100-149'!teffSumPol1_Res</vt:lpstr>
      <vt:lpstr>'CADR 10-99'!teffSumPol1_Res</vt:lpstr>
      <vt:lpstr>'CADR 150+'!teffSumPol1_Res</vt:lpstr>
      <vt:lpstr>'CADR 100-149'!teffSumPol2_Com</vt:lpstr>
      <vt:lpstr>'CADR 10-99'!teffSumPol2_Com</vt:lpstr>
      <vt:lpstr>'CADR 150+'!teffSumPol2_Com</vt:lpstr>
      <vt:lpstr>'CADR 100-149'!teffSumPol2_Res</vt:lpstr>
      <vt:lpstr>'CADR 10-99'!teffSumPol2_Res</vt:lpstr>
      <vt:lpstr>'CADR 150+'!teffSumPol2_Res</vt:lpstr>
      <vt:lpstr>'CADR 100-149'!teffSumPol3_Com</vt:lpstr>
      <vt:lpstr>'CADR 10-99'!teffSumPol3_Com</vt:lpstr>
      <vt:lpstr>'CADR 150+'!teffSumPol3_Com</vt:lpstr>
      <vt:lpstr>'CADR 100-149'!teffSumPol3_Res</vt:lpstr>
      <vt:lpstr>'CADR 10-99'!teffSumPol3_Res</vt:lpstr>
      <vt:lpstr>'CADR 150+'!teffSumPol3_Res</vt:lpstr>
      <vt:lpstr>'CADR 100-149'!teffSumPol4_Com</vt:lpstr>
      <vt:lpstr>'CADR 10-99'!teffSumPol4_Com</vt:lpstr>
      <vt:lpstr>'CADR 150+'!teffSumPol4_Com</vt:lpstr>
      <vt:lpstr>'CADR 100-149'!teffSumPol4_Res</vt:lpstr>
      <vt:lpstr>'CADR 10-99'!teffSumPol4_Res</vt:lpstr>
      <vt:lpstr>'CADR 150+'!teffSumPol4_Res</vt:lpstr>
      <vt:lpstr>'CADR 100-149'!tElec0_Com</vt:lpstr>
      <vt:lpstr>'CADR 10-99'!tElec0_Com</vt:lpstr>
      <vt:lpstr>'CADR 150+'!tElec0_Com</vt:lpstr>
      <vt:lpstr>'CADR 100-149'!tElec0_Res</vt:lpstr>
      <vt:lpstr>'CADR 10-99'!tElec0_Res</vt:lpstr>
      <vt:lpstr>'CADR 150+'!tElec0_Res</vt:lpstr>
      <vt:lpstr>'CADR 100-149'!tElec1_Com</vt:lpstr>
      <vt:lpstr>'CADR 10-99'!tElec1_Com</vt:lpstr>
      <vt:lpstr>'CADR 150+'!tElec1_Com</vt:lpstr>
      <vt:lpstr>'CADR 100-149'!tElec1_Res</vt:lpstr>
      <vt:lpstr>'CADR 10-99'!tElec1_Res</vt:lpstr>
      <vt:lpstr>'CADR 150+'!tElec1_Res</vt:lpstr>
      <vt:lpstr>'CADR 100-149'!tElec2_Com</vt:lpstr>
      <vt:lpstr>'CADR 10-99'!tElec2_Com</vt:lpstr>
      <vt:lpstr>'CADR 150+'!tElec2_Com</vt:lpstr>
      <vt:lpstr>'CADR 100-149'!tElec2_Res</vt:lpstr>
      <vt:lpstr>'CADR 10-99'!tElec2_Res</vt:lpstr>
      <vt:lpstr>'CADR 150+'!tElec2_Res</vt:lpstr>
      <vt:lpstr>'CADR 100-149'!tElec3_Com</vt:lpstr>
      <vt:lpstr>'CADR 10-99'!tElec3_Com</vt:lpstr>
      <vt:lpstr>'CADR 150+'!tElec3_Com</vt:lpstr>
      <vt:lpstr>'CADR 100-149'!tElec3_Res</vt:lpstr>
      <vt:lpstr>'CADR 10-99'!tElec3_Res</vt:lpstr>
      <vt:lpstr>'CADR 150+'!tElec3_Res</vt:lpstr>
      <vt:lpstr>'CADR 100-149'!tElec4_Com</vt:lpstr>
      <vt:lpstr>'CADR 10-99'!tElec4_Com</vt:lpstr>
      <vt:lpstr>'CADR 150+'!tElec4_Com</vt:lpstr>
      <vt:lpstr>'CADR 100-149'!tElec4_Res</vt:lpstr>
      <vt:lpstr>'CADR 10-99'!tElec4_Res</vt:lpstr>
      <vt:lpstr>'CADR 150+'!tElec4_Res</vt:lpstr>
      <vt:lpstr>'CADR 100-149'!tiec</vt:lpstr>
      <vt:lpstr>'CADR 10-99'!tiec</vt:lpstr>
      <vt:lpstr>'CADR 150+'!tiec</vt:lpstr>
      <vt:lpstr>'CADR 100-149'!tiec_Com</vt:lpstr>
      <vt:lpstr>'CADR 10-99'!tiec_Com</vt:lpstr>
      <vt:lpstr>'CADR 150+'!tiec_Com</vt:lpstr>
      <vt:lpstr>'CADR 100-149'!tiec_Res</vt:lpstr>
      <vt:lpstr>'CADR 10-99'!tiec_Res</vt:lpstr>
      <vt:lpstr>'CADR 150+'!tiec_Res</vt:lpstr>
      <vt:lpstr>'CADR 100-149'!tInst0</vt:lpstr>
      <vt:lpstr>'CADR 10-99'!tInst0</vt:lpstr>
      <vt:lpstr>'CADR 150+'!tInst0</vt:lpstr>
      <vt:lpstr>'CADR 100-149'!tInst1</vt:lpstr>
      <vt:lpstr>'CADR 10-99'!tInst1</vt:lpstr>
      <vt:lpstr>'CADR 150+'!tInst1</vt:lpstr>
      <vt:lpstr>'CADR 100-149'!tInst2</vt:lpstr>
      <vt:lpstr>'CADR 10-99'!tInst2</vt:lpstr>
      <vt:lpstr>'CADR 150+'!tInst2</vt:lpstr>
      <vt:lpstr>'CADR 100-149'!tInst3</vt:lpstr>
      <vt:lpstr>'CADR 10-99'!tInst3</vt:lpstr>
      <vt:lpstr>'CADR 150+'!tInst3</vt:lpstr>
      <vt:lpstr>'CADR 100-149'!tInst4</vt:lpstr>
      <vt:lpstr>'CADR 10-99'!tInst4</vt:lpstr>
      <vt:lpstr>'CADR 150+'!tInst4</vt:lpstr>
      <vt:lpstr>'CADR 100-149'!tlccEFuElec0_Com</vt:lpstr>
      <vt:lpstr>'CADR 10-99'!tlccEFuElec0_Com</vt:lpstr>
      <vt:lpstr>'CADR 150+'!tlccEFuElec0_Com</vt:lpstr>
      <vt:lpstr>'CADR 100-149'!tlccEFuElec0_Res</vt:lpstr>
      <vt:lpstr>'CADR 10-99'!tlccEFuElec0_Res</vt:lpstr>
      <vt:lpstr>'CADR 150+'!tlccEFuElec0_Res</vt:lpstr>
      <vt:lpstr>'CADR 100-149'!tlccEFuElec1_Com</vt:lpstr>
      <vt:lpstr>'CADR 10-99'!tlccEFuElec1_Com</vt:lpstr>
      <vt:lpstr>'CADR 150+'!tlccEFuElec1_Com</vt:lpstr>
      <vt:lpstr>'CADR 100-149'!tlccEFuElec1_Res</vt:lpstr>
      <vt:lpstr>'CADR 10-99'!tlccEFuElec1_Res</vt:lpstr>
      <vt:lpstr>'CADR 150+'!tlccEFuElec1_Res</vt:lpstr>
      <vt:lpstr>'CADR 100-149'!tlccEFuElec2_Com</vt:lpstr>
      <vt:lpstr>'CADR 10-99'!tlccEFuElec2_Com</vt:lpstr>
      <vt:lpstr>'CADR 150+'!tlccEFuElec2_Com</vt:lpstr>
      <vt:lpstr>'CADR 100-149'!tlccEFuElec2_Res</vt:lpstr>
      <vt:lpstr>'CADR 10-99'!tlccEFuElec2_Res</vt:lpstr>
      <vt:lpstr>'CADR 150+'!tlccEFuElec2_Res</vt:lpstr>
      <vt:lpstr>'CADR 100-149'!tlccEFuElec3_Com</vt:lpstr>
      <vt:lpstr>'CADR 10-99'!tlccEFuElec3_Com</vt:lpstr>
      <vt:lpstr>'CADR 150+'!tlccEFuElec3_Com</vt:lpstr>
      <vt:lpstr>'CADR 100-149'!tlccEFuElec3_Res</vt:lpstr>
      <vt:lpstr>'CADR 10-99'!tlccEFuElec3_Res</vt:lpstr>
      <vt:lpstr>'CADR 150+'!tlccEFuElec3_Res</vt:lpstr>
      <vt:lpstr>'CADR 100-149'!tlccEFuElec4_Com</vt:lpstr>
      <vt:lpstr>'CADR 10-99'!tlccEFuElec4_Com</vt:lpstr>
      <vt:lpstr>'CADR 150+'!tlccEFuElec4_Com</vt:lpstr>
      <vt:lpstr>'CADR 100-149'!tlccEFuElec4_Res</vt:lpstr>
      <vt:lpstr>'CADR 10-99'!tlccEFuElec4_Res</vt:lpstr>
      <vt:lpstr>'CADR 150+'!tlccEFuElec4_Res</vt:lpstr>
      <vt:lpstr>'CADR 100-149'!tlccEmBC_Com</vt:lpstr>
      <vt:lpstr>'CADR 10-99'!tlccEmBC_Com</vt:lpstr>
      <vt:lpstr>'CADR 150+'!tlccEmBC_Com</vt:lpstr>
      <vt:lpstr>'CADR 100-149'!tlccEmBC_Res</vt:lpstr>
      <vt:lpstr>'CADR 10-99'!tlccEmBC_Res</vt:lpstr>
      <vt:lpstr>'CADR 150+'!tlccEmBC_Res</vt:lpstr>
      <vt:lpstr>'CADR 100-149'!tlccEmPol_Com</vt:lpstr>
      <vt:lpstr>'CADR 10-99'!tlccEmPol_Com</vt:lpstr>
      <vt:lpstr>'CADR 150+'!tlccEmPol_Com</vt:lpstr>
      <vt:lpstr>'CADR 100-149'!tlccEmPol_Res</vt:lpstr>
      <vt:lpstr>'CADR 10-99'!tlccEmPol_Res</vt:lpstr>
      <vt:lpstr>'CADR 150+'!tlccEmPol_Res</vt:lpstr>
      <vt:lpstr>'CADR 100-149'!tlccEu_Com</vt:lpstr>
      <vt:lpstr>'CADR 10-99'!tlccEu_Com</vt:lpstr>
      <vt:lpstr>'CADR 150+'!tlccEu_Com</vt:lpstr>
      <vt:lpstr>'CADR 100-149'!tlccEu_Res</vt:lpstr>
      <vt:lpstr>'CADR 10-99'!tlccEu_Res</vt:lpstr>
      <vt:lpstr>'CADR 150+'!tlccEu_Res</vt:lpstr>
      <vt:lpstr>'CADR 100-149'!tlccEu0_Com</vt:lpstr>
      <vt:lpstr>'CADR 10-99'!tlccEu0_Com</vt:lpstr>
      <vt:lpstr>'CADR 150+'!tlccEu0_Com</vt:lpstr>
      <vt:lpstr>'CADR 100-149'!tlccEu0_Res</vt:lpstr>
      <vt:lpstr>'CADR 10-99'!tlccEu0_Res</vt:lpstr>
      <vt:lpstr>'CADR 150+'!tlccEu0_Res</vt:lpstr>
      <vt:lpstr>'CADR 100-149'!tlccEu1_Com</vt:lpstr>
      <vt:lpstr>'CADR 10-99'!tlccEu1_Com</vt:lpstr>
      <vt:lpstr>'CADR 150+'!tlccEu1_Com</vt:lpstr>
      <vt:lpstr>'CADR 100-149'!tlccEu1_Res</vt:lpstr>
      <vt:lpstr>'CADR 10-99'!tlccEu1_Res</vt:lpstr>
      <vt:lpstr>'CADR 150+'!tlccEu1_Res</vt:lpstr>
      <vt:lpstr>'CADR 100-149'!tlccEu2_Com</vt:lpstr>
      <vt:lpstr>'CADR 10-99'!tlccEu2_Com</vt:lpstr>
      <vt:lpstr>'CADR 150+'!tlccEu2_Com</vt:lpstr>
      <vt:lpstr>'CADR 100-149'!tlccEu2_Res</vt:lpstr>
      <vt:lpstr>'CADR 10-99'!tlccEu2_Res</vt:lpstr>
      <vt:lpstr>'CADR 150+'!tlccEu2_Res</vt:lpstr>
      <vt:lpstr>'CADR 100-149'!tlccEu3_Com</vt:lpstr>
      <vt:lpstr>'CADR 10-99'!tlccEu3_Com</vt:lpstr>
      <vt:lpstr>'CADR 150+'!tlccEu3_Com</vt:lpstr>
      <vt:lpstr>'CADR 100-149'!tlccEu3_Res</vt:lpstr>
      <vt:lpstr>'CADR 10-99'!tlccEu3_Res</vt:lpstr>
      <vt:lpstr>'CADR 150+'!tlccEu3_Res</vt:lpstr>
      <vt:lpstr>'CADR 100-149'!tlccEu4_Com</vt:lpstr>
      <vt:lpstr>'CADR 10-99'!tlccEu4_Com</vt:lpstr>
      <vt:lpstr>'CADR 150+'!tlccEu4_Com</vt:lpstr>
      <vt:lpstr>'CADR 100-149'!tlccEu4_Res</vt:lpstr>
      <vt:lpstr>'CADR 10-99'!tlccEu4_Res</vt:lpstr>
      <vt:lpstr>'CADR 150+'!tlccEu4_Res</vt:lpstr>
      <vt:lpstr>'CADR 100-149'!tlccFmElecBC_Com</vt:lpstr>
      <vt:lpstr>'CADR 10-99'!tlccFmElecBC_Com</vt:lpstr>
      <vt:lpstr>'CADR 150+'!tlccFmElecBC_Com</vt:lpstr>
      <vt:lpstr>'CADR 100-149'!tlccFmElecBC_Res</vt:lpstr>
      <vt:lpstr>'CADR 10-99'!tlccFmElecBC_Res</vt:lpstr>
      <vt:lpstr>'CADR 150+'!tlccFmElecBC_Res</vt:lpstr>
      <vt:lpstr>'CADR 100-149'!tlccFmElecPol_Com</vt:lpstr>
      <vt:lpstr>'CADR 10-99'!tlccFmElecPol_Com</vt:lpstr>
      <vt:lpstr>'CADR 150+'!tlccFmElecPol_Com</vt:lpstr>
      <vt:lpstr>'CADR 100-149'!tlccFmElecPol_Res</vt:lpstr>
      <vt:lpstr>'CADR 10-99'!tlccFmElecPol_Res</vt:lpstr>
      <vt:lpstr>'CADR 150+'!tlccFmElecPol_Res</vt:lpstr>
      <vt:lpstr>'CADR 100-149'!tlccFuElec_Com</vt:lpstr>
      <vt:lpstr>'CADR 10-99'!tlccFuElec_Com</vt:lpstr>
      <vt:lpstr>'CADR 150+'!tlccFuElec_Com</vt:lpstr>
      <vt:lpstr>'CADR 100-149'!tlccFuElec_Res</vt:lpstr>
      <vt:lpstr>'CADR 10-99'!tlccFuElec_Res</vt:lpstr>
      <vt:lpstr>'CADR 150+'!tlccFuElec_Res</vt:lpstr>
      <vt:lpstr>'CADR 100-149'!tlccFuElec0_Com</vt:lpstr>
      <vt:lpstr>'CADR 10-99'!tlccFuElec0_Com</vt:lpstr>
      <vt:lpstr>'CADR 150+'!tlccFuElec0_Com</vt:lpstr>
      <vt:lpstr>'CADR 100-149'!tlccFuElec0_Res</vt:lpstr>
      <vt:lpstr>'CADR 10-99'!tlccFuElec0_Res</vt:lpstr>
      <vt:lpstr>'CADR 150+'!tlccFuElec0_Res</vt:lpstr>
      <vt:lpstr>'CADR 100-149'!tlccFuElec1_Com</vt:lpstr>
      <vt:lpstr>'CADR 10-99'!tlccFuElec1_Com</vt:lpstr>
      <vt:lpstr>'CADR 150+'!tlccFuElec1_Com</vt:lpstr>
      <vt:lpstr>'CADR 100-149'!tlccFuElec1_Res</vt:lpstr>
      <vt:lpstr>'CADR 10-99'!tlccFuElec1_Res</vt:lpstr>
      <vt:lpstr>'CADR 150+'!tlccFuElec1_Res</vt:lpstr>
      <vt:lpstr>'CADR 100-149'!tlccFuElec2_Com</vt:lpstr>
      <vt:lpstr>'CADR 10-99'!tlccFuElec2_Com</vt:lpstr>
      <vt:lpstr>'CADR 150+'!tlccFuElec2_Com</vt:lpstr>
      <vt:lpstr>'CADR 100-149'!tlccFuElec2_Res</vt:lpstr>
      <vt:lpstr>'CADR 10-99'!tlccFuElec2_Res</vt:lpstr>
      <vt:lpstr>'CADR 150+'!tlccFuElec2_Res</vt:lpstr>
      <vt:lpstr>'CADR 100-149'!tlccFuElec3_Com</vt:lpstr>
      <vt:lpstr>'CADR 10-99'!tlccFuElec3_Com</vt:lpstr>
      <vt:lpstr>'CADR 150+'!tlccFuElec3_Com</vt:lpstr>
      <vt:lpstr>'CADR 100-149'!tlccFuElec3_Res</vt:lpstr>
      <vt:lpstr>'CADR 10-99'!tlccFuElec3_Res</vt:lpstr>
      <vt:lpstr>'CADR 150+'!tlccFuElec3_Res</vt:lpstr>
      <vt:lpstr>'CADR 100-149'!tlccFuElec4_Com</vt:lpstr>
      <vt:lpstr>'CADR 10-99'!tlccFuElec4_Com</vt:lpstr>
      <vt:lpstr>'CADR 150+'!tlccFuElec4_Com</vt:lpstr>
      <vt:lpstr>'CADR 100-149'!tlccFuElec4_Res</vt:lpstr>
      <vt:lpstr>'CADR 10-99'!tlccFuElec4_Res</vt:lpstr>
      <vt:lpstr>'CADR 150+'!tlccFuElec4_Res</vt:lpstr>
      <vt:lpstr>'CADR 100-149'!tlccQmBC_Com</vt:lpstr>
      <vt:lpstr>'CADR 10-99'!tlccQmBC_Com</vt:lpstr>
      <vt:lpstr>'CADR 150+'!tlccQmBC_Com</vt:lpstr>
      <vt:lpstr>'CADR 100-149'!tlccQmBC_Res</vt:lpstr>
      <vt:lpstr>'CADR 10-99'!tlccQmBC_Res</vt:lpstr>
      <vt:lpstr>'CADR 150+'!tlccQmBC_Res</vt:lpstr>
      <vt:lpstr>'CADR 100-149'!tlccQmPol_Com</vt:lpstr>
      <vt:lpstr>'CADR 10-99'!tlccQmPol_Com</vt:lpstr>
      <vt:lpstr>'CADR 150+'!tlccQmPol_Com</vt:lpstr>
      <vt:lpstr>'CADR 100-149'!tlccQmPol_Res</vt:lpstr>
      <vt:lpstr>'CADR 10-99'!tlccQmPol_Res</vt:lpstr>
      <vt:lpstr>'CADR 150+'!tlccQmPol_Res</vt:lpstr>
      <vt:lpstr>'CADR 100-149'!tlccQu_Com</vt:lpstr>
      <vt:lpstr>'CADR 10-99'!tlccQu_Com</vt:lpstr>
      <vt:lpstr>'CADR 150+'!tlccQu_Com</vt:lpstr>
      <vt:lpstr>'CADR 100-149'!tlccQu_Res</vt:lpstr>
      <vt:lpstr>'CADR 10-99'!tlccQu_Res</vt:lpstr>
      <vt:lpstr>'CADR 150+'!tlccQu_Res</vt:lpstr>
      <vt:lpstr>'CADR 100-149'!tlccQu0_Com</vt:lpstr>
      <vt:lpstr>'CADR 10-99'!tlccQu0_Com</vt:lpstr>
      <vt:lpstr>'CADR 150+'!tlccQu0_Com</vt:lpstr>
      <vt:lpstr>'CADR 100-149'!tlccQu0_Res</vt:lpstr>
      <vt:lpstr>'CADR 10-99'!tlccQu0_Res</vt:lpstr>
      <vt:lpstr>'CADR 150+'!tlccQu0_Res</vt:lpstr>
      <vt:lpstr>'CADR 100-149'!tlccQu1_Com</vt:lpstr>
      <vt:lpstr>'CADR 10-99'!tlccQu1_Com</vt:lpstr>
      <vt:lpstr>'CADR 150+'!tlccQu1_Com</vt:lpstr>
      <vt:lpstr>'CADR 100-149'!tlccQu1_Res</vt:lpstr>
      <vt:lpstr>'CADR 10-99'!tlccQu1_Res</vt:lpstr>
      <vt:lpstr>'CADR 150+'!tlccQu1_Res</vt:lpstr>
      <vt:lpstr>'CADR 100-149'!tlccQu2_Com</vt:lpstr>
      <vt:lpstr>'CADR 10-99'!tlccQu2_Com</vt:lpstr>
      <vt:lpstr>'CADR 150+'!tlccQu2_Com</vt:lpstr>
      <vt:lpstr>'CADR 100-149'!tlccQu2_Res</vt:lpstr>
      <vt:lpstr>'CADR 10-99'!tlccQu2_Res</vt:lpstr>
      <vt:lpstr>'CADR 150+'!tlccQu2_Res</vt:lpstr>
      <vt:lpstr>'CADR 100-149'!tlccQu3_Com</vt:lpstr>
      <vt:lpstr>'CADR 10-99'!tlccQu3_Com</vt:lpstr>
      <vt:lpstr>'CADR 150+'!tlccQu3_Com</vt:lpstr>
      <vt:lpstr>'CADR 100-149'!tlccQu3_Res</vt:lpstr>
      <vt:lpstr>'CADR 10-99'!tlccQu3_Res</vt:lpstr>
      <vt:lpstr>'CADR 150+'!tlccQu3_Res</vt:lpstr>
      <vt:lpstr>'CADR 100-149'!tlccQu4_Com</vt:lpstr>
      <vt:lpstr>'CADR 10-99'!tlccQu4_Com</vt:lpstr>
      <vt:lpstr>'CADR 150+'!tlccQu4_Com</vt:lpstr>
      <vt:lpstr>'CADR 100-149'!tlccQu4_Res</vt:lpstr>
      <vt:lpstr>'CADR 10-99'!tlccQu4_Res</vt:lpstr>
      <vt:lpstr>'CADR 150+'!tlccQu4_Res</vt:lpstr>
      <vt:lpstr>Shipments!tmiaAll_Com</vt:lpstr>
      <vt:lpstr>Shipments!tmiaAll_Res</vt:lpstr>
      <vt:lpstr>Shipments!tmialrg_Com</vt:lpstr>
      <vt:lpstr>Shipments!tmialrg_Res</vt:lpstr>
      <vt:lpstr>Shipments!tmiamed_Com</vt:lpstr>
      <vt:lpstr>Shipments!tmiamed_Res</vt:lpstr>
      <vt:lpstr>Shipments!tmiaShrlrg_Com</vt:lpstr>
      <vt:lpstr>Shipments!tmiaShrlrg_Res</vt:lpstr>
      <vt:lpstr>Shipments!tmiaShrlrg0_Com</vt:lpstr>
      <vt:lpstr>Shipments!tmiaShrlrg0_Res</vt:lpstr>
      <vt:lpstr>Shipments!tmiaShrlrg1_Com</vt:lpstr>
      <vt:lpstr>Shipments!tmiaShrlrg1_Res</vt:lpstr>
      <vt:lpstr>Shipments!tmiaShrlrg2_Com</vt:lpstr>
      <vt:lpstr>Shipments!tmiaShrlrg2_Res</vt:lpstr>
      <vt:lpstr>Shipments!tmiaShrlrg3_Com</vt:lpstr>
      <vt:lpstr>Shipments!tmiaShrlrg3_Res</vt:lpstr>
      <vt:lpstr>Shipments!tmiaShrlrg4_Com</vt:lpstr>
      <vt:lpstr>Shipments!tmiaShrlrg4_Res</vt:lpstr>
      <vt:lpstr>Shipments!tmiaShrmed_Com</vt:lpstr>
      <vt:lpstr>Shipments!tmiaShrmed_Res</vt:lpstr>
      <vt:lpstr>Shipments!tmiaShrmed0_Com</vt:lpstr>
      <vt:lpstr>Shipments!tmiaShrmed0_Res</vt:lpstr>
      <vt:lpstr>Shipments!tmiaShrmed1_Com</vt:lpstr>
      <vt:lpstr>Shipments!tmiaShrmed1_Res</vt:lpstr>
      <vt:lpstr>Shipments!tmiaShrmed2_Com</vt:lpstr>
      <vt:lpstr>Shipments!tmiaShrmed2_Res</vt:lpstr>
      <vt:lpstr>Shipments!tmiaShrmed3_Com</vt:lpstr>
      <vt:lpstr>Shipments!tmiaShrmed3_Res</vt:lpstr>
      <vt:lpstr>Shipments!tmiaShrmed4_Com</vt:lpstr>
      <vt:lpstr>Shipments!tmiaShrmed4_Res</vt:lpstr>
      <vt:lpstr>Shipments!tmiaShrsml_Com</vt:lpstr>
      <vt:lpstr>Shipments!tmiaShrsml_Res</vt:lpstr>
      <vt:lpstr>Shipments!tmiaShrsml0_Com</vt:lpstr>
      <vt:lpstr>Shipments!tmiaShrsml0_Res</vt:lpstr>
      <vt:lpstr>Shipments!tmiaShrsml1_Com</vt:lpstr>
      <vt:lpstr>Shipments!tmiaShrsml1_Res</vt:lpstr>
      <vt:lpstr>Shipments!tmiaShrsml2_Com</vt:lpstr>
      <vt:lpstr>Shipments!tmiaShrsml2_Res</vt:lpstr>
      <vt:lpstr>Shipments!tmiaShrsml3_Com</vt:lpstr>
      <vt:lpstr>Shipments!tmiaShrsml3_Res</vt:lpstr>
      <vt:lpstr>Shipments!tmiaShrsml4_Com</vt:lpstr>
      <vt:lpstr>Shipments!tmiaShrsml4_Res</vt:lpstr>
      <vt:lpstr>Shipments!tmiasml_Com</vt:lpstr>
      <vt:lpstr>Shipments!tmiasml_Res</vt:lpstr>
      <vt:lpstr>'CADR 100-149'!tMnR0_Com</vt:lpstr>
      <vt:lpstr>'CADR 10-99'!tMnR0_Com</vt:lpstr>
      <vt:lpstr>'CADR 150+'!tMnR0_Com</vt:lpstr>
      <vt:lpstr>'CADR 100-149'!tMnR0_Res</vt:lpstr>
      <vt:lpstr>'CADR 10-99'!tMnR0_Res</vt:lpstr>
      <vt:lpstr>'CADR 150+'!tMnR0_Res</vt:lpstr>
      <vt:lpstr>'CADR 100-149'!tMnR1_Com</vt:lpstr>
      <vt:lpstr>'CADR 10-99'!tMnR1_Com</vt:lpstr>
      <vt:lpstr>'CADR 150+'!tMnR1_Com</vt:lpstr>
      <vt:lpstr>'CADR 100-149'!tMnR1_Res</vt:lpstr>
      <vt:lpstr>'CADR 10-99'!tMnR1_Res</vt:lpstr>
      <vt:lpstr>'CADR 150+'!tMnR1_Res</vt:lpstr>
      <vt:lpstr>'CADR 100-149'!tMnR2_Com</vt:lpstr>
      <vt:lpstr>'CADR 10-99'!tMnR2_Com</vt:lpstr>
      <vt:lpstr>'CADR 150+'!tMnR2_Com</vt:lpstr>
      <vt:lpstr>'CADR 100-149'!tMnR2_Res</vt:lpstr>
      <vt:lpstr>'CADR 10-99'!tMnR2_Res</vt:lpstr>
      <vt:lpstr>'CADR 150+'!tMnR2_Res</vt:lpstr>
      <vt:lpstr>'CADR 100-149'!tMnR3_Com</vt:lpstr>
      <vt:lpstr>'CADR 10-99'!tMnR3_Com</vt:lpstr>
      <vt:lpstr>'CADR 150+'!tMnR3_Com</vt:lpstr>
      <vt:lpstr>'CADR 100-149'!tMnR3_Res</vt:lpstr>
      <vt:lpstr>'CADR 10-99'!tMnR3_Res</vt:lpstr>
      <vt:lpstr>'CADR 150+'!tMnR3_Res</vt:lpstr>
      <vt:lpstr>'CADR 100-149'!tMnR4_Com</vt:lpstr>
      <vt:lpstr>'CADR 10-99'!tMnR4_Com</vt:lpstr>
      <vt:lpstr>'CADR 150+'!tMnR4_Com</vt:lpstr>
      <vt:lpstr>'CADR 100-149'!tMnR4_Res</vt:lpstr>
      <vt:lpstr>'CADR 10-99'!tMnR4_Res</vt:lpstr>
      <vt:lpstr>'CADR 150+'!tMnR4_Res</vt:lpstr>
      <vt:lpstr>'CADR 100-149'!tMSP0_Com</vt:lpstr>
      <vt:lpstr>'CADR 10-99'!tMSP0_Com</vt:lpstr>
      <vt:lpstr>'CADR 150+'!tMSP0_Com</vt:lpstr>
      <vt:lpstr>'CADR 100-149'!tMSP0_Res</vt:lpstr>
      <vt:lpstr>'CADR 10-99'!tMSP0_Res</vt:lpstr>
      <vt:lpstr>'CADR 150+'!tMSP0_Res</vt:lpstr>
      <vt:lpstr>'CADR 100-149'!tMSP1_Com</vt:lpstr>
      <vt:lpstr>'CADR 10-99'!tMSP1_Com</vt:lpstr>
      <vt:lpstr>'CADR 150+'!tMSP1_Com</vt:lpstr>
      <vt:lpstr>'CADR 100-149'!tMSP1_Res</vt:lpstr>
      <vt:lpstr>'CADR 10-99'!tMSP1_Res</vt:lpstr>
      <vt:lpstr>'CADR 150+'!tMSP1_Res</vt:lpstr>
      <vt:lpstr>'CADR 100-149'!tMSP2_Com</vt:lpstr>
      <vt:lpstr>'CADR 10-99'!tMSP2_Com</vt:lpstr>
      <vt:lpstr>'CADR 150+'!tMSP2_Com</vt:lpstr>
      <vt:lpstr>'CADR 100-149'!tMSP2_Res</vt:lpstr>
      <vt:lpstr>'CADR 10-99'!tMSP2_Res</vt:lpstr>
      <vt:lpstr>'CADR 150+'!tMSP2_Res</vt:lpstr>
      <vt:lpstr>'CADR 100-149'!tMSP3_Com</vt:lpstr>
      <vt:lpstr>'CADR 10-99'!tMSP3_Com</vt:lpstr>
      <vt:lpstr>'CADR 150+'!tMSP3_Com</vt:lpstr>
      <vt:lpstr>'CADR 100-149'!tMSP3_Res</vt:lpstr>
      <vt:lpstr>'CADR 10-99'!tMSP3_Res</vt:lpstr>
      <vt:lpstr>'CADR 150+'!tMSP3_Res</vt:lpstr>
      <vt:lpstr>'CADR 100-149'!tMSP4_Com</vt:lpstr>
      <vt:lpstr>'CADR 10-99'!tMSP4_Com</vt:lpstr>
      <vt:lpstr>'CADR 150+'!tMSP4_Com</vt:lpstr>
      <vt:lpstr>'CADR 100-149'!tMSP4_Res</vt:lpstr>
      <vt:lpstr>'CADR 10-99'!tMSP4_Res</vt:lpstr>
      <vt:lpstr>'CADR 150+'!tMSP4_Res</vt:lpstr>
      <vt:lpstr>'CADR 100-149'!tnet</vt:lpstr>
      <vt:lpstr>'CADR 10-99'!tnet</vt:lpstr>
      <vt:lpstr>'CADR 150+'!tnet</vt:lpstr>
      <vt:lpstr>'CADR 100-149'!tnet_Com</vt:lpstr>
      <vt:lpstr>'CADR 10-99'!tnet_Com</vt:lpstr>
      <vt:lpstr>'CADR 150+'!tnet_Com</vt:lpstr>
      <vt:lpstr>'CADR 100-149'!tnet_Res</vt:lpstr>
      <vt:lpstr>'CADR 10-99'!tnet_Res</vt:lpstr>
      <vt:lpstr>'CADR 150+'!tnet_Res</vt:lpstr>
      <vt:lpstr>tp2fElec</vt:lpstr>
      <vt:lpstr>tPIdxlrg0</vt:lpstr>
      <vt:lpstr>'Price Indices'!tPIdxlrg01</vt:lpstr>
      <vt:lpstr>'Price Indices'!tPIdxlrg02</vt:lpstr>
      <vt:lpstr>'Price Indices'!tPIdxlrg03</vt:lpstr>
      <vt:lpstr>tPIdxlrg1</vt:lpstr>
      <vt:lpstr>'Price Indices'!tPIdxlrg11</vt:lpstr>
      <vt:lpstr>'Price Indices'!tPIdxlrg12</vt:lpstr>
      <vt:lpstr>'Price Indices'!tPIdxlrg13</vt:lpstr>
      <vt:lpstr>tPIdxlrg2</vt:lpstr>
      <vt:lpstr>'Price Indices'!tPIdxlrg21</vt:lpstr>
      <vt:lpstr>'Price Indices'!tPIdxlrg22</vt:lpstr>
      <vt:lpstr>'Price Indices'!tPIdxlrg23</vt:lpstr>
      <vt:lpstr>tPIdxlrg3</vt:lpstr>
      <vt:lpstr>'Price Indices'!tPIdxlrg31</vt:lpstr>
      <vt:lpstr>'Price Indices'!tPIdxlrg32</vt:lpstr>
      <vt:lpstr>'Price Indices'!tPIdxlrg33</vt:lpstr>
      <vt:lpstr>tPIdxlrg4</vt:lpstr>
      <vt:lpstr>'Price Indices'!tPIdxlrg41</vt:lpstr>
      <vt:lpstr>'Price Indices'!tPIdxlrg42</vt:lpstr>
      <vt:lpstr>'Price Indices'!tPIdxlrg43</vt:lpstr>
      <vt:lpstr>tPIdxmed0</vt:lpstr>
      <vt:lpstr>'Price Indices'!tPIdxmed01</vt:lpstr>
      <vt:lpstr>'Price Indices'!tPIdxmed02</vt:lpstr>
      <vt:lpstr>'Price Indices'!tPIdxmed03</vt:lpstr>
      <vt:lpstr>tPIdxmed1</vt:lpstr>
      <vt:lpstr>'Price Indices'!tPIdxmed11</vt:lpstr>
      <vt:lpstr>'Price Indices'!tPIdxmed12</vt:lpstr>
      <vt:lpstr>'Price Indices'!tPIdxmed13</vt:lpstr>
      <vt:lpstr>tPIdxmed2</vt:lpstr>
      <vt:lpstr>'Price Indices'!tPIdxmed21</vt:lpstr>
      <vt:lpstr>'Price Indices'!tPIdxmed22</vt:lpstr>
      <vt:lpstr>'Price Indices'!tPIdxmed23</vt:lpstr>
      <vt:lpstr>tPIdxmed3</vt:lpstr>
      <vt:lpstr>'Price Indices'!tPIdxmed31</vt:lpstr>
      <vt:lpstr>'Price Indices'!tPIdxmed32</vt:lpstr>
      <vt:lpstr>'Price Indices'!tPIdxmed33</vt:lpstr>
      <vt:lpstr>tPIdxmed4</vt:lpstr>
      <vt:lpstr>'Price Indices'!tPIdxmed41</vt:lpstr>
      <vt:lpstr>'Price Indices'!tPIdxmed42</vt:lpstr>
      <vt:lpstr>'Price Indices'!tPIdxmed43</vt:lpstr>
      <vt:lpstr>tPIdxsml0</vt:lpstr>
      <vt:lpstr>'Price Indices'!tPIdxsml01</vt:lpstr>
      <vt:lpstr>'Price Indices'!tPIdxsml02</vt:lpstr>
      <vt:lpstr>'Price Indices'!tPIdxsml03</vt:lpstr>
      <vt:lpstr>tPIdxsml1</vt:lpstr>
      <vt:lpstr>'Price Indices'!tPIdxsml11</vt:lpstr>
      <vt:lpstr>'Price Indices'!tPIdxsml12</vt:lpstr>
      <vt:lpstr>'Price Indices'!tPIdxsml13</vt:lpstr>
      <vt:lpstr>tPIdxsml2</vt:lpstr>
      <vt:lpstr>'Price Indices'!tPIdxsml21</vt:lpstr>
      <vt:lpstr>'Price Indices'!tPIdxsml22</vt:lpstr>
      <vt:lpstr>'Price Indices'!tPIdxsml23</vt:lpstr>
      <vt:lpstr>tPIdxsml3</vt:lpstr>
      <vt:lpstr>'Price Indices'!tPIdxsml31</vt:lpstr>
      <vt:lpstr>'Price Indices'!tPIdxsml32</vt:lpstr>
      <vt:lpstr>'Price Indices'!tPIdxsml33</vt:lpstr>
      <vt:lpstr>tPIdxsml4</vt:lpstr>
      <vt:lpstr>'Price Indices'!tPIdxsml41</vt:lpstr>
      <vt:lpstr>'Price Indices'!tPIdxsml42</vt:lpstr>
      <vt:lpstr>'Price Indices'!tPIdxsml43</vt:lpstr>
      <vt:lpstr>'CADR 100-149'!tpolEff0_Com</vt:lpstr>
      <vt:lpstr>'CADR 10-99'!tpolEff0_Com</vt:lpstr>
      <vt:lpstr>'CADR 150+'!tpolEff0_Com</vt:lpstr>
      <vt:lpstr>'CADR 100-149'!tpolEff0_Res</vt:lpstr>
      <vt:lpstr>'CADR 10-99'!tpolEff0_Res</vt:lpstr>
      <vt:lpstr>'CADR 150+'!tpolEff0_Res</vt:lpstr>
      <vt:lpstr>'CADR 100-149'!tpolEff1_Com</vt:lpstr>
      <vt:lpstr>'CADR 10-99'!tpolEff1_Com</vt:lpstr>
      <vt:lpstr>'CADR 150+'!tpolEff1_Com</vt:lpstr>
      <vt:lpstr>'CADR 100-149'!tpolEff1_Res</vt:lpstr>
      <vt:lpstr>'CADR 10-99'!tpolEff1_Res</vt:lpstr>
      <vt:lpstr>'CADR 150+'!tpolEff1_Res</vt:lpstr>
      <vt:lpstr>'CADR 100-149'!tpolEff2_Com</vt:lpstr>
      <vt:lpstr>'CADR 10-99'!tpolEff2_Com</vt:lpstr>
      <vt:lpstr>'CADR 150+'!tpolEff2_Com</vt:lpstr>
      <vt:lpstr>'CADR 100-149'!tpolEff2_Res</vt:lpstr>
      <vt:lpstr>'CADR 10-99'!tpolEff2_Res</vt:lpstr>
      <vt:lpstr>'CADR 150+'!tpolEff2_Res</vt:lpstr>
      <vt:lpstr>'CADR 100-149'!tpolEff3_Com</vt:lpstr>
      <vt:lpstr>'CADR 10-99'!tpolEff3_Com</vt:lpstr>
      <vt:lpstr>'CADR 150+'!tpolEff3_Com</vt:lpstr>
      <vt:lpstr>'CADR 100-149'!tpolEff3_Res</vt:lpstr>
      <vt:lpstr>'CADR 10-99'!tpolEff3_Res</vt:lpstr>
      <vt:lpstr>'CADR 150+'!tpolEff3_Res</vt:lpstr>
      <vt:lpstr>'CADR 100-149'!tpolEff4_Com</vt:lpstr>
      <vt:lpstr>'CADR 10-99'!tpolEff4_Com</vt:lpstr>
      <vt:lpstr>'CADR 150+'!tpolEff4_Com</vt:lpstr>
      <vt:lpstr>'CADR 100-149'!tpolEff4_Res</vt:lpstr>
      <vt:lpstr>'CADR 10-99'!tpolEff4_Res</vt:lpstr>
      <vt:lpstr>'CADR 150+'!tpolEff4_Res</vt:lpstr>
      <vt:lpstr>Shipments!tprcElastAll_Com</vt:lpstr>
      <vt:lpstr>Shipments!tprcElastAll_Res</vt:lpstr>
      <vt:lpstr>tPrcElec_Com</vt:lpstr>
      <vt:lpstr>tPrcElec_Res</vt:lpstr>
      <vt:lpstr>'Energy Price'!tPrcElecH_Com</vt:lpstr>
      <vt:lpstr>'Energy Price'!tPrcElecH_Res</vt:lpstr>
      <vt:lpstr>'Energy Price'!tPrcElecL_Com</vt:lpstr>
      <vt:lpstr>'Energy Price'!tPrcElecL_Res</vt:lpstr>
      <vt:lpstr>'Energy Price'!tPrcElecR_Com</vt:lpstr>
      <vt:lpstr>'Energy Price'!tPrcElecR_Res</vt:lpstr>
      <vt:lpstr>tpSurvAll_Com</vt:lpstr>
      <vt:lpstr>tpSurvAll_Res</vt:lpstr>
      <vt:lpstr>'CADR 100-149'!trefEff0_Com</vt:lpstr>
      <vt:lpstr>'CADR 10-99'!trefEff0_Com</vt:lpstr>
      <vt:lpstr>'CADR 150+'!trefEff0_Com</vt:lpstr>
      <vt:lpstr>'CADR 100-149'!trefEff0_Res</vt:lpstr>
      <vt:lpstr>'CADR 10-99'!trefEff0_Res</vt:lpstr>
      <vt:lpstr>'CADR 150+'!trefEff0_Res</vt:lpstr>
      <vt:lpstr>'CADR 100-149'!trefEff1_Com</vt:lpstr>
      <vt:lpstr>'CADR 10-99'!trefEff1_Com</vt:lpstr>
      <vt:lpstr>'CADR 150+'!trefEff1_Com</vt:lpstr>
      <vt:lpstr>'CADR 100-149'!trefEff1_Res</vt:lpstr>
      <vt:lpstr>'CADR 10-99'!trefEff1_Res</vt:lpstr>
      <vt:lpstr>'CADR 150+'!trefEff1_Res</vt:lpstr>
      <vt:lpstr>'CADR 100-149'!trefEff2_Com</vt:lpstr>
      <vt:lpstr>'CADR 10-99'!trefEff2_Com</vt:lpstr>
      <vt:lpstr>'CADR 150+'!trefEff2_Com</vt:lpstr>
      <vt:lpstr>'CADR 100-149'!trefEff2_Res</vt:lpstr>
      <vt:lpstr>'CADR 10-99'!trefEff2_Res</vt:lpstr>
      <vt:lpstr>'CADR 150+'!trefEff2_Res</vt:lpstr>
      <vt:lpstr>'CADR 100-149'!trefEff3_Com</vt:lpstr>
      <vt:lpstr>'CADR 10-99'!trefEff3_Com</vt:lpstr>
      <vt:lpstr>'CADR 150+'!trefEff3_Com</vt:lpstr>
      <vt:lpstr>'CADR 100-149'!trefEff3_Res</vt:lpstr>
      <vt:lpstr>'CADR 10-99'!trefEff3_Res</vt:lpstr>
      <vt:lpstr>'CADR 150+'!trefEff3_Res</vt:lpstr>
      <vt:lpstr>'CADR 100-149'!trefEff4_Com</vt:lpstr>
      <vt:lpstr>'CADR 10-99'!trefEff4_Com</vt:lpstr>
      <vt:lpstr>'CADR 150+'!trefEff4_Com</vt:lpstr>
      <vt:lpstr>'CADR 100-149'!trefEff4_Res</vt:lpstr>
      <vt:lpstr>'CADR 10-99'!trefEff4_Res</vt:lpstr>
      <vt:lpstr>'CADR 150+'!trefEff4_Res</vt:lpstr>
      <vt:lpstr>'CADR 100-149'!trendEffBC_Com</vt:lpstr>
      <vt:lpstr>'CADR 10-99'!trendEffBC_Com</vt:lpstr>
      <vt:lpstr>'CADR 150+'!trendEffBC_Com</vt:lpstr>
      <vt:lpstr>'CADR 100-149'!trendEffBC_Res</vt:lpstr>
      <vt:lpstr>'CADR 10-99'!trendEffBC_Res</vt:lpstr>
      <vt:lpstr>'CADR 150+'!trendEffBC_Res</vt:lpstr>
      <vt:lpstr>'CADR 100-149'!trendEffPol_Com</vt:lpstr>
      <vt:lpstr>'CADR 10-99'!trendEffPol_Com</vt:lpstr>
      <vt:lpstr>'CADR 150+'!trendEffPol_Com</vt:lpstr>
      <vt:lpstr>'CADR 100-149'!trendEffPol_Res</vt:lpstr>
      <vt:lpstr>'CADR 10-99'!trendEffPol_Res</vt:lpstr>
      <vt:lpstr>'CADR 150+'!trendEffPol_Res</vt:lpstr>
      <vt:lpstr>'CADR 100-149'!trendGrowthBC_Com</vt:lpstr>
      <vt:lpstr>'CADR 10-99'!trendGrowthBC_Com</vt:lpstr>
      <vt:lpstr>'CADR 150+'!trendGrowthBC_Com</vt:lpstr>
      <vt:lpstr>'CADR 100-149'!trendGrowthBC_Res</vt:lpstr>
      <vt:lpstr>'CADR 10-99'!trendGrowthBC_Res</vt:lpstr>
      <vt:lpstr>'CADR 150+'!trendGrowthBC_Res</vt:lpstr>
      <vt:lpstr>ts2bElec</vt:lpstr>
      <vt:lpstr>ts2pElecCom</vt:lpstr>
      <vt:lpstr>ts2pElecRes</vt:lpstr>
      <vt:lpstr>'Energy Factors'!ts2sCom</vt:lpstr>
      <vt:lpstr>'Energy Factors'!ts2sRes</vt:lpstr>
      <vt:lpstr>'CADR 100-149'!tsavElec</vt:lpstr>
      <vt:lpstr>'CADR 10-99'!tsavElec</vt:lpstr>
      <vt:lpstr>'CADR 150+'!tsavElec</vt:lpstr>
      <vt:lpstr>'CADR 100-149'!tsavElec_Com</vt:lpstr>
      <vt:lpstr>'CADR 10-99'!tsavElec_Com</vt:lpstr>
      <vt:lpstr>'CADR 150+'!tsavElec_Com</vt:lpstr>
      <vt:lpstr>'CADR 100-149'!tsavElec_Res</vt:lpstr>
      <vt:lpstr>'CADR 10-99'!tsavElec_Res</vt:lpstr>
      <vt:lpstr>'CADR 150+'!tsavElec_Res</vt:lpstr>
      <vt:lpstr>tShpAllBC_Com</vt:lpstr>
      <vt:lpstr>tShpAllBC_Res</vt:lpstr>
      <vt:lpstr>tShpAllStd_Com</vt:lpstr>
      <vt:lpstr>tShpAllStd_Res</vt:lpstr>
      <vt:lpstr>tShplrg1BC_Com</vt:lpstr>
      <vt:lpstr>tShplrg1BC_Res</vt:lpstr>
      <vt:lpstr>tShplrg2BC_Com</vt:lpstr>
      <vt:lpstr>tShplrg2BC_Res</vt:lpstr>
      <vt:lpstr>tShplrg3BC_Com</vt:lpstr>
      <vt:lpstr>tShplrg3BC_Res</vt:lpstr>
      <vt:lpstr>tShplrgBC_Com</vt:lpstr>
      <vt:lpstr>tShplrgBC_Res</vt:lpstr>
      <vt:lpstr>tShplrgStd_Com</vt:lpstr>
      <vt:lpstr>tShplrgStd_Res</vt:lpstr>
      <vt:lpstr>tShpmed1BC_Com</vt:lpstr>
      <vt:lpstr>tShpmed1BC_Res</vt:lpstr>
      <vt:lpstr>tShpmed2BC_Com</vt:lpstr>
      <vt:lpstr>tShpmed2BC_Res</vt:lpstr>
      <vt:lpstr>tShpmed3BC_Com</vt:lpstr>
      <vt:lpstr>tShpmed3BC_Res</vt:lpstr>
      <vt:lpstr>tShpmedBC_Com</vt:lpstr>
      <vt:lpstr>tShpmedBC_Res</vt:lpstr>
      <vt:lpstr>tShpmedStd_Com</vt:lpstr>
      <vt:lpstr>tShpmedStd_Res</vt:lpstr>
      <vt:lpstr>tShpsml1BC_Com</vt:lpstr>
      <vt:lpstr>tShpsml1BC_Res</vt:lpstr>
      <vt:lpstr>tShpsml2BC_Com</vt:lpstr>
      <vt:lpstr>tShpsml2BC_Res</vt:lpstr>
      <vt:lpstr>tShpsml3BC_Com</vt:lpstr>
      <vt:lpstr>tShpsml3BC_Res</vt:lpstr>
      <vt:lpstr>tShpsmlBC_Com</vt:lpstr>
      <vt:lpstr>tShpsmlBC_Res</vt:lpstr>
      <vt:lpstr>tShpsmlStd_Com</vt:lpstr>
      <vt:lpstr>tShpsmlStd_Res</vt:lpstr>
      <vt:lpstr>tsl1stYear</vt:lpstr>
      <vt:lpstr>tsl2ndYear</vt:lpstr>
      <vt:lpstr>tslNYears</vt:lpstr>
      <vt:lpstr>Shipments!tStkAllBC_Com</vt:lpstr>
      <vt:lpstr>Shipments!tStkAllBC_Res</vt:lpstr>
      <vt:lpstr>Shipments!tStkAllStd_Com</vt:lpstr>
      <vt:lpstr>Shipments!tStkAllStd_Res</vt:lpstr>
      <vt:lpstr>Shipments!tStklrgBC_Com</vt:lpstr>
      <vt:lpstr>Shipments!tStklrgBC_Res</vt:lpstr>
      <vt:lpstr>Shipments!tStklrgStd_Com</vt:lpstr>
      <vt:lpstr>Shipments!tStklrgStd_Res</vt:lpstr>
      <vt:lpstr>Shipments!tStkmedBC_Com</vt:lpstr>
      <vt:lpstr>Shipments!tStkmedBC_Res</vt:lpstr>
      <vt:lpstr>Shipments!tStkmedStd_Com</vt:lpstr>
      <vt:lpstr>Shipments!tStkmedStd_Res</vt:lpstr>
      <vt:lpstr>Shipments!tStksmlBC_Com</vt:lpstr>
      <vt:lpstr>Shipments!tStksmlBC_Res</vt:lpstr>
      <vt:lpstr>Shipments!tStksmlStd_Com</vt:lpstr>
      <vt:lpstr>Shipments!tStksmlStd_Res</vt:lpstr>
      <vt:lpstr>tSumm</vt:lpstr>
      <vt:lpstr>tSumm_Com</vt:lpstr>
      <vt:lpstr>tSumm_Res</vt:lpstr>
      <vt:lpstr>'Energy Price'!tTrendHElec_Com</vt:lpstr>
      <vt:lpstr>'Energy Price'!tTrendHElec_Res</vt:lpstr>
      <vt:lpstr>'Energy Price'!tTrendLElec_Com</vt:lpstr>
      <vt:lpstr>'Energy Price'!tTrendLElec_Res</vt:lpstr>
      <vt:lpstr>'Energy Price'!tTrendRElec_Com</vt:lpstr>
      <vt:lpstr>'Energy Price'!tTrendRElec_Res</vt:lpstr>
      <vt:lpstr>'CADR 100-149'!tZerosBC_Com</vt:lpstr>
      <vt:lpstr>'CADR 10-99'!tZerosBC_Com</vt:lpstr>
      <vt:lpstr>'CADR 150+'!tZerosBC_Com</vt:lpstr>
      <vt:lpstr>'CADR 100-149'!tZerosBC_Res</vt:lpstr>
      <vt:lpstr>'CADR 10-99'!tZerosBC_Res</vt:lpstr>
      <vt:lpstr>'CADR 150+'!tZerosBC_Res</vt:lpstr>
      <vt:lpstr>'CADR 100-149'!tZerosPol_Com</vt:lpstr>
      <vt:lpstr>'CADR 10-99'!tZerosPol_Com</vt:lpstr>
      <vt:lpstr>'CADR 150+'!tZerosPol_Com</vt:lpstr>
      <vt:lpstr>'CADR 100-149'!tZerosPol_Res</vt:lpstr>
      <vt:lpstr>'CADR 10-99'!tZerosPol_Res</vt:lpstr>
      <vt:lpstr>'CADR 150+'!tZerosPol_Res</vt:lpstr>
      <vt:lpstr>yearC</vt:lpstr>
      <vt:lpstr>yearC2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Helcio Blum</dc:creator>
  <cp:lastModifiedBy>User 982</cp:lastModifiedBy>
  <dcterms:created xsi:type="dcterms:W3CDTF">2022-11-03T22:28:12Z</dcterms:created>
  <dcterms:modified xsi:type="dcterms:W3CDTF">2023-03-14T18:14:28Z</dcterms:modified>
</cp:coreProperties>
</file>